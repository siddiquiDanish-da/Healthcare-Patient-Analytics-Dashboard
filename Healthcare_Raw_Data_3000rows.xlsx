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MSUNG\Desktop\Data_Analyst\HealthCareProjectEndToEnd\"/>
    </mc:Choice>
  </mc:AlternateContent>
  <bookViews>
    <workbookView xWindow="0" yWindow="0" windowWidth="28800" windowHeight="13125"/>
  </bookViews>
  <sheets>
    <sheet name="Dashboard" sheetId="5" r:id="rId1"/>
    <sheet name="Patient_Raw_Data" sheetId="1" r:id="rId2"/>
    <sheet name="Budget Forecast" sheetId="2" r:id="rId3"/>
  </sheets>
  <definedNames>
    <definedName name="Slicer_Admission_Type">#N/A</definedName>
    <definedName name="Slicer_Gender">#N/A</definedName>
    <definedName name="Slicer_Insurance_Type">#N/A</definedName>
  </definedNames>
  <calcPr calcId="152511"/>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2" l="1"/>
  <c r="B4" i="2" s="1"/>
  <c r="E4" i="2" s="1"/>
</calcChain>
</file>

<file path=xl/sharedStrings.xml><?xml version="1.0" encoding="utf-8"?>
<sst xmlns="http://schemas.openxmlformats.org/spreadsheetml/2006/main" count="45084" uniqueCount="3824">
  <si>
    <t>Patient_ID</t>
  </si>
  <si>
    <t>Patient_Name</t>
  </si>
  <si>
    <t>Age</t>
  </si>
  <si>
    <t>Gender</t>
  </si>
  <si>
    <t>Blood_Group</t>
  </si>
  <si>
    <t>City</t>
  </si>
  <si>
    <t>Admission_Date</t>
  </si>
  <si>
    <t>Discharge_Date</t>
  </si>
  <si>
    <t>Length_of_Stay_Days</t>
  </si>
  <si>
    <t>Department</t>
  </si>
  <si>
    <t>Diagnosis</t>
  </si>
  <si>
    <t>Disease_Category</t>
  </si>
  <si>
    <t>Treatment_Type</t>
  </si>
  <si>
    <t>Admission_Type</t>
  </si>
  <si>
    <t>Doctor_Name</t>
  </si>
  <si>
    <t>Bed_Number</t>
  </si>
  <si>
    <t>Room_Type</t>
  </si>
  <si>
    <t>Insurance_Type</t>
  </si>
  <si>
    <t>Total_Bill_Amount_INR</t>
  </si>
  <si>
    <t>Insurance_Covered_INR</t>
  </si>
  <si>
    <t>Out_of_Pocket_INR</t>
  </si>
  <si>
    <t>Treatment_Cost_INR</t>
  </si>
  <si>
    <t>Medication_Cost_INR</t>
  </si>
  <si>
    <t>Lab_Test_Cost_INR</t>
  </si>
  <si>
    <t>Readmitted_within_30_Days</t>
  </si>
  <si>
    <t>Recovery_Rate_Percent</t>
  </si>
  <si>
    <t>Patient_Satisfaction_Score</t>
  </si>
  <si>
    <t>Outcome</t>
  </si>
  <si>
    <t>PID0001</t>
  </si>
  <si>
    <t>Rajesh Kumar</t>
  </si>
  <si>
    <t>Female</t>
  </si>
  <si>
    <t>B-</t>
  </si>
  <si>
    <t>Chennai</t>
  </si>
  <si>
    <t>General Medicine</t>
  </si>
  <si>
    <t>Appendicitis</t>
  </si>
  <si>
    <t>Gastrointestinal</t>
  </si>
  <si>
    <t>Surgery</t>
  </si>
  <si>
    <t>Walk-in</t>
  </si>
  <si>
    <t>Dr. Arun Sharma</t>
  </si>
  <si>
    <t>Semi-Private</t>
  </si>
  <si>
    <t>Government Scheme</t>
  </si>
  <si>
    <t>No</t>
  </si>
  <si>
    <t>Still Admitted</t>
  </si>
  <si>
    <t>PID0002</t>
  </si>
  <si>
    <t>Rohan Sharma</t>
  </si>
  <si>
    <t>O-</t>
  </si>
  <si>
    <t>Hyderabad</t>
  </si>
  <si>
    <t>Dengue</t>
  </si>
  <si>
    <t>Infectious</t>
  </si>
  <si>
    <t>Dr. Prerna Kumar</t>
  </si>
  <si>
    <t>Private</t>
  </si>
  <si>
    <t>Senior Citizen Scheme</t>
  </si>
  <si>
    <t>Referred</t>
  </si>
  <si>
    <t>PID0003</t>
  </si>
  <si>
    <t>Ashok Menon</t>
  </si>
  <si>
    <t>Male</t>
  </si>
  <si>
    <t>A-</t>
  </si>
  <si>
    <t>Mumbai</t>
  </si>
  <si>
    <t>Urology</t>
  </si>
  <si>
    <t>UTI</t>
  </si>
  <si>
    <t>Urological</t>
  </si>
  <si>
    <t>Chemotherapy</t>
  </si>
  <si>
    <t>Emergency</t>
  </si>
  <si>
    <t>Dr. Vivek Singh</t>
  </si>
  <si>
    <t>Discharged</t>
  </si>
  <si>
    <t>PID0004</t>
  </si>
  <si>
    <t>Ritu Reddy</t>
  </si>
  <si>
    <t>AB+</t>
  </si>
  <si>
    <t>Dr. Nisha Joshi</t>
  </si>
  <si>
    <t>General Ward</t>
  </si>
  <si>
    <t>PID0005</t>
  </si>
  <si>
    <t>Kavya Pillai</t>
  </si>
  <si>
    <t>Lucknow</t>
  </si>
  <si>
    <t>Oncology</t>
  </si>
  <si>
    <t>Cancer</t>
  </si>
  <si>
    <t>Counseling</t>
  </si>
  <si>
    <t>Dr. Prerna Sharma</t>
  </si>
  <si>
    <t>PID0006</t>
  </si>
  <si>
    <t>Rohan Pillai</t>
  </si>
  <si>
    <t>O+</t>
  </si>
  <si>
    <t>Pune</t>
  </si>
  <si>
    <t>Anemia</t>
  </si>
  <si>
    <t>Hematological</t>
  </si>
  <si>
    <t>Radiation Therapy</t>
  </si>
  <si>
    <t>Dr. Rakesh Nair</t>
  </si>
  <si>
    <t>PID0007</t>
  </si>
  <si>
    <t>Ritu Das</t>
  </si>
  <si>
    <t>AB-</t>
  </si>
  <si>
    <t>Kidney Stone</t>
  </si>
  <si>
    <t>Dr. Kavita Rao</t>
  </si>
  <si>
    <t>Private Insurance</t>
  </si>
  <si>
    <t>Yes</t>
  </si>
  <si>
    <t>PID0008</t>
  </si>
  <si>
    <t>Rohan Das</t>
  </si>
  <si>
    <t>Jaipur</t>
  </si>
  <si>
    <t>ICU Care</t>
  </si>
  <si>
    <t>Dr. Deepak Gupta</t>
  </si>
  <si>
    <t>PID0009</t>
  </si>
  <si>
    <t>Rahul Patel</t>
  </si>
  <si>
    <t>Depression</t>
  </si>
  <si>
    <t>Mental Health</t>
  </si>
  <si>
    <t>Dietary Management</t>
  </si>
  <si>
    <t>Dr. Kavita Gupta</t>
  </si>
  <si>
    <t>ICU</t>
  </si>
  <si>
    <t>Recovered</t>
  </si>
  <si>
    <t>PID0010</t>
  </si>
  <si>
    <t>Priya Chopra</t>
  </si>
  <si>
    <t>COVID-19</t>
  </si>
  <si>
    <t>Observation</t>
  </si>
  <si>
    <t>Elective</t>
  </si>
  <si>
    <t>Dr. Rakesh Gupta</t>
  </si>
  <si>
    <t>Corporate Insurance</t>
  </si>
  <si>
    <t>PID0011</t>
  </si>
  <si>
    <t>Ananya Khanna</t>
  </si>
  <si>
    <t>Kolkata</t>
  </si>
  <si>
    <t>Neurology</t>
  </si>
  <si>
    <t>Migraine</t>
  </si>
  <si>
    <t>Neurological</t>
  </si>
  <si>
    <t>Referral</t>
  </si>
  <si>
    <t>Dr. Anjali Singh</t>
  </si>
  <si>
    <t>PID0012</t>
  </si>
  <si>
    <t>Sanjay Bose</t>
  </si>
  <si>
    <t>A+</t>
  </si>
  <si>
    <t>Cardiology</t>
  </si>
  <si>
    <t>Heart Attack</t>
  </si>
  <si>
    <t>Cardiovascular</t>
  </si>
  <si>
    <t>Dr. Kavita Joshi</t>
  </si>
  <si>
    <t>PID0013</t>
  </si>
  <si>
    <t>Sunita Verma</t>
  </si>
  <si>
    <t>Bangalore</t>
  </si>
  <si>
    <t>Medication</t>
  </si>
  <si>
    <t>Dr. Shalini Rao</t>
  </si>
  <si>
    <t>PID0014</t>
  </si>
  <si>
    <t>Ananya Malhotra</t>
  </si>
  <si>
    <t>Dialysis</t>
  </si>
  <si>
    <t>Dr. Prerna Nair</t>
  </si>
  <si>
    <t>No Insurance</t>
  </si>
  <si>
    <t>Deceased</t>
  </si>
  <si>
    <t>PID0015</t>
  </si>
  <si>
    <t>Rohan Patel</t>
  </si>
  <si>
    <t>Pulmonology</t>
  </si>
  <si>
    <t>Pneumonia</t>
  </si>
  <si>
    <t>Respiratory</t>
  </si>
  <si>
    <t>Physiotherapy</t>
  </si>
  <si>
    <t>Dr. Deepak Joshi</t>
  </si>
  <si>
    <t>PID0016</t>
  </si>
  <si>
    <t>Vikram Patel</t>
  </si>
  <si>
    <t>Dr. Shalini Mehta</t>
  </si>
  <si>
    <t>PID0017</t>
  </si>
  <si>
    <t>Rohan Joshi</t>
  </si>
  <si>
    <t>Ahmedabad</t>
  </si>
  <si>
    <t>Dr. Kavita Sharma</t>
  </si>
  <si>
    <t>PID0018</t>
  </si>
  <si>
    <t>Amit Sharma</t>
  </si>
  <si>
    <t>B+</t>
  </si>
  <si>
    <t>PID0019</t>
  </si>
  <si>
    <t>Nisha Khanna</t>
  </si>
  <si>
    <t>Delhi</t>
  </si>
  <si>
    <t>PID0020</t>
  </si>
  <si>
    <t>Deepa Mehta</t>
  </si>
  <si>
    <t>Stroke</t>
  </si>
  <si>
    <t>Dr. Prerna Singh</t>
  </si>
  <si>
    <t>PID0021</t>
  </si>
  <si>
    <t>Divya Singh</t>
  </si>
  <si>
    <t>Dr. Vivek Reddy</t>
  </si>
  <si>
    <t>PID0022</t>
  </si>
  <si>
    <t>Amit Malhotra</t>
  </si>
  <si>
    <t>Asthma</t>
  </si>
  <si>
    <t>Dr. Kavita Singh</t>
  </si>
  <si>
    <t>PID0023</t>
  </si>
  <si>
    <t>Karan Gupta</t>
  </si>
  <si>
    <t>Dr. Vivek Joshi</t>
  </si>
  <si>
    <t>PID0024</t>
  </si>
  <si>
    <t>Ritu Pillai</t>
  </si>
  <si>
    <t>Typhoid</t>
  </si>
  <si>
    <t>Dr. Vivek Mehta</t>
  </si>
  <si>
    <t>PID0025</t>
  </si>
  <si>
    <t>Rohan Chopra</t>
  </si>
  <si>
    <t>Dr. Prerna Gupta</t>
  </si>
  <si>
    <t>PID0026</t>
  </si>
  <si>
    <t>Divya Gupta</t>
  </si>
  <si>
    <t>Dr. Sameer Singh</t>
  </si>
  <si>
    <t>PID0027</t>
  </si>
  <si>
    <t>Sneha Rao</t>
  </si>
  <si>
    <t>Dr. Arun Joshi</t>
  </si>
  <si>
    <t>PID0028</t>
  </si>
  <si>
    <t>Divya Pillai</t>
  </si>
  <si>
    <t>PID0029</t>
  </si>
  <si>
    <t>Amit Nair</t>
  </si>
  <si>
    <t>Dr. Anjali Gupta</t>
  </si>
  <si>
    <t>PID0030</t>
  </si>
  <si>
    <t>Pooja Pillai</t>
  </si>
  <si>
    <t>PID0031</t>
  </si>
  <si>
    <t>Ashok Mehta</t>
  </si>
  <si>
    <t>Dr. Arun Nair</t>
  </si>
  <si>
    <t>PID0032</t>
  </si>
  <si>
    <t>Rekha Bose</t>
  </si>
  <si>
    <t>Diabetes Type 2</t>
  </si>
  <si>
    <t>Endocrine</t>
  </si>
  <si>
    <t>Dr. Prerna Reddy</t>
  </si>
  <si>
    <t>PID0033</t>
  </si>
  <si>
    <t>Deepa Iyer</t>
  </si>
  <si>
    <t>Orthopedics</t>
  </si>
  <si>
    <t>Fracture</t>
  </si>
  <si>
    <t>Orthopedic</t>
  </si>
  <si>
    <t>Dr. Deepak Patel</t>
  </si>
  <si>
    <t>PID0034</t>
  </si>
  <si>
    <t>Rahul Reddy</t>
  </si>
  <si>
    <t>Dr. Arun Mehta</t>
  </si>
  <si>
    <t>PID0035</t>
  </si>
  <si>
    <t>Meera Malhotra</t>
  </si>
  <si>
    <t>Dr. Rakesh Rao</t>
  </si>
  <si>
    <t>PID0036</t>
  </si>
  <si>
    <t>Meera Shah</t>
  </si>
  <si>
    <t>Dr. Deepak Sharma</t>
  </si>
  <si>
    <t>PID0037</t>
  </si>
  <si>
    <t>Sunil Khanna</t>
  </si>
  <si>
    <t>Dr. Deepak Mehta</t>
  </si>
  <si>
    <t>PID0038</t>
  </si>
  <si>
    <t>Kavya Kumar</t>
  </si>
  <si>
    <t>PID0039</t>
  </si>
  <si>
    <t>Sonia Das</t>
  </si>
  <si>
    <t>Dr. Nisha Kumar</t>
  </si>
  <si>
    <t>PID0040</t>
  </si>
  <si>
    <t>Geeta Bose</t>
  </si>
  <si>
    <t>Arthritis</t>
  </si>
  <si>
    <t>Musculoskeletal</t>
  </si>
  <si>
    <t>Dr. Anjali Patel</t>
  </si>
  <si>
    <t>PID0041</t>
  </si>
  <si>
    <t>Rajesh Singh</t>
  </si>
  <si>
    <t>Dr. Prerna Joshi</t>
  </si>
  <si>
    <t>PID0042</t>
  </si>
  <si>
    <t>Vikram Reddy</t>
  </si>
  <si>
    <t>Liver Disease</t>
  </si>
  <si>
    <t>Dr. Anjali Rao</t>
  </si>
  <si>
    <t>PID0043</t>
  </si>
  <si>
    <t>Rahul Malhotra</t>
  </si>
  <si>
    <t>PID0044</t>
  </si>
  <si>
    <t>Sonia Menon</t>
  </si>
  <si>
    <t>PID0045</t>
  </si>
  <si>
    <t>Lata Pillai</t>
  </si>
  <si>
    <t>Dr. Prerna Mehta</t>
  </si>
  <si>
    <t>PID0046</t>
  </si>
  <si>
    <t>Sanjay Chopra</t>
  </si>
  <si>
    <t>PID0047</t>
  </si>
  <si>
    <t>Vikram Chopra</t>
  </si>
  <si>
    <t>Dr. Rakesh Sharma</t>
  </si>
  <si>
    <t>PID0048</t>
  </si>
  <si>
    <t>Dr. Nisha Reddy</t>
  </si>
  <si>
    <t>PID0049</t>
  </si>
  <si>
    <t>Rekha Gupta</t>
  </si>
  <si>
    <t>Hypertension</t>
  </si>
  <si>
    <t>PID0050</t>
  </si>
  <si>
    <t>Arjun Reddy</t>
  </si>
  <si>
    <t>PID0051</t>
  </si>
  <si>
    <t>Karan Menon</t>
  </si>
  <si>
    <t>Dr. Anjali Reddy</t>
  </si>
  <si>
    <t>PID0052</t>
  </si>
  <si>
    <t>Sunita Bose</t>
  </si>
  <si>
    <t>Dr. Shalini Nair</t>
  </si>
  <si>
    <t>PID0053</t>
  </si>
  <si>
    <t>Sneha Iyer</t>
  </si>
  <si>
    <t>PID0054</t>
  </si>
  <si>
    <t>Nisha Sharma</t>
  </si>
  <si>
    <t>PID0055</t>
  </si>
  <si>
    <t>Ananya Menon</t>
  </si>
  <si>
    <t>Dr. Kavita Nair</t>
  </si>
  <si>
    <t>PID0056</t>
  </si>
  <si>
    <t>Priya Sharma</t>
  </si>
  <si>
    <t>PID0057</t>
  </si>
  <si>
    <t>Sonia Singh</t>
  </si>
  <si>
    <t>Dr. Shalini Gupta</t>
  </si>
  <si>
    <t>PID0058</t>
  </si>
  <si>
    <t>Geeta Verma</t>
  </si>
  <si>
    <t>PID0059</t>
  </si>
  <si>
    <t>Vijay Bose</t>
  </si>
  <si>
    <t>PID0060</t>
  </si>
  <si>
    <t>Divya Menon</t>
  </si>
  <si>
    <t>Obesity</t>
  </si>
  <si>
    <t>Metabolic</t>
  </si>
  <si>
    <t>PID0061</t>
  </si>
  <si>
    <t>Manoj Malhotra</t>
  </si>
  <si>
    <t>Dr. Nisha Patel</t>
  </si>
  <si>
    <t>PID0062</t>
  </si>
  <si>
    <t>Rajesh Chopra</t>
  </si>
  <si>
    <t>Dr. Vivek Nair</t>
  </si>
  <si>
    <t>PID0063</t>
  </si>
  <si>
    <t>Vikram Singh</t>
  </si>
  <si>
    <t>PID0064</t>
  </si>
  <si>
    <t>PID0065</t>
  </si>
  <si>
    <t>Sonia Kumar</t>
  </si>
  <si>
    <t>PID0066</t>
  </si>
  <si>
    <t>Nisha Reddy</t>
  </si>
  <si>
    <t>PID0067</t>
  </si>
  <si>
    <t>Kavya Rao</t>
  </si>
  <si>
    <t>Dr. Deepak Rao</t>
  </si>
  <si>
    <t>PID0068</t>
  </si>
  <si>
    <t>Arjun Shah</t>
  </si>
  <si>
    <t>PID0069</t>
  </si>
  <si>
    <t>Manoj Bose</t>
  </si>
  <si>
    <t>Dr. Arun Kumar</t>
  </si>
  <si>
    <t>PID0070</t>
  </si>
  <si>
    <t>Rekha Verma</t>
  </si>
  <si>
    <t>PID0071</t>
  </si>
  <si>
    <t>Deepa Malhotra</t>
  </si>
  <si>
    <t>PID0072</t>
  </si>
  <si>
    <t>Priya Gupta</t>
  </si>
  <si>
    <t>PID0073</t>
  </si>
  <si>
    <t>Meera Das</t>
  </si>
  <si>
    <t>PID0074</t>
  </si>
  <si>
    <t>PID0075</t>
  </si>
  <si>
    <t>Arjun Khanna</t>
  </si>
  <si>
    <t>PID0076</t>
  </si>
  <si>
    <t>Nisha Das</t>
  </si>
  <si>
    <t>PID0077</t>
  </si>
  <si>
    <t>Rohan Mehta</t>
  </si>
  <si>
    <t>PID0078</t>
  </si>
  <si>
    <t>Geeta Shah</t>
  </si>
  <si>
    <t>PID0079</t>
  </si>
  <si>
    <t>PID0080</t>
  </si>
  <si>
    <t>Ritu Sharma</t>
  </si>
  <si>
    <t>Dr. Arun Rao</t>
  </si>
  <si>
    <t>PID0081</t>
  </si>
  <si>
    <t>Sunita Menon</t>
  </si>
  <si>
    <t>PID0082</t>
  </si>
  <si>
    <t>Mukesh Das</t>
  </si>
  <si>
    <t>Dr. Shalini Singh</t>
  </si>
  <si>
    <t>PID0083</t>
  </si>
  <si>
    <t>Divya Bose</t>
  </si>
  <si>
    <t>PID0084</t>
  </si>
  <si>
    <t>Sonia Bose</t>
  </si>
  <si>
    <t>Dr. Sameer Gupta</t>
  </si>
  <si>
    <t>PID0085</t>
  </si>
  <si>
    <t>PID0086</t>
  </si>
  <si>
    <t>Rajesh Nair</t>
  </si>
  <si>
    <t>PID0087</t>
  </si>
  <si>
    <t>Aditya Pillai</t>
  </si>
  <si>
    <t>Dr. Prerna Rao</t>
  </si>
  <si>
    <t>PID0088</t>
  </si>
  <si>
    <t>Ananya Rao</t>
  </si>
  <si>
    <t>Dr. Sameer Nair</t>
  </si>
  <si>
    <t>PID0089</t>
  </si>
  <si>
    <t>Sanjay Mehta</t>
  </si>
  <si>
    <t>Dr. Anjali Kumar</t>
  </si>
  <si>
    <t>PID0090</t>
  </si>
  <si>
    <t>Aditya Nair</t>
  </si>
  <si>
    <t>PID0091</t>
  </si>
  <si>
    <t>Vijay Pillai</t>
  </si>
  <si>
    <t>PID0092</t>
  </si>
  <si>
    <t>Meera Singh</t>
  </si>
  <si>
    <t>PID0093</t>
  </si>
  <si>
    <t>Ritu Patel</t>
  </si>
  <si>
    <t>Dr. Anjali Joshi</t>
  </si>
  <si>
    <t>PID0094</t>
  </si>
  <si>
    <t>Ashok Sharma</t>
  </si>
  <si>
    <t>Dr. Nisha Mehta</t>
  </si>
  <si>
    <t>PID0095</t>
  </si>
  <si>
    <t>Rahul Kumar</t>
  </si>
  <si>
    <t>Dr. Deepak Reddy</t>
  </si>
  <si>
    <t>PID0096</t>
  </si>
  <si>
    <t>Mukesh Gupta</t>
  </si>
  <si>
    <t>PID0097</t>
  </si>
  <si>
    <t>Kavya Reddy</t>
  </si>
  <si>
    <t>PID0098</t>
  </si>
  <si>
    <t>Divya Patel</t>
  </si>
  <si>
    <t>Dr. Kavita Patel</t>
  </si>
  <si>
    <t>PID0099</t>
  </si>
  <si>
    <t>Rohan Shah</t>
  </si>
  <si>
    <t>Dr. Vivek Sharma</t>
  </si>
  <si>
    <t>PID0100</t>
  </si>
  <si>
    <t>Meera Pillai</t>
  </si>
  <si>
    <t>PID0101</t>
  </si>
  <si>
    <t>Ashok Reddy</t>
  </si>
  <si>
    <t>Dr. Anjali Sharma</t>
  </si>
  <si>
    <t>PID0102</t>
  </si>
  <si>
    <t>Lata Joshi</t>
  </si>
  <si>
    <t>Dr. Vivek Patel</t>
  </si>
  <si>
    <t>PID0103</t>
  </si>
  <si>
    <t>Rahul Chopra</t>
  </si>
  <si>
    <t>Dr. Nisha Rao</t>
  </si>
  <si>
    <t>PID0104</t>
  </si>
  <si>
    <t>Sanjay Patel</t>
  </si>
  <si>
    <t>Dr. Shalini Reddy</t>
  </si>
  <si>
    <t>PID0105</t>
  </si>
  <si>
    <t>Priya Kumar</t>
  </si>
  <si>
    <t>PID0106</t>
  </si>
  <si>
    <t>Rahul Nair</t>
  </si>
  <si>
    <t>PID0107</t>
  </si>
  <si>
    <t>Nisha Pillai</t>
  </si>
  <si>
    <t>PID0108</t>
  </si>
  <si>
    <t>Dr. Vivek Kumar</t>
  </si>
  <si>
    <t>PID0109</t>
  </si>
  <si>
    <t>Meera Verma</t>
  </si>
  <si>
    <t>PID0110</t>
  </si>
  <si>
    <t>Ashok Singh</t>
  </si>
  <si>
    <t>PID0111</t>
  </si>
  <si>
    <t>Dr. Arun Patel</t>
  </si>
  <si>
    <t>PID0112</t>
  </si>
  <si>
    <t>Vikram Shah</t>
  </si>
  <si>
    <t>Dr. Rakesh Kumar</t>
  </si>
  <si>
    <t>PID0113</t>
  </si>
  <si>
    <t>Lata Kumar</t>
  </si>
  <si>
    <t>PID0114</t>
  </si>
  <si>
    <t>Sunil Iyer</t>
  </si>
  <si>
    <t>PID0115</t>
  </si>
  <si>
    <t>Sanjay Kumar</t>
  </si>
  <si>
    <t>Dr. Sameer Kumar</t>
  </si>
  <si>
    <t>PID0116</t>
  </si>
  <si>
    <t>Karan Khanna</t>
  </si>
  <si>
    <t>PID0117</t>
  </si>
  <si>
    <t>Pooja Malhotra</t>
  </si>
  <si>
    <t>PID0118</t>
  </si>
  <si>
    <t>PID0119</t>
  </si>
  <si>
    <t>Lata Mehta</t>
  </si>
  <si>
    <t>PID0120</t>
  </si>
  <si>
    <t>Vijay Chopra</t>
  </si>
  <si>
    <t>Dr. Nisha Gupta</t>
  </si>
  <si>
    <t>PID0121</t>
  </si>
  <si>
    <t>Rekha Singh</t>
  </si>
  <si>
    <t>PID0122</t>
  </si>
  <si>
    <t>Sunil Sharma</t>
  </si>
  <si>
    <t>PID0123</t>
  </si>
  <si>
    <t>Rahul Gupta</t>
  </si>
  <si>
    <t>PID0124</t>
  </si>
  <si>
    <t>Rajesh Gupta</t>
  </si>
  <si>
    <t>PID0125</t>
  </si>
  <si>
    <t>PID0126</t>
  </si>
  <si>
    <t>Sonia Verma</t>
  </si>
  <si>
    <t>Dr. Arun Singh</t>
  </si>
  <si>
    <t>PID0127</t>
  </si>
  <si>
    <t>Ritu Menon</t>
  </si>
  <si>
    <t>Dr. Vivek Rao</t>
  </si>
  <si>
    <t>PID0128</t>
  </si>
  <si>
    <t>Sunil Menon</t>
  </si>
  <si>
    <t>Dr. Nisha Nair</t>
  </si>
  <si>
    <t>PID0129</t>
  </si>
  <si>
    <t>PID0130</t>
  </si>
  <si>
    <t>Nisha Chopra</t>
  </si>
  <si>
    <t>Dr. Rakesh Patel</t>
  </si>
  <si>
    <t>PID0131</t>
  </si>
  <si>
    <t>Mukesh Malhotra</t>
  </si>
  <si>
    <t>PID0132</t>
  </si>
  <si>
    <t>Sonia Khanna</t>
  </si>
  <si>
    <t>PID0133</t>
  </si>
  <si>
    <t>Sunil Singh</t>
  </si>
  <si>
    <t>PID0134</t>
  </si>
  <si>
    <t>Sneha Gupta</t>
  </si>
  <si>
    <t>PID0135</t>
  </si>
  <si>
    <t>Dr. Vivek Gupta</t>
  </si>
  <si>
    <t>PID0136</t>
  </si>
  <si>
    <t>Suresh Chopra</t>
  </si>
  <si>
    <t>PID0137</t>
  </si>
  <si>
    <t>Sonia Joshi</t>
  </si>
  <si>
    <t>PID0138</t>
  </si>
  <si>
    <t>Lata Sharma</t>
  </si>
  <si>
    <t>Dr. Rakesh Mehta</t>
  </si>
  <si>
    <t>PID0139</t>
  </si>
  <si>
    <t>Kavya Joshi</t>
  </si>
  <si>
    <t>PID0140</t>
  </si>
  <si>
    <t>Sanjay Gupta</t>
  </si>
  <si>
    <t>PID0141</t>
  </si>
  <si>
    <t>Dr. Nisha Singh</t>
  </si>
  <si>
    <t>PID0142</t>
  </si>
  <si>
    <t>Lata Shah</t>
  </si>
  <si>
    <t>Dr. Shalini Sharma</t>
  </si>
  <si>
    <t>PID0143</t>
  </si>
  <si>
    <t>Amit Joshi</t>
  </si>
  <si>
    <t>PID0144</t>
  </si>
  <si>
    <t>Lata Iyer</t>
  </si>
  <si>
    <t>PID0145</t>
  </si>
  <si>
    <t>Rajesh Joshi</t>
  </si>
  <si>
    <t>Dr. Rakesh Singh</t>
  </si>
  <si>
    <t>PID0146</t>
  </si>
  <si>
    <t>Meera Mehta</t>
  </si>
  <si>
    <t>PID0147</t>
  </si>
  <si>
    <t>Sunil Nair</t>
  </si>
  <si>
    <t>PID0148</t>
  </si>
  <si>
    <t>Arjun Iyer</t>
  </si>
  <si>
    <t>PID0149</t>
  </si>
  <si>
    <t>Ritu Chopra</t>
  </si>
  <si>
    <t>PID0150</t>
  </si>
  <si>
    <t>PID0151</t>
  </si>
  <si>
    <t>Rohan Bose</t>
  </si>
  <si>
    <t>PID0152</t>
  </si>
  <si>
    <t>Vikram Das</t>
  </si>
  <si>
    <t>PID0153</t>
  </si>
  <si>
    <t>Kavya Shah</t>
  </si>
  <si>
    <t>PID0154</t>
  </si>
  <si>
    <t>Meera Gupta</t>
  </si>
  <si>
    <t>PID0155</t>
  </si>
  <si>
    <t>PID0156</t>
  </si>
  <si>
    <t>Deepa Nair</t>
  </si>
  <si>
    <t>Dr. Deepak Singh</t>
  </si>
  <si>
    <t>PID0157</t>
  </si>
  <si>
    <t>PID0158</t>
  </si>
  <si>
    <t>PID0159</t>
  </si>
  <si>
    <t>Vikram Menon</t>
  </si>
  <si>
    <t>Dr. Nisha Sharma</t>
  </si>
  <si>
    <t>PID0160</t>
  </si>
  <si>
    <t>Vikram Kumar</t>
  </si>
  <si>
    <t>PID0161</t>
  </si>
  <si>
    <t>Suresh Sharma</t>
  </si>
  <si>
    <t>PID0162</t>
  </si>
  <si>
    <t>PID0163</t>
  </si>
  <si>
    <t>Deepa Joshi</t>
  </si>
  <si>
    <t>PID0164</t>
  </si>
  <si>
    <t>Rohan Malhotra</t>
  </si>
  <si>
    <t>PID0165</t>
  </si>
  <si>
    <t>Karan Chopra</t>
  </si>
  <si>
    <t>Dr. Sameer Patel</t>
  </si>
  <si>
    <t>PID0166</t>
  </si>
  <si>
    <t>Meera Bose</t>
  </si>
  <si>
    <t>PID0167</t>
  </si>
  <si>
    <t>Aditya Joshi</t>
  </si>
  <si>
    <t>PID0168</t>
  </si>
  <si>
    <t>Sunil Verma</t>
  </si>
  <si>
    <t>PID0169</t>
  </si>
  <si>
    <t>Amit Pillai</t>
  </si>
  <si>
    <t>PID0170</t>
  </si>
  <si>
    <t>Suresh Mehta</t>
  </si>
  <si>
    <t>Dr. Shalini Patel</t>
  </si>
  <si>
    <t>PID0171</t>
  </si>
  <si>
    <t>PID0172</t>
  </si>
  <si>
    <t>Deepa Pillai</t>
  </si>
  <si>
    <t>PID0173</t>
  </si>
  <si>
    <t>Aditya Chopra</t>
  </si>
  <si>
    <t>PID0174</t>
  </si>
  <si>
    <t>Lata Rao</t>
  </si>
  <si>
    <t>PID0175</t>
  </si>
  <si>
    <t>Sunita Singh</t>
  </si>
  <si>
    <t>Dr. Sameer Rao</t>
  </si>
  <si>
    <t>PID0176</t>
  </si>
  <si>
    <t>Ashok Rao</t>
  </si>
  <si>
    <t>PID0177</t>
  </si>
  <si>
    <t>Arjun Bose</t>
  </si>
  <si>
    <t>PID0178</t>
  </si>
  <si>
    <t>Sunil Bose</t>
  </si>
  <si>
    <t>PID0179</t>
  </si>
  <si>
    <t>Dr. Rakesh Joshi</t>
  </si>
  <si>
    <t>PID0180</t>
  </si>
  <si>
    <t>Vijay Iyer</t>
  </si>
  <si>
    <t>PID0181</t>
  </si>
  <si>
    <t>Deepa Shah</t>
  </si>
  <si>
    <t>Dr. Rakesh Reddy</t>
  </si>
  <si>
    <t>PID0182</t>
  </si>
  <si>
    <t>Sneha Joshi</t>
  </si>
  <si>
    <t>PID0183</t>
  </si>
  <si>
    <t>Amit Bose</t>
  </si>
  <si>
    <t>Dr. Sameer Sharma</t>
  </si>
  <si>
    <t>PID0184</t>
  </si>
  <si>
    <t>Nisha Rao</t>
  </si>
  <si>
    <t>PID0185</t>
  </si>
  <si>
    <t>Mukesh Pillai</t>
  </si>
  <si>
    <t>Dr. Deepak Nair</t>
  </si>
  <si>
    <t>PID0186</t>
  </si>
  <si>
    <t>Vijay Das</t>
  </si>
  <si>
    <t>PID0187</t>
  </si>
  <si>
    <t>Sonia Malhotra</t>
  </si>
  <si>
    <t>PID0188</t>
  </si>
  <si>
    <t>Mukesh Menon</t>
  </si>
  <si>
    <t>Dr. Sameer Mehta</t>
  </si>
  <si>
    <t>PID0189</t>
  </si>
  <si>
    <t>Aditya Reddy</t>
  </si>
  <si>
    <t>PID0190</t>
  </si>
  <si>
    <t>Ananya Reddy</t>
  </si>
  <si>
    <t>PID0191</t>
  </si>
  <si>
    <t>PID0192</t>
  </si>
  <si>
    <t>Sneha Khanna</t>
  </si>
  <si>
    <t>PID0193</t>
  </si>
  <si>
    <t>PID0194</t>
  </si>
  <si>
    <t>Geeta Gupta</t>
  </si>
  <si>
    <t>Dr. Sameer Joshi</t>
  </si>
  <si>
    <t>PID0195</t>
  </si>
  <si>
    <t>Geeta Chopra</t>
  </si>
  <si>
    <t>PID0196</t>
  </si>
  <si>
    <t>PID0197</t>
  </si>
  <si>
    <t>Pooja Das</t>
  </si>
  <si>
    <t>PID0198</t>
  </si>
  <si>
    <t>Karan Reddy</t>
  </si>
  <si>
    <t>PID0199</t>
  </si>
  <si>
    <t>Dr. Prerna Patel</t>
  </si>
  <si>
    <t>PID0200</t>
  </si>
  <si>
    <t>Mukesh Iyer</t>
  </si>
  <si>
    <t>PID0201</t>
  </si>
  <si>
    <t>Aditya Mehta</t>
  </si>
  <si>
    <t>PID0202</t>
  </si>
  <si>
    <t>Ananya Iyer</t>
  </si>
  <si>
    <t>PID0203</t>
  </si>
  <si>
    <t>Rekha Iyer</t>
  </si>
  <si>
    <t>PID0204</t>
  </si>
  <si>
    <t>Rajesh Pillai</t>
  </si>
  <si>
    <t>Dr. Anjali Mehta</t>
  </si>
  <si>
    <t>PID0205</t>
  </si>
  <si>
    <t>Kavya Verma</t>
  </si>
  <si>
    <t>PID0206</t>
  </si>
  <si>
    <t>Dr. Kavita Reddy</t>
  </si>
  <si>
    <t>PID0207</t>
  </si>
  <si>
    <t>Sunil Pillai</t>
  </si>
  <si>
    <t>PID0208</t>
  </si>
  <si>
    <t>Aditya Das</t>
  </si>
  <si>
    <t>PID0209</t>
  </si>
  <si>
    <t>Ashok Chopra</t>
  </si>
  <si>
    <t>PID0210</t>
  </si>
  <si>
    <t>Aditya Gupta</t>
  </si>
  <si>
    <t>PID0211</t>
  </si>
  <si>
    <t>Ashok Gupta</t>
  </si>
  <si>
    <t>PID0212</t>
  </si>
  <si>
    <t>PID0213</t>
  </si>
  <si>
    <t>Priya Iyer</t>
  </si>
  <si>
    <t>PID0214</t>
  </si>
  <si>
    <t>Geeta Mehta</t>
  </si>
  <si>
    <t>PID0215</t>
  </si>
  <si>
    <t>Rahul Das</t>
  </si>
  <si>
    <t>PID0216</t>
  </si>
  <si>
    <t>PID0217</t>
  </si>
  <si>
    <t>Divya Iyer</t>
  </si>
  <si>
    <t>PID0218</t>
  </si>
  <si>
    <t>Rahul Mehta</t>
  </si>
  <si>
    <t>PID0219</t>
  </si>
  <si>
    <t>PID0220</t>
  </si>
  <si>
    <t>Deepa Menon</t>
  </si>
  <si>
    <t>PID0221</t>
  </si>
  <si>
    <t>PID0222</t>
  </si>
  <si>
    <t>Geeta Menon</t>
  </si>
  <si>
    <t>PID0223</t>
  </si>
  <si>
    <t>Pooja Rao</t>
  </si>
  <si>
    <t>PID0224</t>
  </si>
  <si>
    <t>Dr. Kavita Kumar</t>
  </si>
  <si>
    <t>PID0225</t>
  </si>
  <si>
    <t>Suresh Shah</t>
  </si>
  <si>
    <t>PID0226</t>
  </si>
  <si>
    <t>Dr. Arun Gupta</t>
  </si>
  <si>
    <t>PID0227</t>
  </si>
  <si>
    <t>Kavya Chopra</t>
  </si>
  <si>
    <t>PID0228</t>
  </si>
  <si>
    <t>Kavya Das</t>
  </si>
  <si>
    <t>PID0229</t>
  </si>
  <si>
    <t>Vikram Mehta</t>
  </si>
  <si>
    <t>PID0230</t>
  </si>
  <si>
    <t>PID0231</t>
  </si>
  <si>
    <t>PID0232</t>
  </si>
  <si>
    <t>Manoj Verma</t>
  </si>
  <si>
    <t>PID0233</t>
  </si>
  <si>
    <t>Suresh Rao</t>
  </si>
  <si>
    <t>PID0234</t>
  </si>
  <si>
    <t>PID0235</t>
  </si>
  <si>
    <t>Ananya Gupta</t>
  </si>
  <si>
    <t>Dr. Sameer Reddy</t>
  </si>
  <si>
    <t>PID0236</t>
  </si>
  <si>
    <t>PID0237</t>
  </si>
  <si>
    <t>PID0238</t>
  </si>
  <si>
    <t>PID0239</t>
  </si>
  <si>
    <t>PID0240</t>
  </si>
  <si>
    <t>Manoj Rao</t>
  </si>
  <si>
    <t>PID0241</t>
  </si>
  <si>
    <t>PID0242</t>
  </si>
  <si>
    <t>PID0243</t>
  </si>
  <si>
    <t>Vijay Mehta</t>
  </si>
  <si>
    <t>PID0244</t>
  </si>
  <si>
    <t>Sonia Patel</t>
  </si>
  <si>
    <t>PID0245</t>
  </si>
  <si>
    <t>Sneha Sharma</t>
  </si>
  <si>
    <t>PID0246</t>
  </si>
  <si>
    <t>Sneha Chopra</t>
  </si>
  <si>
    <t>PID0247</t>
  </si>
  <si>
    <t>Sneha Malhotra</t>
  </si>
  <si>
    <t>PID0248</t>
  </si>
  <si>
    <t>PID0249</t>
  </si>
  <si>
    <t>Lata Khanna</t>
  </si>
  <si>
    <t>PID0250</t>
  </si>
  <si>
    <t>Rajesh Patel</t>
  </si>
  <si>
    <t>PID0251</t>
  </si>
  <si>
    <t>Manoj Shah</t>
  </si>
  <si>
    <t>Dr. Deepak Kumar</t>
  </si>
  <si>
    <t>PID0252</t>
  </si>
  <si>
    <t>Suresh Joshi</t>
  </si>
  <si>
    <t>PID0253</t>
  </si>
  <si>
    <t>Rekha Malhotra</t>
  </si>
  <si>
    <t>Dr. Kavita Mehta</t>
  </si>
  <si>
    <t>PID0254</t>
  </si>
  <si>
    <t>Priya Patel</t>
  </si>
  <si>
    <t>Dr. Anjali Nair</t>
  </si>
  <si>
    <t>PID0255</t>
  </si>
  <si>
    <t>Mukesh Verma</t>
  </si>
  <si>
    <t>PID0256</t>
  </si>
  <si>
    <t>Lata Menon</t>
  </si>
  <si>
    <t>PID0257</t>
  </si>
  <si>
    <t>Meera Joshi</t>
  </si>
  <si>
    <t>PID0258</t>
  </si>
  <si>
    <t>Deepa Bose</t>
  </si>
  <si>
    <t>PID0259</t>
  </si>
  <si>
    <t>PID0260</t>
  </si>
  <si>
    <t>PID0261</t>
  </si>
  <si>
    <t>Vijay Khanna</t>
  </si>
  <si>
    <t>PID0262</t>
  </si>
  <si>
    <t>PID0263</t>
  </si>
  <si>
    <t>PID0264</t>
  </si>
  <si>
    <t>Ananya Pillai</t>
  </si>
  <si>
    <t>PID0265</t>
  </si>
  <si>
    <t>Ritu Malhotra</t>
  </si>
  <si>
    <t>PID0266</t>
  </si>
  <si>
    <t>Kavya Gupta</t>
  </si>
  <si>
    <t>PID0267</t>
  </si>
  <si>
    <t>PID0268</t>
  </si>
  <si>
    <t>Ananya Singh</t>
  </si>
  <si>
    <t>PID0269</t>
  </si>
  <si>
    <t>Pooja Sharma</t>
  </si>
  <si>
    <t>PID0270</t>
  </si>
  <si>
    <t>PID0271</t>
  </si>
  <si>
    <t>Amit Reddy</t>
  </si>
  <si>
    <t>PID0272</t>
  </si>
  <si>
    <t>Suresh Verma</t>
  </si>
  <si>
    <t>PID0273</t>
  </si>
  <si>
    <t>PID0274</t>
  </si>
  <si>
    <t>Karan Bose</t>
  </si>
  <si>
    <t>PID0275</t>
  </si>
  <si>
    <t>Sunil Gupta</t>
  </si>
  <si>
    <t>PID0276</t>
  </si>
  <si>
    <t>PID0277</t>
  </si>
  <si>
    <t>Vijay Reddy</t>
  </si>
  <si>
    <t>PID0278</t>
  </si>
  <si>
    <t>Suresh Malhotra</t>
  </si>
  <si>
    <t>PID0279</t>
  </si>
  <si>
    <t>PID0280</t>
  </si>
  <si>
    <t>Vijay Patel</t>
  </si>
  <si>
    <t>PID0281</t>
  </si>
  <si>
    <t>PID0282</t>
  </si>
  <si>
    <t>Meera Rao</t>
  </si>
  <si>
    <t>PID0283</t>
  </si>
  <si>
    <t>PID0284</t>
  </si>
  <si>
    <t>PID0285</t>
  </si>
  <si>
    <t>PID0286</t>
  </si>
  <si>
    <t>Rajesh Rao</t>
  </si>
  <si>
    <t>PID0287</t>
  </si>
  <si>
    <t>PID0288</t>
  </si>
  <si>
    <t>Divya Joshi</t>
  </si>
  <si>
    <t>PID0289</t>
  </si>
  <si>
    <t>PID0290</t>
  </si>
  <si>
    <t>PID0291</t>
  </si>
  <si>
    <t>Deepa Sharma</t>
  </si>
  <si>
    <t>PID0292</t>
  </si>
  <si>
    <t>Arjun Mehta</t>
  </si>
  <si>
    <t>PID0293</t>
  </si>
  <si>
    <t>PID0294</t>
  </si>
  <si>
    <t>Mukesh Bose</t>
  </si>
  <si>
    <t>PID0295</t>
  </si>
  <si>
    <t>PID0296</t>
  </si>
  <si>
    <t>Meera Sharma</t>
  </si>
  <si>
    <t>PID0297</t>
  </si>
  <si>
    <t>Pooja Kumar</t>
  </si>
  <si>
    <t>PID0298</t>
  </si>
  <si>
    <t>PID0299</t>
  </si>
  <si>
    <t>Karan Kumar</t>
  </si>
  <si>
    <t>PID0300</t>
  </si>
  <si>
    <t>Sanjay Das</t>
  </si>
  <si>
    <t>PID0301</t>
  </si>
  <si>
    <t>Pooja Mehta</t>
  </si>
  <si>
    <t>PID0302</t>
  </si>
  <si>
    <t>Arjun Rao</t>
  </si>
  <si>
    <t>PID0303</t>
  </si>
  <si>
    <t>Sonia Iyer</t>
  </si>
  <si>
    <t>PID0304</t>
  </si>
  <si>
    <t>PID0305</t>
  </si>
  <si>
    <t>PID0306</t>
  </si>
  <si>
    <t>Amit Iyer</t>
  </si>
  <si>
    <t>PID0307</t>
  </si>
  <si>
    <t>PID0308</t>
  </si>
  <si>
    <t>Sonia Nair</t>
  </si>
  <si>
    <t>PID0309</t>
  </si>
  <si>
    <t>Manoj Nair</t>
  </si>
  <si>
    <t>PID0310</t>
  </si>
  <si>
    <t>Rekha Menon</t>
  </si>
  <si>
    <t>PID0311</t>
  </si>
  <si>
    <t>PID0312</t>
  </si>
  <si>
    <t>Sneha Reddy</t>
  </si>
  <si>
    <t>PID0313</t>
  </si>
  <si>
    <t>Rahul Sharma</t>
  </si>
  <si>
    <t>PID0314</t>
  </si>
  <si>
    <t>PID0315</t>
  </si>
  <si>
    <t>Amit Patel</t>
  </si>
  <si>
    <t>PID0316</t>
  </si>
  <si>
    <t>PID0317</t>
  </si>
  <si>
    <t>PID0318</t>
  </si>
  <si>
    <t>Divya Sharma</t>
  </si>
  <si>
    <t>PID0319</t>
  </si>
  <si>
    <t>Ananya Chopra</t>
  </si>
  <si>
    <t>PID0320</t>
  </si>
  <si>
    <t>PID0321</t>
  </si>
  <si>
    <t>PID0322</t>
  </si>
  <si>
    <t>PID0323</t>
  </si>
  <si>
    <t>Rajesh Bose</t>
  </si>
  <si>
    <t>PID0324</t>
  </si>
  <si>
    <t>Suresh Singh</t>
  </si>
  <si>
    <t>PID0325</t>
  </si>
  <si>
    <t>Pooja Bose</t>
  </si>
  <si>
    <t>PID0326</t>
  </si>
  <si>
    <t>Rajesh Shah</t>
  </si>
  <si>
    <t>PID0327</t>
  </si>
  <si>
    <t>Lata Bose</t>
  </si>
  <si>
    <t>PID0328</t>
  </si>
  <si>
    <t>Sunita Joshi</t>
  </si>
  <si>
    <t>PID0329</t>
  </si>
  <si>
    <t>Lata Malhotra</t>
  </si>
  <si>
    <t>PID0330</t>
  </si>
  <si>
    <t>PID0331</t>
  </si>
  <si>
    <t>Rekha Das</t>
  </si>
  <si>
    <t>PID0332</t>
  </si>
  <si>
    <t>Deepa Khanna</t>
  </si>
  <si>
    <t>PID0333</t>
  </si>
  <si>
    <t>PID0334</t>
  </si>
  <si>
    <t>Nisha Kumar</t>
  </si>
  <si>
    <t>PID0335</t>
  </si>
  <si>
    <t>PID0336</t>
  </si>
  <si>
    <t>Geeta Khanna</t>
  </si>
  <si>
    <t>PID0337</t>
  </si>
  <si>
    <t>Sneha Shah</t>
  </si>
  <si>
    <t>PID0338</t>
  </si>
  <si>
    <t>Meera Iyer</t>
  </si>
  <si>
    <t>PID0339</t>
  </si>
  <si>
    <t>PID0340</t>
  </si>
  <si>
    <t>PID0341</t>
  </si>
  <si>
    <t>Vikram Rao</t>
  </si>
  <si>
    <t>PID0342</t>
  </si>
  <si>
    <t>Kavya Bose</t>
  </si>
  <si>
    <t>PID0343</t>
  </si>
  <si>
    <t>PID0344</t>
  </si>
  <si>
    <t>Nisha Mehta</t>
  </si>
  <si>
    <t>PID0345</t>
  </si>
  <si>
    <t>Rohan Reddy</t>
  </si>
  <si>
    <t>PID0346</t>
  </si>
  <si>
    <t>PID0347</t>
  </si>
  <si>
    <t>PID0348</t>
  </si>
  <si>
    <t>Rekha Reddy</t>
  </si>
  <si>
    <t>PID0349</t>
  </si>
  <si>
    <t>Priya Nair</t>
  </si>
  <si>
    <t>PID0350</t>
  </si>
  <si>
    <t>Sanjay Verma</t>
  </si>
  <si>
    <t>PID0351</t>
  </si>
  <si>
    <t>Lata Gupta</t>
  </si>
  <si>
    <t>PID0352</t>
  </si>
  <si>
    <t>Sneha Verma</t>
  </si>
  <si>
    <t>PID0353</t>
  </si>
  <si>
    <t>PID0354</t>
  </si>
  <si>
    <t>PID0355</t>
  </si>
  <si>
    <t>PID0356</t>
  </si>
  <si>
    <t>PID0357</t>
  </si>
  <si>
    <t>PID0358</t>
  </si>
  <si>
    <t>Vijay Menon</t>
  </si>
  <si>
    <t>PID0359</t>
  </si>
  <si>
    <t>Sunil Joshi</t>
  </si>
  <si>
    <t>PID0360</t>
  </si>
  <si>
    <t>PID0361</t>
  </si>
  <si>
    <t>Sunil Reddy</t>
  </si>
  <si>
    <t>PID0362</t>
  </si>
  <si>
    <t>Suresh Menon</t>
  </si>
  <si>
    <t>PID0363</t>
  </si>
  <si>
    <t>Geeta Malhotra</t>
  </si>
  <si>
    <t>PID0364</t>
  </si>
  <si>
    <t>Pooja Chopra</t>
  </si>
  <si>
    <t>PID0365</t>
  </si>
  <si>
    <t>PID0366</t>
  </si>
  <si>
    <t>Ananya Verma</t>
  </si>
  <si>
    <t>PID0367</t>
  </si>
  <si>
    <t>Suresh Das</t>
  </si>
  <si>
    <t>PID0368</t>
  </si>
  <si>
    <t>PID0369</t>
  </si>
  <si>
    <t>PID0370</t>
  </si>
  <si>
    <t>PID0371</t>
  </si>
  <si>
    <t>Sunita Sharma</t>
  </si>
  <si>
    <t>PID0372</t>
  </si>
  <si>
    <t>Sonia Reddy</t>
  </si>
  <si>
    <t>PID0373</t>
  </si>
  <si>
    <t>PID0374</t>
  </si>
  <si>
    <t>PID0375</t>
  </si>
  <si>
    <t>Kavya Sharma</t>
  </si>
  <si>
    <t>PID0376</t>
  </si>
  <si>
    <t>Vikram Nair</t>
  </si>
  <si>
    <t>PID0377</t>
  </si>
  <si>
    <t>PID0378</t>
  </si>
  <si>
    <t>Rahul Shah</t>
  </si>
  <si>
    <t>PID0379</t>
  </si>
  <si>
    <t>Sunil Rao</t>
  </si>
  <si>
    <t>PID0380</t>
  </si>
  <si>
    <t>PID0381</t>
  </si>
  <si>
    <t>Rohan Menon</t>
  </si>
  <si>
    <t>PID0382</t>
  </si>
  <si>
    <t>Sanjay Rao</t>
  </si>
  <si>
    <t>PID0383</t>
  </si>
  <si>
    <t>Nisha Joshi</t>
  </si>
  <si>
    <t>PID0384</t>
  </si>
  <si>
    <t>Deepa Singh</t>
  </si>
  <si>
    <t>PID0385</t>
  </si>
  <si>
    <t>PID0386</t>
  </si>
  <si>
    <t>Aditya Menon</t>
  </si>
  <si>
    <t>PID0387</t>
  </si>
  <si>
    <t>PID0388</t>
  </si>
  <si>
    <t>PID0389</t>
  </si>
  <si>
    <t>PID0390</t>
  </si>
  <si>
    <t>Karan Iyer</t>
  </si>
  <si>
    <t>PID0391</t>
  </si>
  <si>
    <t>Sunita Malhotra</t>
  </si>
  <si>
    <t>PID0392</t>
  </si>
  <si>
    <t>PID0393</t>
  </si>
  <si>
    <t>Rekha Patel</t>
  </si>
  <si>
    <t>PID0394</t>
  </si>
  <si>
    <t>PID0395</t>
  </si>
  <si>
    <t>Vijay Malhotra</t>
  </si>
  <si>
    <t>PID0396</t>
  </si>
  <si>
    <t>PID0397</t>
  </si>
  <si>
    <t>PID0398</t>
  </si>
  <si>
    <t>PID0399</t>
  </si>
  <si>
    <t>Karan Malhotra</t>
  </si>
  <si>
    <t>PID0400</t>
  </si>
  <si>
    <t>Amit Singh</t>
  </si>
  <si>
    <t>PID0401</t>
  </si>
  <si>
    <t>Rekha Rao</t>
  </si>
  <si>
    <t>PID0402</t>
  </si>
  <si>
    <t>Manoj Reddy</t>
  </si>
  <si>
    <t>PID0403</t>
  </si>
  <si>
    <t>Rahul Joshi</t>
  </si>
  <si>
    <t>PID0404</t>
  </si>
  <si>
    <t>PID0405</t>
  </si>
  <si>
    <t>PID0406</t>
  </si>
  <si>
    <t>Aditya Kumar</t>
  </si>
  <si>
    <t>PID0407</t>
  </si>
  <si>
    <t>Sunil Malhotra</t>
  </si>
  <si>
    <t>PID0408</t>
  </si>
  <si>
    <t>PID0409</t>
  </si>
  <si>
    <t>PID0410</t>
  </si>
  <si>
    <t>Manoj Das</t>
  </si>
  <si>
    <t>PID0411</t>
  </si>
  <si>
    <t>PID0412</t>
  </si>
  <si>
    <t>Meera Nair</t>
  </si>
  <si>
    <t>PID0413</t>
  </si>
  <si>
    <t>Kavya Nair</t>
  </si>
  <si>
    <t>PID0414</t>
  </si>
  <si>
    <t>PID0415</t>
  </si>
  <si>
    <t>PID0416</t>
  </si>
  <si>
    <t>Rohan Rao</t>
  </si>
  <si>
    <t>PID0417</t>
  </si>
  <si>
    <t>Ritu Kumar</t>
  </si>
  <si>
    <t>PID0418</t>
  </si>
  <si>
    <t>PID0419</t>
  </si>
  <si>
    <t>Suresh Iyer</t>
  </si>
  <si>
    <t>PID0420</t>
  </si>
  <si>
    <t>PID0421</t>
  </si>
  <si>
    <t>PID0422</t>
  </si>
  <si>
    <t>PID0423</t>
  </si>
  <si>
    <t>Sunita Khanna</t>
  </si>
  <si>
    <t>PID0424</t>
  </si>
  <si>
    <t>Dr. Shalini Kumar</t>
  </si>
  <si>
    <t>PID0425</t>
  </si>
  <si>
    <t>Sanjay Khanna</t>
  </si>
  <si>
    <t>PID0426</t>
  </si>
  <si>
    <t>Kavya Mehta</t>
  </si>
  <si>
    <t>PID0427</t>
  </si>
  <si>
    <t>Vikram Joshi</t>
  </si>
  <si>
    <t>PID0428</t>
  </si>
  <si>
    <t>PID0429</t>
  </si>
  <si>
    <t>PID0430</t>
  </si>
  <si>
    <t>Suresh Pillai</t>
  </si>
  <si>
    <t>PID0431</t>
  </si>
  <si>
    <t>PID0432</t>
  </si>
  <si>
    <t>Mukesh Mehta</t>
  </si>
  <si>
    <t>PID0433</t>
  </si>
  <si>
    <t>PID0434</t>
  </si>
  <si>
    <t>PID0435</t>
  </si>
  <si>
    <t>PID0436</t>
  </si>
  <si>
    <t>Sonia Chopra</t>
  </si>
  <si>
    <t>PID0437</t>
  </si>
  <si>
    <t>Priya Shah</t>
  </si>
  <si>
    <t>PID0438</t>
  </si>
  <si>
    <t>Ananya Patel</t>
  </si>
  <si>
    <t>PID0439</t>
  </si>
  <si>
    <t>Amit Verma</t>
  </si>
  <si>
    <t>PID0440</t>
  </si>
  <si>
    <t>PID0441</t>
  </si>
  <si>
    <t>PID0442</t>
  </si>
  <si>
    <t>Rekha Khanna</t>
  </si>
  <si>
    <t>PID0443</t>
  </si>
  <si>
    <t>Sunita Reddy</t>
  </si>
  <si>
    <t>PID0444</t>
  </si>
  <si>
    <t>Geeta Joshi</t>
  </si>
  <si>
    <t>PID0445</t>
  </si>
  <si>
    <t>PID0446</t>
  </si>
  <si>
    <t>Rekha Kumar</t>
  </si>
  <si>
    <t>PID0447</t>
  </si>
  <si>
    <t>Karan Verma</t>
  </si>
  <si>
    <t>PID0448</t>
  </si>
  <si>
    <t>PID0449</t>
  </si>
  <si>
    <t>PID0450</t>
  </si>
  <si>
    <t>Sanjay Shah</t>
  </si>
  <si>
    <t>PID0451</t>
  </si>
  <si>
    <t>Nisha Gupta</t>
  </si>
  <si>
    <t>PID0452</t>
  </si>
  <si>
    <t>PID0453</t>
  </si>
  <si>
    <t>Aditya Malhotra</t>
  </si>
  <si>
    <t>PID0454</t>
  </si>
  <si>
    <t>PID0455</t>
  </si>
  <si>
    <t>Ashok Pillai</t>
  </si>
  <si>
    <t>Dr. Shalini Joshi</t>
  </si>
  <si>
    <t>PID0456</t>
  </si>
  <si>
    <t>Rajesh Malhotra</t>
  </si>
  <si>
    <t>PID0457</t>
  </si>
  <si>
    <t>Meera Kumar</t>
  </si>
  <si>
    <t>PID0458</t>
  </si>
  <si>
    <t>PID0459</t>
  </si>
  <si>
    <t>Arjun Verma</t>
  </si>
  <si>
    <t>PID0460</t>
  </si>
  <si>
    <t>Mukesh Patel</t>
  </si>
  <si>
    <t>PID0461</t>
  </si>
  <si>
    <t>Geeta Sharma</t>
  </si>
  <si>
    <t>PID0462</t>
  </si>
  <si>
    <t>Divya Shah</t>
  </si>
  <si>
    <t>PID0463</t>
  </si>
  <si>
    <t>PID0464</t>
  </si>
  <si>
    <t>PID0465</t>
  </si>
  <si>
    <t>PID0466</t>
  </si>
  <si>
    <t>Sneha Patel</t>
  </si>
  <si>
    <t>PID0467</t>
  </si>
  <si>
    <t>Sonia Shah</t>
  </si>
  <si>
    <t>PID0468</t>
  </si>
  <si>
    <t>PID0469</t>
  </si>
  <si>
    <t>Divya Rao</t>
  </si>
  <si>
    <t>PID0470</t>
  </si>
  <si>
    <t>PID0471</t>
  </si>
  <si>
    <t>Sneha Bose</t>
  </si>
  <si>
    <t>PID0472</t>
  </si>
  <si>
    <t>Geeta Pillai</t>
  </si>
  <si>
    <t>PID0473</t>
  </si>
  <si>
    <t>Deepa Patel</t>
  </si>
  <si>
    <t>PID0474</t>
  </si>
  <si>
    <t>PID0475</t>
  </si>
  <si>
    <t>PID0476</t>
  </si>
  <si>
    <t>Amit Kumar</t>
  </si>
  <si>
    <t>PID0477</t>
  </si>
  <si>
    <t>PID0478</t>
  </si>
  <si>
    <t>Sanjay Singh</t>
  </si>
  <si>
    <t>Dr. Arun Reddy</t>
  </si>
  <si>
    <t>PID0479</t>
  </si>
  <si>
    <t>Ritu Iyer</t>
  </si>
  <si>
    <t>PID0480</t>
  </si>
  <si>
    <t>PID0481</t>
  </si>
  <si>
    <t>Deepa Reddy</t>
  </si>
  <si>
    <t>PID0482</t>
  </si>
  <si>
    <t>PID0483</t>
  </si>
  <si>
    <t>Deepa Gupta</t>
  </si>
  <si>
    <t>PID0484</t>
  </si>
  <si>
    <t>Arjun Kumar</t>
  </si>
  <si>
    <t>PID0485</t>
  </si>
  <si>
    <t>Meera Patel</t>
  </si>
  <si>
    <t>PID0486</t>
  </si>
  <si>
    <t>Vijay Shah</t>
  </si>
  <si>
    <t>PID0487</t>
  </si>
  <si>
    <t>PID0488</t>
  </si>
  <si>
    <t>PID0489</t>
  </si>
  <si>
    <t>Vijay Nair</t>
  </si>
  <si>
    <t>PID0490</t>
  </si>
  <si>
    <t>Sunita Shah</t>
  </si>
  <si>
    <t>PID0491</t>
  </si>
  <si>
    <t>Mukesh Shah</t>
  </si>
  <si>
    <t>PID0492</t>
  </si>
  <si>
    <t>Karan Singh</t>
  </si>
  <si>
    <t>PID0493</t>
  </si>
  <si>
    <t>Kavya Malhotra</t>
  </si>
  <si>
    <t>PID0494</t>
  </si>
  <si>
    <t>Sunita Gupta</t>
  </si>
  <si>
    <t>PID0495</t>
  </si>
  <si>
    <t>PID0496</t>
  </si>
  <si>
    <t>PID0497</t>
  </si>
  <si>
    <t>PID0498</t>
  </si>
  <si>
    <t>PID0499</t>
  </si>
  <si>
    <t>PID0500</t>
  </si>
  <si>
    <t>Ananya Das</t>
  </si>
  <si>
    <t>PID0501</t>
  </si>
  <si>
    <t>PID0502</t>
  </si>
  <si>
    <t>Arjun Joshi</t>
  </si>
  <si>
    <t>PID0503</t>
  </si>
  <si>
    <t>Sunita Kumar</t>
  </si>
  <si>
    <t>PID0504</t>
  </si>
  <si>
    <t>PID0505</t>
  </si>
  <si>
    <t>PID0506</t>
  </si>
  <si>
    <t>PID0507</t>
  </si>
  <si>
    <t>PID0508</t>
  </si>
  <si>
    <t>PID0509</t>
  </si>
  <si>
    <t>Sneha Pillai</t>
  </si>
  <si>
    <t>PID0510</t>
  </si>
  <si>
    <t>Divya Khanna</t>
  </si>
  <si>
    <t>PID0511</t>
  </si>
  <si>
    <t>PID0512</t>
  </si>
  <si>
    <t>PID0513</t>
  </si>
  <si>
    <t>Suresh Kumar</t>
  </si>
  <si>
    <t>PID0514</t>
  </si>
  <si>
    <t>Nisha Menon</t>
  </si>
  <si>
    <t>PID0515</t>
  </si>
  <si>
    <t>Rahul Menon</t>
  </si>
  <si>
    <t>PID0516</t>
  </si>
  <si>
    <t>Amit Das</t>
  </si>
  <si>
    <t>PID0517</t>
  </si>
  <si>
    <t>PID0518</t>
  </si>
  <si>
    <t>PID0519</t>
  </si>
  <si>
    <t>Ashok Kumar</t>
  </si>
  <si>
    <t>PID0520</t>
  </si>
  <si>
    <t>PID0521</t>
  </si>
  <si>
    <t>Geeta Singh</t>
  </si>
  <si>
    <t>PID0522</t>
  </si>
  <si>
    <t>PID0523</t>
  </si>
  <si>
    <t>Suresh Khanna</t>
  </si>
  <si>
    <t>PID0524</t>
  </si>
  <si>
    <t>Sunita Iyer</t>
  </si>
  <si>
    <t>PID0525</t>
  </si>
  <si>
    <t>Sanjay Iyer</t>
  </si>
  <si>
    <t>PID0526</t>
  </si>
  <si>
    <t>Sonia Rao</t>
  </si>
  <si>
    <t>PID0527</t>
  </si>
  <si>
    <t>Pooja Singh</t>
  </si>
  <si>
    <t>PID0528</t>
  </si>
  <si>
    <t>Mukesh Rao</t>
  </si>
  <si>
    <t>PID0529</t>
  </si>
  <si>
    <t>PID0530</t>
  </si>
  <si>
    <t>PID0531</t>
  </si>
  <si>
    <t>Rekha Pillai</t>
  </si>
  <si>
    <t>PID0532</t>
  </si>
  <si>
    <t>PID0533</t>
  </si>
  <si>
    <t>PID0534</t>
  </si>
  <si>
    <t>Arjun Singh</t>
  </si>
  <si>
    <t>PID0535</t>
  </si>
  <si>
    <t>PID0536</t>
  </si>
  <si>
    <t>Ashok Malhotra</t>
  </si>
  <si>
    <t>PID0537</t>
  </si>
  <si>
    <t>PID0538</t>
  </si>
  <si>
    <t>Vijay Rao</t>
  </si>
  <si>
    <t>PID0539</t>
  </si>
  <si>
    <t>Rohan Verma</t>
  </si>
  <si>
    <t>PID0540</t>
  </si>
  <si>
    <t>PID0541</t>
  </si>
  <si>
    <t>PID0542</t>
  </si>
  <si>
    <t>PID0543</t>
  </si>
  <si>
    <t>PID0544</t>
  </si>
  <si>
    <t>Suresh Nair</t>
  </si>
  <si>
    <t>PID0545</t>
  </si>
  <si>
    <t>PID0546</t>
  </si>
  <si>
    <t>PID0547</t>
  </si>
  <si>
    <t>PID0548</t>
  </si>
  <si>
    <t>PID0549</t>
  </si>
  <si>
    <t>PID0550</t>
  </si>
  <si>
    <t>PID0551</t>
  </si>
  <si>
    <t>PID0552</t>
  </si>
  <si>
    <t>Vijay Kumar</t>
  </si>
  <si>
    <t>PID0553</t>
  </si>
  <si>
    <t>PID0554</t>
  </si>
  <si>
    <t>PID0555</t>
  </si>
  <si>
    <t>PID0556</t>
  </si>
  <si>
    <t>Amit Khanna</t>
  </si>
  <si>
    <t>PID0557</t>
  </si>
  <si>
    <t>Rekha Shah</t>
  </si>
  <si>
    <t>PID0558</t>
  </si>
  <si>
    <t>PID0559</t>
  </si>
  <si>
    <t>PID0560</t>
  </si>
  <si>
    <t>Pooja Gupta</t>
  </si>
  <si>
    <t>PID0561</t>
  </si>
  <si>
    <t>PID0562</t>
  </si>
  <si>
    <t>PID0563</t>
  </si>
  <si>
    <t>PID0564</t>
  </si>
  <si>
    <t>Vikram Bose</t>
  </si>
  <si>
    <t>PID0565</t>
  </si>
  <si>
    <t>Divya Verma</t>
  </si>
  <si>
    <t>PID0566</t>
  </si>
  <si>
    <t>PID0567</t>
  </si>
  <si>
    <t>Manoj Chopra</t>
  </si>
  <si>
    <t>PID0568</t>
  </si>
  <si>
    <t>PID0569</t>
  </si>
  <si>
    <t>PID0570</t>
  </si>
  <si>
    <t>PID0571</t>
  </si>
  <si>
    <t>PID0572</t>
  </si>
  <si>
    <t>Priya Khanna</t>
  </si>
  <si>
    <t>PID0573</t>
  </si>
  <si>
    <t>PID0574</t>
  </si>
  <si>
    <t>PID0575</t>
  </si>
  <si>
    <t>Kavya Iyer</t>
  </si>
  <si>
    <t>PID0576</t>
  </si>
  <si>
    <t>PID0577</t>
  </si>
  <si>
    <t>Rekha Nair</t>
  </si>
  <si>
    <t>PID0578</t>
  </si>
  <si>
    <t>Geeta Reddy</t>
  </si>
  <si>
    <t>PID0579</t>
  </si>
  <si>
    <t>PID0580</t>
  </si>
  <si>
    <t>PID0581</t>
  </si>
  <si>
    <t>PID0582</t>
  </si>
  <si>
    <t>PID0583</t>
  </si>
  <si>
    <t>PID0584</t>
  </si>
  <si>
    <t>Lata Das</t>
  </si>
  <si>
    <t>PID0585</t>
  </si>
  <si>
    <t>PID0586</t>
  </si>
  <si>
    <t>PID0587</t>
  </si>
  <si>
    <t>PID0588</t>
  </si>
  <si>
    <t>PID0589</t>
  </si>
  <si>
    <t>PID0590</t>
  </si>
  <si>
    <t>Aditya Bose</t>
  </si>
  <si>
    <t>PID0591</t>
  </si>
  <si>
    <t>PID0592</t>
  </si>
  <si>
    <t>PID0593</t>
  </si>
  <si>
    <t>PID0594</t>
  </si>
  <si>
    <t>PID0595</t>
  </si>
  <si>
    <t>Kavya Khanna</t>
  </si>
  <si>
    <t>PID0596</t>
  </si>
  <si>
    <t>PID0597</t>
  </si>
  <si>
    <t>PID0598</t>
  </si>
  <si>
    <t>PID0599</t>
  </si>
  <si>
    <t>PID0600</t>
  </si>
  <si>
    <t>PID0601</t>
  </si>
  <si>
    <t>PID0602</t>
  </si>
  <si>
    <t>PID0603</t>
  </si>
  <si>
    <t>PID0604</t>
  </si>
  <si>
    <t>PID0605</t>
  </si>
  <si>
    <t>PID0606</t>
  </si>
  <si>
    <t>Arjun Nair</t>
  </si>
  <si>
    <t>PID0607</t>
  </si>
  <si>
    <t>Aditya Rao</t>
  </si>
  <si>
    <t>PID0608</t>
  </si>
  <si>
    <t>Lata Verma</t>
  </si>
  <si>
    <t>PID0609</t>
  </si>
  <si>
    <t>Sanjay Malhotra</t>
  </si>
  <si>
    <t>PID0610</t>
  </si>
  <si>
    <t>PID0611</t>
  </si>
  <si>
    <t>PID0612</t>
  </si>
  <si>
    <t>PID0613</t>
  </si>
  <si>
    <t>PID0614</t>
  </si>
  <si>
    <t>Pooja Joshi</t>
  </si>
  <si>
    <t>PID0615</t>
  </si>
  <si>
    <t>PID0616</t>
  </si>
  <si>
    <t>Divya Kumar</t>
  </si>
  <si>
    <t>PID0617</t>
  </si>
  <si>
    <t>Lata Nair</t>
  </si>
  <si>
    <t>PID0618</t>
  </si>
  <si>
    <t>PID0619</t>
  </si>
  <si>
    <t>PID0620</t>
  </si>
  <si>
    <t>PID0621</t>
  </si>
  <si>
    <t>Ritu Bose</t>
  </si>
  <si>
    <t>PID0622</t>
  </si>
  <si>
    <t>PID0623</t>
  </si>
  <si>
    <t>PID0624</t>
  </si>
  <si>
    <t>PID0625</t>
  </si>
  <si>
    <t>Vikram Pillai</t>
  </si>
  <si>
    <t>PID0626</t>
  </si>
  <si>
    <t>PID0627</t>
  </si>
  <si>
    <t>Meera Chopra</t>
  </si>
  <si>
    <t>PID0628</t>
  </si>
  <si>
    <t>Ananya Kumar</t>
  </si>
  <si>
    <t>PID0629</t>
  </si>
  <si>
    <t>Sonia Sharma</t>
  </si>
  <si>
    <t>PID0630</t>
  </si>
  <si>
    <t>PID0631</t>
  </si>
  <si>
    <t>PID0632</t>
  </si>
  <si>
    <t>Sunita Pillai</t>
  </si>
  <si>
    <t>PID0633</t>
  </si>
  <si>
    <t>PID0634</t>
  </si>
  <si>
    <t>Sunita Chopra</t>
  </si>
  <si>
    <t>PID0635</t>
  </si>
  <si>
    <t>Aditya Sharma</t>
  </si>
  <si>
    <t>PID0636</t>
  </si>
  <si>
    <t>PID0637</t>
  </si>
  <si>
    <t>PID0638</t>
  </si>
  <si>
    <t>PID0639</t>
  </si>
  <si>
    <t>Suresh Bose</t>
  </si>
  <si>
    <t>PID0640</t>
  </si>
  <si>
    <t>Sanjay Sharma</t>
  </si>
  <si>
    <t>PID0641</t>
  </si>
  <si>
    <t>PID0642</t>
  </si>
  <si>
    <t>Aditya Shah</t>
  </si>
  <si>
    <t>PID0643</t>
  </si>
  <si>
    <t>PID0644</t>
  </si>
  <si>
    <t>PID0645</t>
  </si>
  <si>
    <t>Nisha Nair</t>
  </si>
  <si>
    <t>PID0646</t>
  </si>
  <si>
    <t>Rohan Nair</t>
  </si>
  <si>
    <t>PID0647</t>
  </si>
  <si>
    <t>PID0648</t>
  </si>
  <si>
    <t>PID0649</t>
  </si>
  <si>
    <t>PID0650</t>
  </si>
  <si>
    <t>Suresh Patel</t>
  </si>
  <si>
    <t>PID0651</t>
  </si>
  <si>
    <t>PID0652</t>
  </si>
  <si>
    <t>Rekha Chopra</t>
  </si>
  <si>
    <t>PID0653</t>
  </si>
  <si>
    <t>Divya Mehta</t>
  </si>
  <si>
    <t>PID0654</t>
  </si>
  <si>
    <t>PID0655</t>
  </si>
  <si>
    <t>PID0656</t>
  </si>
  <si>
    <t>PID0657</t>
  </si>
  <si>
    <t>PID0658</t>
  </si>
  <si>
    <t>Ashok Shah</t>
  </si>
  <si>
    <t>PID0659</t>
  </si>
  <si>
    <t>PID0660</t>
  </si>
  <si>
    <t>PID0661</t>
  </si>
  <si>
    <t>Priya Reddy</t>
  </si>
  <si>
    <t>PID0662</t>
  </si>
  <si>
    <t>PID0663</t>
  </si>
  <si>
    <t>PID0664</t>
  </si>
  <si>
    <t>PID0665</t>
  </si>
  <si>
    <t>Rohan Iyer</t>
  </si>
  <si>
    <t>PID0666</t>
  </si>
  <si>
    <t>PID0667</t>
  </si>
  <si>
    <t>PID0668</t>
  </si>
  <si>
    <t>PID0669</t>
  </si>
  <si>
    <t>PID0670</t>
  </si>
  <si>
    <t>PID0671</t>
  </si>
  <si>
    <t>Pooja Reddy</t>
  </si>
  <si>
    <t>PID0672</t>
  </si>
  <si>
    <t>Pooja Khanna</t>
  </si>
  <si>
    <t>PID0673</t>
  </si>
  <si>
    <t>Vikram Verma</t>
  </si>
  <si>
    <t>PID0674</t>
  </si>
  <si>
    <t>PID0675</t>
  </si>
  <si>
    <t>Priya Rao</t>
  </si>
  <si>
    <t>PID0676</t>
  </si>
  <si>
    <t>Karan Nair</t>
  </si>
  <si>
    <t>PID0677</t>
  </si>
  <si>
    <t>PID0678</t>
  </si>
  <si>
    <t>PID0679</t>
  </si>
  <si>
    <t>PID0680</t>
  </si>
  <si>
    <t>Aditya Verma</t>
  </si>
  <si>
    <t>PID0681</t>
  </si>
  <si>
    <t>PID0682</t>
  </si>
  <si>
    <t>PID0683</t>
  </si>
  <si>
    <t>PID0684</t>
  </si>
  <si>
    <t>PID0685</t>
  </si>
  <si>
    <t>Sanjay Pillai</t>
  </si>
  <si>
    <t>PID0686</t>
  </si>
  <si>
    <t>Kavya Patel</t>
  </si>
  <si>
    <t>PID0687</t>
  </si>
  <si>
    <t>Geeta Nair</t>
  </si>
  <si>
    <t>PID0688</t>
  </si>
  <si>
    <t>PID0689</t>
  </si>
  <si>
    <t>Rohan Khanna</t>
  </si>
  <si>
    <t>PID0690</t>
  </si>
  <si>
    <t>Sunil Shah</t>
  </si>
  <si>
    <t>PID0691</t>
  </si>
  <si>
    <t>Sneha Nair</t>
  </si>
  <si>
    <t>PID0692</t>
  </si>
  <si>
    <t>PID0693</t>
  </si>
  <si>
    <t>Priya Verma</t>
  </si>
  <si>
    <t>PID0694</t>
  </si>
  <si>
    <t>PID0695</t>
  </si>
  <si>
    <t>Priya Bose</t>
  </si>
  <si>
    <t>PID0696</t>
  </si>
  <si>
    <t>Rajesh Iyer</t>
  </si>
  <si>
    <t>PID0697</t>
  </si>
  <si>
    <t>Ashok Khanna</t>
  </si>
  <si>
    <t>PID0698</t>
  </si>
  <si>
    <t>Manoj Pillai</t>
  </si>
  <si>
    <t>PID0699</t>
  </si>
  <si>
    <t>PID0700</t>
  </si>
  <si>
    <t>Ritu Singh</t>
  </si>
  <si>
    <t>PID0701</t>
  </si>
  <si>
    <t>PID0702</t>
  </si>
  <si>
    <t>PID0703</t>
  </si>
  <si>
    <t>PID0704</t>
  </si>
  <si>
    <t>PID0705</t>
  </si>
  <si>
    <t>PID0706</t>
  </si>
  <si>
    <t>Rekha Joshi</t>
  </si>
  <si>
    <t>PID0707</t>
  </si>
  <si>
    <t>PID0708</t>
  </si>
  <si>
    <t>PID0709</t>
  </si>
  <si>
    <t>Geeta Kumar</t>
  </si>
  <si>
    <t>PID0710</t>
  </si>
  <si>
    <t>PID0711</t>
  </si>
  <si>
    <t>PID0712</t>
  </si>
  <si>
    <t>PID0713</t>
  </si>
  <si>
    <t>PID0714</t>
  </si>
  <si>
    <t>PID0715</t>
  </si>
  <si>
    <t>Manoj Kumar</t>
  </si>
  <si>
    <t>PID0716</t>
  </si>
  <si>
    <t>PID0717</t>
  </si>
  <si>
    <t>PID0718</t>
  </si>
  <si>
    <t>Nisha Iyer</t>
  </si>
  <si>
    <t>PID0719</t>
  </si>
  <si>
    <t>PID0720</t>
  </si>
  <si>
    <t>PID0721</t>
  </si>
  <si>
    <t>Amit Menon</t>
  </si>
  <si>
    <t>PID0722</t>
  </si>
  <si>
    <t>Pooja Nair</t>
  </si>
  <si>
    <t>PID0723</t>
  </si>
  <si>
    <t>Karan Pillai</t>
  </si>
  <si>
    <t>PID0724</t>
  </si>
  <si>
    <t>PID0725</t>
  </si>
  <si>
    <t>PID0726</t>
  </si>
  <si>
    <t>PID0727</t>
  </si>
  <si>
    <t>PID0728</t>
  </si>
  <si>
    <t>PID0729</t>
  </si>
  <si>
    <t>PID0730</t>
  </si>
  <si>
    <t>Ashok Joshi</t>
  </si>
  <si>
    <t>PID0731</t>
  </si>
  <si>
    <t>PID0732</t>
  </si>
  <si>
    <t>PID0733</t>
  </si>
  <si>
    <t>PID0734</t>
  </si>
  <si>
    <t>PID0735</t>
  </si>
  <si>
    <t>PID0736</t>
  </si>
  <si>
    <t>Geeta Patel</t>
  </si>
  <si>
    <t>PID0737</t>
  </si>
  <si>
    <t>Vijay Verma</t>
  </si>
  <si>
    <t>PID0738</t>
  </si>
  <si>
    <t>Rekha Mehta</t>
  </si>
  <si>
    <t>PID0739</t>
  </si>
  <si>
    <t>PID0740</t>
  </si>
  <si>
    <t>Sneha Das</t>
  </si>
  <si>
    <t>PID0741</t>
  </si>
  <si>
    <t>PID0742</t>
  </si>
  <si>
    <t>PID0743</t>
  </si>
  <si>
    <t>PID0744</t>
  </si>
  <si>
    <t>Rajesh Verma</t>
  </si>
  <si>
    <t>PID0745</t>
  </si>
  <si>
    <t>PID0746</t>
  </si>
  <si>
    <t>Sanjay Menon</t>
  </si>
  <si>
    <t>PID0747</t>
  </si>
  <si>
    <t>PID0748</t>
  </si>
  <si>
    <t>Ritu Joshi</t>
  </si>
  <si>
    <t>PID0749</t>
  </si>
  <si>
    <t>PID0750</t>
  </si>
  <si>
    <t>PID0751</t>
  </si>
  <si>
    <t>PID0752</t>
  </si>
  <si>
    <t>PID0753</t>
  </si>
  <si>
    <t>Vikram Gupta</t>
  </si>
  <si>
    <t>PID0754</t>
  </si>
  <si>
    <t>Sunita Das</t>
  </si>
  <si>
    <t>PID0755</t>
  </si>
  <si>
    <t>Mukesh Singh</t>
  </si>
  <si>
    <t>PID0756</t>
  </si>
  <si>
    <t>PID0757</t>
  </si>
  <si>
    <t>PID0758</t>
  </si>
  <si>
    <t>PID0759</t>
  </si>
  <si>
    <t>PID0760</t>
  </si>
  <si>
    <t>PID0761</t>
  </si>
  <si>
    <t>PID0762</t>
  </si>
  <si>
    <t>PID0763</t>
  </si>
  <si>
    <t>Priya Pillai</t>
  </si>
  <si>
    <t>PID0764</t>
  </si>
  <si>
    <t>Sunil Kumar</t>
  </si>
  <si>
    <t>PID0765</t>
  </si>
  <si>
    <t>PID0766</t>
  </si>
  <si>
    <t>Sunita Mehta</t>
  </si>
  <si>
    <t>PID0767</t>
  </si>
  <si>
    <t>PID0768</t>
  </si>
  <si>
    <t>PID0769</t>
  </si>
  <si>
    <t>PID0770</t>
  </si>
  <si>
    <t>PID0771</t>
  </si>
  <si>
    <t>PID0772</t>
  </si>
  <si>
    <t>PID0773</t>
  </si>
  <si>
    <t>PID0774</t>
  </si>
  <si>
    <t>PID0775</t>
  </si>
  <si>
    <t>PID0776</t>
  </si>
  <si>
    <t>PID0777</t>
  </si>
  <si>
    <t>PID0778</t>
  </si>
  <si>
    <t>PID0779</t>
  </si>
  <si>
    <t>PID0780</t>
  </si>
  <si>
    <t>PID0781</t>
  </si>
  <si>
    <t>PID0782</t>
  </si>
  <si>
    <t>Sneha Kumar</t>
  </si>
  <si>
    <t>PID0783</t>
  </si>
  <si>
    <t>PID0784</t>
  </si>
  <si>
    <t>PID0785</t>
  </si>
  <si>
    <t>PID0786</t>
  </si>
  <si>
    <t>PID0787</t>
  </si>
  <si>
    <t>Ananya Nair</t>
  </si>
  <si>
    <t>PID0788</t>
  </si>
  <si>
    <t>PID0789</t>
  </si>
  <si>
    <t>PID0790</t>
  </si>
  <si>
    <t>PID0791</t>
  </si>
  <si>
    <t>PID0792</t>
  </si>
  <si>
    <t>PID0793</t>
  </si>
  <si>
    <t>PID0794</t>
  </si>
  <si>
    <t>Meera Menon</t>
  </si>
  <si>
    <t>PID0795</t>
  </si>
  <si>
    <t>PID0796</t>
  </si>
  <si>
    <t>PID0797</t>
  </si>
  <si>
    <t>PID0798</t>
  </si>
  <si>
    <t>PID0799</t>
  </si>
  <si>
    <t>PID0800</t>
  </si>
  <si>
    <t>Rahul Singh</t>
  </si>
  <si>
    <t>PID0801</t>
  </si>
  <si>
    <t>PID0802</t>
  </si>
  <si>
    <t>PID0803</t>
  </si>
  <si>
    <t>Sunil Das</t>
  </si>
  <si>
    <t>PID0804</t>
  </si>
  <si>
    <t>PID0805</t>
  </si>
  <si>
    <t>Sunil Patel</t>
  </si>
  <si>
    <t>PID0806</t>
  </si>
  <si>
    <t>Aditya Patel</t>
  </si>
  <si>
    <t>PID0807</t>
  </si>
  <si>
    <t>PID0808</t>
  </si>
  <si>
    <t>PID0809</t>
  </si>
  <si>
    <t>PID0810</t>
  </si>
  <si>
    <t>PID0811</t>
  </si>
  <si>
    <t>PID0812</t>
  </si>
  <si>
    <t>PID0813</t>
  </si>
  <si>
    <t>Ananya Mehta</t>
  </si>
  <si>
    <t>PID0814</t>
  </si>
  <si>
    <t>PID0815</t>
  </si>
  <si>
    <t>PID0816</t>
  </si>
  <si>
    <t>PID0817</t>
  </si>
  <si>
    <t>PID0818</t>
  </si>
  <si>
    <t>PID0819</t>
  </si>
  <si>
    <t>PID0820</t>
  </si>
  <si>
    <t>Rahul Bose</t>
  </si>
  <si>
    <t>PID0821</t>
  </si>
  <si>
    <t>PID0822</t>
  </si>
  <si>
    <t>PID0823</t>
  </si>
  <si>
    <t>PID0824</t>
  </si>
  <si>
    <t>PID0825</t>
  </si>
  <si>
    <t>PID0826</t>
  </si>
  <si>
    <t>PID0827</t>
  </si>
  <si>
    <t>PID0828</t>
  </si>
  <si>
    <t>Vikram Malhotra</t>
  </si>
  <si>
    <t>PID0829</t>
  </si>
  <si>
    <t>PID0830</t>
  </si>
  <si>
    <t>PID0831</t>
  </si>
  <si>
    <t>PID0832</t>
  </si>
  <si>
    <t>Sunita Rao</t>
  </si>
  <si>
    <t>PID0833</t>
  </si>
  <si>
    <t>PID0834</t>
  </si>
  <si>
    <t>Ritu Verma</t>
  </si>
  <si>
    <t>PID0835</t>
  </si>
  <si>
    <t>Nisha Malhotra</t>
  </si>
  <si>
    <t>PID0836</t>
  </si>
  <si>
    <t>PID0837</t>
  </si>
  <si>
    <t>PID0838</t>
  </si>
  <si>
    <t>PID0839</t>
  </si>
  <si>
    <t>PID0840</t>
  </si>
  <si>
    <t>PID0841</t>
  </si>
  <si>
    <t>PID0842</t>
  </si>
  <si>
    <t>PID0843</t>
  </si>
  <si>
    <t>PID0844</t>
  </si>
  <si>
    <t>PID0845</t>
  </si>
  <si>
    <t>PID0846</t>
  </si>
  <si>
    <t>PID0847</t>
  </si>
  <si>
    <t>Ananya Shah</t>
  </si>
  <si>
    <t>PID0848</t>
  </si>
  <si>
    <t>PID0849</t>
  </si>
  <si>
    <t>PID0850</t>
  </si>
  <si>
    <t>PID0851</t>
  </si>
  <si>
    <t>PID0852</t>
  </si>
  <si>
    <t>PID0853</t>
  </si>
  <si>
    <t>PID0854</t>
  </si>
  <si>
    <t>Sunil Chopra</t>
  </si>
  <si>
    <t>PID0855</t>
  </si>
  <si>
    <t>PID0856</t>
  </si>
  <si>
    <t>PID0857</t>
  </si>
  <si>
    <t>PID0858</t>
  </si>
  <si>
    <t>PID0859</t>
  </si>
  <si>
    <t>PID0860</t>
  </si>
  <si>
    <t>PID0861</t>
  </si>
  <si>
    <t>Amit Chopra</t>
  </si>
  <si>
    <t>PID0862</t>
  </si>
  <si>
    <t>PID0863</t>
  </si>
  <si>
    <t>PID0864</t>
  </si>
  <si>
    <t>PID0865</t>
  </si>
  <si>
    <t>PID0866</t>
  </si>
  <si>
    <t>PID0867</t>
  </si>
  <si>
    <t>PID0868</t>
  </si>
  <si>
    <t>Ashok Bose</t>
  </si>
  <si>
    <t>PID0869</t>
  </si>
  <si>
    <t>PID0870</t>
  </si>
  <si>
    <t>Arjun Patel</t>
  </si>
  <si>
    <t>PID0871</t>
  </si>
  <si>
    <t>PID0872</t>
  </si>
  <si>
    <t>PID0873</t>
  </si>
  <si>
    <t>PID0874</t>
  </si>
  <si>
    <t>PID0875</t>
  </si>
  <si>
    <t>Vikram Iyer</t>
  </si>
  <si>
    <t>PID0876</t>
  </si>
  <si>
    <t>PID0877</t>
  </si>
  <si>
    <t>PID0878</t>
  </si>
  <si>
    <t>PID0879</t>
  </si>
  <si>
    <t>Vikram Khanna</t>
  </si>
  <si>
    <t>PID0880</t>
  </si>
  <si>
    <t>PID0881</t>
  </si>
  <si>
    <t>PID0882</t>
  </si>
  <si>
    <t>PID0883</t>
  </si>
  <si>
    <t>PID0884</t>
  </si>
  <si>
    <t>PID0885</t>
  </si>
  <si>
    <t>PID0886</t>
  </si>
  <si>
    <t>PID0887</t>
  </si>
  <si>
    <t>PID0888</t>
  </si>
  <si>
    <t>PID0889</t>
  </si>
  <si>
    <t>PID0890</t>
  </si>
  <si>
    <t>PID0891</t>
  </si>
  <si>
    <t>Ritu Shah</t>
  </si>
  <si>
    <t>PID0892</t>
  </si>
  <si>
    <t>PID0893</t>
  </si>
  <si>
    <t>PID0894</t>
  </si>
  <si>
    <t>PID0895</t>
  </si>
  <si>
    <t>PID0896</t>
  </si>
  <si>
    <t>PID0897</t>
  </si>
  <si>
    <t>PID0898</t>
  </si>
  <si>
    <t>PID0899</t>
  </si>
  <si>
    <t>Sunil Mehta</t>
  </si>
  <si>
    <t>PID0900</t>
  </si>
  <si>
    <t>PID0901</t>
  </si>
  <si>
    <t>PID0902</t>
  </si>
  <si>
    <t>PID0903</t>
  </si>
  <si>
    <t>PID0904</t>
  </si>
  <si>
    <t>PID0905</t>
  </si>
  <si>
    <t>PID0906</t>
  </si>
  <si>
    <t>PID0907</t>
  </si>
  <si>
    <t>PID0908</t>
  </si>
  <si>
    <t>PID0909</t>
  </si>
  <si>
    <t>PID0910</t>
  </si>
  <si>
    <t>PID0911</t>
  </si>
  <si>
    <t>PID0912</t>
  </si>
  <si>
    <t>PID0913</t>
  </si>
  <si>
    <t>PID0914</t>
  </si>
  <si>
    <t>PID0915</t>
  </si>
  <si>
    <t>Rajesh Sharma</t>
  </si>
  <si>
    <t>PID0916</t>
  </si>
  <si>
    <t>Aditya Khanna</t>
  </si>
  <si>
    <t>PID0917</t>
  </si>
  <si>
    <t>PID0918</t>
  </si>
  <si>
    <t>PID0919</t>
  </si>
  <si>
    <t>PID0920</t>
  </si>
  <si>
    <t>PID0921</t>
  </si>
  <si>
    <t>PID0922</t>
  </si>
  <si>
    <t>PID0923</t>
  </si>
  <si>
    <t>PID0924</t>
  </si>
  <si>
    <t>PID0925</t>
  </si>
  <si>
    <t>PID0926</t>
  </si>
  <si>
    <t>PID0927</t>
  </si>
  <si>
    <t>PID0928</t>
  </si>
  <si>
    <t>PID0929</t>
  </si>
  <si>
    <t>PID0930</t>
  </si>
  <si>
    <t>PID0931</t>
  </si>
  <si>
    <t>PID0932</t>
  </si>
  <si>
    <t>PID0933</t>
  </si>
  <si>
    <t>PID0934</t>
  </si>
  <si>
    <t>PID0935</t>
  </si>
  <si>
    <t>PID0936</t>
  </si>
  <si>
    <t>Rajesh Mehta</t>
  </si>
  <si>
    <t>PID0937</t>
  </si>
  <si>
    <t>PID0938</t>
  </si>
  <si>
    <t>Suresh Gupta</t>
  </si>
  <si>
    <t>PID0939</t>
  </si>
  <si>
    <t>PID0940</t>
  </si>
  <si>
    <t>PID0941</t>
  </si>
  <si>
    <t>PID0942</t>
  </si>
  <si>
    <t>PID0943</t>
  </si>
  <si>
    <t>Sunita Nair</t>
  </si>
  <si>
    <t>PID0944</t>
  </si>
  <si>
    <t>PID0945</t>
  </si>
  <si>
    <t>PID0946</t>
  </si>
  <si>
    <t>PID0947</t>
  </si>
  <si>
    <t>PID0948</t>
  </si>
  <si>
    <t>Arjun Malhotra</t>
  </si>
  <si>
    <t>PID0949</t>
  </si>
  <si>
    <t>PID0950</t>
  </si>
  <si>
    <t>PID0951</t>
  </si>
  <si>
    <t>PID0952</t>
  </si>
  <si>
    <t>PID0953</t>
  </si>
  <si>
    <t>PID0954</t>
  </si>
  <si>
    <t>PID0955</t>
  </si>
  <si>
    <t>PID0956</t>
  </si>
  <si>
    <t>PID0957</t>
  </si>
  <si>
    <t>Sunita Patel</t>
  </si>
  <si>
    <t>PID0958</t>
  </si>
  <si>
    <t>PID0959</t>
  </si>
  <si>
    <t>PID0960</t>
  </si>
  <si>
    <t>PID0961</t>
  </si>
  <si>
    <t>PID0962</t>
  </si>
  <si>
    <t>Manoj Joshi</t>
  </si>
  <si>
    <t>PID0963</t>
  </si>
  <si>
    <t>PID0964</t>
  </si>
  <si>
    <t>PID0965</t>
  </si>
  <si>
    <t>PID0966</t>
  </si>
  <si>
    <t>PID0967</t>
  </si>
  <si>
    <t>PID0968</t>
  </si>
  <si>
    <t>PID0969</t>
  </si>
  <si>
    <t>PID0970</t>
  </si>
  <si>
    <t>Amit Rao</t>
  </si>
  <si>
    <t>PID0971</t>
  </si>
  <si>
    <t>PID0972</t>
  </si>
  <si>
    <t>PID0973</t>
  </si>
  <si>
    <t>PID0974</t>
  </si>
  <si>
    <t>Mukesh Nair</t>
  </si>
  <si>
    <t>PID0975</t>
  </si>
  <si>
    <t>PID0976</t>
  </si>
  <si>
    <t>PID0977</t>
  </si>
  <si>
    <t>PID0978</t>
  </si>
  <si>
    <t>PID0979</t>
  </si>
  <si>
    <t>PID0980</t>
  </si>
  <si>
    <t>Ashok Patel</t>
  </si>
  <si>
    <t>PID0981</t>
  </si>
  <si>
    <t>PID0982</t>
  </si>
  <si>
    <t>PID0983</t>
  </si>
  <si>
    <t>PID0984</t>
  </si>
  <si>
    <t>PID0985</t>
  </si>
  <si>
    <t>PID0986</t>
  </si>
  <si>
    <t>PID0987</t>
  </si>
  <si>
    <t>PID0988</t>
  </si>
  <si>
    <t>PID0989</t>
  </si>
  <si>
    <t>PID0990</t>
  </si>
  <si>
    <t>Karan Sharma</t>
  </si>
  <si>
    <t>PID0991</t>
  </si>
  <si>
    <t>PID0992</t>
  </si>
  <si>
    <t>PID0993</t>
  </si>
  <si>
    <t>PID0994</t>
  </si>
  <si>
    <t>PID0995</t>
  </si>
  <si>
    <t>PID0996</t>
  </si>
  <si>
    <t>PID0997</t>
  </si>
  <si>
    <t>PID0998</t>
  </si>
  <si>
    <t>PID0999</t>
  </si>
  <si>
    <t>PID1000</t>
  </si>
  <si>
    <t>Kavya Menon</t>
  </si>
  <si>
    <t>PID1001</t>
  </si>
  <si>
    <t>PID1002</t>
  </si>
  <si>
    <t>PID1003</t>
  </si>
  <si>
    <t>PID1004</t>
  </si>
  <si>
    <t>PID1005</t>
  </si>
  <si>
    <t>PID1006</t>
  </si>
  <si>
    <t>PID1007</t>
  </si>
  <si>
    <t>PID1008</t>
  </si>
  <si>
    <t>PID1009</t>
  </si>
  <si>
    <t>PID1010</t>
  </si>
  <si>
    <t>PID1011</t>
  </si>
  <si>
    <t>PID1012</t>
  </si>
  <si>
    <t>PID1013</t>
  </si>
  <si>
    <t>PID1014</t>
  </si>
  <si>
    <t>PID1015</t>
  </si>
  <si>
    <t>PID1016</t>
  </si>
  <si>
    <t>Vijay Joshi</t>
  </si>
  <si>
    <t>PID1017</t>
  </si>
  <si>
    <t>PID1018</t>
  </si>
  <si>
    <t>PID1019</t>
  </si>
  <si>
    <t>PID1020</t>
  </si>
  <si>
    <t>Sonia Mehta</t>
  </si>
  <si>
    <t>PID1021</t>
  </si>
  <si>
    <t>PID1022</t>
  </si>
  <si>
    <t>PID1023</t>
  </si>
  <si>
    <t>PID1024</t>
  </si>
  <si>
    <t>Nisha Bose</t>
  </si>
  <si>
    <t>PID1025</t>
  </si>
  <si>
    <t>PID1026</t>
  </si>
  <si>
    <t>PID1027</t>
  </si>
  <si>
    <t>Kavya Singh</t>
  </si>
  <si>
    <t>PID1028</t>
  </si>
  <si>
    <t>PID1029</t>
  </si>
  <si>
    <t>PID1030</t>
  </si>
  <si>
    <t>Sanjay Joshi</t>
  </si>
  <si>
    <t>PID1031</t>
  </si>
  <si>
    <t>PID1032</t>
  </si>
  <si>
    <t>Pooja Menon</t>
  </si>
  <si>
    <t>PID1033</t>
  </si>
  <si>
    <t>PID1034</t>
  </si>
  <si>
    <t>PID1035</t>
  </si>
  <si>
    <t>PID1036</t>
  </si>
  <si>
    <t>PID1037</t>
  </si>
  <si>
    <t>PID1038</t>
  </si>
  <si>
    <t>Divya Das</t>
  </si>
  <si>
    <t>PID1039</t>
  </si>
  <si>
    <t>PID1040</t>
  </si>
  <si>
    <t>PID1041</t>
  </si>
  <si>
    <t>PID1042</t>
  </si>
  <si>
    <t>PID1043</t>
  </si>
  <si>
    <t>PID1044</t>
  </si>
  <si>
    <t>PID1045</t>
  </si>
  <si>
    <t>PID1046</t>
  </si>
  <si>
    <t>Priya Joshi</t>
  </si>
  <si>
    <t>PID1047</t>
  </si>
  <si>
    <t>PID1048</t>
  </si>
  <si>
    <t>PID1049</t>
  </si>
  <si>
    <t>PID1050</t>
  </si>
  <si>
    <t>PID1051</t>
  </si>
  <si>
    <t>PID1052</t>
  </si>
  <si>
    <t>PID1053</t>
  </si>
  <si>
    <t>PID1054</t>
  </si>
  <si>
    <t>PID1055</t>
  </si>
  <si>
    <t>PID1056</t>
  </si>
  <si>
    <t>PID1057</t>
  </si>
  <si>
    <t>Ritu Gupta</t>
  </si>
  <si>
    <t>PID1058</t>
  </si>
  <si>
    <t>PID1059</t>
  </si>
  <si>
    <t>Divya Reddy</t>
  </si>
  <si>
    <t>PID1060</t>
  </si>
  <si>
    <t>PID1061</t>
  </si>
  <si>
    <t>PID1062</t>
  </si>
  <si>
    <t>PID1063</t>
  </si>
  <si>
    <t>PID1064</t>
  </si>
  <si>
    <t>PID1065</t>
  </si>
  <si>
    <t>Mukesh Kumar</t>
  </si>
  <si>
    <t>PID1066</t>
  </si>
  <si>
    <t>PID1067</t>
  </si>
  <si>
    <t>PID1068</t>
  </si>
  <si>
    <t>Rahul Verma</t>
  </si>
  <si>
    <t>PID1069</t>
  </si>
  <si>
    <t>PID1070</t>
  </si>
  <si>
    <t>Lata Singh</t>
  </si>
  <si>
    <t>PID1071</t>
  </si>
  <si>
    <t>PID1072</t>
  </si>
  <si>
    <t>Ashok Verma</t>
  </si>
  <si>
    <t>PID1073</t>
  </si>
  <si>
    <t>PID1074</t>
  </si>
  <si>
    <t>PID1075</t>
  </si>
  <si>
    <t>Karan Patel</t>
  </si>
  <si>
    <t>PID1076</t>
  </si>
  <si>
    <t>PID1077</t>
  </si>
  <si>
    <t>PID1078</t>
  </si>
  <si>
    <t>PID1079</t>
  </si>
  <si>
    <t>PID1080</t>
  </si>
  <si>
    <t>Nisha Verma</t>
  </si>
  <si>
    <t>PID1081</t>
  </si>
  <si>
    <t>PID1082</t>
  </si>
  <si>
    <t>PID1083</t>
  </si>
  <si>
    <t>Rajesh Reddy</t>
  </si>
  <si>
    <t>PID1084</t>
  </si>
  <si>
    <t>PID1085</t>
  </si>
  <si>
    <t>Karan Joshi</t>
  </si>
  <si>
    <t>PID1086</t>
  </si>
  <si>
    <t>PID1087</t>
  </si>
  <si>
    <t>PID1088</t>
  </si>
  <si>
    <t>PID1089</t>
  </si>
  <si>
    <t>PID1090</t>
  </si>
  <si>
    <t>Amit Mehta</t>
  </si>
  <si>
    <t>PID1091</t>
  </si>
  <si>
    <t>PID1092</t>
  </si>
  <si>
    <t>PID1093</t>
  </si>
  <si>
    <t>PID1094</t>
  </si>
  <si>
    <t>PID1095</t>
  </si>
  <si>
    <t>PID1096</t>
  </si>
  <si>
    <t>Karan Shah</t>
  </si>
  <si>
    <t>PID1097</t>
  </si>
  <si>
    <t>Mukesh Sharma</t>
  </si>
  <si>
    <t>PID1098</t>
  </si>
  <si>
    <t>PID1099</t>
  </si>
  <si>
    <t>PID1100</t>
  </si>
  <si>
    <t>Deepa Kumar</t>
  </si>
  <si>
    <t>PID1101</t>
  </si>
  <si>
    <t>PID1102</t>
  </si>
  <si>
    <t>PID1103</t>
  </si>
  <si>
    <t>PID1104</t>
  </si>
  <si>
    <t>PID1105</t>
  </si>
  <si>
    <t>PID1106</t>
  </si>
  <si>
    <t>Manoj Gupta</t>
  </si>
  <si>
    <t>PID1107</t>
  </si>
  <si>
    <t>PID1108</t>
  </si>
  <si>
    <t>PID1109</t>
  </si>
  <si>
    <t>PID1110</t>
  </si>
  <si>
    <t>PID1111</t>
  </si>
  <si>
    <t>PID1112</t>
  </si>
  <si>
    <t>Vijay Singh</t>
  </si>
  <si>
    <t>PID1113</t>
  </si>
  <si>
    <t>PID1114</t>
  </si>
  <si>
    <t>PID1115</t>
  </si>
  <si>
    <t>PID1116</t>
  </si>
  <si>
    <t>PID1117</t>
  </si>
  <si>
    <t>PID1118</t>
  </si>
  <si>
    <t>PID1119</t>
  </si>
  <si>
    <t>PID1120</t>
  </si>
  <si>
    <t>PID1121</t>
  </si>
  <si>
    <t>PID1122</t>
  </si>
  <si>
    <t>PID1123</t>
  </si>
  <si>
    <t>PID1124</t>
  </si>
  <si>
    <t>PID1125</t>
  </si>
  <si>
    <t>PID1126</t>
  </si>
  <si>
    <t>PID1127</t>
  </si>
  <si>
    <t>PID1128</t>
  </si>
  <si>
    <t>PID1129</t>
  </si>
  <si>
    <t>PID1130</t>
  </si>
  <si>
    <t>PID1131</t>
  </si>
  <si>
    <t>PID1132</t>
  </si>
  <si>
    <t>PID1133</t>
  </si>
  <si>
    <t>PID1134</t>
  </si>
  <si>
    <t>PID1135</t>
  </si>
  <si>
    <t>Priya Menon</t>
  </si>
  <si>
    <t>PID1136</t>
  </si>
  <si>
    <t>PID1137</t>
  </si>
  <si>
    <t>Priya Singh</t>
  </si>
  <si>
    <t>PID1138</t>
  </si>
  <si>
    <t>PID1139</t>
  </si>
  <si>
    <t>PID1140</t>
  </si>
  <si>
    <t>Lata Patel</t>
  </si>
  <si>
    <t>PID1141</t>
  </si>
  <si>
    <t>PID1142</t>
  </si>
  <si>
    <t>PID1143</t>
  </si>
  <si>
    <t>PID1144</t>
  </si>
  <si>
    <t>PID1145</t>
  </si>
  <si>
    <t>PID1146</t>
  </si>
  <si>
    <t>Mukesh Joshi</t>
  </si>
  <si>
    <t>PID1147</t>
  </si>
  <si>
    <t>PID1148</t>
  </si>
  <si>
    <t>PID1149</t>
  </si>
  <si>
    <t>PID1150</t>
  </si>
  <si>
    <t>Vijay Gupta</t>
  </si>
  <si>
    <t>PID1151</t>
  </si>
  <si>
    <t>PID1152</t>
  </si>
  <si>
    <t>PID1153</t>
  </si>
  <si>
    <t>PID1154</t>
  </si>
  <si>
    <t>PID1155</t>
  </si>
  <si>
    <t>PID1156</t>
  </si>
  <si>
    <t>Ananya Sharma</t>
  </si>
  <si>
    <t>PID1157</t>
  </si>
  <si>
    <t>Rahul Khanna</t>
  </si>
  <si>
    <t>PID1158</t>
  </si>
  <si>
    <t>PID1159</t>
  </si>
  <si>
    <t>PID1160</t>
  </si>
  <si>
    <t>PID1161</t>
  </si>
  <si>
    <t>PID1162</t>
  </si>
  <si>
    <t>PID1163</t>
  </si>
  <si>
    <t>Ashok Das</t>
  </si>
  <si>
    <t>PID1164</t>
  </si>
  <si>
    <t>PID1165</t>
  </si>
  <si>
    <t>PID1166</t>
  </si>
  <si>
    <t>PID1167</t>
  </si>
  <si>
    <t>PID1168</t>
  </si>
  <si>
    <t>PID1169</t>
  </si>
  <si>
    <t>PID1170</t>
  </si>
  <si>
    <t>PID1171</t>
  </si>
  <si>
    <t>PID1172</t>
  </si>
  <si>
    <t>PID1173</t>
  </si>
  <si>
    <t>Divya Nair</t>
  </si>
  <si>
    <t>PID1174</t>
  </si>
  <si>
    <t>PID1175</t>
  </si>
  <si>
    <t>PID1176</t>
  </si>
  <si>
    <t>PID1177</t>
  </si>
  <si>
    <t>PID1178</t>
  </si>
  <si>
    <t>PID1179</t>
  </si>
  <si>
    <t>PID1180</t>
  </si>
  <si>
    <t>PID1181</t>
  </si>
  <si>
    <t>PID1182</t>
  </si>
  <si>
    <t>PID1183</t>
  </si>
  <si>
    <t>PID1184</t>
  </si>
  <si>
    <t>PID1185</t>
  </si>
  <si>
    <t>PID1186</t>
  </si>
  <si>
    <t>PID1187</t>
  </si>
  <si>
    <t>PID1188</t>
  </si>
  <si>
    <t>Meera Reddy</t>
  </si>
  <si>
    <t>PID1189</t>
  </si>
  <si>
    <t>PID1190</t>
  </si>
  <si>
    <t>PID1191</t>
  </si>
  <si>
    <t>PID1192</t>
  </si>
  <si>
    <t>PID1193</t>
  </si>
  <si>
    <t>PID1194</t>
  </si>
  <si>
    <t>PID1195</t>
  </si>
  <si>
    <t>PID1196</t>
  </si>
  <si>
    <t>PID1197</t>
  </si>
  <si>
    <t>PID1198</t>
  </si>
  <si>
    <t>PID1199</t>
  </si>
  <si>
    <t>PID1200</t>
  </si>
  <si>
    <t>PID1201</t>
  </si>
  <si>
    <t>PID1202</t>
  </si>
  <si>
    <t>Arjun Chopra</t>
  </si>
  <si>
    <t>PID1203</t>
  </si>
  <si>
    <t>PID1204</t>
  </si>
  <si>
    <t>PID1205</t>
  </si>
  <si>
    <t>PID1206</t>
  </si>
  <si>
    <t>PID1207</t>
  </si>
  <si>
    <t>Rajesh Khanna</t>
  </si>
  <si>
    <t>PID1208</t>
  </si>
  <si>
    <t>PID1209</t>
  </si>
  <si>
    <t>PID1210</t>
  </si>
  <si>
    <t>PID1211</t>
  </si>
  <si>
    <t>PID1212</t>
  </si>
  <si>
    <t>PID1213</t>
  </si>
  <si>
    <t>PID1214</t>
  </si>
  <si>
    <t>PID1215</t>
  </si>
  <si>
    <t>PID1216</t>
  </si>
  <si>
    <t>PID1217</t>
  </si>
  <si>
    <t>PID1218</t>
  </si>
  <si>
    <t>PID1219</t>
  </si>
  <si>
    <t>PID1220</t>
  </si>
  <si>
    <t>PID1221</t>
  </si>
  <si>
    <t>PID1222</t>
  </si>
  <si>
    <t>PID1223</t>
  </si>
  <si>
    <t>Manoj Iyer</t>
  </si>
  <si>
    <t>PID1224</t>
  </si>
  <si>
    <t>PID1225</t>
  </si>
  <si>
    <t>PID1226</t>
  </si>
  <si>
    <t>PID1227</t>
  </si>
  <si>
    <t>Karan Das</t>
  </si>
  <si>
    <t>PID1228</t>
  </si>
  <si>
    <t>Ritu Rao</t>
  </si>
  <si>
    <t>PID1229</t>
  </si>
  <si>
    <t>PID1230</t>
  </si>
  <si>
    <t>PID1231</t>
  </si>
  <si>
    <t>PID1232</t>
  </si>
  <si>
    <t>PID1233</t>
  </si>
  <si>
    <t>PID1234</t>
  </si>
  <si>
    <t>PID1235</t>
  </si>
  <si>
    <t>PID1236</t>
  </si>
  <si>
    <t>PID1237</t>
  </si>
  <si>
    <t>PID1238</t>
  </si>
  <si>
    <t>PID1239</t>
  </si>
  <si>
    <t>PID1240</t>
  </si>
  <si>
    <t>PID1241</t>
  </si>
  <si>
    <t>PID1242</t>
  </si>
  <si>
    <t>PID1243</t>
  </si>
  <si>
    <t>PID1244</t>
  </si>
  <si>
    <t>Ritu Khanna</t>
  </si>
  <si>
    <t>PID1245</t>
  </si>
  <si>
    <t>PID1246</t>
  </si>
  <si>
    <t>PID1247</t>
  </si>
  <si>
    <t>PID1248</t>
  </si>
  <si>
    <t>PID1249</t>
  </si>
  <si>
    <t>PID1250</t>
  </si>
  <si>
    <t>PID1251</t>
  </si>
  <si>
    <t>PID1252</t>
  </si>
  <si>
    <t>PID1253</t>
  </si>
  <si>
    <t>PID1254</t>
  </si>
  <si>
    <t>PID1255</t>
  </si>
  <si>
    <t>PID1256</t>
  </si>
  <si>
    <t>PID1257</t>
  </si>
  <si>
    <t>PID1258</t>
  </si>
  <si>
    <t>PID1259</t>
  </si>
  <si>
    <t>PID1260</t>
  </si>
  <si>
    <t>PID1261</t>
  </si>
  <si>
    <t>PID1262</t>
  </si>
  <si>
    <t>PID1263</t>
  </si>
  <si>
    <t>PID1264</t>
  </si>
  <si>
    <t>PID1265</t>
  </si>
  <si>
    <t>PID1266</t>
  </si>
  <si>
    <t>PID1267</t>
  </si>
  <si>
    <t>PID1268</t>
  </si>
  <si>
    <t>PID1269</t>
  </si>
  <si>
    <t>PID1270</t>
  </si>
  <si>
    <t>PID1271</t>
  </si>
  <si>
    <t>PID1272</t>
  </si>
  <si>
    <t>PID1273</t>
  </si>
  <si>
    <t>PID1274</t>
  </si>
  <si>
    <t>PID1275</t>
  </si>
  <si>
    <t>PID1276</t>
  </si>
  <si>
    <t>PID1277</t>
  </si>
  <si>
    <t>Arjun Pillai</t>
  </si>
  <si>
    <t>PID1278</t>
  </si>
  <si>
    <t>PID1279</t>
  </si>
  <si>
    <t>PID1280</t>
  </si>
  <si>
    <t>PID1281</t>
  </si>
  <si>
    <t>PID1282</t>
  </si>
  <si>
    <t>PID1283</t>
  </si>
  <si>
    <t>PID1284</t>
  </si>
  <si>
    <t>PID1285</t>
  </si>
  <si>
    <t>PID1286</t>
  </si>
  <si>
    <t>PID1287</t>
  </si>
  <si>
    <t>PID1288</t>
  </si>
  <si>
    <t>PID1289</t>
  </si>
  <si>
    <t>PID1290</t>
  </si>
  <si>
    <t>PID1291</t>
  </si>
  <si>
    <t>PID1292</t>
  </si>
  <si>
    <t>PID1293</t>
  </si>
  <si>
    <t>PID1294</t>
  </si>
  <si>
    <t>PID1295</t>
  </si>
  <si>
    <t>PID1296</t>
  </si>
  <si>
    <t>PID1297</t>
  </si>
  <si>
    <t>PID1298</t>
  </si>
  <si>
    <t>PID1299</t>
  </si>
  <si>
    <t>PID1300</t>
  </si>
  <si>
    <t>PID1301</t>
  </si>
  <si>
    <t>PID1302</t>
  </si>
  <si>
    <t>PID1303</t>
  </si>
  <si>
    <t>PID1304</t>
  </si>
  <si>
    <t>Sonia Pillai</t>
  </si>
  <si>
    <t>PID1305</t>
  </si>
  <si>
    <t>Ashok Iyer</t>
  </si>
  <si>
    <t>PID1306</t>
  </si>
  <si>
    <t>PID1307</t>
  </si>
  <si>
    <t>Deepa Das</t>
  </si>
  <si>
    <t>PID1308</t>
  </si>
  <si>
    <t>PID1309</t>
  </si>
  <si>
    <t>PID1310</t>
  </si>
  <si>
    <t>PID1311</t>
  </si>
  <si>
    <t>Priya Malhotra</t>
  </si>
  <si>
    <t>PID1312</t>
  </si>
  <si>
    <t>PID1313</t>
  </si>
  <si>
    <t>PID1314</t>
  </si>
  <si>
    <t>PID1315</t>
  </si>
  <si>
    <t>PID1316</t>
  </si>
  <si>
    <t>PID1317</t>
  </si>
  <si>
    <t>PID1318</t>
  </si>
  <si>
    <t>PID1319</t>
  </si>
  <si>
    <t>PID1320</t>
  </si>
  <si>
    <t>PID1321</t>
  </si>
  <si>
    <t>PID1322</t>
  </si>
  <si>
    <t>PID1323</t>
  </si>
  <si>
    <t>PID1324</t>
  </si>
  <si>
    <t>PID1325</t>
  </si>
  <si>
    <t>PID1326</t>
  </si>
  <si>
    <t>PID1327</t>
  </si>
  <si>
    <t>PID1328</t>
  </si>
  <si>
    <t>PID1329</t>
  </si>
  <si>
    <t>PID1330</t>
  </si>
  <si>
    <t>PID1331</t>
  </si>
  <si>
    <t>PID1332</t>
  </si>
  <si>
    <t>PID1333</t>
  </si>
  <si>
    <t>PID1334</t>
  </si>
  <si>
    <t>PID1335</t>
  </si>
  <si>
    <t>PID1336</t>
  </si>
  <si>
    <t>PID1337</t>
  </si>
  <si>
    <t>PID1338</t>
  </si>
  <si>
    <t>PID1339</t>
  </si>
  <si>
    <t>PID1340</t>
  </si>
  <si>
    <t>PID1341</t>
  </si>
  <si>
    <t>PID1342</t>
  </si>
  <si>
    <t>Rohan Kumar</t>
  </si>
  <si>
    <t>PID1343</t>
  </si>
  <si>
    <t>PID1344</t>
  </si>
  <si>
    <t>PID1345</t>
  </si>
  <si>
    <t>Pooja Iyer</t>
  </si>
  <si>
    <t>PID1346</t>
  </si>
  <si>
    <t>Manoj Patel</t>
  </si>
  <si>
    <t>PID1347</t>
  </si>
  <si>
    <t>PID1348</t>
  </si>
  <si>
    <t>PID1349</t>
  </si>
  <si>
    <t>PID1350</t>
  </si>
  <si>
    <t>PID1351</t>
  </si>
  <si>
    <t>Aditya Singh</t>
  </si>
  <si>
    <t>PID1352</t>
  </si>
  <si>
    <t>PID1353</t>
  </si>
  <si>
    <t>PID1354</t>
  </si>
  <si>
    <t>PID1355</t>
  </si>
  <si>
    <t>PID1356</t>
  </si>
  <si>
    <t>PID1357</t>
  </si>
  <si>
    <t>Pooja Patel</t>
  </si>
  <si>
    <t>PID1358</t>
  </si>
  <si>
    <t>PID1359</t>
  </si>
  <si>
    <t>PID1360</t>
  </si>
  <si>
    <t>PID1361</t>
  </si>
  <si>
    <t>Manoj Menon</t>
  </si>
  <si>
    <t>PID1362</t>
  </si>
  <si>
    <t>PID1363</t>
  </si>
  <si>
    <t>PID1364</t>
  </si>
  <si>
    <t>PID1365</t>
  </si>
  <si>
    <t>PID1366</t>
  </si>
  <si>
    <t>PID1367</t>
  </si>
  <si>
    <t>PID1368</t>
  </si>
  <si>
    <t>PID1369</t>
  </si>
  <si>
    <t>PID1370</t>
  </si>
  <si>
    <t>PID1371</t>
  </si>
  <si>
    <t>Sneha Singh</t>
  </si>
  <si>
    <t>PID1372</t>
  </si>
  <si>
    <t>PID1373</t>
  </si>
  <si>
    <t>PID1374</t>
  </si>
  <si>
    <t>PID1375</t>
  </si>
  <si>
    <t>PID1376</t>
  </si>
  <si>
    <t>PID1377</t>
  </si>
  <si>
    <t>PID1378</t>
  </si>
  <si>
    <t>PID1379</t>
  </si>
  <si>
    <t>PID1380</t>
  </si>
  <si>
    <t>PID1381</t>
  </si>
  <si>
    <t>PID1382</t>
  </si>
  <si>
    <t>PID1383</t>
  </si>
  <si>
    <t>PID1384</t>
  </si>
  <si>
    <t>Nisha Shah</t>
  </si>
  <si>
    <t>PID1385</t>
  </si>
  <si>
    <t>PID1386</t>
  </si>
  <si>
    <t>PID1387</t>
  </si>
  <si>
    <t>PID1388</t>
  </si>
  <si>
    <t>PID1389</t>
  </si>
  <si>
    <t>PID1390</t>
  </si>
  <si>
    <t>PID1391</t>
  </si>
  <si>
    <t>Priya Das</t>
  </si>
  <si>
    <t>PID1392</t>
  </si>
  <si>
    <t>PID1393</t>
  </si>
  <si>
    <t>PID1394</t>
  </si>
  <si>
    <t>PID1395</t>
  </si>
  <si>
    <t>PID1396</t>
  </si>
  <si>
    <t>PID1397</t>
  </si>
  <si>
    <t>PID1398</t>
  </si>
  <si>
    <t>PID1399</t>
  </si>
  <si>
    <t>PID1400</t>
  </si>
  <si>
    <t>Rohan Singh</t>
  </si>
  <si>
    <t>PID1401</t>
  </si>
  <si>
    <t>PID1402</t>
  </si>
  <si>
    <t>PID1403</t>
  </si>
  <si>
    <t>PID1404</t>
  </si>
  <si>
    <t>PID1405</t>
  </si>
  <si>
    <t>PID1406</t>
  </si>
  <si>
    <t>PID1407</t>
  </si>
  <si>
    <t>PID1408</t>
  </si>
  <si>
    <t>PID1409</t>
  </si>
  <si>
    <t>PID1410</t>
  </si>
  <si>
    <t>PID1411</t>
  </si>
  <si>
    <t>PID1412</t>
  </si>
  <si>
    <t>PID1413</t>
  </si>
  <si>
    <t>Vijay Sharma</t>
  </si>
  <si>
    <t>PID1414</t>
  </si>
  <si>
    <t>PID1415</t>
  </si>
  <si>
    <t>PID1416</t>
  </si>
  <si>
    <t>PID1417</t>
  </si>
  <si>
    <t>PID1418</t>
  </si>
  <si>
    <t>PID1419</t>
  </si>
  <si>
    <t>Lata Reddy</t>
  </si>
  <si>
    <t>PID1420</t>
  </si>
  <si>
    <t>PID1421</t>
  </si>
  <si>
    <t>PID1422</t>
  </si>
  <si>
    <t>PID1423</t>
  </si>
  <si>
    <t>PID1424</t>
  </si>
  <si>
    <t>PID1425</t>
  </si>
  <si>
    <t>PID1426</t>
  </si>
  <si>
    <t>PID1427</t>
  </si>
  <si>
    <t>PID1428</t>
  </si>
  <si>
    <t>PID1429</t>
  </si>
  <si>
    <t>PID1430</t>
  </si>
  <si>
    <t>PID1431</t>
  </si>
  <si>
    <t>Nisha Patel</t>
  </si>
  <si>
    <t>PID1432</t>
  </si>
  <si>
    <t>PID1433</t>
  </si>
  <si>
    <t>PID1434</t>
  </si>
  <si>
    <t>PID1435</t>
  </si>
  <si>
    <t>PID1436</t>
  </si>
  <si>
    <t>PID1437</t>
  </si>
  <si>
    <t>PID1438</t>
  </si>
  <si>
    <t>PID1439</t>
  </si>
  <si>
    <t>PID1440</t>
  </si>
  <si>
    <t>PID1441</t>
  </si>
  <si>
    <t>PID1442</t>
  </si>
  <si>
    <t>PID1443</t>
  </si>
  <si>
    <t>Aditya Iyer</t>
  </si>
  <si>
    <t>PID1444</t>
  </si>
  <si>
    <t>PID1445</t>
  </si>
  <si>
    <t>PID1446</t>
  </si>
  <si>
    <t>PID1447</t>
  </si>
  <si>
    <t>PID1448</t>
  </si>
  <si>
    <t>PID1449</t>
  </si>
  <si>
    <t>PID1450</t>
  </si>
  <si>
    <t>PID1451</t>
  </si>
  <si>
    <t>Pooja Shah</t>
  </si>
  <si>
    <t>PID1452</t>
  </si>
  <si>
    <t>Deepa Rao</t>
  </si>
  <si>
    <t>PID1453</t>
  </si>
  <si>
    <t>PID1454</t>
  </si>
  <si>
    <t>PID1455</t>
  </si>
  <si>
    <t>PID1456</t>
  </si>
  <si>
    <t>PID1457</t>
  </si>
  <si>
    <t>PID1458</t>
  </si>
  <si>
    <t>PID1459</t>
  </si>
  <si>
    <t>PID1460</t>
  </si>
  <si>
    <t>PID1461</t>
  </si>
  <si>
    <t>PID1462</t>
  </si>
  <si>
    <t>PID1463</t>
  </si>
  <si>
    <t>Manoj Khanna</t>
  </si>
  <si>
    <t>PID1464</t>
  </si>
  <si>
    <t>PID1465</t>
  </si>
  <si>
    <t>PID1466</t>
  </si>
  <si>
    <t>PID1467</t>
  </si>
  <si>
    <t>PID1468</t>
  </si>
  <si>
    <t>PID1469</t>
  </si>
  <si>
    <t>PID1470</t>
  </si>
  <si>
    <t>PID1471</t>
  </si>
  <si>
    <t>Divya Chopra</t>
  </si>
  <si>
    <t>PID1472</t>
  </si>
  <si>
    <t>PID1473</t>
  </si>
  <si>
    <t>Arjun Sharma</t>
  </si>
  <si>
    <t>PID1474</t>
  </si>
  <si>
    <t>PID1475</t>
  </si>
  <si>
    <t>PID1476</t>
  </si>
  <si>
    <t>PID1477</t>
  </si>
  <si>
    <t>Suresh Reddy</t>
  </si>
  <si>
    <t>PID1478</t>
  </si>
  <si>
    <t>PID1479</t>
  </si>
  <si>
    <t>PID1480</t>
  </si>
  <si>
    <t>PID1481</t>
  </si>
  <si>
    <t>PID1482</t>
  </si>
  <si>
    <t>PID1483</t>
  </si>
  <si>
    <t>PID1484</t>
  </si>
  <si>
    <t>PID1485</t>
  </si>
  <si>
    <t>PID1486</t>
  </si>
  <si>
    <t>PID1487</t>
  </si>
  <si>
    <t>PID1488</t>
  </si>
  <si>
    <t>PID1489</t>
  </si>
  <si>
    <t>PID1490</t>
  </si>
  <si>
    <t>PID1491</t>
  </si>
  <si>
    <t>PID1492</t>
  </si>
  <si>
    <t>PID1493</t>
  </si>
  <si>
    <t>PID1494</t>
  </si>
  <si>
    <t>PID1495</t>
  </si>
  <si>
    <t>PID1496</t>
  </si>
  <si>
    <t>Manoj Mehta</t>
  </si>
  <si>
    <t>PID1497</t>
  </si>
  <si>
    <t>PID1498</t>
  </si>
  <si>
    <t>PID1499</t>
  </si>
  <si>
    <t>PID1500</t>
  </si>
  <si>
    <t>PID1501</t>
  </si>
  <si>
    <t>PID1502</t>
  </si>
  <si>
    <t>PID1503</t>
  </si>
  <si>
    <t>PID1504</t>
  </si>
  <si>
    <t>PID1505</t>
  </si>
  <si>
    <t>PID1506</t>
  </si>
  <si>
    <t>PID1507</t>
  </si>
  <si>
    <t>PID1508</t>
  </si>
  <si>
    <t>PID1509</t>
  </si>
  <si>
    <t>PID1510</t>
  </si>
  <si>
    <t>PID1511</t>
  </si>
  <si>
    <t>PID1512</t>
  </si>
  <si>
    <t>PID1513</t>
  </si>
  <si>
    <t>PID1514</t>
  </si>
  <si>
    <t>PID1515</t>
  </si>
  <si>
    <t>PID1516</t>
  </si>
  <si>
    <t>PID1517</t>
  </si>
  <si>
    <t>PID1518</t>
  </si>
  <si>
    <t>PID1519</t>
  </si>
  <si>
    <t>PID1520</t>
  </si>
  <si>
    <t>PID1521</t>
  </si>
  <si>
    <t>PID1522</t>
  </si>
  <si>
    <t>PID1523</t>
  </si>
  <si>
    <t>PID1524</t>
  </si>
  <si>
    <t>PID1525</t>
  </si>
  <si>
    <t>Sanjay Reddy</t>
  </si>
  <si>
    <t>PID1526</t>
  </si>
  <si>
    <t>PID1527</t>
  </si>
  <si>
    <t>Priya Mehta</t>
  </si>
  <si>
    <t>PID1528</t>
  </si>
  <si>
    <t>PID1529</t>
  </si>
  <si>
    <t>PID1530</t>
  </si>
  <si>
    <t>PID1531</t>
  </si>
  <si>
    <t>PID1532</t>
  </si>
  <si>
    <t>PID1533</t>
  </si>
  <si>
    <t>PID1534</t>
  </si>
  <si>
    <t>PID1535</t>
  </si>
  <si>
    <t>PID1536</t>
  </si>
  <si>
    <t>PID1537</t>
  </si>
  <si>
    <t>PID1538</t>
  </si>
  <si>
    <t>PID1539</t>
  </si>
  <si>
    <t>PID1540</t>
  </si>
  <si>
    <t>PID1541</t>
  </si>
  <si>
    <t>PID1542</t>
  </si>
  <si>
    <t>PID1543</t>
  </si>
  <si>
    <t>PID1544</t>
  </si>
  <si>
    <t>PID1545</t>
  </si>
  <si>
    <t>PID1546</t>
  </si>
  <si>
    <t>PID1547</t>
  </si>
  <si>
    <t>PID1548</t>
  </si>
  <si>
    <t>PID1549</t>
  </si>
  <si>
    <t>PID1550</t>
  </si>
  <si>
    <t>PID1551</t>
  </si>
  <si>
    <t>Deepa Chopra</t>
  </si>
  <si>
    <t>PID1552</t>
  </si>
  <si>
    <t>PID1553</t>
  </si>
  <si>
    <t>PID1554</t>
  </si>
  <si>
    <t>PID1555</t>
  </si>
  <si>
    <t>PID1556</t>
  </si>
  <si>
    <t>PID1557</t>
  </si>
  <si>
    <t>PID1558</t>
  </si>
  <si>
    <t>PID1559</t>
  </si>
  <si>
    <t>PID1560</t>
  </si>
  <si>
    <t>PID1561</t>
  </si>
  <si>
    <t>PID1562</t>
  </si>
  <si>
    <t>PID1563</t>
  </si>
  <si>
    <t>PID1564</t>
  </si>
  <si>
    <t>PID1565</t>
  </si>
  <si>
    <t>PID1566</t>
  </si>
  <si>
    <t>PID1567</t>
  </si>
  <si>
    <t>PID1568</t>
  </si>
  <si>
    <t>Karan Rao</t>
  </si>
  <si>
    <t>PID1569</t>
  </si>
  <si>
    <t>PID1570</t>
  </si>
  <si>
    <t>PID1571</t>
  </si>
  <si>
    <t>PID1572</t>
  </si>
  <si>
    <t>PID1573</t>
  </si>
  <si>
    <t>PID1574</t>
  </si>
  <si>
    <t>PID1575</t>
  </si>
  <si>
    <t>PID1576</t>
  </si>
  <si>
    <t>PID1577</t>
  </si>
  <si>
    <t>PID1578</t>
  </si>
  <si>
    <t>PID1579</t>
  </si>
  <si>
    <t>PID1580</t>
  </si>
  <si>
    <t>PID1581</t>
  </si>
  <si>
    <t>PID1582</t>
  </si>
  <si>
    <t>PID1583</t>
  </si>
  <si>
    <t>PID1584</t>
  </si>
  <si>
    <t>PID1585</t>
  </si>
  <si>
    <t>PID1586</t>
  </si>
  <si>
    <t>PID1587</t>
  </si>
  <si>
    <t>PID1588</t>
  </si>
  <si>
    <t>PID1589</t>
  </si>
  <si>
    <t>PID1590</t>
  </si>
  <si>
    <t>Arjun Gupta</t>
  </si>
  <si>
    <t>PID1591</t>
  </si>
  <si>
    <t>PID1592</t>
  </si>
  <si>
    <t>PID1593</t>
  </si>
  <si>
    <t>PID1594</t>
  </si>
  <si>
    <t>PID1595</t>
  </si>
  <si>
    <t>PID1596</t>
  </si>
  <si>
    <t>Rahul Pillai</t>
  </si>
  <si>
    <t>PID1597</t>
  </si>
  <si>
    <t>PID1598</t>
  </si>
  <si>
    <t>PID1599</t>
  </si>
  <si>
    <t>PID1600</t>
  </si>
  <si>
    <t>PID1601</t>
  </si>
  <si>
    <t>PID1602</t>
  </si>
  <si>
    <t>PID1603</t>
  </si>
  <si>
    <t>PID1604</t>
  </si>
  <si>
    <t>PID1605</t>
  </si>
  <si>
    <t>PID1606</t>
  </si>
  <si>
    <t>PID1607</t>
  </si>
  <si>
    <t>PID1608</t>
  </si>
  <si>
    <t>PID1609</t>
  </si>
  <si>
    <t>PID1610</t>
  </si>
  <si>
    <t>PID1611</t>
  </si>
  <si>
    <t>PID1612</t>
  </si>
  <si>
    <t>PID1613</t>
  </si>
  <si>
    <t>PID1614</t>
  </si>
  <si>
    <t>PID1615</t>
  </si>
  <si>
    <t>PID1616</t>
  </si>
  <si>
    <t>PID1617</t>
  </si>
  <si>
    <t>PID1618</t>
  </si>
  <si>
    <t>PID1619</t>
  </si>
  <si>
    <t>PID1620</t>
  </si>
  <si>
    <t>Nisha Singh</t>
  </si>
  <si>
    <t>PID1621</t>
  </si>
  <si>
    <t>PID1622</t>
  </si>
  <si>
    <t>PID1623</t>
  </si>
  <si>
    <t>PID1624</t>
  </si>
  <si>
    <t>PID1625</t>
  </si>
  <si>
    <t>PID1626</t>
  </si>
  <si>
    <t>PID1627</t>
  </si>
  <si>
    <t>PID1628</t>
  </si>
  <si>
    <t>Ananya Joshi</t>
  </si>
  <si>
    <t>PID1629</t>
  </si>
  <si>
    <t>PID1630</t>
  </si>
  <si>
    <t>PID1631</t>
  </si>
  <si>
    <t>PID1632</t>
  </si>
  <si>
    <t>PID1633</t>
  </si>
  <si>
    <t>PID1634</t>
  </si>
  <si>
    <t>PID1635</t>
  </si>
  <si>
    <t>PID1636</t>
  </si>
  <si>
    <t>PID1637</t>
  </si>
  <si>
    <t>PID1638</t>
  </si>
  <si>
    <t>PID1639</t>
  </si>
  <si>
    <t>PID1640</t>
  </si>
  <si>
    <t>PID1641</t>
  </si>
  <si>
    <t>Rajesh Menon</t>
  </si>
  <si>
    <t>PID1642</t>
  </si>
  <si>
    <t>PID1643</t>
  </si>
  <si>
    <t>PID1644</t>
  </si>
  <si>
    <t>PID1645</t>
  </si>
  <si>
    <t>PID1646</t>
  </si>
  <si>
    <t>PID1647</t>
  </si>
  <si>
    <t>PID1648</t>
  </si>
  <si>
    <t>PID1649</t>
  </si>
  <si>
    <t>PID1650</t>
  </si>
  <si>
    <t>PID1651</t>
  </si>
  <si>
    <t>PID1652</t>
  </si>
  <si>
    <t>PID1653</t>
  </si>
  <si>
    <t>PID1654</t>
  </si>
  <si>
    <t>PID1655</t>
  </si>
  <si>
    <t>PID1656</t>
  </si>
  <si>
    <t>PID1657</t>
  </si>
  <si>
    <t>PID1658</t>
  </si>
  <si>
    <t>PID1659</t>
  </si>
  <si>
    <t>PID1660</t>
  </si>
  <si>
    <t>PID1661</t>
  </si>
  <si>
    <t>PID1662</t>
  </si>
  <si>
    <t>PID1663</t>
  </si>
  <si>
    <t>PID1664</t>
  </si>
  <si>
    <t>PID1665</t>
  </si>
  <si>
    <t>PID1666</t>
  </si>
  <si>
    <t>PID1667</t>
  </si>
  <si>
    <t>PID1668</t>
  </si>
  <si>
    <t>PID1669</t>
  </si>
  <si>
    <t>PID1670</t>
  </si>
  <si>
    <t>PID1671</t>
  </si>
  <si>
    <t>PID1672</t>
  </si>
  <si>
    <t>PID1673</t>
  </si>
  <si>
    <t>PID1674</t>
  </si>
  <si>
    <t>PID1675</t>
  </si>
  <si>
    <t>PID1676</t>
  </si>
  <si>
    <t>PID1677</t>
  </si>
  <si>
    <t>PID1678</t>
  </si>
  <si>
    <t>PID1679</t>
  </si>
  <si>
    <t>PID1680</t>
  </si>
  <si>
    <t>PID1681</t>
  </si>
  <si>
    <t>Vikram Sharma</t>
  </si>
  <si>
    <t>PID1682</t>
  </si>
  <si>
    <t>PID1683</t>
  </si>
  <si>
    <t>PID1684</t>
  </si>
  <si>
    <t>PID1685</t>
  </si>
  <si>
    <t>PID1686</t>
  </si>
  <si>
    <t>PID1687</t>
  </si>
  <si>
    <t>PID1688</t>
  </si>
  <si>
    <t>PID1689</t>
  </si>
  <si>
    <t>PID1690</t>
  </si>
  <si>
    <t>PID1691</t>
  </si>
  <si>
    <t>PID1692</t>
  </si>
  <si>
    <t>PID1693</t>
  </si>
  <si>
    <t>PID1694</t>
  </si>
  <si>
    <t>PID1695</t>
  </si>
  <si>
    <t>Karan Mehta</t>
  </si>
  <si>
    <t>PID1696</t>
  </si>
  <si>
    <t>PID1697</t>
  </si>
  <si>
    <t>PID1698</t>
  </si>
  <si>
    <t>PID1699</t>
  </si>
  <si>
    <t>PID1700</t>
  </si>
  <si>
    <t>PID1701</t>
  </si>
  <si>
    <t>PID1702</t>
  </si>
  <si>
    <t>PID1703</t>
  </si>
  <si>
    <t>PID1704</t>
  </si>
  <si>
    <t>PID1705</t>
  </si>
  <si>
    <t>PID1706</t>
  </si>
  <si>
    <t>PID1707</t>
  </si>
  <si>
    <t>PID1708</t>
  </si>
  <si>
    <t>PID1709</t>
  </si>
  <si>
    <t>PID1710</t>
  </si>
  <si>
    <t>PID1711</t>
  </si>
  <si>
    <t>PID1712</t>
  </si>
  <si>
    <t>PID1713</t>
  </si>
  <si>
    <t>PID1714</t>
  </si>
  <si>
    <t>PID1715</t>
  </si>
  <si>
    <t>PID1716</t>
  </si>
  <si>
    <t>PID1717</t>
  </si>
  <si>
    <t>PID1718</t>
  </si>
  <si>
    <t>PID1719</t>
  </si>
  <si>
    <t>PID1720</t>
  </si>
  <si>
    <t>PID1721</t>
  </si>
  <si>
    <t>PID1722</t>
  </si>
  <si>
    <t>PID1723</t>
  </si>
  <si>
    <t>Ashok Nair</t>
  </si>
  <si>
    <t>PID1724</t>
  </si>
  <si>
    <t>PID1725</t>
  </si>
  <si>
    <t>PID1726</t>
  </si>
  <si>
    <t>PID1727</t>
  </si>
  <si>
    <t>PID1728</t>
  </si>
  <si>
    <t>PID1729</t>
  </si>
  <si>
    <t>PID1730</t>
  </si>
  <si>
    <t>PID1731</t>
  </si>
  <si>
    <t>PID1732</t>
  </si>
  <si>
    <t>PID1733</t>
  </si>
  <si>
    <t>PID1734</t>
  </si>
  <si>
    <t>PID1735</t>
  </si>
  <si>
    <t>Sneha Mehta</t>
  </si>
  <si>
    <t>PID1736</t>
  </si>
  <si>
    <t>PID1737</t>
  </si>
  <si>
    <t>PID1738</t>
  </si>
  <si>
    <t>PID1739</t>
  </si>
  <si>
    <t>PID1740</t>
  </si>
  <si>
    <t>PID1741</t>
  </si>
  <si>
    <t>PID1742</t>
  </si>
  <si>
    <t>PID1743</t>
  </si>
  <si>
    <t>PID1744</t>
  </si>
  <si>
    <t>PID1745</t>
  </si>
  <si>
    <t>PID1746</t>
  </si>
  <si>
    <t>PID1747</t>
  </si>
  <si>
    <t>PID1748</t>
  </si>
  <si>
    <t>PID1749</t>
  </si>
  <si>
    <t>PID1750</t>
  </si>
  <si>
    <t>PID1751</t>
  </si>
  <si>
    <t>PID1752</t>
  </si>
  <si>
    <t>PID1753</t>
  </si>
  <si>
    <t>PID1754</t>
  </si>
  <si>
    <t>PID1755</t>
  </si>
  <si>
    <t>PID1756</t>
  </si>
  <si>
    <t>PID1757</t>
  </si>
  <si>
    <t>PID1758</t>
  </si>
  <si>
    <t>PID1759</t>
  </si>
  <si>
    <t>PID1760</t>
  </si>
  <si>
    <t>PID1761</t>
  </si>
  <si>
    <t>PID1762</t>
  </si>
  <si>
    <t>PID1763</t>
  </si>
  <si>
    <t>PID1764</t>
  </si>
  <si>
    <t>PID1765</t>
  </si>
  <si>
    <t>PID1766</t>
  </si>
  <si>
    <t>PID1767</t>
  </si>
  <si>
    <t>PID1768</t>
  </si>
  <si>
    <t>Geeta Rao</t>
  </si>
  <si>
    <t>PID1769</t>
  </si>
  <si>
    <t>PID1770</t>
  </si>
  <si>
    <t>PID1771</t>
  </si>
  <si>
    <t>PID1772</t>
  </si>
  <si>
    <t>PID1773</t>
  </si>
  <si>
    <t>PID1774</t>
  </si>
  <si>
    <t>PID1775</t>
  </si>
  <si>
    <t>PID1776</t>
  </si>
  <si>
    <t>PID1777</t>
  </si>
  <si>
    <t>PID1778</t>
  </si>
  <si>
    <t>PID1779</t>
  </si>
  <si>
    <t>PID1780</t>
  </si>
  <si>
    <t>PID1781</t>
  </si>
  <si>
    <t>PID1782</t>
  </si>
  <si>
    <t>PID1783</t>
  </si>
  <si>
    <t>PID1784</t>
  </si>
  <si>
    <t>PID1785</t>
  </si>
  <si>
    <t>PID1786</t>
  </si>
  <si>
    <t>PID1787</t>
  </si>
  <si>
    <t>PID1788</t>
  </si>
  <si>
    <t>PID1789</t>
  </si>
  <si>
    <t>PID1790</t>
  </si>
  <si>
    <t>PID1791</t>
  </si>
  <si>
    <t>PID1792</t>
  </si>
  <si>
    <t>PID1793</t>
  </si>
  <si>
    <t>PID1794</t>
  </si>
  <si>
    <t>PID1795</t>
  </si>
  <si>
    <t>PID1796</t>
  </si>
  <si>
    <t>PID1797</t>
  </si>
  <si>
    <t>PID1798</t>
  </si>
  <si>
    <t>PID1799</t>
  </si>
  <si>
    <t>PID1800</t>
  </si>
  <si>
    <t>PID1801</t>
  </si>
  <si>
    <t>PID1802</t>
  </si>
  <si>
    <t>Arjun Das</t>
  </si>
  <si>
    <t>PID1803</t>
  </si>
  <si>
    <t>PID1804</t>
  </si>
  <si>
    <t>PID1805</t>
  </si>
  <si>
    <t>PID1806</t>
  </si>
  <si>
    <t>PID1807</t>
  </si>
  <si>
    <t>PID1808</t>
  </si>
  <si>
    <t>PID1809</t>
  </si>
  <si>
    <t>PID1810</t>
  </si>
  <si>
    <t>PID1811</t>
  </si>
  <si>
    <t>PID1812</t>
  </si>
  <si>
    <t>PID1813</t>
  </si>
  <si>
    <t>PID1814</t>
  </si>
  <si>
    <t>PID1815</t>
  </si>
  <si>
    <t>PID1816</t>
  </si>
  <si>
    <t>PID1817</t>
  </si>
  <si>
    <t>PID1818</t>
  </si>
  <si>
    <t>PID1819</t>
  </si>
  <si>
    <t>PID1820</t>
  </si>
  <si>
    <t>PID1821</t>
  </si>
  <si>
    <t>PID1822</t>
  </si>
  <si>
    <t>PID1823</t>
  </si>
  <si>
    <t>PID1824</t>
  </si>
  <si>
    <t>PID1825</t>
  </si>
  <si>
    <t>PID1826</t>
  </si>
  <si>
    <t>PID1827</t>
  </si>
  <si>
    <t>PID1828</t>
  </si>
  <si>
    <t>PID1829</t>
  </si>
  <si>
    <t>PID1830</t>
  </si>
  <si>
    <t>PID1831</t>
  </si>
  <si>
    <t>PID1832</t>
  </si>
  <si>
    <t>PID1833</t>
  </si>
  <si>
    <t>PID1834</t>
  </si>
  <si>
    <t>PID1835</t>
  </si>
  <si>
    <t>PID1836</t>
  </si>
  <si>
    <t>PID1837</t>
  </si>
  <si>
    <t>PID1838</t>
  </si>
  <si>
    <t>PID1839</t>
  </si>
  <si>
    <t>PID1840</t>
  </si>
  <si>
    <t>PID1841</t>
  </si>
  <si>
    <t>PID1842</t>
  </si>
  <si>
    <t>PID1843</t>
  </si>
  <si>
    <t>PID1844</t>
  </si>
  <si>
    <t>PID1845</t>
  </si>
  <si>
    <t>PID1846</t>
  </si>
  <si>
    <t>PID1847</t>
  </si>
  <si>
    <t>PID1848</t>
  </si>
  <si>
    <t>PID1849</t>
  </si>
  <si>
    <t>PID1850</t>
  </si>
  <si>
    <t>PID1851</t>
  </si>
  <si>
    <t>PID1852</t>
  </si>
  <si>
    <t>PID1853</t>
  </si>
  <si>
    <t>PID1854</t>
  </si>
  <si>
    <t>PID1855</t>
  </si>
  <si>
    <t>PID1856</t>
  </si>
  <si>
    <t>PID1857</t>
  </si>
  <si>
    <t>PID1858</t>
  </si>
  <si>
    <t>PID1859</t>
  </si>
  <si>
    <t>PID1860</t>
  </si>
  <si>
    <t>PID1861</t>
  </si>
  <si>
    <t>PID1862</t>
  </si>
  <si>
    <t>PID1863</t>
  </si>
  <si>
    <t>PID1864</t>
  </si>
  <si>
    <t>PID1865</t>
  </si>
  <si>
    <t>PID1866</t>
  </si>
  <si>
    <t>PID1867</t>
  </si>
  <si>
    <t>PID1868</t>
  </si>
  <si>
    <t>PID1869</t>
  </si>
  <si>
    <t>PID1870</t>
  </si>
  <si>
    <t>PID1871</t>
  </si>
  <si>
    <t>PID1872</t>
  </si>
  <si>
    <t>PID1873</t>
  </si>
  <si>
    <t>PID1874</t>
  </si>
  <si>
    <t>PID1875</t>
  </si>
  <si>
    <t>PID1876</t>
  </si>
  <si>
    <t>Ritu Nair</t>
  </si>
  <si>
    <t>PID1877</t>
  </si>
  <si>
    <t>PID1878</t>
  </si>
  <si>
    <t>PID1879</t>
  </si>
  <si>
    <t>PID1880</t>
  </si>
  <si>
    <t>PID1881</t>
  </si>
  <si>
    <t>PID1882</t>
  </si>
  <si>
    <t>PID1883</t>
  </si>
  <si>
    <t>PID1884</t>
  </si>
  <si>
    <t>PID1885</t>
  </si>
  <si>
    <t>PID1886</t>
  </si>
  <si>
    <t>PID1887</t>
  </si>
  <si>
    <t>PID1888</t>
  </si>
  <si>
    <t>PID1889</t>
  </si>
  <si>
    <t>PID1890</t>
  </si>
  <si>
    <t>PID1891</t>
  </si>
  <si>
    <t>PID1892</t>
  </si>
  <si>
    <t>PID1893</t>
  </si>
  <si>
    <t>PID1894</t>
  </si>
  <si>
    <t>PID1895</t>
  </si>
  <si>
    <t>PID1896</t>
  </si>
  <si>
    <t>PID1897</t>
  </si>
  <si>
    <t>PID1898</t>
  </si>
  <si>
    <t>Geeta Das</t>
  </si>
  <si>
    <t>PID1899</t>
  </si>
  <si>
    <t>PID1900</t>
  </si>
  <si>
    <t>PID1901</t>
  </si>
  <si>
    <t>PID1902</t>
  </si>
  <si>
    <t>PID1903</t>
  </si>
  <si>
    <t>PID1904</t>
  </si>
  <si>
    <t>PID1905</t>
  </si>
  <si>
    <t>PID1906</t>
  </si>
  <si>
    <t>PID1907</t>
  </si>
  <si>
    <t>PID1908</t>
  </si>
  <si>
    <t>PID1909</t>
  </si>
  <si>
    <t>PID1910</t>
  </si>
  <si>
    <t>PID1911</t>
  </si>
  <si>
    <t>PID1912</t>
  </si>
  <si>
    <t>PID1913</t>
  </si>
  <si>
    <t>PID1914</t>
  </si>
  <si>
    <t>PID1915</t>
  </si>
  <si>
    <t>PID1916</t>
  </si>
  <si>
    <t>PID1917</t>
  </si>
  <si>
    <t>PID1918</t>
  </si>
  <si>
    <t>PID1919</t>
  </si>
  <si>
    <t>Ananya Bose</t>
  </si>
  <si>
    <t>PID1920</t>
  </si>
  <si>
    <t>PID1921</t>
  </si>
  <si>
    <t>PID1922</t>
  </si>
  <si>
    <t>PID1923</t>
  </si>
  <si>
    <t>PID1924</t>
  </si>
  <si>
    <t>PID1925</t>
  </si>
  <si>
    <t>PID1926</t>
  </si>
  <si>
    <t>PID1927</t>
  </si>
  <si>
    <t>PID1928</t>
  </si>
  <si>
    <t>PID1929</t>
  </si>
  <si>
    <t>PID1930</t>
  </si>
  <si>
    <t>PID1931</t>
  </si>
  <si>
    <t>PID1932</t>
  </si>
  <si>
    <t>PID1933</t>
  </si>
  <si>
    <t>PID1934</t>
  </si>
  <si>
    <t>PID1935</t>
  </si>
  <si>
    <t>PID1936</t>
  </si>
  <si>
    <t>PID1937</t>
  </si>
  <si>
    <t>PID1938</t>
  </si>
  <si>
    <t>PID1939</t>
  </si>
  <si>
    <t>PID1940</t>
  </si>
  <si>
    <t>Mukesh Khanna</t>
  </si>
  <si>
    <t>PID1941</t>
  </si>
  <si>
    <t>PID1942</t>
  </si>
  <si>
    <t>PID1943</t>
  </si>
  <si>
    <t>PID1944</t>
  </si>
  <si>
    <t>PID1945</t>
  </si>
  <si>
    <t>PID1946</t>
  </si>
  <si>
    <t>PID1947</t>
  </si>
  <si>
    <t>PID1948</t>
  </si>
  <si>
    <t>PID1949</t>
  </si>
  <si>
    <t>PID1950</t>
  </si>
  <si>
    <t>PID1951</t>
  </si>
  <si>
    <t>PID1952</t>
  </si>
  <si>
    <t>PID1953</t>
  </si>
  <si>
    <t>PID1954</t>
  </si>
  <si>
    <t>PID1955</t>
  </si>
  <si>
    <t>PID1956</t>
  </si>
  <si>
    <t>PID1957</t>
  </si>
  <si>
    <t>Pooja Verma</t>
  </si>
  <si>
    <t>PID1958</t>
  </si>
  <si>
    <t>PID1959</t>
  </si>
  <si>
    <t>PID1960</t>
  </si>
  <si>
    <t>PID1961</t>
  </si>
  <si>
    <t>PID1962</t>
  </si>
  <si>
    <t>PID1963</t>
  </si>
  <si>
    <t>PID1964</t>
  </si>
  <si>
    <t>PID1965</t>
  </si>
  <si>
    <t>PID1966</t>
  </si>
  <si>
    <t>PID1967</t>
  </si>
  <si>
    <t>PID1968</t>
  </si>
  <si>
    <t>PID1969</t>
  </si>
  <si>
    <t>PID1970</t>
  </si>
  <si>
    <t>PID1971</t>
  </si>
  <si>
    <t>PID1972</t>
  </si>
  <si>
    <t>PID1973</t>
  </si>
  <si>
    <t>PID1974</t>
  </si>
  <si>
    <t>PID1975</t>
  </si>
  <si>
    <t>PID1976</t>
  </si>
  <si>
    <t>PID1977</t>
  </si>
  <si>
    <t>PID1978</t>
  </si>
  <si>
    <t>PID1979</t>
  </si>
  <si>
    <t>PID1980</t>
  </si>
  <si>
    <t>PID1981</t>
  </si>
  <si>
    <t>PID1982</t>
  </si>
  <si>
    <t>PID1983</t>
  </si>
  <si>
    <t>PID1984</t>
  </si>
  <si>
    <t>PID1985</t>
  </si>
  <si>
    <t>PID1986</t>
  </si>
  <si>
    <t>PID1987</t>
  </si>
  <si>
    <t>PID1988</t>
  </si>
  <si>
    <t>PID1989</t>
  </si>
  <si>
    <t>PID1990</t>
  </si>
  <si>
    <t>PID1991</t>
  </si>
  <si>
    <t>PID1992</t>
  </si>
  <si>
    <t>PID1993</t>
  </si>
  <si>
    <t>PID1994</t>
  </si>
  <si>
    <t>PID1995</t>
  </si>
  <si>
    <t>PID1996</t>
  </si>
  <si>
    <t>PID1997</t>
  </si>
  <si>
    <t>PID1998</t>
  </si>
  <si>
    <t>PID1999</t>
  </si>
  <si>
    <t>PID2000</t>
  </si>
  <si>
    <t>PID2001</t>
  </si>
  <si>
    <t>PID2002</t>
  </si>
  <si>
    <t>PID2003</t>
  </si>
  <si>
    <t>PID2004</t>
  </si>
  <si>
    <t>PID2005</t>
  </si>
  <si>
    <t>PID2006</t>
  </si>
  <si>
    <t>PID2007</t>
  </si>
  <si>
    <t>PID2008</t>
  </si>
  <si>
    <t>PID2009</t>
  </si>
  <si>
    <t>Mukesh Reddy</t>
  </si>
  <si>
    <t>PID2010</t>
  </si>
  <si>
    <t>PID2011</t>
  </si>
  <si>
    <t>PID2012</t>
  </si>
  <si>
    <t>PID2013</t>
  </si>
  <si>
    <t>PID2014</t>
  </si>
  <si>
    <t>PID2015</t>
  </si>
  <si>
    <t>PID2016</t>
  </si>
  <si>
    <t>Rekha Sharma</t>
  </si>
  <si>
    <t>PID2017</t>
  </si>
  <si>
    <t>PID2018</t>
  </si>
  <si>
    <t>PID2019</t>
  </si>
  <si>
    <t>PID2020</t>
  </si>
  <si>
    <t>PID2021</t>
  </si>
  <si>
    <t>PID2022</t>
  </si>
  <si>
    <t>PID2023</t>
  </si>
  <si>
    <t>PID2024</t>
  </si>
  <si>
    <t>PID2025</t>
  </si>
  <si>
    <t>PID2026</t>
  </si>
  <si>
    <t>PID2027</t>
  </si>
  <si>
    <t>PID2028</t>
  </si>
  <si>
    <t>PID2029</t>
  </si>
  <si>
    <t>PID2030</t>
  </si>
  <si>
    <t>PID2031</t>
  </si>
  <si>
    <t>PID2032</t>
  </si>
  <si>
    <t>PID2033</t>
  </si>
  <si>
    <t>PID2034</t>
  </si>
  <si>
    <t>PID2035</t>
  </si>
  <si>
    <t>PID2036</t>
  </si>
  <si>
    <t>PID2037</t>
  </si>
  <si>
    <t>PID2038</t>
  </si>
  <si>
    <t>PID2039</t>
  </si>
  <si>
    <t>PID2040</t>
  </si>
  <si>
    <t>PID2041</t>
  </si>
  <si>
    <t>PID2042</t>
  </si>
  <si>
    <t>PID2043</t>
  </si>
  <si>
    <t>PID2044</t>
  </si>
  <si>
    <t>PID2045</t>
  </si>
  <si>
    <t>PID2046</t>
  </si>
  <si>
    <t>PID2047</t>
  </si>
  <si>
    <t>Rajesh Das</t>
  </si>
  <si>
    <t>PID2048</t>
  </si>
  <si>
    <t>PID2049</t>
  </si>
  <si>
    <t>PID2050</t>
  </si>
  <si>
    <t>Rahul Iyer</t>
  </si>
  <si>
    <t>PID2051</t>
  </si>
  <si>
    <t>PID2052</t>
  </si>
  <si>
    <t>PID2053</t>
  </si>
  <si>
    <t>PID2054</t>
  </si>
  <si>
    <t>PID2055</t>
  </si>
  <si>
    <t>PID2056</t>
  </si>
  <si>
    <t>PID2057</t>
  </si>
  <si>
    <t>PID2058</t>
  </si>
  <si>
    <t>PID2059</t>
  </si>
  <si>
    <t>PID2060</t>
  </si>
  <si>
    <t>PID2061</t>
  </si>
  <si>
    <t>PID2062</t>
  </si>
  <si>
    <t>PID2063</t>
  </si>
  <si>
    <t>PID2064</t>
  </si>
  <si>
    <t>PID2065</t>
  </si>
  <si>
    <t>PID2066</t>
  </si>
  <si>
    <t>PID2067</t>
  </si>
  <si>
    <t>PID2068</t>
  </si>
  <si>
    <t>PID2069</t>
  </si>
  <si>
    <t>PID2070</t>
  </si>
  <si>
    <t>PID2071</t>
  </si>
  <si>
    <t>PID2072</t>
  </si>
  <si>
    <t>PID2073</t>
  </si>
  <si>
    <t>PID2074</t>
  </si>
  <si>
    <t>PID2075</t>
  </si>
  <si>
    <t>PID2076</t>
  </si>
  <si>
    <t>PID2077</t>
  </si>
  <si>
    <t>Deepa Verma</t>
  </si>
  <si>
    <t>PID2078</t>
  </si>
  <si>
    <t>PID2079</t>
  </si>
  <si>
    <t>PID2080</t>
  </si>
  <si>
    <t>PID2081</t>
  </si>
  <si>
    <t>PID2082</t>
  </si>
  <si>
    <t>PID2083</t>
  </si>
  <si>
    <t>PID2084</t>
  </si>
  <si>
    <t>PID2085</t>
  </si>
  <si>
    <t>PID2086</t>
  </si>
  <si>
    <t>PID2087</t>
  </si>
  <si>
    <t>PID2088</t>
  </si>
  <si>
    <t>PID2089</t>
  </si>
  <si>
    <t>PID2090</t>
  </si>
  <si>
    <t>PID2091</t>
  </si>
  <si>
    <t>PID2092</t>
  </si>
  <si>
    <t>PID2093</t>
  </si>
  <si>
    <t>PID2094</t>
  </si>
  <si>
    <t>PID2095</t>
  </si>
  <si>
    <t>PID2096</t>
  </si>
  <si>
    <t>PID2097</t>
  </si>
  <si>
    <t>PID2098</t>
  </si>
  <si>
    <t>PID2099</t>
  </si>
  <si>
    <t>PID2100</t>
  </si>
  <si>
    <t>PID2101</t>
  </si>
  <si>
    <t>Mukesh Chopra</t>
  </si>
  <si>
    <t>PID2102</t>
  </si>
  <si>
    <t>PID2103</t>
  </si>
  <si>
    <t>PID2104</t>
  </si>
  <si>
    <t>PID2105</t>
  </si>
  <si>
    <t>PID2106</t>
  </si>
  <si>
    <t>PID2107</t>
  </si>
  <si>
    <t>PID2108</t>
  </si>
  <si>
    <t>PID2109</t>
  </si>
  <si>
    <t>PID2110</t>
  </si>
  <si>
    <t>PID2111</t>
  </si>
  <si>
    <t>PID2112</t>
  </si>
  <si>
    <t>PID2113</t>
  </si>
  <si>
    <t>PID2114</t>
  </si>
  <si>
    <t>PID2115</t>
  </si>
  <si>
    <t>PID2116</t>
  </si>
  <si>
    <t>PID2117</t>
  </si>
  <si>
    <t>PID2118</t>
  </si>
  <si>
    <t>PID2119</t>
  </si>
  <si>
    <t>PID2120</t>
  </si>
  <si>
    <t>PID2121</t>
  </si>
  <si>
    <t>PID2122</t>
  </si>
  <si>
    <t>PID2123</t>
  </si>
  <si>
    <t>PID2124</t>
  </si>
  <si>
    <t>PID2125</t>
  </si>
  <si>
    <t>PID2126</t>
  </si>
  <si>
    <t>PID2127</t>
  </si>
  <si>
    <t>PID2128</t>
  </si>
  <si>
    <t>Lata Chopra</t>
  </si>
  <si>
    <t>PID2129</t>
  </si>
  <si>
    <t>PID2130</t>
  </si>
  <si>
    <t>PID2131</t>
  </si>
  <si>
    <t>PID2132</t>
  </si>
  <si>
    <t>PID2133</t>
  </si>
  <si>
    <t>PID2134</t>
  </si>
  <si>
    <t>PID2135</t>
  </si>
  <si>
    <t>PID2136</t>
  </si>
  <si>
    <t>PID2137</t>
  </si>
  <si>
    <t>PID2138</t>
  </si>
  <si>
    <t>PID2139</t>
  </si>
  <si>
    <t>PID2140</t>
  </si>
  <si>
    <t>PID2141</t>
  </si>
  <si>
    <t>PID2142</t>
  </si>
  <si>
    <t>PID2143</t>
  </si>
  <si>
    <t>PID2144</t>
  </si>
  <si>
    <t>PID2145</t>
  </si>
  <si>
    <t>PID2146</t>
  </si>
  <si>
    <t>PID2147</t>
  </si>
  <si>
    <t>PID2148</t>
  </si>
  <si>
    <t>PID2149</t>
  </si>
  <si>
    <t>PID2150</t>
  </si>
  <si>
    <t>PID2151</t>
  </si>
  <si>
    <t>PID2152</t>
  </si>
  <si>
    <t>PID2153</t>
  </si>
  <si>
    <t>PID2154</t>
  </si>
  <si>
    <t>PID2155</t>
  </si>
  <si>
    <t>PID2156</t>
  </si>
  <si>
    <t>PID2157</t>
  </si>
  <si>
    <t>PID2158</t>
  </si>
  <si>
    <t>PID2159</t>
  </si>
  <si>
    <t>PID2160</t>
  </si>
  <si>
    <t>PID2161</t>
  </si>
  <si>
    <t>PID2162</t>
  </si>
  <si>
    <t>PID2163</t>
  </si>
  <si>
    <t>PID2164</t>
  </si>
  <si>
    <t>PID2165</t>
  </si>
  <si>
    <t>PID2166</t>
  </si>
  <si>
    <t>PID2167</t>
  </si>
  <si>
    <t>PID2168</t>
  </si>
  <si>
    <t>PID2169</t>
  </si>
  <si>
    <t>PID2170</t>
  </si>
  <si>
    <t>PID2171</t>
  </si>
  <si>
    <t>PID2172</t>
  </si>
  <si>
    <t>PID2173</t>
  </si>
  <si>
    <t>PID2174</t>
  </si>
  <si>
    <t>PID2175</t>
  </si>
  <si>
    <t>PID2176</t>
  </si>
  <si>
    <t>PID2177</t>
  </si>
  <si>
    <t>PID2178</t>
  </si>
  <si>
    <t>PID2179</t>
  </si>
  <si>
    <t>PID2180</t>
  </si>
  <si>
    <t>PID2181</t>
  </si>
  <si>
    <t>PID2182</t>
  </si>
  <si>
    <t>PID2183</t>
  </si>
  <si>
    <t>PID2184</t>
  </si>
  <si>
    <t>PID2185</t>
  </si>
  <si>
    <t>PID2186</t>
  </si>
  <si>
    <t>PID2187</t>
  </si>
  <si>
    <t>PID2188</t>
  </si>
  <si>
    <t>PID2189</t>
  </si>
  <si>
    <t>PID2190</t>
  </si>
  <si>
    <t>PID2191</t>
  </si>
  <si>
    <t>PID2192</t>
  </si>
  <si>
    <t>PID2193</t>
  </si>
  <si>
    <t>PID2194</t>
  </si>
  <si>
    <t>PID2195</t>
  </si>
  <si>
    <t>PID2196</t>
  </si>
  <si>
    <t>PID2197</t>
  </si>
  <si>
    <t>PID2198</t>
  </si>
  <si>
    <t>PID2199</t>
  </si>
  <si>
    <t>PID2200</t>
  </si>
  <si>
    <t>PID2201</t>
  </si>
  <si>
    <t>PID2202</t>
  </si>
  <si>
    <t>PID2203</t>
  </si>
  <si>
    <t>PID2204</t>
  </si>
  <si>
    <t>PID2205</t>
  </si>
  <si>
    <t>PID2206</t>
  </si>
  <si>
    <t>PID2207</t>
  </si>
  <si>
    <t>PID2208</t>
  </si>
  <si>
    <t>PID2209</t>
  </si>
  <si>
    <t>PID2210</t>
  </si>
  <si>
    <t>PID2211</t>
  </si>
  <si>
    <t>PID2212</t>
  </si>
  <si>
    <t>PID2213</t>
  </si>
  <si>
    <t>PID2214</t>
  </si>
  <si>
    <t>PID2215</t>
  </si>
  <si>
    <t>PID2216</t>
  </si>
  <si>
    <t>PID2217</t>
  </si>
  <si>
    <t>PID2218</t>
  </si>
  <si>
    <t>PID2219</t>
  </si>
  <si>
    <t>PID2220</t>
  </si>
  <si>
    <t>PID2221</t>
  </si>
  <si>
    <t>PID2222</t>
  </si>
  <si>
    <t>PID2223</t>
  </si>
  <si>
    <t>PID2224</t>
  </si>
  <si>
    <t>PID2225</t>
  </si>
  <si>
    <t>PID2226</t>
  </si>
  <si>
    <t>PID2227</t>
  </si>
  <si>
    <t>PID2228</t>
  </si>
  <si>
    <t>PID2229</t>
  </si>
  <si>
    <t>PID2230</t>
  </si>
  <si>
    <t>PID2231</t>
  </si>
  <si>
    <t>PID2232</t>
  </si>
  <si>
    <t>PID2233</t>
  </si>
  <si>
    <t>PID2234</t>
  </si>
  <si>
    <t>PID2235</t>
  </si>
  <si>
    <t>PID2236</t>
  </si>
  <si>
    <t>PID2237</t>
  </si>
  <si>
    <t>PID2238</t>
  </si>
  <si>
    <t>PID2239</t>
  </si>
  <si>
    <t>PID2240</t>
  </si>
  <si>
    <t>PID2241</t>
  </si>
  <si>
    <t>PID2242</t>
  </si>
  <si>
    <t>PID2243</t>
  </si>
  <si>
    <t>PID2244</t>
  </si>
  <si>
    <t>PID2245</t>
  </si>
  <si>
    <t>PID2246</t>
  </si>
  <si>
    <t>PID2247</t>
  </si>
  <si>
    <t>PID2248</t>
  </si>
  <si>
    <t>PID2249</t>
  </si>
  <si>
    <t>PID2250</t>
  </si>
  <si>
    <t>PID2251</t>
  </si>
  <si>
    <t>PID2252</t>
  </si>
  <si>
    <t>PID2253</t>
  </si>
  <si>
    <t>PID2254</t>
  </si>
  <si>
    <t>PID2255</t>
  </si>
  <si>
    <t>PID2256</t>
  </si>
  <si>
    <t>Geeta Iyer</t>
  </si>
  <si>
    <t>PID2257</t>
  </si>
  <si>
    <t>PID2258</t>
  </si>
  <si>
    <t>PID2259</t>
  </si>
  <si>
    <t>PID2260</t>
  </si>
  <si>
    <t>PID2261</t>
  </si>
  <si>
    <t>PID2262</t>
  </si>
  <si>
    <t>PID2263</t>
  </si>
  <si>
    <t>PID2264</t>
  </si>
  <si>
    <t>PID2265</t>
  </si>
  <si>
    <t>PID2266</t>
  </si>
  <si>
    <t>PID2267</t>
  </si>
  <si>
    <t>PID2268</t>
  </si>
  <si>
    <t>PID2269</t>
  </si>
  <si>
    <t>PID2270</t>
  </si>
  <si>
    <t>PID2271</t>
  </si>
  <si>
    <t>PID2272</t>
  </si>
  <si>
    <t>PID2273</t>
  </si>
  <si>
    <t>PID2274</t>
  </si>
  <si>
    <t>PID2275</t>
  </si>
  <si>
    <t>PID2276</t>
  </si>
  <si>
    <t>PID2277</t>
  </si>
  <si>
    <t>PID2278</t>
  </si>
  <si>
    <t>PID2279</t>
  </si>
  <si>
    <t>PID2280</t>
  </si>
  <si>
    <t>PID2281</t>
  </si>
  <si>
    <t>PID2282</t>
  </si>
  <si>
    <t>PID2283</t>
  </si>
  <si>
    <t>PID2284</t>
  </si>
  <si>
    <t>PID2285</t>
  </si>
  <si>
    <t>PID2286</t>
  </si>
  <si>
    <t>Amit Gupta</t>
  </si>
  <si>
    <t>PID2287</t>
  </si>
  <si>
    <t>PID2288</t>
  </si>
  <si>
    <t>PID2289</t>
  </si>
  <si>
    <t>PID2290</t>
  </si>
  <si>
    <t>PID2291</t>
  </si>
  <si>
    <t>PID2292</t>
  </si>
  <si>
    <t>PID2293</t>
  </si>
  <si>
    <t>PID2294</t>
  </si>
  <si>
    <t>PID2295</t>
  </si>
  <si>
    <t>PID2296</t>
  </si>
  <si>
    <t>PID2297</t>
  </si>
  <si>
    <t>PID2298</t>
  </si>
  <si>
    <t>PID2299</t>
  </si>
  <si>
    <t>PID2300</t>
  </si>
  <si>
    <t>PID2301</t>
  </si>
  <si>
    <t>PID2302</t>
  </si>
  <si>
    <t>PID2303</t>
  </si>
  <si>
    <t>PID2304</t>
  </si>
  <si>
    <t>PID2305</t>
  </si>
  <si>
    <t>PID2306</t>
  </si>
  <si>
    <t>PID2307</t>
  </si>
  <si>
    <t>PID2308</t>
  </si>
  <si>
    <t>PID2309</t>
  </si>
  <si>
    <t>PID2310</t>
  </si>
  <si>
    <t>PID2311</t>
  </si>
  <si>
    <t>PID2312</t>
  </si>
  <si>
    <t>PID2313</t>
  </si>
  <si>
    <t>PID2314</t>
  </si>
  <si>
    <t>PID2315</t>
  </si>
  <si>
    <t>PID2316</t>
  </si>
  <si>
    <t>PID2317</t>
  </si>
  <si>
    <t>PID2318</t>
  </si>
  <si>
    <t>PID2319</t>
  </si>
  <si>
    <t>PID2320</t>
  </si>
  <si>
    <t>PID2321</t>
  </si>
  <si>
    <t>PID2322</t>
  </si>
  <si>
    <t>PID2323</t>
  </si>
  <si>
    <t>PID2324</t>
  </si>
  <si>
    <t>PID2325</t>
  </si>
  <si>
    <t>PID2326</t>
  </si>
  <si>
    <t>PID2327</t>
  </si>
  <si>
    <t>PID2328</t>
  </si>
  <si>
    <t>PID2329</t>
  </si>
  <si>
    <t>PID2330</t>
  </si>
  <si>
    <t>PID2331</t>
  </si>
  <si>
    <t>PID2332</t>
  </si>
  <si>
    <t>PID2333</t>
  </si>
  <si>
    <t>PID2334</t>
  </si>
  <si>
    <t>PID2335</t>
  </si>
  <si>
    <t>PID2336</t>
  </si>
  <si>
    <t>PID2337</t>
  </si>
  <si>
    <t>PID2338</t>
  </si>
  <si>
    <t>PID2339</t>
  </si>
  <si>
    <t>PID2340</t>
  </si>
  <si>
    <t>PID2341</t>
  </si>
  <si>
    <t>PID2342</t>
  </si>
  <si>
    <t>PID2343</t>
  </si>
  <si>
    <t>PID2344</t>
  </si>
  <si>
    <t>PID2345</t>
  </si>
  <si>
    <t>PID2346</t>
  </si>
  <si>
    <t>PID2347</t>
  </si>
  <si>
    <t>PID2348</t>
  </si>
  <si>
    <t>PID2349</t>
  </si>
  <si>
    <t>PID2350</t>
  </si>
  <si>
    <t>PID2351</t>
  </si>
  <si>
    <t>PID2352</t>
  </si>
  <si>
    <t>PID2353</t>
  </si>
  <si>
    <t>PID2354</t>
  </si>
  <si>
    <t>PID2355</t>
  </si>
  <si>
    <t>PID2356</t>
  </si>
  <si>
    <t>PID2357</t>
  </si>
  <si>
    <t>PID2358</t>
  </si>
  <si>
    <t>PID2359</t>
  </si>
  <si>
    <t>PID2360</t>
  </si>
  <si>
    <t>Sanjay Nair</t>
  </si>
  <si>
    <t>PID2361</t>
  </si>
  <si>
    <t>PID2362</t>
  </si>
  <si>
    <t>PID2363</t>
  </si>
  <si>
    <t>PID2364</t>
  </si>
  <si>
    <t>PID2365</t>
  </si>
  <si>
    <t>PID2366</t>
  </si>
  <si>
    <t>PID2367</t>
  </si>
  <si>
    <t>PID2368</t>
  </si>
  <si>
    <t>PID2369</t>
  </si>
  <si>
    <t>PID2370</t>
  </si>
  <si>
    <t>PID2371</t>
  </si>
  <si>
    <t>PID2372</t>
  </si>
  <si>
    <t>PID2373</t>
  </si>
  <si>
    <t>PID2374</t>
  </si>
  <si>
    <t>PID2375</t>
  </si>
  <si>
    <t>Arjun Menon</t>
  </si>
  <si>
    <t>PID2376</t>
  </si>
  <si>
    <t>PID2377</t>
  </si>
  <si>
    <t>PID2378</t>
  </si>
  <si>
    <t>PID2379</t>
  </si>
  <si>
    <t>PID2380</t>
  </si>
  <si>
    <t>PID2381</t>
  </si>
  <si>
    <t>PID2382</t>
  </si>
  <si>
    <t>PID2383</t>
  </si>
  <si>
    <t>PID2384</t>
  </si>
  <si>
    <t>PID2385</t>
  </si>
  <si>
    <t>PID2386</t>
  </si>
  <si>
    <t>PID2387</t>
  </si>
  <si>
    <t>PID2388</t>
  </si>
  <si>
    <t>PID2389</t>
  </si>
  <si>
    <t>PID2390</t>
  </si>
  <si>
    <t>PID2391</t>
  </si>
  <si>
    <t>PID2392</t>
  </si>
  <si>
    <t>PID2393</t>
  </si>
  <si>
    <t>PID2394</t>
  </si>
  <si>
    <t>PID2395</t>
  </si>
  <si>
    <t>PID2396</t>
  </si>
  <si>
    <t>PID2397</t>
  </si>
  <si>
    <t>PID2398</t>
  </si>
  <si>
    <t>PID2399</t>
  </si>
  <si>
    <t>PID2400</t>
  </si>
  <si>
    <t>PID2401</t>
  </si>
  <si>
    <t>PID2402</t>
  </si>
  <si>
    <t>PID2403</t>
  </si>
  <si>
    <t>PID2404</t>
  </si>
  <si>
    <t>PID2405</t>
  </si>
  <si>
    <t>PID2406</t>
  </si>
  <si>
    <t>PID2407</t>
  </si>
  <si>
    <t>PID2408</t>
  </si>
  <si>
    <t>PID2409</t>
  </si>
  <si>
    <t>PID2410</t>
  </si>
  <si>
    <t>PID2411</t>
  </si>
  <si>
    <t>PID2412</t>
  </si>
  <si>
    <t>PID2413</t>
  </si>
  <si>
    <t>PID2414</t>
  </si>
  <si>
    <t>PID2415</t>
  </si>
  <si>
    <t>PID2416</t>
  </si>
  <si>
    <t>PID2417</t>
  </si>
  <si>
    <t>PID2418</t>
  </si>
  <si>
    <t>PID2419</t>
  </si>
  <si>
    <t>PID2420</t>
  </si>
  <si>
    <t>PID2421</t>
  </si>
  <si>
    <t>PID2422</t>
  </si>
  <si>
    <t>Sonia Gupta</t>
  </si>
  <si>
    <t>PID2423</t>
  </si>
  <si>
    <t>PID2424</t>
  </si>
  <si>
    <t>PID2425</t>
  </si>
  <si>
    <t>PID2426</t>
  </si>
  <si>
    <t>PID2427</t>
  </si>
  <si>
    <t>PID2428</t>
  </si>
  <si>
    <t>PID2429</t>
  </si>
  <si>
    <t>PID2430</t>
  </si>
  <si>
    <t>PID2431</t>
  </si>
  <si>
    <t>PID2432</t>
  </si>
  <si>
    <t>PID2433</t>
  </si>
  <si>
    <t>PID2434</t>
  </si>
  <si>
    <t>PID2435</t>
  </si>
  <si>
    <t>PID2436</t>
  </si>
  <si>
    <t>PID2437</t>
  </si>
  <si>
    <t>PID2438</t>
  </si>
  <si>
    <t>PID2439</t>
  </si>
  <si>
    <t>PID2440</t>
  </si>
  <si>
    <t>PID2441</t>
  </si>
  <si>
    <t>PID2442</t>
  </si>
  <si>
    <t>PID2443</t>
  </si>
  <si>
    <t>PID2444</t>
  </si>
  <si>
    <t>PID2445</t>
  </si>
  <si>
    <t>PID2446</t>
  </si>
  <si>
    <t>PID2447</t>
  </si>
  <si>
    <t>PID2448</t>
  </si>
  <si>
    <t>PID2449</t>
  </si>
  <si>
    <t>PID2450</t>
  </si>
  <si>
    <t>PID2451</t>
  </si>
  <si>
    <t>PID2452</t>
  </si>
  <si>
    <t>PID2453</t>
  </si>
  <si>
    <t>PID2454</t>
  </si>
  <si>
    <t>PID2455</t>
  </si>
  <si>
    <t>PID2456</t>
  </si>
  <si>
    <t>PID2457</t>
  </si>
  <si>
    <t>PID2458</t>
  </si>
  <si>
    <t>PID2459</t>
  </si>
  <si>
    <t>PID2460</t>
  </si>
  <si>
    <t>Sneha Menon</t>
  </si>
  <si>
    <t>PID2461</t>
  </si>
  <si>
    <t>PID2462</t>
  </si>
  <si>
    <t>PID2463</t>
  </si>
  <si>
    <t>PID2464</t>
  </si>
  <si>
    <t>PID2465</t>
  </si>
  <si>
    <t>PID2466</t>
  </si>
  <si>
    <t>PID2467</t>
  </si>
  <si>
    <t>PID2468</t>
  </si>
  <si>
    <t>PID2469</t>
  </si>
  <si>
    <t>PID2470</t>
  </si>
  <si>
    <t>PID2471</t>
  </si>
  <si>
    <t>PID2472</t>
  </si>
  <si>
    <t>PID2473</t>
  </si>
  <si>
    <t>PID2474</t>
  </si>
  <si>
    <t>PID2475</t>
  </si>
  <si>
    <t>PID2476</t>
  </si>
  <si>
    <t>PID2477</t>
  </si>
  <si>
    <t>PID2478</t>
  </si>
  <si>
    <t>PID2479</t>
  </si>
  <si>
    <t>PID2480</t>
  </si>
  <si>
    <t>PID2481</t>
  </si>
  <si>
    <t>PID2482</t>
  </si>
  <si>
    <t>PID2483</t>
  </si>
  <si>
    <t>PID2484</t>
  </si>
  <si>
    <t>PID2485</t>
  </si>
  <si>
    <t>PID2486</t>
  </si>
  <si>
    <t>PID2487</t>
  </si>
  <si>
    <t>PID2488</t>
  </si>
  <si>
    <t>PID2489</t>
  </si>
  <si>
    <t>PID2490</t>
  </si>
  <si>
    <t>PID2491</t>
  </si>
  <si>
    <t>PID2492</t>
  </si>
  <si>
    <t>PID2493</t>
  </si>
  <si>
    <t>PID2494</t>
  </si>
  <si>
    <t>PID2495</t>
  </si>
  <si>
    <t>PID2496</t>
  </si>
  <si>
    <t>PID2497</t>
  </si>
  <si>
    <t>PID2498</t>
  </si>
  <si>
    <t>PID2499</t>
  </si>
  <si>
    <t>PID2500</t>
  </si>
  <si>
    <t>PID2501</t>
  </si>
  <si>
    <t>PID2502</t>
  </si>
  <si>
    <t>PID2503</t>
  </si>
  <si>
    <t>PID2504</t>
  </si>
  <si>
    <t>PID2505</t>
  </si>
  <si>
    <t>PID2506</t>
  </si>
  <si>
    <t>PID2507</t>
  </si>
  <si>
    <t>PID2508</t>
  </si>
  <si>
    <t>PID2509</t>
  </si>
  <si>
    <t>PID2510</t>
  </si>
  <si>
    <t>PID2511</t>
  </si>
  <si>
    <t>PID2512</t>
  </si>
  <si>
    <t>PID2513</t>
  </si>
  <si>
    <t>PID2514</t>
  </si>
  <si>
    <t>PID2515</t>
  </si>
  <si>
    <t>PID2516</t>
  </si>
  <si>
    <t>PID2517</t>
  </si>
  <si>
    <t>PID2518</t>
  </si>
  <si>
    <t>PID2519</t>
  </si>
  <si>
    <t>PID2520</t>
  </si>
  <si>
    <t>PID2521</t>
  </si>
  <si>
    <t>PID2522</t>
  </si>
  <si>
    <t>PID2523</t>
  </si>
  <si>
    <t>PID2524</t>
  </si>
  <si>
    <t>PID2525</t>
  </si>
  <si>
    <t>PID2526</t>
  </si>
  <si>
    <t>PID2527</t>
  </si>
  <si>
    <t>PID2528</t>
  </si>
  <si>
    <t>PID2529</t>
  </si>
  <si>
    <t>PID2530</t>
  </si>
  <si>
    <t>PID2531</t>
  </si>
  <si>
    <t>PID2532</t>
  </si>
  <si>
    <t>PID2533</t>
  </si>
  <si>
    <t>PID2534</t>
  </si>
  <si>
    <t>PID2535</t>
  </si>
  <si>
    <t>PID2536</t>
  </si>
  <si>
    <t>PID2537</t>
  </si>
  <si>
    <t>PID2538</t>
  </si>
  <si>
    <t>PID2539</t>
  </si>
  <si>
    <t>PID2540</t>
  </si>
  <si>
    <t>PID2541</t>
  </si>
  <si>
    <t>PID2542</t>
  </si>
  <si>
    <t>PID2543</t>
  </si>
  <si>
    <t>PID2544</t>
  </si>
  <si>
    <t>PID2545</t>
  </si>
  <si>
    <t>Meera Khanna</t>
  </si>
  <si>
    <t>PID2546</t>
  </si>
  <si>
    <t>PID2547</t>
  </si>
  <si>
    <t>PID2548</t>
  </si>
  <si>
    <t>PID2549</t>
  </si>
  <si>
    <t>PID2550</t>
  </si>
  <si>
    <t>PID2551</t>
  </si>
  <si>
    <t>PID2552</t>
  </si>
  <si>
    <t>PID2553</t>
  </si>
  <si>
    <t>PID2554</t>
  </si>
  <si>
    <t>PID2555</t>
  </si>
  <si>
    <t>PID2556</t>
  </si>
  <si>
    <t>PID2557</t>
  </si>
  <si>
    <t>PID2558</t>
  </si>
  <si>
    <t>PID2559</t>
  </si>
  <si>
    <t>PID2560</t>
  </si>
  <si>
    <t>PID2561</t>
  </si>
  <si>
    <t>PID2562</t>
  </si>
  <si>
    <t>PID2563</t>
  </si>
  <si>
    <t>PID2564</t>
  </si>
  <si>
    <t>PID2565</t>
  </si>
  <si>
    <t>PID2566</t>
  </si>
  <si>
    <t>PID2567</t>
  </si>
  <si>
    <t>PID2568</t>
  </si>
  <si>
    <t>PID2569</t>
  </si>
  <si>
    <t>PID2570</t>
  </si>
  <si>
    <t>PID2571</t>
  </si>
  <si>
    <t>PID2572</t>
  </si>
  <si>
    <t>PID2573</t>
  </si>
  <si>
    <t>PID2574</t>
  </si>
  <si>
    <t>PID2575</t>
  </si>
  <si>
    <t>PID2576</t>
  </si>
  <si>
    <t>PID2577</t>
  </si>
  <si>
    <t>PID2578</t>
  </si>
  <si>
    <t>PID2579</t>
  </si>
  <si>
    <t>PID2580</t>
  </si>
  <si>
    <t>PID2581</t>
  </si>
  <si>
    <t>PID2582</t>
  </si>
  <si>
    <t>PID2583</t>
  </si>
  <si>
    <t>PID2584</t>
  </si>
  <si>
    <t>PID2585</t>
  </si>
  <si>
    <t>PID2586</t>
  </si>
  <si>
    <t>PID2587</t>
  </si>
  <si>
    <t>PID2588</t>
  </si>
  <si>
    <t>PID2589</t>
  </si>
  <si>
    <t>PID2590</t>
  </si>
  <si>
    <t>PID2591</t>
  </si>
  <si>
    <t>PID2592</t>
  </si>
  <si>
    <t>PID2593</t>
  </si>
  <si>
    <t>PID2594</t>
  </si>
  <si>
    <t>PID2595</t>
  </si>
  <si>
    <t>Ritu Mehta</t>
  </si>
  <si>
    <t>PID2596</t>
  </si>
  <si>
    <t>PID2597</t>
  </si>
  <si>
    <t>PID2598</t>
  </si>
  <si>
    <t>PID2599</t>
  </si>
  <si>
    <t>PID2600</t>
  </si>
  <si>
    <t>PID2601</t>
  </si>
  <si>
    <t>PID2602</t>
  </si>
  <si>
    <t>PID2603</t>
  </si>
  <si>
    <t>PID2604</t>
  </si>
  <si>
    <t>PID2605</t>
  </si>
  <si>
    <t>PID2606</t>
  </si>
  <si>
    <t>PID2607</t>
  </si>
  <si>
    <t>PID2608</t>
  </si>
  <si>
    <t>PID2609</t>
  </si>
  <si>
    <t>PID2610</t>
  </si>
  <si>
    <t>PID2611</t>
  </si>
  <si>
    <t>PID2612</t>
  </si>
  <si>
    <t>PID2613</t>
  </si>
  <si>
    <t>PID2614</t>
  </si>
  <si>
    <t>PID2615</t>
  </si>
  <si>
    <t>PID2616</t>
  </si>
  <si>
    <t>PID2617</t>
  </si>
  <si>
    <t>PID2618</t>
  </si>
  <si>
    <t>PID2619</t>
  </si>
  <si>
    <t>PID2620</t>
  </si>
  <si>
    <t>PID2621</t>
  </si>
  <si>
    <t>PID2622</t>
  </si>
  <si>
    <t>PID2623</t>
  </si>
  <si>
    <t>PID2624</t>
  </si>
  <si>
    <t>PID2625</t>
  </si>
  <si>
    <t>PID2626</t>
  </si>
  <si>
    <t>PID2627</t>
  </si>
  <si>
    <t>PID2628</t>
  </si>
  <si>
    <t>PID2629</t>
  </si>
  <si>
    <t>PID2630</t>
  </si>
  <si>
    <t>PID2631</t>
  </si>
  <si>
    <t>PID2632</t>
  </si>
  <si>
    <t>PID2633</t>
  </si>
  <si>
    <t>PID2634</t>
  </si>
  <si>
    <t>PID2635</t>
  </si>
  <si>
    <t>PID2636</t>
  </si>
  <si>
    <t>PID2637</t>
  </si>
  <si>
    <t>PID2638</t>
  </si>
  <si>
    <t>PID2639</t>
  </si>
  <si>
    <t>PID2640</t>
  </si>
  <si>
    <t>PID2641</t>
  </si>
  <si>
    <t>PID2642</t>
  </si>
  <si>
    <t>PID2643</t>
  </si>
  <si>
    <t>PID2644</t>
  </si>
  <si>
    <t>PID2645</t>
  </si>
  <si>
    <t>PID2646</t>
  </si>
  <si>
    <t>PID2647</t>
  </si>
  <si>
    <t>PID2648</t>
  </si>
  <si>
    <t>PID2649</t>
  </si>
  <si>
    <t>PID2650</t>
  </si>
  <si>
    <t>PID2651</t>
  </si>
  <si>
    <t>PID2652</t>
  </si>
  <si>
    <t>PID2653</t>
  </si>
  <si>
    <t>PID2654</t>
  </si>
  <si>
    <t>Manoj Singh</t>
  </si>
  <si>
    <t>PID2655</t>
  </si>
  <si>
    <t>PID2656</t>
  </si>
  <si>
    <t>PID2657</t>
  </si>
  <si>
    <t>PID2658</t>
  </si>
  <si>
    <t>PID2659</t>
  </si>
  <si>
    <t>PID2660</t>
  </si>
  <si>
    <t>PID2661</t>
  </si>
  <si>
    <t>PID2662</t>
  </si>
  <si>
    <t>PID2663</t>
  </si>
  <si>
    <t>PID2664</t>
  </si>
  <si>
    <t>PID2665</t>
  </si>
  <si>
    <t>PID2666</t>
  </si>
  <si>
    <t>PID2667</t>
  </si>
  <si>
    <t>PID2668</t>
  </si>
  <si>
    <t>PID2669</t>
  </si>
  <si>
    <t>PID2670</t>
  </si>
  <si>
    <t>PID2671</t>
  </si>
  <si>
    <t>PID2672</t>
  </si>
  <si>
    <t>PID2673</t>
  </si>
  <si>
    <t>PID2674</t>
  </si>
  <si>
    <t>PID2675</t>
  </si>
  <si>
    <t>PID2676</t>
  </si>
  <si>
    <t>PID2677</t>
  </si>
  <si>
    <t>PID2678</t>
  </si>
  <si>
    <t>PID2679</t>
  </si>
  <si>
    <t>PID2680</t>
  </si>
  <si>
    <t>PID2681</t>
  </si>
  <si>
    <t>PID2682</t>
  </si>
  <si>
    <t>PID2683</t>
  </si>
  <si>
    <t>PID2684</t>
  </si>
  <si>
    <t>PID2685</t>
  </si>
  <si>
    <t>PID2686</t>
  </si>
  <si>
    <t>PID2687</t>
  </si>
  <si>
    <t>PID2688</t>
  </si>
  <si>
    <t>PID2689</t>
  </si>
  <si>
    <t>PID2690</t>
  </si>
  <si>
    <t>PID2691</t>
  </si>
  <si>
    <t>PID2692</t>
  </si>
  <si>
    <t>PID2693</t>
  </si>
  <si>
    <t>PID2694</t>
  </si>
  <si>
    <t>PID2695</t>
  </si>
  <si>
    <t>PID2696</t>
  </si>
  <si>
    <t>PID2697</t>
  </si>
  <si>
    <t>PID2698</t>
  </si>
  <si>
    <t>PID2699</t>
  </si>
  <si>
    <t>PID2700</t>
  </si>
  <si>
    <t>PID2701</t>
  </si>
  <si>
    <t>PID2702</t>
  </si>
  <si>
    <t>PID2703</t>
  </si>
  <si>
    <t>PID2704</t>
  </si>
  <si>
    <t>PID2705</t>
  </si>
  <si>
    <t>PID2706</t>
  </si>
  <si>
    <t>PID2707</t>
  </si>
  <si>
    <t>PID2708</t>
  </si>
  <si>
    <t>PID2709</t>
  </si>
  <si>
    <t>PID2710</t>
  </si>
  <si>
    <t>PID2711</t>
  </si>
  <si>
    <t>PID2712</t>
  </si>
  <si>
    <t>PID2713</t>
  </si>
  <si>
    <t>PID2714</t>
  </si>
  <si>
    <t>PID2715</t>
  </si>
  <si>
    <t>PID2716</t>
  </si>
  <si>
    <t>PID2717</t>
  </si>
  <si>
    <t>PID2718</t>
  </si>
  <si>
    <t>PID2719</t>
  </si>
  <si>
    <t>PID2720</t>
  </si>
  <si>
    <t>PID2721</t>
  </si>
  <si>
    <t>PID2722</t>
  </si>
  <si>
    <t>PID2723</t>
  </si>
  <si>
    <t>PID2724</t>
  </si>
  <si>
    <t>PID2725</t>
  </si>
  <si>
    <t>PID2726</t>
  </si>
  <si>
    <t>PID2727</t>
  </si>
  <si>
    <t>PID2728</t>
  </si>
  <si>
    <t>PID2729</t>
  </si>
  <si>
    <t>PID2730</t>
  </si>
  <si>
    <t>PID2731</t>
  </si>
  <si>
    <t>PID2732</t>
  </si>
  <si>
    <t>PID2733</t>
  </si>
  <si>
    <t>PID2734</t>
  </si>
  <si>
    <t>PID2735</t>
  </si>
  <si>
    <t>PID2736</t>
  </si>
  <si>
    <t>PID2737</t>
  </si>
  <si>
    <t>PID2738</t>
  </si>
  <si>
    <t>PID2739</t>
  </si>
  <si>
    <t>PID2740</t>
  </si>
  <si>
    <t>PID2741</t>
  </si>
  <si>
    <t>PID2742</t>
  </si>
  <si>
    <t>PID2743</t>
  </si>
  <si>
    <t>PID2744</t>
  </si>
  <si>
    <t>PID2745</t>
  </si>
  <si>
    <t>PID2746</t>
  </si>
  <si>
    <t>PID2747</t>
  </si>
  <si>
    <t>PID2748</t>
  </si>
  <si>
    <t>PID2749</t>
  </si>
  <si>
    <t>PID2750</t>
  </si>
  <si>
    <t>PID2751</t>
  </si>
  <si>
    <t>PID2752</t>
  </si>
  <si>
    <t>PID2753</t>
  </si>
  <si>
    <t>PID2754</t>
  </si>
  <si>
    <t>PID2755</t>
  </si>
  <si>
    <t>PID2756</t>
  </si>
  <si>
    <t>PID2757</t>
  </si>
  <si>
    <t>PID2758</t>
  </si>
  <si>
    <t>PID2759</t>
  </si>
  <si>
    <t>PID2760</t>
  </si>
  <si>
    <t>PID2761</t>
  </si>
  <si>
    <t>PID2762</t>
  </si>
  <si>
    <t>PID2763</t>
  </si>
  <si>
    <t>PID2764</t>
  </si>
  <si>
    <t>PID2765</t>
  </si>
  <si>
    <t>PID2766</t>
  </si>
  <si>
    <t>PID2767</t>
  </si>
  <si>
    <t>PID2768</t>
  </si>
  <si>
    <t>PID2769</t>
  </si>
  <si>
    <t>PID2770</t>
  </si>
  <si>
    <t>PID2771</t>
  </si>
  <si>
    <t>PID2772</t>
  </si>
  <si>
    <t>PID2773</t>
  </si>
  <si>
    <t>PID2774</t>
  </si>
  <si>
    <t>PID2775</t>
  </si>
  <si>
    <t>PID2776</t>
  </si>
  <si>
    <t>PID2777</t>
  </si>
  <si>
    <t>PID2778</t>
  </si>
  <si>
    <t>PID2779</t>
  </si>
  <si>
    <t>PID2780</t>
  </si>
  <si>
    <t>PID2781</t>
  </si>
  <si>
    <t>PID2782</t>
  </si>
  <si>
    <t>PID2783</t>
  </si>
  <si>
    <t>PID2784</t>
  </si>
  <si>
    <t>PID2785</t>
  </si>
  <si>
    <t>PID2786</t>
  </si>
  <si>
    <t>PID2787</t>
  </si>
  <si>
    <t>PID2788</t>
  </si>
  <si>
    <t>PID2789</t>
  </si>
  <si>
    <t>PID2790</t>
  </si>
  <si>
    <t>PID2791</t>
  </si>
  <si>
    <t>PID2792</t>
  </si>
  <si>
    <t>PID2793</t>
  </si>
  <si>
    <t>PID2794</t>
  </si>
  <si>
    <t>PID2795</t>
  </si>
  <si>
    <t>PID2796</t>
  </si>
  <si>
    <t>PID2797</t>
  </si>
  <si>
    <t>PID2798</t>
  </si>
  <si>
    <t>PID2799</t>
  </si>
  <si>
    <t>PID2800</t>
  </si>
  <si>
    <t>PID2801</t>
  </si>
  <si>
    <t>PID2802</t>
  </si>
  <si>
    <t>PID2803</t>
  </si>
  <si>
    <t>PID2804</t>
  </si>
  <si>
    <t>PID2805</t>
  </si>
  <si>
    <t>PID2806</t>
  </si>
  <si>
    <t>PID2807</t>
  </si>
  <si>
    <t>PID2808</t>
  </si>
  <si>
    <t>PID2809</t>
  </si>
  <si>
    <t>PID2810</t>
  </si>
  <si>
    <t>PID2811</t>
  </si>
  <si>
    <t>PID2812</t>
  </si>
  <si>
    <t>PID2813</t>
  </si>
  <si>
    <t>PID2814</t>
  </si>
  <si>
    <t>PID2815</t>
  </si>
  <si>
    <t>PID2816</t>
  </si>
  <si>
    <t>PID2817</t>
  </si>
  <si>
    <t>PID2818</t>
  </si>
  <si>
    <t>PID2819</t>
  </si>
  <si>
    <t>PID2820</t>
  </si>
  <si>
    <t>PID2821</t>
  </si>
  <si>
    <t>PID2822</t>
  </si>
  <si>
    <t>PID2823</t>
  </si>
  <si>
    <t>PID2824</t>
  </si>
  <si>
    <t>PID2825</t>
  </si>
  <si>
    <t>PID2826</t>
  </si>
  <si>
    <t>PID2827</t>
  </si>
  <si>
    <t>PID2828</t>
  </si>
  <si>
    <t>PID2829</t>
  </si>
  <si>
    <t>PID2830</t>
  </si>
  <si>
    <t>PID2831</t>
  </si>
  <si>
    <t>PID2832</t>
  </si>
  <si>
    <t>PID2833</t>
  </si>
  <si>
    <t>PID2834</t>
  </si>
  <si>
    <t>Rohan Gupta</t>
  </si>
  <si>
    <t>PID2835</t>
  </si>
  <si>
    <t>PID2836</t>
  </si>
  <si>
    <t>PID2837</t>
  </si>
  <si>
    <t>PID2838</t>
  </si>
  <si>
    <t>PID2839</t>
  </si>
  <si>
    <t>PID2840</t>
  </si>
  <si>
    <t>PID2841</t>
  </si>
  <si>
    <t>PID2842</t>
  </si>
  <si>
    <t>PID2843</t>
  </si>
  <si>
    <t>PID2844</t>
  </si>
  <si>
    <t>PID2845</t>
  </si>
  <si>
    <t>PID2846</t>
  </si>
  <si>
    <t>PID2847</t>
  </si>
  <si>
    <t>PID2848</t>
  </si>
  <si>
    <t>PID2849</t>
  </si>
  <si>
    <t>PID2850</t>
  </si>
  <si>
    <t>PID2851</t>
  </si>
  <si>
    <t>PID2852</t>
  </si>
  <si>
    <t>PID2853</t>
  </si>
  <si>
    <t>PID2854</t>
  </si>
  <si>
    <t>PID2855</t>
  </si>
  <si>
    <t>PID2856</t>
  </si>
  <si>
    <t>PID2857</t>
  </si>
  <si>
    <t>PID2858</t>
  </si>
  <si>
    <t>PID2859</t>
  </si>
  <si>
    <t>PID2860</t>
  </si>
  <si>
    <t>PID2861</t>
  </si>
  <si>
    <t>PID2862</t>
  </si>
  <si>
    <t>PID2863</t>
  </si>
  <si>
    <t>PID2864</t>
  </si>
  <si>
    <t>PID2865</t>
  </si>
  <si>
    <t>PID2866</t>
  </si>
  <si>
    <t>PID2867</t>
  </si>
  <si>
    <t>PID2868</t>
  </si>
  <si>
    <t>PID2869</t>
  </si>
  <si>
    <t>PID2870</t>
  </si>
  <si>
    <t>PID2871</t>
  </si>
  <si>
    <t>PID2872</t>
  </si>
  <si>
    <t>PID2873</t>
  </si>
  <si>
    <t>PID2874</t>
  </si>
  <si>
    <t>PID2875</t>
  </si>
  <si>
    <t>PID2876</t>
  </si>
  <si>
    <t>PID2877</t>
  </si>
  <si>
    <t>PID2878</t>
  </si>
  <si>
    <t>PID2879</t>
  </si>
  <si>
    <t>PID2880</t>
  </si>
  <si>
    <t>PID2881</t>
  </si>
  <si>
    <t>PID2882</t>
  </si>
  <si>
    <t>PID2883</t>
  </si>
  <si>
    <t>PID2884</t>
  </si>
  <si>
    <t>PID2885</t>
  </si>
  <si>
    <t>PID2886</t>
  </si>
  <si>
    <t>PID2887</t>
  </si>
  <si>
    <t>PID2888</t>
  </si>
  <si>
    <t>PID2889</t>
  </si>
  <si>
    <t>PID2890</t>
  </si>
  <si>
    <t>PID2891</t>
  </si>
  <si>
    <t>PID2892</t>
  </si>
  <si>
    <t>PID2893</t>
  </si>
  <si>
    <t>PID2894</t>
  </si>
  <si>
    <t>PID2895</t>
  </si>
  <si>
    <t>PID2896</t>
  </si>
  <si>
    <t>PID2897</t>
  </si>
  <si>
    <t>PID2898</t>
  </si>
  <si>
    <t>PID2899</t>
  </si>
  <si>
    <t>PID2900</t>
  </si>
  <si>
    <t>PID2901</t>
  </si>
  <si>
    <t>PID2902</t>
  </si>
  <si>
    <t>PID2903</t>
  </si>
  <si>
    <t>PID2904</t>
  </si>
  <si>
    <t>PID2905</t>
  </si>
  <si>
    <t>PID2906</t>
  </si>
  <si>
    <t>PID2907</t>
  </si>
  <si>
    <t>PID2908</t>
  </si>
  <si>
    <t>PID2909</t>
  </si>
  <si>
    <t>PID2910</t>
  </si>
  <si>
    <t>PID2911</t>
  </si>
  <si>
    <t>PID2912</t>
  </si>
  <si>
    <t>PID2913</t>
  </si>
  <si>
    <t>PID2914</t>
  </si>
  <si>
    <t>PID2915</t>
  </si>
  <si>
    <t>PID2916</t>
  </si>
  <si>
    <t>PID2917</t>
  </si>
  <si>
    <t>PID2918</t>
  </si>
  <si>
    <t>PID2919</t>
  </si>
  <si>
    <t>PID2920</t>
  </si>
  <si>
    <t>Rahul Rao</t>
  </si>
  <si>
    <t>PID2921</t>
  </si>
  <si>
    <t>PID2922</t>
  </si>
  <si>
    <t>PID2923</t>
  </si>
  <si>
    <t>PID2924</t>
  </si>
  <si>
    <t>PID2925</t>
  </si>
  <si>
    <t>PID2926</t>
  </si>
  <si>
    <t>PID2927</t>
  </si>
  <si>
    <t>PID2928</t>
  </si>
  <si>
    <t>PID2929</t>
  </si>
  <si>
    <t>PID2930</t>
  </si>
  <si>
    <t>PID2931</t>
  </si>
  <si>
    <t>PID2932</t>
  </si>
  <si>
    <t>PID2933</t>
  </si>
  <si>
    <t>PID2934</t>
  </si>
  <si>
    <t>PID2935</t>
  </si>
  <si>
    <t>PID2936</t>
  </si>
  <si>
    <t>PID2937</t>
  </si>
  <si>
    <t>PID2938</t>
  </si>
  <si>
    <t>PID2939</t>
  </si>
  <si>
    <t>PID2940</t>
  </si>
  <si>
    <t>PID2941</t>
  </si>
  <si>
    <t>PID2942</t>
  </si>
  <si>
    <t>PID2943</t>
  </si>
  <si>
    <t>PID2944</t>
  </si>
  <si>
    <t>PID2945</t>
  </si>
  <si>
    <t>PID2946</t>
  </si>
  <si>
    <t>PID2947</t>
  </si>
  <si>
    <t>PID2948</t>
  </si>
  <si>
    <t>PID2949</t>
  </si>
  <si>
    <t>PID2950</t>
  </si>
  <si>
    <t>PID2951</t>
  </si>
  <si>
    <t>PID2952</t>
  </si>
  <si>
    <t>PID2953</t>
  </si>
  <si>
    <t>PID2954</t>
  </si>
  <si>
    <t>PID2955</t>
  </si>
  <si>
    <t>PID2956</t>
  </si>
  <si>
    <t>PID2957</t>
  </si>
  <si>
    <t>PID2958</t>
  </si>
  <si>
    <t>PID2959</t>
  </si>
  <si>
    <t>PID2960</t>
  </si>
  <si>
    <t>PID2961</t>
  </si>
  <si>
    <t>PID2962</t>
  </si>
  <si>
    <t>PID2963</t>
  </si>
  <si>
    <t>PID2964</t>
  </si>
  <si>
    <t>PID2965</t>
  </si>
  <si>
    <t>PID2966</t>
  </si>
  <si>
    <t>PID2967</t>
  </si>
  <si>
    <t>PID2968</t>
  </si>
  <si>
    <t>PID2969</t>
  </si>
  <si>
    <t>PID2970</t>
  </si>
  <si>
    <t>PID2971</t>
  </si>
  <si>
    <t>PID2972</t>
  </si>
  <si>
    <t>PID2973</t>
  </si>
  <si>
    <t>PID2974</t>
  </si>
  <si>
    <t>PID2975</t>
  </si>
  <si>
    <t>PID2976</t>
  </si>
  <si>
    <t>PID2977</t>
  </si>
  <si>
    <t>PID2978</t>
  </si>
  <si>
    <t>PID2979</t>
  </si>
  <si>
    <t>PID2980</t>
  </si>
  <si>
    <t>PID2981</t>
  </si>
  <si>
    <t>PID2982</t>
  </si>
  <si>
    <t>PID2983</t>
  </si>
  <si>
    <t>PID2984</t>
  </si>
  <si>
    <t>PID2985</t>
  </si>
  <si>
    <t>PID2986</t>
  </si>
  <si>
    <t>PID2987</t>
  </si>
  <si>
    <t>PID2988</t>
  </si>
  <si>
    <t>PID2989</t>
  </si>
  <si>
    <t>PID2990</t>
  </si>
  <si>
    <t>PID2991</t>
  </si>
  <si>
    <t>PID2992</t>
  </si>
  <si>
    <t>PID2993</t>
  </si>
  <si>
    <t>PID2994</t>
  </si>
  <si>
    <t>PID2995</t>
  </si>
  <si>
    <t>PID2996</t>
  </si>
  <si>
    <t>PID2997</t>
  </si>
  <si>
    <t>PID2998</t>
  </si>
  <si>
    <t>PID2999</t>
  </si>
  <si>
    <t>PID3000</t>
  </si>
  <si>
    <t>Base Patients</t>
  </si>
  <si>
    <t>Avg Cost</t>
  </si>
  <si>
    <t>% Change</t>
  </si>
  <si>
    <t>Total Cost</t>
  </si>
  <si>
    <t>% Increase</t>
  </si>
  <si>
    <t>Row Labels</t>
  </si>
  <si>
    <t>Grand Total</t>
  </si>
  <si>
    <t>Count of Patient_ID</t>
  </si>
  <si>
    <t>Average of Total_Bill_Amount_INR</t>
  </si>
  <si>
    <t>Average of Length_of_Stay_Days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</si>
</sst>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quot;₹&quot;\ #,##0.00"/>
  </numFmts>
  <fonts count="7" x14ac:knownFonts="1">
    <font>
      <sz val="11"/>
      <color theme="1"/>
      <name val="Calibri"/>
      <family val="2"/>
      <scheme val="minor"/>
    </font>
    <font>
      <b/>
      <sz val="10"/>
      <color rgb="FFFFFFFF"/>
      <name val="Arial"/>
    </font>
    <font>
      <sz val="9"/>
      <name val="Arial"/>
    </font>
    <font>
      <sz val="11"/>
      <color theme="1"/>
      <name val="Calibri"/>
      <family val="2"/>
      <scheme val="minor"/>
    </font>
    <font>
      <sz val="11"/>
      <color rgb="FF3F3F76"/>
      <name val="Calibri"/>
      <family val="2"/>
      <scheme val="minor"/>
    </font>
    <font>
      <b/>
      <sz val="11"/>
      <color theme="1"/>
      <name val="Calibri"/>
      <family val="2"/>
      <scheme val="minor"/>
    </font>
    <font>
      <b/>
      <sz val="12"/>
      <color rgb="FF3F3F76"/>
      <name val="Calibri"/>
      <family val="2"/>
      <scheme val="minor"/>
    </font>
  </fonts>
  <fills count="8">
    <fill>
      <patternFill patternType="none"/>
    </fill>
    <fill>
      <patternFill patternType="gray125"/>
    </fill>
    <fill>
      <patternFill patternType="solid">
        <fgColor rgb="FF1F4E79"/>
      </patternFill>
    </fill>
    <fill>
      <patternFill patternType="solid">
        <fgColor rgb="FFEBF3FB"/>
      </patternFill>
    </fill>
    <fill>
      <patternFill patternType="solid">
        <fgColor rgb="FFFFCC99"/>
      </patternFill>
    </fill>
    <fill>
      <patternFill patternType="solid">
        <fgColor theme="9" tint="0.79998168889431442"/>
        <bgColor indexed="65"/>
      </patternFill>
    </fill>
    <fill>
      <patternFill patternType="solid">
        <fgColor theme="9"/>
        <bgColor indexed="64"/>
      </patternFill>
    </fill>
    <fill>
      <patternFill patternType="solid">
        <fgColor theme="2"/>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4" fillId="4" borderId="2" applyNumberFormat="0" applyAlignment="0" applyProtection="0"/>
    <xf numFmtId="0" fontId="3" fillId="5" borderId="0" applyNumberFormat="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164" fontId="2" fillId="3" borderId="1" xfId="0" applyNumberFormat="1" applyFont="1" applyFill="1" applyBorder="1"/>
    <xf numFmtId="0" fontId="2" fillId="0" borderId="1" xfId="0" applyFont="1" applyBorder="1"/>
    <xf numFmtId="164" fontId="2" fillId="0" borderId="1" xfId="0" applyNumberFormat="1" applyFont="1" applyBorder="1"/>
    <xf numFmtId="0" fontId="4" fillId="4" borderId="2" xfId="1" applyAlignment="1">
      <alignment horizontal="center"/>
    </xf>
    <xf numFmtId="9" fontId="4" fillId="4" borderId="2" xfId="1" applyNumberFormat="1" applyAlignment="1">
      <alignment horizontal="center"/>
    </xf>
    <xf numFmtId="9" fontId="6" fillId="6" borderId="2" xfId="1" applyNumberFormat="1" applyFont="1" applyFill="1" applyAlignment="1">
      <alignment horizontal="center"/>
    </xf>
    <xf numFmtId="0" fontId="6" fillId="6" borderId="2" xfId="1" applyFont="1" applyFill="1" applyAlignment="1">
      <alignment horizontal="center"/>
    </xf>
    <xf numFmtId="0" fontId="5" fillId="5" borderId="3" xfId="2" applyFont="1" applyBorder="1" applyAlignment="1">
      <alignment horizontal="center"/>
    </xf>
    <xf numFmtId="0" fontId="0" fillId="7" borderId="0" xfId="0" applyFill="1" applyAlignment="1">
      <alignment horizontal="center"/>
    </xf>
    <xf numFmtId="0" fontId="0" fillId="7" borderId="0" xfId="0" applyFill="1"/>
    <xf numFmtId="0" fontId="0" fillId="7" borderId="0" xfId="0" applyNumberFormat="1" applyFill="1" applyAlignment="1">
      <alignment horizontal="center"/>
    </xf>
    <xf numFmtId="0" fontId="0" fillId="7" borderId="0" xfId="0" applyFill="1" applyAlignment="1">
      <alignment horizontal="left"/>
    </xf>
    <xf numFmtId="165" fontId="0" fillId="7" borderId="0" xfId="0" applyNumberFormat="1" applyFill="1"/>
    <xf numFmtId="0" fontId="0" fillId="7" borderId="0" xfId="0" applyNumberFormat="1" applyFill="1"/>
  </cellXfs>
  <cellStyles count="3">
    <cellStyle name="20% - Accent6" xfId="2" builtinId="50"/>
    <cellStyle name="Input" xfId="1" builtinId="20"/>
    <cellStyle name="Normal" xfId="0" builtinId="0"/>
  </cellStyles>
  <dxfs count="534">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[Healthcare_Raw_Data_3000rows.xlsx]Dashboard!PivotTable3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Department</a:t>
            </a:r>
            <a:endParaRPr lang="en-US"/>
          </a:p>
        </c:rich>
      </c:tx>
      <c:layout>
        <c:manualLayout>
          <c:xMode val="edge"/>
          <c:yMode val="edge"/>
          <c:x val="0.27327777777777779"/>
          <c:y val="0.115538478477517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Dashboard!$C$14</c:f>
              <c:strCache>
                <c:ptCount val="1"/>
                <c:pt idx="0">
                  <c:v>Total</c:v>
                </c:pt>
              </c:strCache>
            </c:strRef>
          </c:tx>
          <c:spPr>
            <a:solidFill>
              <a:schemeClr val="accent1"/>
            </a:solidFill>
            <a:ln>
              <a:noFill/>
            </a:ln>
            <a:effectLst/>
          </c:spPr>
          <c:invertIfNegative val="0"/>
          <c:cat>
            <c:strRef>
              <c:f>Dashboard!$B$15:$B$22</c:f>
              <c:strCache>
                <c:ptCount val="7"/>
                <c:pt idx="0">
                  <c:v>Cardiology</c:v>
                </c:pt>
                <c:pt idx="1">
                  <c:v>General Medicine</c:v>
                </c:pt>
                <c:pt idx="2">
                  <c:v>Neurology</c:v>
                </c:pt>
                <c:pt idx="3">
                  <c:v>Oncology</c:v>
                </c:pt>
                <c:pt idx="4">
                  <c:v>Orthopedics</c:v>
                </c:pt>
                <c:pt idx="5">
                  <c:v>Pulmonology</c:v>
                </c:pt>
                <c:pt idx="6">
                  <c:v>Urology</c:v>
                </c:pt>
              </c:strCache>
            </c:strRef>
          </c:cat>
          <c:val>
            <c:numRef>
              <c:f>Dashboard!$C$15:$C$22</c:f>
              <c:numCache>
                <c:formatCode>General</c:formatCode>
                <c:ptCount val="7"/>
                <c:pt idx="0">
                  <c:v>294</c:v>
                </c:pt>
                <c:pt idx="1">
                  <c:v>1361</c:v>
                </c:pt>
                <c:pt idx="2">
                  <c:v>306</c:v>
                </c:pt>
                <c:pt idx="3">
                  <c:v>142</c:v>
                </c:pt>
                <c:pt idx="4">
                  <c:v>300</c:v>
                </c:pt>
                <c:pt idx="5">
                  <c:v>295</c:v>
                </c:pt>
                <c:pt idx="6">
                  <c:v>302</c:v>
                </c:pt>
              </c:numCache>
            </c:numRef>
          </c:val>
        </c:ser>
        <c:dLbls>
          <c:showLegendKey val="0"/>
          <c:showVal val="0"/>
          <c:showCatName val="0"/>
          <c:showSerName val="0"/>
          <c:showPercent val="0"/>
          <c:showBubbleSize val="0"/>
        </c:dLbls>
        <c:gapWidth val="182"/>
        <c:axId val="1444875200"/>
        <c:axId val="1444887712"/>
      </c:barChart>
      <c:catAx>
        <c:axId val="144487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87712"/>
        <c:crosses val="autoZero"/>
        <c:auto val="1"/>
        <c:lblAlgn val="ctr"/>
        <c:lblOffset val="100"/>
        <c:noMultiLvlLbl val="0"/>
      </c:catAx>
      <c:valAx>
        <c:axId val="144488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75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[Healthcare_Raw_Data_3000rows.xlsx]Dashboard!PivotTable4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Bill by Disease Category</a:t>
            </a:r>
            <a:endParaRPr lang="en-US"/>
          </a:p>
        </c:rich>
      </c:tx>
      <c:layout>
        <c:manualLayout>
          <c:xMode val="edge"/>
          <c:yMode val="edge"/>
          <c:x val="0.3112272984410824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Dashboard!$F$14</c:f>
              <c:strCache>
                <c:ptCount val="1"/>
                <c:pt idx="0">
                  <c:v>Total</c:v>
                </c:pt>
              </c:strCache>
            </c:strRef>
          </c:tx>
          <c:spPr>
            <a:solidFill>
              <a:schemeClr val="accent1"/>
            </a:solidFill>
            <a:ln>
              <a:noFill/>
            </a:ln>
            <a:effectLst/>
          </c:spPr>
          <c:invertIfNegative val="0"/>
          <c:cat>
            <c:strRef>
              <c:f>Dashboard!$E$15:$E$28</c:f>
              <c:strCache>
                <c:ptCount val="13"/>
                <c:pt idx="0">
                  <c:v>Cardiovascular</c:v>
                </c:pt>
                <c:pt idx="1">
                  <c:v>Endocrine</c:v>
                </c:pt>
                <c:pt idx="2">
                  <c:v>Gastrointestinal</c:v>
                </c:pt>
                <c:pt idx="3">
                  <c:v>Hematological</c:v>
                </c:pt>
                <c:pt idx="4">
                  <c:v>Infectious</c:v>
                </c:pt>
                <c:pt idx="5">
                  <c:v>Mental Health</c:v>
                </c:pt>
                <c:pt idx="6">
                  <c:v>Metabolic</c:v>
                </c:pt>
                <c:pt idx="7">
                  <c:v>Musculoskeletal</c:v>
                </c:pt>
                <c:pt idx="8">
                  <c:v>Neurological</c:v>
                </c:pt>
                <c:pt idx="9">
                  <c:v>Oncology</c:v>
                </c:pt>
                <c:pt idx="10">
                  <c:v>Orthopedic</c:v>
                </c:pt>
                <c:pt idx="11">
                  <c:v>Respiratory</c:v>
                </c:pt>
                <c:pt idx="12">
                  <c:v>Urological</c:v>
                </c:pt>
              </c:strCache>
            </c:strRef>
          </c:cat>
          <c:val>
            <c:numRef>
              <c:f>Dashboard!$F$15:$F$28</c:f>
              <c:numCache>
                <c:formatCode>"₹"\ #,##0.00</c:formatCode>
                <c:ptCount val="13"/>
                <c:pt idx="0">
                  <c:v>103370.63605442178</c:v>
                </c:pt>
                <c:pt idx="1">
                  <c:v>108136.80128205128</c:v>
                </c:pt>
                <c:pt idx="2">
                  <c:v>105006.39144736843</c:v>
                </c:pt>
                <c:pt idx="3">
                  <c:v>104885.5294117647</c:v>
                </c:pt>
                <c:pt idx="4">
                  <c:v>102404.67223382046</c:v>
                </c:pt>
                <c:pt idx="5">
                  <c:v>104206.51449275362</c:v>
                </c:pt>
                <c:pt idx="6">
                  <c:v>104749.7251908397</c:v>
                </c:pt>
                <c:pt idx="7">
                  <c:v>104246.23129251701</c:v>
                </c:pt>
                <c:pt idx="8">
                  <c:v>101205.89869281046</c:v>
                </c:pt>
                <c:pt idx="9">
                  <c:v>104228.76760563381</c:v>
                </c:pt>
                <c:pt idx="10">
                  <c:v>104464.90196078431</c:v>
                </c:pt>
                <c:pt idx="11">
                  <c:v>107403.91525423729</c:v>
                </c:pt>
                <c:pt idx="12">
                  <c:v>107545.50331125828</c:v>
                </c:pt>
              </c:numCache>
            </c:numRef>
          </c:val>
        </c:ser>
        <c:dLbls>
          <c:showLegendKey val="0"/>
          <c:showVal val="0"/>
          <c:showCatName val="0"/>
          <c:showSerName val="0"/>
          <c:showPercent val="0"/>
          <c:showBubbleSize val="0"/>
        </c:dLbls>
        <c:gapWidth val="182"/>
        <c:axId val="1444878464"/>
        <c:axId val="1444876288"/>
      </c:barChart>
      <c:catAx>
        <c:axId val="144487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76288"/>
        <c:crosses val="autoZero"/>
        <c:auto val="1"/>
        <c:lblAlgn val="ctr"/>
        <c:lblOffset val="100"/>
        <c:noMultiLvlLbl val="0"/>
      </c:catAx>
      <c:valAx>
        <c:axId val="14448762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78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[Healthcare_Raw_Data_3000rows.xlsx]Dashboard!PivotTable5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 Outcomes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Dashboard!$I$14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Dashboard!$H$15:$H$20</c:f>
              <c:strCache>
                <c:ptCount val="5"/>
                <c:pt idx="0">
                  <c:v>Deceased</c:v>
                </c:pt>
                <c:pt idx="1">
                  <c:v>Discharged</c:v>
                </c:pt>
                <c:pt idx="2">
                  <c:v>Recovered</c:v>
                </c:pt>
                <c:pt idx="3">
                  <c:v>Referred</c:v>
                </c:pt>
                <c:pt idx="4">
                  <c:v>Still Admitted</c:v>
                </c:pt>
              </c:strCache>
            </c:strRef>
          </c:cat>
          <c:val>
            <c:numRef>
              <c:f>Dashboard!$I$15:$I$20</c:f>
              <c:numCache>
                <c:formatCode>General</c:formatCode>
                <c:ptCount val="5"/>
                <c:pt idx="0">
                  <c:v>618</c:v>
                </c:pt>
                <c:pt idx="1">
                  <c:v>608</c:v>
                </c:pt>
                <c:pt idx="2">
                  <c:v>582</c:v>
                </c:pt>
                <c:pt idx="3">
                  <c:v>579</c:v>
                </c:pt>
                <c:pt idx="4">
                  <c:v>613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[Healthcare_Raw_Data_3000rows.xlsx]Dashboard!PivotTable6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Admission Type</a:t>
            </a:r>
            <a:endParaRPr lang="en-US"/>
          </a:p>
        </c:rich>
      </c:tx>
      <c:layout>
        <c:manualLayout>
          <c:xMode val="edge"/>
          <c:yMode val="edge"/>
          <c:x val="0.1875277777777777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Dashboard!$L$14</c:f>
              <c:strCache>
                <c:ptCount val="1"/>
                <c:pt idx="0">
                  <c:v>Total</c:v>
                </c:pt>
              </c:strCache>
            </c:strRef>
          </c:tx>
          <c:spPr>
            <a:solidFill>
              <a:schemeClr val="accent1"/>
            </a:solidFill>
            <a:ln>
              <a:noFill/>
            </a:ln>
            <a:effectLst/>
          </c:spPr>
          <c:invertIfNegative val="0"/>
          <c:cat>
            <c:strRef>
              <c:f>Dashboard!$K$15:$K$19</c:f>
              <c:strCache>
                <c:ptCount val="4"/>
                <c:pt idx="0">
                  <c:v>Elective</c:v>
                </c:pt>
                <c:pt idx="1">
                  <c:v>Emergency</c:v>
                </c:pt>
                <c:pt idx="2">
                  <c:v>Referral</c:v>
                </c:pt>
                <c:pt idx="3">
                  <c:v>Walk-in</c:v>
                </c:pt>
              </c:strCache>
            </c:strRef>
          </c:cat>
          <c:val>
            <c:numRef>
              <c:f>Dashboard!$L$15:$L$19</c:f>
              <c:numCache>
                <c:formatCode>General</c:formatCode>
                <c:ptCount val="4"/>
                <c:pt idx="0">
                  <c:v>754</c:v>
                </c:pt>
                <c:pt idx="1">
                  <c:v>740</c:v>
                </c:pt>
                <c:pt idx="2">
                  <c:v>746</c:v>
                </c:pt>
                <c:pt idx="3">
                  <c:v>760</c:v>
                </c:pt>
              </c:numCache>
            </c:numRef>
          </c:val>
        </c:ser>
        <c:dLbls>
          <c:showLegendKey val="0"/>
          <c:showVal val="0"/>
          <c:showCatName val="0"/>
          <c:showSerName val="0"/>
          <c:showPercent val="0"/>
          <c:showBubbleSize val="0"/>
        </c:dLbls>
        <c:gapWidth val="182"/>
        <c:axId val="1357486048"/>
        <c:axId val="1357491488"/>
      </c:barChart>
      <c:catAx>
        <c:axId val="135748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491488"/>
        <c:crosses val="autoZero"/>
        <c:auto val="1"/>
        <c:lblAlgn val="ctr"/>
        <c:lblOffset val="100"/>
        <c:noMultiLvlLbl val="0"/>
      </c:catAx>
      <c:valAx>
        <c:axId val="1357491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486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[Healthcare_Raw_Data_3000rows.xlsx]Dashboard!PivotTable7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Stay Days by Department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Dashboard!$P$14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Dashboard!$O$15:$O$22</c:f>
              <c:strCache>
                <c:ptCount val="7"/>
                <c:pt idx="0">
                  <c:v>Cardiology</c:v>
                </c:pt>
                <c:pt idx="1">
                  <c:v>General Medicine</c:v>
                </c:pt>
                <c:pt idx="2">
                  <c:v>Neurology</c:v>
                </c:pt>
                <c:pt idx="3">
                  <c:v>Oncology</c:v>
                </c:pt>
                <c:pt idx="4">
                  <c:v>Orthopedics</c:v>
                </c:pt>
                <c:pt idx="5">
                  <c:v>Pulmonology</c:v>
                </c:pt>
                <c:pt idx="6">
                  <c:v>Urology</c:v>
                </c:pt>
              </c:strCache>
            </c:strRef>
          </c:cat>
          <c:val>
            <c:numRef>
              <c:f>Dashboard!$P$15:$P$22</c:f>
              <c:numCache>
                <c:formatCode>General</c:formatCode>
                <c:ptCount val="7"/>
                <c:pt idx="0">
                  <c:v>15.476190476190476</c:v>
                </c:pt>
                <c:pt idx="1">
                  <c:v>14.883174136664218</c:v>
                </c:pt>
                <c:pt idx="2">
                  <c:v>15.450980392156863</c:v>
                </c:pt>
                <c:pt idx="3">
                  <c:v>15.809859154929578</c:v>
                </c:pt>
                <c:pt idx="4">
                  <c:v>15.643333333333333</c:v>
                </c:pt>
                <c:pt idx="5">
                  <c:v>14.505084745762712</c:v>
                </c:pt>
                <c:pt idx="6">
                  <c:v>15.698675496688741</c:v>
                </c:pt>
              </c:numCache>
            </c:numRef>
          </c:val>
          <c:smooth val="0"/>
        </c:ser>
        <c:dLbls>
          <c:showLegendKey val="0"/>
          <c:showVal val="0"/>
          <c:showCatName val="0"/>
          <c:showSerName val="0"/>
          <c:showPercent val="0"/>
          <c:showBubbleSize val="0"/>
        </c:dLbls>
        <c:marker val="1"/>
        <c:smooth val="0"/>
        <c:axId val="1318986144"/>
        <c:axId val="1318979072"/>
      </c:lineChart>
      <c:catAx>
        <c:axId val="13189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79072"/>
        <c:crosses val="autoZero"/>
        <c:auto val="1"/>
        <c:lblAlgn val="ctr"/>
        <c:lblOffset val="100"/>
        <c:noMultiLvlLbl val="0"/>
      </c:catAx>
      <c:valAx>
        <c:axId val="13189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86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Patient Volume vs Total Cost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1"/>
          <c:order val="0"/>
          <c:tx>
            <c:v>Total Cost (₹)</c:v>
          </c:tx>
          <c:spPr>
            <a:solidFill>
              <a:schemeClr val="accent6"/>
            </a:soli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extLst>
                <c:ext xmlns:c15="http://schemas.microsoft.com/office/drawing/2012/chart" uri="{02D57815-91ED-43cb-92C2-25804820EDAC}">
                  <c15:fullRef>
                    <c15:sqref>'Budget Forecast'!$D$5:$D$9</c15:sqref>
                  </c15:fullRef>
                </c:ext>
              </c:extLst>
              <c:f>'Budget Forecast'!$D$5:$D$9</c:f>
              <c:numCache>
                <c:formatCode>0%</c:formatCode>
                <c:ptCount val="5"/>
                <c:pt idx="0">
                  <c:v>0.1</c:v>
                </c:pt>
                <c:pt idx="1">
                  <c:v>0.2</c:v>
                </c:pt>
                <c:pt idx="2">
                  <c:v>0.3</c:v>
                </c:pt>
                <c:pt idx="3">
                  <c:v>-0.1</c:v>
                </c:pt>
                <c:pt idx="4">
                  <c:v>-0.2</c:v>
                </c:pt>
              </c:numCache>
            </c:numRef>
          </c:cat>
          <c:val>
            <c:numRef>
              <c:extLst>
                <c:ext xmlns:c15="http://schemas.microsoft.com/office/drawing/2012/chart" uri="{02D57815-91ED-43cb-92C2-25804820EDAC}">
                  <c15:fullRef>
                    <c15:sqref>'Budget Forecast'!$E$4:$E$9</c15:sqref>
                  </c15:fullRef>
                </c:ext>
              </c:extLst>
              <c:f>'Budget Forecast'!$E$4:$E$8</c:f>
              <c:numCache>
                <c:formatCode>General</c:formatCode>
                <c:ptCount val="5"/>
                <c:pt idx="0">
                  <c:v>313624001</c:v>
                </c:pt>
                <c:pt idx="1">
                  <c:v>344986401.10000008</c:v>
                </c:pt>
                <c:pt idx="2">
                  <c:v>376348801.20000005</c:v>
                </c:pt>
                <c:pt idx="3">
                  <c:v>407711201.30000001</c:v>
                </c:pt>
                <c:pt idx="4">
                  <c:v>282261600.90000004</c:v>
                </c:pt>
              </c:numCache>
            </c:numRef>
          </c:val>
        </c:ser>
        <c:dLbls>
          <c:dLblPos val="inEnd"/>
          <c:showLegendKey val="0"/>
          <c:showVal val="1"/>
          <c:showCatName val="0"/>
          <c:showSerName val="0"/>
          <c:showPercent val="0"/>
          <c:showBubbleSize val="0"/>
        </c:dLbls>
        <c:gapWidth val="100"/>
        <c:axId val="1444885536"/>
        <c:axId val="1444879008"/>
      </c:barChart>
      <c:catAx>
        <c:axId val="1444885536"/>
        <c:scaling>
          <c:orientation val="maxMin"/>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44879008"/>
        <c:crosses val="autoZero"/>
        <c:auto val="1"/>
        <c:lblAlgn val="ctr"/>
        <c:lblOffset val="100"/>
        <c:noMultiLvlLbl val="0"/>
      </c:catAx>
      <c:valAx>
        <c:axId val="1444879008"/>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4488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57150</xdr:colOff>
      <xdr:row>23</xdr:row>
      <xdr:rowOff>14287</xdr:rowOff>
    </xdr:from>
    <xdr:to>
      <xdr:col>3</xdr:col>
      <xdr:colOff>238125</xdr:colOff>
      <xdr:row>37</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352425</xdr:colOff>
      <xdr:row>29</xdr:row>
      <xdr:rowOff>4761</xdr:rowOff>
    </xdr:from>
    <xdr:to>
      <xdr:col>6</xdr:col>
      <xdr:colOff>276225</xdr:colOff>
      <xdr:row>47</xdr:row>
      <xdr:rowOff>180974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20</xdr:row>
      <xdr:rowOff>176212</xdr:rowOff>
    </xdr:from>
    <xdr:to>
      <xdr:col>9</xdr:col>
      <xdr:colOff>514350</xdr:colOff>
      <xdr:row>35</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23811</xdr:colOff>
      <xdr:row>20</xdr:row>
      <xdr:rowOff>166687</xdr:rowOff>
    </xdr:from>
    <xdr:to>
      <xdr:col>13</xdr:col>
      <xdr:colOff>542925</xdr:colOff>
      <xdr:row>35</xdr:row>
      <xdr:rowOff>52387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47625</xdr:colOff>
      <xdr:row>23</xdr:row>
      <xdr:rowOff>14287</xdr:rowOff>
    </xdr:from>
    <xdr:to>
      <xdr:col>17</xdr:col>
      <xdr:colOff>223837</xdr:colOff>
      <xdr:row>35</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600075</xdr:colOff>
      <xdr:row>3</xdr:row>
      <xdr:rowOff>9526</xdr:rowOff>
    </xdr:from>
    <xdr:to>
      <xdr:col>4</xdr:col>
      <xdr:colOff>438150</xdr:colOff>
      <xdr:row>11</xdr:row>
      <xdr:rowOff>19050</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0075" y="581026"/>
              <a:ext cx="3419475" cy="1533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47624</xdr:colOff>
      <xdr:row>3</xdr:row>
      <xdr:rowOff>19050</xdr:rowOff>
    </xdr:from>
    <xdr:to>
      <xdr:col>15</xdr:col>
      <xdr:colOff>361950</xdr:colOff>
      <xdr:row>12</xdr:row>
      <xdr:rowOff>19050</xdr:rowOff>
    </xdr:to>
    <mc:AlternateContent xmlns:mc="http://schemas.openxmlformats.org/markup-compatibility/2006">
      <mc:Choice xmlns:a14="http://schemas.microsoft.com/office/drawing/2010/main" Requires="a14">
        <xdr:graphicFrame macro="">
          <xdr:nvGraphicFramePr>
            <xdr:cNvPr id="9" name="Insurance_Type"/>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dr:sp macro="" textlink="">
          <xdr:nvSpPr>
            <xdr:cNvPr id="0" name=""/>
            <xdr:cNvSpPr>
              <a:spLocks noTextEdit="1"/>
            </xdr:cNvSpPr>
          </xdr:nvSpPr>
          <xdr:spPr>
            <a:xfrm>
              <a:off x="9563099" y="590550"/>
              <a:ext cx="5524501"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542925</xdr:colOff>
      <xdr:row>3</xdr:row>
      <xdr:rowOff>38101</xdr:rowOff>
    </xdr:from>
    <xdr:to>
      <xdr:col>8</xdr:col>
      <xdr:colOff>1171575</xdr:colOff>
      <xdr:row>11</xdr:row>
      <xdr:rowOff>19051</xdr:rowOff>
    </xdr:to>
    <mc:AlternateContent xmlns:mc="http://schemas.openxmlformats.org/markup-compatibility/2006">
      <mc:Choice xmlns:a14="http://schemas.microsoft.com/office/drawing/2010/main" Requires="a14">
        <xdr:graphicFrame macro="">
          <xdr:nvGraphicFramePr>
            <xdr:cNvPr id="10" name="Admission_Type"/>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dr:sp macro="" textlink="">
          <xdr:nvSpPr>
            <xdr:cNvPr id="0" name=""/>
            <xdr:cNvSpPr>
              <a:spLocks noTextEdit="1"/>
            </xdr:cNvSpPr>
          </xdr:nvSpPr>
          <xdr:spPr>
            <a:xfrm>
              <a:off x="4124325" y="609601"/>
              <a:ext cx="5324475"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704850</xdr:colOff>
      <xdr:row>0</xdr:row>
      <xdr:rowOff>66675</xdr:rowOff>
    </xdr:from>
    <xdr:to>
      <xdr:col>11</xdr:col>
      <xdr:colOff>542925</xdr:colOff>
      <xdr:row>2</xdr:row>
      <xdr:rowOff>142875</xdr:rowOff>
    </xdr:to>
    <xdr:sp macro="" textlink="">
      <xdr:nvSpPr>
        <xdr:cNvPr id="11" name="TextBox 10"/>
        <xdr:cNvSpPr txBox="1"/>
      </xdr:nvSpPr>
      <xdr:spPr>
        <a:xfrm>
          <a:off x="5324475" y="66675"/>
          <a:ext cx="6219825" cy="4572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FF0000"/>
              </a:solidFill>
            </a:rPr>
            <a:t>🏥</a:t>
          </a:r>
          <a:r>
            <a:rPr lang="en-IN" sz="2000" b="1"/>
            <a:t> Healthcare Analytics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1914525</xdr:colOff>
      <xdr:row>10</xdr:row>
      <xdr:rowOff>4762</xdr:rowOff>
    </xdr:from>
    <xdr:to>
      <xdr:col>8</xdr:col>
      <xdr:colOff>133350</xdr:colOff>
      <xdr:row>24</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MSUNG" refreshedDate="46172.536439004631" createdVersion="5" refreshedVersion="5" minRefreshableVersion="3" recordCount="3000">
  <cacheSource type="worksheet">
    <worksheetSource ref="A1:AB3001" sheet="Patient_Raw_Data"/>
  </cacheSource>
  <cacheFields count="28">
    <cacheField name="Patient_ID" numFmtId="0">
      <sharedItems count="3000">
        <s v="PID0001"/>
        <s v="PID0002"/>
        <s v="PID0003"/>
        <s v="PID0004"/>
        <s v="PID0005"/>
        <s v="PID0006"/>
        <s v="PID0007"/>
        <s v="PID0008"/>
        <s v="PID0009"/>
        <s v="PID0010"/>
        <s v="PID0011"/>
        <s v="PID0012"/>
        <s v="PID0013"/>
        <s v="PID0014"/>
        <s v="PID0015"/>
        <s v="PID0016"/>
        <s v="PID0017"/>
        <s v="PID0018"/>
        <s v="PID0019"/>
        <s v="PID0020"/>
        <s v="PID0021"/>
        <s v="PID0022"/>
        <s v="PID0023"/>
        <s v="PID0024"/>
        <s v="PID0025"/>
        <s v="PID0026"/>
        <s v="PID0027"/>
        <s v="PID0028"/>
        <s v="PID0029"/>
        <s v="PID0030"/>
        <s v="PID0031"/>
        <s v="PID0032"/>
        <s v="PID0033"/>
        <s v="PID0034"/>
        <s v="PID0035"/>
        <s v="PID0036"/>
        <s v="PID0037"/>
        <s v="PID0038"/>
        <s v="PID0039"/>
        <s v="PID0040"/>
        <s v="PID0041"/>
        <s v="PID0042"/>
        <s v="PID0043"/>
        <s v="PID0044"/>
        <s v="PID0045"/>
        <s v="PID0046"/>
        <s v="PID0047"/>
        <s v="PID0048"/>
        <s v="PID0049"/>
        <s v="PID0050"/>
        <s v="PID0051"/>
        <s v="PID0052"/>
        <s v="PID0053"/>
        <s v="PID0054"/>
        <s v="PID0055"/>
        <s v="PID0056"/>
        <s v="PID0057"/>
        <s v="PID0058"/>
        <s v="PID0059"/>
        <s v="PID0060"/>
        <s v="PID0061"/>
        <s v="PID0062"/>
        <s v="PID0063"/>
        <s v="PID0064"/>
        <s v="PID0065"/>
        <s v="PID0066"/>
        <s v="PID0067"/>
        <s v="PID0068"/>
        <s v="PID0069"/>
        <s v="PID0070"/>
        <s v="PID0071"/>
        <s v="PID0072"/>
        <s v="PID0073"/>
        <s v="PID0074"/>
        <s v="PID0075"/>
        <s v="PID0076"/>
        <s v="PID0077"/>
        <s v="PID0078"/>
        <s v="PID0079"/>
        <s v="PID0080"/>
        <s v="PID0081"/>
        <s v="PID0082"/>
        <s v="PID0083"/>
        <s v="PID0084"/>
        <s v="PID0085"/>
        <s v="PID0086"/>
        <s v="PID0087"/>
        <s v="PID0088"/>
        <s v="PID0089"/>
        <s v="PID0090"/>
        <s v="PID0091"/>
        <s v="PID0092"/>
        <s v="PID0093"/>
        <s v="PID0094"/>
        <s v="PID0095"/>
        <s v="PID0096"/>
        <s v="PID0097"/>
        <s v="PID0098"/>
        <s v="PID0099"/>
        <s v="PID0100"/>
        <s v="PID0101"/>
        <s v="PID0102"/>
        <s v="PID0103"/>
        <s v="PID0104"/>
        <s v="PID0105"/>
        <s v="PID0106"/>
        <s v="PID0107"/>
        <s v="PID0108"/>
        <s v="PID0109"/>
        <s v="PID0110"/>
        <s v="PID0111"/>
        <s v="PID0112"/>
        <s v="PID0113"/>
        <s v="PID0114"/>
        <s v="PID0115"/>
        <s v="PID0116"/>
        <s v="PID0117"/>
        <s v="PID0118"/>
        <s v="PID0119"/>
        <s v="PID0120"/>
        <s v="PID0121"/>
        <s v="PID0122"/>
        <s v="PID0123"/>
        <s v="PID0124"/>
        <s v="PID0125"/>
        <s v="PID0126"/>
        <s v="PID0127"/>
        <s v="PID0128"/>
        <s v="PID0129"/>
        <s v="PID0130"/>
        <s v="PID0131"/>
        <s v="PID0132"/>
        <s v="PID0133"/>
        <s v="PID0134"/>
        <s v="PID0135"/>
        <s v="PID0136"/>
        <s v="PID0137"/>
        <s v="PID0138"/>
        <s v="PID0139"/>
        <s v="PID0140"/>
        <s v="PID0141"/>
        <s v="PID0142"/>
        <s v="PID0143"/>
        <s v="PID0144"/>
        <s v="PID0145"/>
        <s v="PID0146"/>
        <s v="PID0147"/>
        <s v="PID0148"/>
        <s v="PID0149"/>
        <s v="PID0150"/>
        <s v="PID0151"/>
        <s v="PID0152"/>
        <s v="PID0153"/>
        <s v="PID0154"/>
        <s v="PID0155"/>
        <s v="PID0156"/>
        <s v="PID0157"/>
        <s v="PID0158"/>
        <s v="PID0159"/>
        <s v="PID0160"/>
        <s v="PID0161"/>
        <s v="PID0162"/>
        <s v="PID0163"/>
        <s v="PID0164"/>
        <s v="PID0165"/>
        <s v="PID0166"/>
        <s v="PID0167"/>
        <s v="PID0168"/>
        <s v="PID0169"/>
        <s v="PID0170"/>
        <s v="PID0171"/>
        <s v="PID0172"/>
        <s v="PID0173"/>
        <s v="PID0174"/>
        <s v="PID0175"/>
        <s v="PID0176"/>
        <s v="PID0177"/>
        <s v="PID0178"/>
        <s v="PID0179"/>
        <s v="PID0180"/>
        <s v="PID0181"/>
        <s v="PID0182"/>
        <s v="PID0183"/>
        <s v="PID0184"/>
        <s v="PID0185"/>
        <s v="PID0186"/>
        <s v="PID0187"/>
        <s v="PID0188"/>
        <s v="PID0189"/>
        <s v="PID0190"/>
        <s v="PID0191"/>
        <s v="PID0192"/>
        <s v="PID0193"/>
        <s v="PID0194"/>
        <s v="PID0195"/>
        <s v="PID0196"/>
        <s v="PID0197"/>
        <s v="PID0198"/>
        <s v="PID0199"/>
        <s v="PID0200"/>
        <s v="PID0201"/>
        <s v="PID0202"/>
        <s v="PID0203"/>
        <s v="PID0204"/>
        <s v="PID0205"/>
        <s v="PID0206"/>
        <s v="PID0207"/>
        <s v="PID0208"/>
        <s v="PID0209"/>
        <s v="PID0210"/>
        <s v="PID0211"/>
        <s v="PID0212"/>
        <s v="PID0213"/>
        <s v="PID0214"/>
        <s v="PID0215"/>
        <s v="PID0216"/>
        <s v="PID0217"/>
        <s v="PID0218"/>
        <s v="PID0219"/>
        <s v="PID0220"/>
        <s v="PID0221"/>
        <s v="PID0222"/>
        <s v="PID0223"/>
        <s v="PID0224"/>
        <s v="PID0225"/>
        <s v="PID0226"/>
        <s v="PID0227"/>
        <s v="PID0228"/>
        <s v="PID0229"/>
        <s v="PID0230"/>
        <s v="PID0231"/>
        <s v="PID0232"/>
        <s v="PID0233"/>
        <s v="PID0234"/>
        <s v="PID0235"/>
        <s v="PID0236"/>
        <s v="PID0237"/>
        <s v="PID0238"/>
        <s v="PID0239"/>
        <s v="PID0240"/>
        <s v="PID0241"/>
        <s v="PID0242"/>
        <s v="PID0243"/>
        <s v="PID0244"/>
        <s v="PID0245"/>
        <s v="PID0246"/>
        <s v="PID0247"/>
        <s v="PID0248"/>
        <s v="PID0249"/>
        <s v="PID0250"/>
        <s v="PID0251"/>
        <s v="PID0252"/>
        <s v="PID0253"/>
        <s v="PID0254"/>
        <s v="PID0255"/>
        <s v="PID0256"/>
        <s v="PID0257"/>
        <s v="PID0258"/>
        <s v="PID0259"/>
        <s v="PID0260"/>
        <s v="PID0261"/>
        <s v="PID0262"/>
        <s v="PID0263"/>
        <s v="PID0264"/>
        <s v="PID0265"/>
        <s v="PID0266"/>
        <s v="PID0267"/>
        <s v="PID0268"/>
        <s v="PID0269"/>
        <s v="PID0270"/>
        <s v="PID0271"/>
        <s v="PID0272"/>
        <s v="PID0273"/>
        <s v="PID0274"/>
        <s v="PID0275"/>
        <s v="PID0276"/>
        <s v="PID0277"/>
        <s v="PID0278"/>
        <s v="PID0279"/>
        <s v="PID0280"/>
        <s v="PID0281"/>
        <s v="PID0282"/>
        <s v="PID0283"/>
        <s v="PID0284"/>
        <s v="PID0285"/>
        <s v="PID0286"/>
        <s v="PID0287"/>
        <s v="PID0288"/>
        <s v="PID0289"/>
        <s v="PID0290"/>
        <s v="PID0291"/>
        <s v="PID0292"/>
        <s v="PID0293"/>
        <s v="PID0294"/>
        <s v="PID0295"/>
        <s v="PID0296"/>
        <s v="PID0297"/>
        <s v="PID0298"/>
        <s v="PID0299"/>
        <s v="PID0300"/>
        <s v="PID0301"/>
        <s v="PID0302"/>
        <s v="PID0303"/>
        <s v="PID0304"/>
        <s v="PID0305"/>
        <s v="PID0306"/>
        <s v="PID0307"/>
        <s v="PID0308"/>
        <s v="PID0309"/>
        <s v="PID0310"/>
        <s v="PID0311"/>
        <s v="PID0312"/>
        <s v="PID0313"/>
        <s v="PID0314"/>
        <s v="PID0315"/>
        <s v="PID0316"/>
        <s v="PID0317"/>
        <s v="PID0318"/>
        <s v="PID0319"/>
        <s v="PID0320"/>
        <s v="PID0321"/>
        <s v="PID0322"/>
        <s v="PID0323"/>
        <s v="PID0324"/>
        <s v="PID0325"/>
        <s v="PID0326"/>
        <s v="PID0327"/>
        <s v="PID0328"/>
        <s v="PID0329"/>
        <s v="PID0330"/>
        <s v="PID0331"/>
        <s v="PID0332"/>
        <s v="PID0333"/>
        <s v="PID0334"/>
        <s v="PID0335"/>
        <s v="PID0336"/>
        <s v="PID0337"/>
        <s v="PID0338"/>
        <s v="PID0339"/>
        <s v="PID0340"/>
        <s v="PID0341"/>
        <s v="PID0342"/>
        <s v="PID0343"/>
        <s v="PID0344"/>
        <s v="PID0345"/>
        <s v="PID0346"/>
        <s v="PID0347"/>
        <s v="PID0348"/>
        <s v="PID0349"/>
        <s v="PID0350"/>
        <s v="PID0351"/>
        <s v="PID0352"/>
        <s v="PID0353"/>
        <s v="PID0354"/>
        <s v="PID0355"/>
        <s v="PID0356"/>
        <s v="PID0357"/>
        <s v="PID0358"/>
        <s v="PID0359"/>
        <s v="PID0360"/>
        <s v="PID0361"/>
        <s v="PID0362"/>
        <s v="PID0363"/>
        <s v="PID0364"/>
        <s v="PID0365"/>
        <s v="PID0366"/>
        <s v="PID0367"/>
        <s v="PID0368"/>
        <s v="PID0369"/>
        <s v="PID0370"/>
        <s v="PID0371"/>
        <s v="PID0372"/>
        <s v="PID0373"/>
        <s v="PID0374"/>
        <s v="PID0375"/>
        <s v="PID0376"/>
        <s v="PID0377"/>
        <s v="PID0378"/>
        <s v="PID0379"/>
        <s v="PID0380"/>
        <s v="PID0381"/>
        <s v="PID0382"/>
        <s v="PID0383"/>
        <s v="PID0384"/>
        <s v="PID0385"/>
        <s v="PID0386"/>
        <s v="PID0387"/>
        <s v="PID0388"/>
        <s v="PID0389"/>
        <s v="PID0390"/>
        <s v="PID0391"/>
        <s v="PID0392"/>
        <s v="PID0393"/>
        <s v="PID0394"/>
        <s v="PID0395"/>
        <s v="PID0396"/>
        <s v="PID0397"/>
        <s v="PID0398"/>
        <s v="PID0399"/>
        <s v="PID0400"/>
        <s v="PID0401"/>
        <s v="PID0402"/>
        <s v="PID0403"/>
        <s v="PID0404"/>
        <s v="PID0405"/>
        <s v="PID0406"/>
        <s v="PID0407"/>
        <s v="PID0408"/>
        <s v="PID0409"/>
        <s v="PID0410"/>
        <s v="PID0411"/>
        <s v="PID0412"/>
        <s v="PID0413"/>
        <s v="PID0414"/>
        <s v="PID0415"/>
        <s v="PID0416"/>
        <s v="PID0417"/>
        <s v="PID0418"/>
        <s v="PID0419"/>
        <s v="PID0420"/>
        <s v="PID0421"/>
        <s v="PID0422"/>
        <s v="PID0423"/>
        <s v="PID0424"/>
        <s v="PID0425"/>
        <s v="PID0426"/>
        <s v="PID0427"/>
        <s v="PID0428"/>
        <s v="PID0429"/>
        <s v="PID0430"/>
        <s v="PID0431"/>
        <s v="PID0432"/>
        <s v="PID0433"/>
        <s v="PID0434"/>
        <s v="PID0435"/>
        <s v="PID0436"/>
        <s v="PID0437"/>
        <s v="PID0438"/>
        <s v="PID0439"/>
        <s v="PID0440"/>
        <s v="PID0441"/>
        <s v="PID0442"/>
        <s v="PID0443"/>
        <s v="PID0444"/>
        <s v="PID0445"/>
        <s v="PID0446"/>
        <s v="PID0447"/>
        <s v="PID0448"/>
        <s v="PID0449"/>
        <s v="PID0450"/>
        <s v="PID0451"/>
        <s v="PID0452"/>
        <s v="PID0453"/>
        <s v="PID0454"/>
        <s v="PID0455"/>
        <s v="PID0456"/>
        <s v="PID0457"/>
        <s v="PID0458"/>
        <s v="PID0459"/>
        <s v="PID0460"/>
        <s v="PID0461"/>
        <s v="PID0462"/>
        <s v="PID0463"/>
        <s v="PID0464"/>
        <s v="PID0465"/>
        <s v="PID0466"/>
        <s v="PID0467"/>
        <s v="PID0468"/>
        <s v="PID0469"/>
        <s v="PID0470"/>
        <s v="PID0471"/>
        <s v="PID0472"/>
        <s v="PID0473"/>
        <s v="PID0474"/>
        <s v="PID0475"/>
        <s v="PID0476"/>
        <s v="PID0477"/>
        <s v="PID0478"/>
        <s v="PID0479"/>
        <s v="PID0480"/>
        <s v="PID0481"/>
        <s v="PID0482"/>
        <s v="PID0483"/>
        <s v="PID0484"/>
        <s v="PID0485"/>
        <s v="PID0486"/>
        <s v="PID0487"/>
        <s v="PID0488"/>
        <s v="PID0489"/>
        <s v="PID0490"/>
        <s v="PID0491"/>
        <s v="PID0492"/>
        <s v="PID0493"/>
        <s v="PID0494"/>
        <s v="PID0495"/>
        <s v="PID0496"/>
        <s v="PID0497"/>
        <s v="PID0498"/>
        <s v="PID0499"/>
        <s v="PID0500"/>
        <s v="PID0501"/>
        <s v="PID0502"/>
        <s v="PID0503"/>
        <s v="PID0504"/>
        <s v="PID0505"/>
        <s v="PID0506"/>
        <s v="PID0507"/>
        <s v="PID0508"/>
        <s v="PID0509"/>
        <s v="PID0510"/>
        <s v="PID0511"/>
        <s v="PID0512"/>
        <s v="PID0513"/>
        <s v="PID0514"/>
        <s v="PID0515"/>
        <s v="PID0516"/>
        <s v="PID0517"/>
        <s v="PID0518"/>
        <s v="PID0519"/>
        <s v="PID0520"/>
        <s v="PID0521"/>
        <s v="PID0522"/>
        <s v="PID0523"/>
        <s v="PID0524"/>
        <s v="PID0525"/>
        <s v="PID0526"/>
        <s v="PID0527"/>
        <s v="PID0528"/>
        <s v="PID0529"/>
        <s v="PID0530"/>
        <s v="PID0531"/>
        <s v="PID0532"/>
        <s v="PID0533"/>
        <s v="PID0534"/>
        <s v="PID0535"/>
        <s v="PID0536"/>
        <s v="PID0537"/>
        <s v="PID0538"/>
        <s v="PID0539"/>
        <s v="PID0540"/>
        <s v="PID0541"/>
        <s v="PID0542"/>
        <s v="PID0543"/>
        <s v="PID0544"/>
        <s v="PID0545"/>
        <s v="PID0546"/>
        <s v="PID0547"/>
        <s v="PID0548"/>
        <s v="PID0549"/>
        <s v="PID0550"/>
        <s v="PID0551"/>
        <s v="PID0552"/>
        <s v="PID0553"/>
        <s v="PID0554"/>
        <s v="PID0555"/>
        <s v="PID0556"/>
        <s v="PID0557"/>
        <s v="PID0558"/>
        <s v="PID0559"/>
        <s v="PID0560"/>
        <s v="PID0561"/>
        <s v="PID0562"/>
        <s v="PID0563"/>
        <s v="PID0564"/>
        <s v="PID0565"/>
        <s v="PID0566"/>
        <s v="PID0567"/>
        <s v="PID0568"/>
        <s v="PID0569"/>
        <s v="PID0570"/>
        <s v="PID0571"/>
        <s v="PID0572"/>
        <s v="PID0573"/>
        <s v="PID0574"/>
        <s v="PID0575"/>
        <s v="PID0576"/>
        <s v="PID0577"/>
        <s v="PID0578"/>
        <s v="PID0579"/>
        <s v="PID0580"/>
        <s v="PID0581"/>
        <s v="PID0582"/>
        <s v="PID0583"/>
        <s v="PID0584"/>
        <s v="PID0585"/>
        <s v="PID0586"/>
        <s v="PID0587"/>
        <s v="PID0588"/>
        <s v="PID0589"/>
        <s v="PID0590"/>
        <s v="PID0591"/>
        <s v="PID0592"/>
        <s v="PID0593"/>
        <s v="PID0594"/>
        <s v="PID0595"/>
        <s v="PID0596"/>
        <s v="PID0597"/>
        <s v="PID0598"/>
        <s v="PID0599"/>
        <s v="PID0600"/>
        <s v="PID0601"/>
        <s v="PID0602"/>
        <s v="PID0603"/>
        <s v="PID0604"/>
        <s v="PID0605"/>
        <s v="PID0606"/>
        <s v="PID0607"/>
        <s v="PID0608"/>
        <s v="PID0609"/>
        <s v="PID0610"/>
        <s v="PID0611"/>
        <s v="PID0612"/>
        <s v="PID0613"/>
        <s v="PID0614"/>
        <s v="PID0615"/>
        <s v="PID0616"/>
        <s v="PID0617"/>
        <s v="PID0618"/>
        <s v="PID0619"/>
        <s v="PID0620"/>
        <s v="PID0621"/>
        <s v="PID0622"/>
        <s v="PID0623"/>
        <s v="PID0624"/>
        <s v="PID0625"/>
        <s v="PID0626"/>
        <s v="PID0627"/>
        <s v="PID0628"/>
        <s v="PID0629"/>
        <s v="PID0630"/>
        <s v="PID0631"/>
        <s v="PID0632"/>
        <s v="PID0633"/>
        <s v="PID0634"/>
        <s v="PID0635"/>
        <s v="PID0636"/>
        <s v="PID0637"/>
        <s v="PID0638"/>
        <s v="PID0639"/>
        <s v="PID0640"/>
        <s v="PID0641"/>
        <s v="PID0642"/>
        <s v="PID0643"/>
        <s v="PID0644"/>
        <s v="PID0645"/>
        <s v="PID0646"/>
        <s v="PID0647"/>
        <s v="PID0648"/>
        <s v="PID0649"/>
        <s v="PID0650"/>
        <s v="PID0651"/>
        <s v="PID0652"/>
        <s v="PID0653"/>
        <s v="PID0654"/>
        <s v="PID0655"/>
        <s v="PID0656"/>
        <s v="PID0657"/>
        <s v="PID0658"/>
        <s v="PID0659"/>
        <s v="PID0660"/>
        <s v="PID0661"/>
        <s v="PID0662"/>
        <s v="PID0663"/>
        <s v="PID0664"/>
        <s v="PID0665"/>
        <s v="PID0666"/>
        <s v="PID0667"/>
        <s v="PID0668"/>
        <s v="PID0669"/>
        <s v="PID0670"/>
        <s v="PID0671"/>
        <s v="PID0672"/>
        <s v="PID0673"/>
        <s v="PID0674"/>
        <s v="PID0675"/>
        <s v="PID0676"/>
        <s v="PID0677"/>
        <s v="PID0678"/>
        <s v="PID0679"/>
        <s v="PID0680"/>
        <s v="PID0681"/>
        <s v="PID0682"/>
        <s v="PID0683"/>
        <s v="PID0684"/>
        <s v="PID0685"/>
        <s v="PID0686"/>
        <s v="PID0687"/>
        <s v="PID0688"/>
        <s v="PID0689"/>
        <s v="PID0690"/>
        <s v="PID0691"/>
        <s v="PID0692"/>
        <s v="PID0693"/>
        <s v="PID0694"/>
        <s v="PID0695"/>
        <s v="PID0696"/>
        <s v="PID0697"/>
        <s v="PID0698"/>
        <s v="PID0699"/>
        <s v="PID0700"/>
        <s v="PID0701"/>
        <s v="PID0702"/>
        <s v="PID0703"/>
        <s v="PID0704"/>
        <s v="PID0705"/>
        <s v="PID0706"/>
        <s v="PID0707"/>
        <s v="PID0708"/>
        <s v="PID0709"/>
        <s v="PID0710"/>
        <s v="PID0711"/>
        <s v="PID0712"/>
        <s v="PID0713"/>
        <s v="PID0714"/>
        <s v="PID0715"/>
        <s v="PID0716"/>
        <s v="PID0717"/>
        <s v="PID0718"/>
        <s v="PID0719"/>
        <s v="PID0720"/>
        <s v="PID0721"/>
        <s v="PID0722"/>
        <s v="PID0723"/>
        <s v="PID0724"/>
        <s v="PID0725"/>
        <s v="PID0726"/>
        <s v="PID0727"/>
        <s v="PID0728"/>
        <s v="PID0729"/>
        <s v="PID0730"/>
        <s v="PID0731"/>
        <s v="PID0732"/>
        <s v="PID0733"/>
        <s v="PID0734"/>
        <s v="PID0735"/>
        <s v="PID0736"/>
        <s v="PID0737"/>
        <s v="PID0738"/>
        <s v="PID0739"/>
        <s v="PID0740"/>
        <s v="PID0741"/>
        <s v="PID0742"/>
        <s v="PID0743"/>
        <s v="PID0744"/>
        <s v="PID0745"/>
        <s v="PID0746"/>
        <s v="PID0747"/>
        <s v="PID0748"/>
        <s v="PID0749"/>
        <s v="PID0750"/>
        <s v="PID0751"/>
        <s v="PID0752"/>
        <s v="PID0753"/>
        <s v="PID0754"/>
        <s v="PID0755"/>
        <s v="PID0756"/>
        <s v="PID0757"/>
        <s v="PID0758"/>
        <s v="PID0759"/>
        <s v="PID0760"/>
        <s v="PID0761"/>
        <s v="PID0762"/>
        <s v="PID0763"/>
        <s v="PID0764"/>
        <s v="PID0765"/>
        <s v="PID0766"/>
        <s v="PID0767"/>
        <s v="PID0768"/>
        <s v="PID0769"/>
        <s v="PID0770"/>
        <s v="PID0771"/>
        <s v="PID0772"/>
        <s v="PID0773"/>
        <s v="PID0774"/>
        <s v="PID0775"/>
        <s v="PID0776"/>
        <s v="PID0777"/>
        <s v="PID0778"/>
        <s v="PID0779"/>
        <s v="PID0780"/>
        <s v="PID0781"/>
        <s v="PID0782"/>
        <s v="PID0783"/>
        <s v="PID0784"/>
        <s v="PID0785"/>
        <s v="PID0786"/>
        <s v="PID0787"/>
        <s v="PID0788"/>
        <s v="PID0789"/>
        <s v="PID0790"/>
        <s v="PID0791"/>
        <s v="PID0792"/>
        <s v="PID0793"/>
        <s v="PID0794"/>
        <s v="PID0795"/>
        <s v="PID0796"/>
        <s v="PID0797"/>
        <s v="PID0798"/>
        <s v="PID0799"/>
        <s v="PID0800"/>
        <s v="PID0801"/>
        <s v="PID0802"/>
        <s v="PID0803"/>
        <s v="PID0804"/>
        <s v="PID0805"/>
        <s v="PID0806"/>
        <s v="PID0807"/>
        <s v="PID0808"/>
        <s v="PID0809"/>
        <s v="PID0810"/>
        <s v="PID0811"/>
        <s v="PID0812"/>
        <s v="PID0813"/>
        <s v="PID0814"/>
        <s v="PID0815"/>
        <s v="PID0816"/>
        <s v="PID0817"/>
        <s v="PID0818"/>
        <s v="PID0819"/>
        <s v="PID0820"/>
        <s v="PID0821"/>
        <s v="PID0822"/>
        <s v="PID0823"/>
        <s v="PID0824"/>
        <s v="PID0825"/>
        <s v="PID0826"/>
        <s v="PID0827"/>
        <s v="PID0828"/>
        <s v="PID0829"/>
        <s v="PID0830"/>
        <s v="PID0831"/>
        <s v="PID0832"/>
        <s v="PID0833"/>
        <s v="PID0834"/>
        <s v="PID0835"/>
        <s v="PID0836"/>
        <s v="PID0837"/>
        <s v="PID0838"/>
        <s v="PID0839"/>
        <s v="PID0840"/>
        <s v="PID0841"/>
        <s v="PID0842"/>
        <s v="PID0843"/>
        <s v="PID0844"/>
        <s v="PID0845"/>
        <s v="PID0846"/>
        <s v="PID0847"/>
        <s v="PID0848"/>
        <s v="PID0849"/>
        <s v="PID0850"/>
        <s v="PID0851"/>
        <s v="PID0852"/>
        <s v="PID0853"/>
        <s v="PID0854"/>
        <s v="PID0855"/>
        <s v="PID0856"/>
        <s v="PID0857"/>
        <s v="PID0858"/>
        <s v="PID0859"/>
        <s v="PID0860"/>
        <s v="PID0861"/>
        <s v="PID0862"/>
        <s v="PID0863"/>
        <s v="PID0864"/>
        <s v="PID0865"/>
        <s v="PID0866"/>
        <s v="PID0867"/>
        <s v="PID0868"/>
        <s v="PID0869"/>
        <s v="PID0870"/>
        <s v="PID0871"/>
        <s v="PID0872"/>
        <s v="PID0873"/>
        <s v="PID0874"/>
        <s v="PID0875"/>
        <s v="PID0876"/>
        <s v="PID0877"/>
        <s v="PID0878"/>
        <s v="PID0879"/>
        <s v="PID0880"/>
        <s v="PID0881"/>
        <s v="PID0882"/>
        <s v="PID0883"/>
        <s v="PID0884"/>
        <s v="PID0885"/>
        <s v="PID0886"/>
        <s v="PID0887"/>
        <s v="PID0888"/>
        <s v="PID0889"/>
        <s v="PID0890"/>
        <s v="PID0891"/>
        <s v="PID0892"/>
        <s v="PID0893"/>
        <s v="PID0894"/>
        <s v="PID0895"/>
        <s v="PID0896"/>
        <s v="PID0897"/>
        <s v="PID0898"/>
        <s v="PID0899"/>
        <s v="PID0900"/>
        <s v="PID0901"/>
        <s v="PID0902"/>
        <s v="PID0903"/>
        <s v="PID0904"/>
        <s v="PID0905"/>
        <s v="PID0906"/>
        <s v="PID0907"/>
        <s v="PID0908"/>
        <s v="PID0909"/>
        <s v="PID0910"/>
        <s v="PID0911"/>
        <s v="PID0912"/>
        <s v="PID0913"/>
        <s v="PID0914"/>
        <s v="PID0915"/>
        <s v="PID0916"/>
        <s v="PID0917"/>
        <s v="PID0918"/>
        <s v="PID0919"/>
        <s v="PID0920"/>
        <s v="PID0921"/>
        <s v="PID0922"/>
        <s v="PID0923"/>
        <s v="PID0924"/>
        <s v="PID0925"/>
        <s v="PID0926"/>
        <s v="PID0927"/>
        <s v="PID0928"/>
        <s v="PID0929"/>
        <s v="PID0930"/>
        <s v="PID0931"/>
        <s v="PID0932"/>
        <s v="PID0933"/>
        <s v="PID0934"/>
        <s v="PID0935"/>
        <s v="PID0936"/>
        <s v="PID0937"/>
        <s v="PID0938"/>
        <s v="PID0939"/>
        <s v="PID0940"/>
        <s v="PID0941"/>
        <s v="PID0942"/>
        <s v="PID0943"/>
        <s v="PID0944"/>
        <s v="PID0945"/>
        <s v="PID0946"/>
        <s v="PID0947"/>
        <s v="PID0948"/>
        <s v="PID0949"/>
        <s v="PID0950"/>
        <s v="PID0951"/>
        <s v="PID0952"/>
        <s v="PID0953"/>
        <s v="PID0954"/>
        <s v="PID0955"/>
        <s v="PID0956"/>
        <s v="PID0957"/>
        <s v="PID0958"/>
        <s v="PID0959"/>
        <s v="PID0960"/>
        <s v="PID0961"/>
        <s v="PID0962"/>
        <s v="PID0963"/>
        <s v="PID0964"/>
        <s v="PID0965"/>
        <s v="PID0966"/>
        <s v="PID0967"/>
        <s v="PID0968"/>
        <s v="PID0969"/>
        <s v="PID0970"/>
        <s v="PID0971"/>
        <s v="PID0972"/>
        <s v="PID0973"/>
        <s v="PID0974"/>
        <s v="PID0975"/>
        <s v="PID0976"/>
        <s v="PID0977"/>
        <s v="PID0978"/>
        <s v="PID0979"/>
        <s v="PID0980"/>
        <s v="PID0981"/>
        <s v="PID0982"/>
        <s v="PID0983"/>
        <s v="PID0984"/>
        <s v="PID0985"/>
        <s v="PID0986"/>
        <s v="PID0987"/>
        <s v="PID0988"/>
        <s v="PID0989"/>
        <s v="PID0990"/>
        <s v="PID0991"/>
        <s v="PID0992"/>
        <s v="PID0993"/>
        <s v="PID0994"/>
        <s v="PID0995"/>
        <s v="PID0996"/>
        <s v="PID0997"/>
        <s v="PID0998"/>
        <s v="PID0999"/>
        <s v="PID1000"/>
        <s v="PID1001"/>
        <s v="PID1002"/>
        <s v="PID1003"/>
        <s v="PID1004"/>
        <s v="PID1005"/>
        <s v="PID1006"/>
        <s v="PID1007"/>
        <s v="PID1008"/>
        <s v="PID1009"/>
        <s v="PID1010"/>
        <s v="PID1011"/>
        <s v="PID1012"/>
        <s v="PID1013"/>
        <s v="PID1014"/>
        <s v="PID1015"/>
        <s v="PID1016"/>
        <s v="PID1017"/>
        <s v="PID1018"/>
        <s v="PID1019"/>
        <s v="PID1020"/>
        <s v="PID1021"/>
        <s v="PID1022"/>
        <s v="PID1023"/>
        <s v="PID1024"/>
        <s v="PID1025"/>
        <s v="PID1026"/>
        <s v="PID1027"/>
        <s v="PID1028"/>
        <s v="PID1029"/>
        <s v="PID1030"/>
        <s v="PID1031"/>
        <s v="PID1032"/>
        <s v="PID1033"/>
        <s v="PID1034"/>
        <s v="PID1035"/>
        <s v="PID1036"/>
        <s v="PID1037"/>
        <s v="PID1038"/>
        <s v="PID1039"/>
        <s v="PID1040"/>
        <s v="PID1041"/>
        <s v="PID1042"/>
        <s v="PID1043"/>
        <s v="PID1044"/>
        <s v="PID1045"/>
        <s v="PID1046"/>
        <s v="PID1047"/>
        <s v="PID1048"/>
        <s v="PID1049"/>
        <s v="PID1050"/>
        <s v="PID1051"/>
        <s v="PID1052"/>
        <s v="PID1053"/>
        <s v="PID1054"/>
        <s v="PID1055"/>
        <s v="PID1056"/>
        <s v="PID1057"/>
        <s v="PID1058"/>
        <s v="PID1059"/>
        <s v="PID1060"/>
        <s v="PID1061"/>
        <s v="PID1062"/>
        <s v="PID1063"/>
        <s v="PID1064"/>
        <s v="PID1065"/>
        <s v="PID1066"/>
        <s v="PID1067"/>
        <s v="PID1068"/>
        <s v="PID1069"/>
        <s v="PID1070"/>
        <s v="PID1071"/>
        <s v="PID1072"/>
        <s v="PID1073"/>
        <s v="PID1074"/>
        <s v="PID1075"/>
        <s v="PID1076"/>
        <s v="PID1077"/>
        <s v="PID1078"/>
        <s v="PID1079"/>
        <s v="PID1080"/>
        <s v="PID1081"/>
        <s v="PID1082"/>
        <s v="PID1083"/>
        <s v="PID1084"/>
        <s v="PID1085"/>
        <s v="PID1086"/>
        <s v="PID1087"/>
        <s v="PID1088"/>
        <s v="PID1089"/>
        <s v="PID1090"/>
        <s v="PID1091"/>
        <s v="PID1092"/>
        <s v="PID1093"/>
        <s v="PID1094"/>
        <s v="PID1095"/>
        <s v="PID1096"/>
        <s v="PID1097"/>
        <s v="PID1098"/>
        <s v="PID1099"/>
        <s v="PID1100"/>
        <s v="PID1101"/>
        <s v="PID1102"/>
        <s v="PID1103"/>
        <s v="PID1104"/>
        <s v="PID1105"/>
        <s v="PID1106"/>
        <s v="PID1107"/>
        <s v="PID1108"/>
        <s v="PID1109"/>
        <s v="PID1110"/>
        <s v="PID1111"/>
        <s v="PID1112"/>
        <s v="PID1113"/>
        <s v="PID1114"/>
        <s v="PID1115"/>
        <s v="PID1116"/>
        <s v="PID1117"/>
        <s v="PID1118"/>
        <s v="PID1119"/>
        <s v="PID1120"/>
        <s v="PID1121"/>
        <s v="PID1122"/>
        <s v="PID1123"/>
        <s v="PID1124"/>
        <s v="PID1125"/>
        <s v="PID1126"/>
        <s v="PID1127"/>
        <s v="PID1128"/>
        <s v="PID1129"/>
        <s v="PID1130"/>
        <s v="PID1131"/>
        <s v="PID1132"/>
        <s v="PID1133"/>
        <s v="PID1134"/>
        <s v="PID1135"/>
        <s v="PID1136"/>
        <s v="PID1137"/>
        <s v="PID1138"/>
        <s v="PID1139"/>
        <s v="PID1140"/>
        <s v="PID1141"/>
        <s v="PID1142"/>
        <s v="PID1143"/>
        <s v="PID1144"/>
        <s v="PID1145"/>
        <s v="PID1146"/>
        <s v="PID1147"/>
        <s v="PID1148"/>
        <s v="PID1149"/>
        <s v="PID1150"/>
        <s v="PID1151"/>
        <s v="PID1152"/>
        <s v="PID1153"/>
        <s v="PID1154"/>
        <s v="PID1155"/>
        <s v="PID1156"/>
        <s v="PID1157"/>
        <s v="PID1158"/>
        <s v="PID1159"/>
        <s v="PID1160"/>
        <s v="PID1161"/>
        <s v="PID1162"/>
        <s v="PID1163"/>
        <s v="PID1164"/>
        <s v="PID1165"/>
        <s v="PID1166"/>
        <s v="PID1167"/>
        <s v="PID1168"/>
        <s v="PID1169"/>
        <s v="PID1170"/>
        <s v="PID1171"/>
        <s v="PID1172"/>
        <s v="PID1173"/>
        <s v="PID1174"/>
        <s v="PID1175"/>
        <s v="PID1176"/>
        <s v="PID1177"/>
        <s v="PID1178"/>
        <s v="PID1179"/>
        <s v="PID1180"/>
        <s v="PID1181"/>
        <s v="PID1182"/>
        <s v="PID1183"/>
        <s v="PID1184"/>
        <s v="PID1185"/>
        <s v="PID1186"/>
        <s v="PID1187"/>
        <s v="PID1188"/>
        <s v="PID1189"/>
        <s v="PID1190"/>
        <s v="PID1191"/>
        <s v="PID1192"/>
        <s v="PID1193"/>
        <s v="PID1194"/>
        <s v="PID1195"/>
        <s v="PID1196"/>
        <s v="PID1197"/>
        <s v="PID1198"/>
        <s v="PID1199"/>
        <s v="PID1200"/>
        <s v="PID1201"/>
        <s v="PID1202"/>
        <s v="PID1203"/>
        <s v="PID1204"/>
        <s v="PID1205"/>
        <s v="PID1206"/>
        <s v="PID1207"/>
        <s v="PID1208"/>
        <s v="PID1209"/>
        <s v="PID1210"/>
        <s v="PID1211"/>
        <s v="PID1212"/>
        <s v="PID1213"/>
        <s v="PID1214"/>
        <s v="PID1215"/>
        <s v="PID1216"/>
        <s v="PID1217"/>
        <s v="PID1218"/>
        <s v="PID1219"/>
        <s v="PID1220"/>
        <s v="PID1221"/>
        <s v="PID1222"/>
        <s v="PID1223"/>
        <s v="PID1224"/>
        <s v="PID1225"/>
        <s v="PID1226"/>
        <s v="PID1227"/>
        <s v="PID1228"/>
        <s v="PID1229"/>
        <s v="PID1230"/>
        <s v="PID1231"/>
        <s v="PID1232"/>
        <s v="PID1233"/>
        <s v="PID1234"/>
        <s v="PID1235"/>
        <s v="PID1236"/>
        <s v="PID1237"/>
        <s v="PID1238"/>
        <s v="PID1239"/>
        <s v="PID1240"/>
        <s v="PID1241"/>
        <s v="PID1242"/>
        <s v="PID1243"/>
        <s v="PID1244"/>
        <s v="PID1245"/>
        <s v="PID1246"/>
        <s v="PID1247"/>
        <s v="PID1248"/>
        <s v="PID1249"/>
        <s v="PID1250"/>
        <s v="PID1251"/>
        <s v="PID1252"/>
        <s v="PID1253"/>
        <s v="PID1254"/>
        <s v="PID1255"/>
        <s v="PID1256"/>
        <s v="PID1257"/>
        <s v="PID1258"/>
        <s v="PID1259"/>
        <s v="PID1260"/>
        <s v="PID1261"/>
        <s v="PID1262"/>
        <s v="PID1263"/>
        <s v="PID1264"/>
        <s v="PID1265"/>
        <s v="PID1266"/>
        <s v="PID1267"/>
        <s v="PID1268"/>
        <s v="PID1269"/>
        <s v="PID1270"/>
        <s v="PID1271"/>
        <s v="PID1272"/>
        <s v="PID1273"/>
        <s v="PID1274"/>
        <s v="PID1275"/>
        <s v="PID1276"/>
        <s v="PID1277"/>
        <s v="PID1278"/>
        <s v="PID1279"/>
        <s v="PID1280"/>
        <s v="PID1281"/>
        <s v="PID1282"/>
        <s v="PID1283"/>
        <s v="PID1284"/>
        <s v="PID1285"/>
        <s v="PID1286"/>
        <s v="PID1287"/>
        <s v="PID1288"/>
        <s v="PID1289"/>
        <s v="PID1290"/>
        <s v="PID1291"/>
        <s v="PID1292"/>
        <s v="PID1293"/>
        <s v="PID1294"/>
        <s v="PID1295"/>
        <s v="PID1296"/>
        <s v="PID1297"/>
        <s v="PID1298"/>
        <s v="PID1299"/>
        <s v="PID1300"/>
        <s v="PID1301"/>
        <s v="PID1302"/>
        <s v="PID1303"/>
        <s v="PID1304"/>
        <s v="PID1305"/>
        <s v="PID1306"/>
        <s v="PID1307"/>
        <s v="PID1308"/>
        <s v="PID1309"/>
        <s v="PID1310"/>
        <s v="PID1311"/>
        <s v="PID1312"/>
        <s v="PID1313"/>
        <s v="PID1314"/>
        <s v="PID1315"/>
        <s v="PID1316"/>
        <s v="PID1317"/>
        <s v="PID1318"/>
        <s v="PID1319"/>
        <s v="PID1320"/>
        <s v="PID1321"/>
        <s v="PID1322"/>
        <s v="PID1323"/>
        <s v="PID1324"/>
        <s v="PID1325"/>
        <s v="PID1326"/>
        <s v="PID1327"/>
        <s v="PID1328"/>
        <s v="PID1329"/>
        <s v="PID1330"/>
        <s v="PID1331"/>
        <s v="PID1332"/>
        <s v="PID1333"/>
        <s v="PID1334"/>
        <s v="PID1335"/>
        <s v="PID1336"/>
        <s v="PID1337"/>
        <s v="PID1338"/>
        <s v="PID1339"/>
        <s v="PID1340"/>
        <s v="PID1341"/>
        <s v="PID1342"/>
        <s v="PID1343"/>
        <s v="PID1344"/>
        <s v="PID1345"/>
        <s v="PID1346"/>
        <s v="PID1347"/>
        <s v="PID1348"/>
        <s v="PID1349"/>
        <s v="PID1350"/>
        <s v="PID1351"/>
        <s v="PID1352"/>
        <s v="PID1353"/>
        <s v="PID1354"/>
        <s v="PID1355"/>
        <s v="PID1356"/>
        <s v="PID1357"/>
        <s v="PID1358"/>
        <s v="PID1359"/>
        <s v="PID1360"/>
        <s v="PID1361"/>
        <s v="PID1362"/>
        <s v="PID1363"/>
        <s v="PID1364"/>
        <s v="PID1365"/>
        <s v="PID1366"/>
        <s v="PID1367"/>
        <s v="PID1368"/>
        <s v="PID1369"/>
        <s v="PID1370"/>
        <s v="PID1371"/>
        <s v="PID1372"/>
        <s v="PID1373"/>
        <s v="PID1374"/>
        <s v="PID1375"/>
        <s v="PID1376"/>
        <s v="PID1377"/>
        <s v="PID1378"/>
        <s v="PID1379"/>
        <s v="PID1380"/>
        <s v="PID1381"/>
        <s v="PID1382"/>
        <s v="PID1383"/>
        <s v="PID1384"/>
        <s v="PID1385"/>
        <s v="PID1386"/>
        <s v="PID1387"/>
        <s v="PID1388"/>
        <s v="PID1389"/>
        <s v="PID1390"/>
        <s v="PID1391"/>
        <s v="PID1392"/>
        <s v="PID1393"/>
        <s v="PID1394"/>
        <s v="PID1395"/>
        <s v="PID1396"/>
        <s v="PID1397"/>
        <s v="PID1398"/>
        <s v="PID1399"/>
        <s v="PID1400"/>
        <s v="PID1401"/>
        <s v="PID1402"/>
        <s v="PID1403"/>
        <s v="PID1404"/>
        <s v="PID1405"/>
        <s v="PID1406"/>
        <s v="PID1407"/>
        <s v="PID1408"/>
        <s v="PID1409"/>
        <s v="PID1410"/>
        <s v="PID1411"/>
        <s v="PID1412"/>
        <s v="PID1413"/>
        <s v="PID1414"/>
        <s v="PID1415"/>
        <s v="PID1416"/>
        <s v="PID1417"/>
        <s v="PID1418"/>
        <s v="PID1419"/>
        <s v="PID1420"/>
        <s v="PID1421"/>
        <s v="PID1422"/>
        <s v="PID1423"/>
        <s v="PID1424"/>
        <s v="PID1425"/>
        <s v="PID1426"/>
        <s v="PID1427"/>
        <s v="PID1428"/>
        <s v="PID1429"/>
        <s v="PID1430"/>
        <s v="PID1431"/>
        <s v="PID1432"/>
        <s v="PID1433"/>
        <s v="PID1434"/>
        <s v="PID1435"/>
        <s v="PID1436"/>
        <s v="PID1437"/>
        <s v="PID1438"/>
        <s v="PID1439"/>
        <s v="PID1440"/>
        <s v="PID1441"/>
        <s v="PID1442"/>
        <s v="PID1443"/>
        <s v="PID1444"/>
        <s v="PID1445"/>
        <s v="PID1446"/>
        <s v="PID1447"/>
        <s v="PID1448"/>
        <s v="PID1449"/>
        <s v="PID1450"/>
        <s v="PID1451"/>
        <s v="PID1452"/>
        <s v="PID1453"/>
        <s v="PID1454"/>
        <s v="PID1455"/>
        <s v="PID1456"/>
        <s v="PID1457"/>
        <s v="PID1458"/>
        <s v="PID1459"/>
        <s v="PID1460"/>
        <s v="PID1461"/>
        <s v="PID1462"/>
        <s v="PID1463"/>
        <s v="PID1464"/>
        <s v="PID1465"/>
        <s v="PID1466"/>
        <s v="PID1467"/>
        <s v="PID1468"/>
        <s v="PID1469"/>
        <s v="PID1470"/>
        <s v="PID1471"/>
        <s v="PID1472"/>
        <s v="PID1473"/>
        <s v="PID1474"/>
        <s v="PID1475"/>
        <s v="PID1476"/>
        <s v="PID1477"/>
        <s v="PID1478"/>
        <s v="PID1479"/>
        <s v="PID1480"/>
        <s v="PID1481"/>
        <s v="PID1482"/>
        <s v="PID1483"/>
        <s v="PID1484"/>
        <s v="PID1485"/>
        <s v="PID1486"/>
        <s v="PID1487"/>
        <s v="PID1488"/>
        <s v="PID1489"/>
        <s v="PID1490"/>
        <s v="PID1491"/>
        <s v="PID1492"/>
        <s v="PID1493"/>
        <s v="PID1494"/>
        <s v="PID1495"/>
        <s v="PID1496"/>
        <s v="PID1497"/>
        <s v="PID1498"/>
        <s v="PID1499"/>
        <s v="PID1500"/>
        <s v="PID1501"/>
        <s v="PID1502"/>
        <s v="PID1503"/>
        <s v="PID1504"/>
        <s v="PID1505"/>
        <s v="PID1506"/>
        <s v="PID1507"/>
        <s v="PID1508"/>
        <s v="PID1509"/>
        <s v="PID1510"/>
        <s v="PID1511"/>
        <s v="PID1512"/>
        <s v="PID1513"/>
        <s v="PID1514"/>
        <s v="PID1515"/>
        <s v="PID1516"/>
        <s v="PID1517"/>
        <s v="PID1518"/>
        <s v="PID1519"/>
        <s v="PID1520"/>
        <s v="PID1521"/>
        <s v="PID1522"/>
        <s v="PID1523"/>
        <s v="PID1524"/>
        <s v="PID1525"/>
        <s v="PID1526"/>
        <s v="PID1527"/>
        <s v="PID1528"/>
        <s v="PID1529"/>
        <s v="PID1530"/>
        <s v="PID1531"/>
        <s v="PID1532"/>
        <s v="PID1533"/>
        <s v="PID1534"/>
        <s v="PID1535"/>
        <s v="PID1536"/>
        <s v="PID1537"/>
        <s v="PID1538"/>
        <s v="PID1539"/>
        <s v="PID1540"/>
        <s v="PID1541"/>
        <s v="PID1542"/>
        <s v="PID1543"/>
        <s v="PID1544"/>
        <s v="PID1545"/>
        <s v="PID1546"/>
        <s v="PID1547"/>
        <s v="PID1548"/>
        <s v="PID1549"/>
        <s v="PID1550"/>
        <s v="PID1551"/>
        <s v="PID1552"/>
        <s v="PID1553"/>
        <s v="PID1554"/>
        <s v="PID1555"/>
        <s v="PID1556"/>
        <s v="PID1557"/>
        <s v="PID1558"/>
        <s v="PID1559"/>
        <s v="PID1560"/>
        <s v="PID1561"/>
        <s v="PID1562"/>
        <s v="PID1563"/>
        <s v="PID1564"/>
        <s v="PID1565"/>
        <s v="PID1566"/>
        <s v="PID1567"/>
        <s v="PID1568"/>
        <s v="PID1569"/>
        <s v="PID1570"/>
        <s v="PID1571"/>
        <s v="PID1572"/>
        <s v="PID1573"/>
        <s v="PID1574"/>
        <s v="PID1575"/>
        <s v="PID1576"/>
        <s v="PID1577"/>
        <s v="PID1578"/>
        <s v="PID1579"/>
        <s v="PID1580"/>
        <s v="PID1581"/>
        <s v="PID1582"/>
        <s v="PID1583"/>
        <s v="PID1584"/>
        <s v="PID1585"/>
        <s v="PID1586"/>
        <s v="PID1587"/>
        <s v="PID1588"/>
        <s v="PID1589"/>
        <s v="PID1590"/>
        <s v="PID1591"/>
        <s v="PID1592"/>
        <s v="PID1593"/>
        <s v="PID1594"/>
        <s v="PID1595"/>
        <s v="PID1596"/>
        <s v="PID1597"/>
        <s v="PID1598"/>
        <s v="PID1599"/>
        <s v="PID1600"/>
        <s v="PID1601"/>
        <s v="PID1602"/>
        <s v="PID1603"/>
        <s v="PID1604"/>
        <s v="PID1605"/>
        <s v="PID1606"/>
        <s v="PID1607"/>
        <s v="PID1608"/>
        <s v="PID1609"/>
        <s v="PID1610"/>
        <s v="PID1611"/>
        <s v="PID1612"/>
        <s v="PID1613"/>
        <s v="PID1614"/>
        <s v="PID1615"/>
        <s v="PID1616"/>
        <s v="PID1617"/>
        <s v="PID1618"/>
        <s v="PID1619"/>
        <s v="PID1620"/>
        <s v="PID1621"/>
        <s v="PID1622"/>
        <s v="PID1623"/>
        <s v="PID1624"/>
        <s v="PID1625"/>
        <s v="PID1626"/>
        <s v="PID1627"/>
        <s v="PID1628"/>
        <s v="PID1629"/>
        <s v="PID1630"/>
        <s v="PID1631"/>
        <s v="PID1632"/>
        <s v="PID1633"/>
        <s v="PID1634"/>
        <s v="PID1635"/>
        <s v="PID1636"/>
        <s v="PID1637"/>
        <s v="PID1638"/>
        <s v="PID1639"/>
        <s v="PID1640"/>
        <s v="PID1641"/>
        <s v="PID1642"/>
        <s v="PID1643"/>
        <s v="PID1644"/>
        <s v="PID1645"/>
        <s v="PID1646"/>
        <s v="PID1647"/>
        <s v="PID1648"/>
        <s v="PID1649"/>
        <s v="PID1650"/>
        <s v="PID1651"/>
        <s v="PID1652"/>
        <s v="PID1653"/>
        <s v="PID1654"/>
        <s v="PID1655"/>
        <s v="PID1656"/>
        <s v="PID1657"/>
        <s v="PID1658"/>
        <s v="PID1659"/>
        <s v="PID1660"/>
        <s v="PID1661"/>
        <s v="PID1662"/>
        <s v="PID1663"/>
        <s v="PID1664"/>
        <s v="PID1665"/>
        <s v="PID1666"/>
        <s v="PID1667"/>
        <s v="PID1668"/>
        <s v="PID1669"/>
        <s v="PID1670"/>
        <s v="PID1671"/>
        <s v="PID1672"/>
        <s v="PID1673"/>
        <s v="PID1674"/>
        <s v="PID1675"/>
        <s v="PID1676"/>
        <s v="PID1677"/>
        <s v="PID1678"/>
        <s v="PID1679"/>
        <s v="PID1680"/>
        <s v="PID1681"/>
        <s v="PID1682"/>
        <s v="PID1683"/>
        <s v="PID1684"/>
        <s v="PID1685"/>
        <s v="PID1686"/>
        <s v="PID1687"/>
        <s v="PID1688"/>
        <s v="PID1689"/>
        <s v="PID1690"/>
        <s v="PID1691"/>
        <s v="PID1692"/>
        <s v="PID1693"/>
        <s v="PID1694"/>
        <s v="PID1695"/>
        <s v="PID1696"/>
        <s v="PID1697"/>
        <s v="PID1698"/>
        <s v="PID1699"/>
        <s v="PID1700"/>
        <s v="PID1701"/>
        <s v="PID1702"/>
        <s v="PID1703"/>
        <s v="PID1704"/>
        <s v="PID1705"/>
        <s v="PID1706"/>
        <s v="PID1707"/>
        <s v="PID1708"/>
        <s v="PID1709"/>
        <s v="PID1710"/>
        <s v="PID1711"/>
        <s v="PID1712"/>
        <s v="PID1713"/>
        <s v="PID1714"/>
        <s v="PID1715"/>
        <s v="PID1716"/>
        <s v="PID1717"/>
        <s v="PID1718"/>
        <s v="PID1719"/>
        <s v="PID1720"/>
        <s v="PID1721"/>
        <s v="PID1722"/>
        <s v="PID1723"/>
        <s v="PID1724"/>
        <s v="PID1725"/>
        <s v="PID1726"/>
        <s v="PID1727"/>
        <s v="PID1728"/>
        <s v="PID1729"/>
        <s v="PID1730"/>
        <s v="PID1731"/>
        <s v="PID1732"/>
        <s v="PID1733"/>
        <s v="PID1734"/>
        <s v="PID1735"/>
        <s v="PID1736"/>
        <s v="PID1737"/>
        <s v="PID1738"/>
        <s v="PID1739"/>
        <s v="PID1740"/>
        <s v="PID1741"/>
        <s v="PID1742"/>
        <s v="PID1743"/>
        <s v="PID1744"/>
        <s v="PID1745"/>
        <s v="PID1746"/>
        <s v="PID1747"/>
        <s v="PID1748"/>
        <s v="PID1749"/>
        <s v="PID1750"/>
        <s v="PID1751"/>
        <s v="PID1752"/>
        <s v="PID1753"/>
        <s v="PID1754"/>
        <s v="PID1755"/>
        <s v="PID1756"/>
        <s v="PID1757"/>
        <s v="PID1758"/>
        <s v="PID1759"/>
        <s v="PID1760"/>
        <s v="PID1761"/>
        <s v="PID1762"/>
        <s v="PID1763"/>
        <s v="PID1764"/>
        <s v="PID1765"/>
        <s v="PID1766"/>
        <s v="PID1767"/>
        <s v="PID1768"/>
        <s v="PID1769"/>
        <s v="PID1770"/>
        <s v="PID1771"/>
        <s v="PID1772"/>
        <s v="PID1773"/>
        <s v="PID1774"/>
        <s v="PID1775"/>
        <s v="PID1776"/>
        <s v="PID1777"/>
        <s v="PID1778"/>
        <s v="PID1779"/>
        <s v="PID1780"/>
        <s v="PID1781"/>
        <s v="PID1782"/>
        <s v="PID1783"/>
        <s v="PID1784"/>
        <s v="PID1785"/>
        <s v="PID1786"/>
        <s v="PID1787"/>
        <s v="PID1788"/>
        <s v="PID1789"/>
        <s v="PID1790"/>
        <s v="PID1791"/>
        <s v="PID1792"/>
        <s v="PID1793"/>
        <s v="PID1794"/>
        <s v="PID1795"/>
        <s v="PID1796"/>
        <s v="PID1797"/>
        <s v="PID1798"/>
        <s v="PID1799"/>
        <s v="PID1800"/>
        <s v="PID1801"/>
        <s v="PID1802"/>
        <s v="PID1803"/>
        <s v="PID1804"/>
        <s v="PID1805"/>
        <s v="PID1806"/>
        <s v="PID1807"/>
        <s v="PID1808"/>
        <s v="PID1809"/>
        <s v="PID1810"/>
        <s v="PID1811"/>
        <s v="PID1812"/>
        <s v="PID1813"/>
        <s v="PID1814"/>
        <s v="PID1815"/>
        <s v="PID1816"/>
        <s v="PID1817"/>
        <s v="PID1818"/>
        <s v="PID1819"/>
        <s v="PID1820"/>
        <s v="PID1821"/>
        <s v="PID1822"/>
        <s v="PID1823"/>
        <s v="PID1824"/>
        <s v="PID1825"/>
        <s v="PID1826"/>
        <s v="PID1827"/>
        <s v="PID1828"/>
        <s v="PID1829"/>
        <s v="PID1830"/>
        <s v="PID1831"/>
        <s v="PID1832"/>
        <s v="PID1833"/>
        <s v="PID1834"/>
        <s v="PID1835"/>
        <s v="PID1836"/>
        <s v="PID1837"/>
        <s v="PID1838"/>
        <s v="PID1839"/>
        <s v="PID1840"/>
        <s v="PID1841"/>
        <s v="PID1842"/>
        <s v="PID1843"/>
        <s v="PID1844"/>
        <s v="PID1845"/>
        <s v="PID1846"/>
        <s v="PID1847"/>
        <s v="PID1848"/>
        <s v="PID1849"/>
        <s v="PID1850"/>
        <s v="PID1851"/>
        <s v="PID1852"/>
        <s v="PID1853"/>
        <s v="PID1854"/>
        <s v="PID1855"/>
        <s v="PID1856"/>
        <s v="PID1857"/>
        <s v="PID1858"/>
        <s v="PID1859"/>
        <s v="PID1860"/>
        <s v="PID1861"/>
        <s v="PID1862"/>
        <s v="PID1863"/>
        <s v="PID1864"/>
        <s v="PID1865"/>
        <s v="PID1866"/>
        <s v="PID1867"/>
        <s v="PID1868"/>
        <s v="PID1869"/>
        <s v="PID1870"/>
        <s v="PID1871"/>
        <s v="PID1872"/>
        <s v="PID1873"/>
        <s v="PID1874"/>
        <s v="PID1875"/>
        <s v="PID1876"/>
        <s v="PID1877"/>
        <s v="PID1878"/>
        <s v="PID1879"/>
        <s v="PID1880"/>
        <s v="PID1881"/>
        <s v="PID1882"/>
        <s v="PID1883"/>
        <s v="PID1884"/>
        <s v="PID1885"/>
        <s v="PID1886"/>
        <s v="PID1887"/>
        <s v="PID1888"/>
        <s v="PID1889"/>
        <s v="PID1890"/>
        <s v="PID1891"/>
        <s v="PID1892"/>
        <s v="PID1893"/>
        <s v="PID1894"/>
        <s v="PID1895"/>
        <s v="PID1896"/>
        <s v="PID1897"/>
        <s v="PID1898"/>
        <s v="PID1899"/>
        <s v="PID1900"/>
        <s v="PID1901"/>
        <s v="PID1902"/>
        <s v="PID1903"/>
        <s v="PID1904"/>
        <s v="PID1905"/>
        <s v="PID1906"/>
        <s v="PID1907"/>
        <s v="PID1908"/>
        <s v="PID1909"/>
        <s v="PID1910"/>
        <s v="PID1911"/>
        <s v="PID1912"/>
        <s v="PID1913"/>
        <s v="PID1914"/>
        <s v="PID1915"/>
        <s v="PID1916"/>
        <s v="PID1917"/>
        <s v="PID1918"/>
        <s v="PID1919"/>
        <s v="PID1920"/>
        <s v="PID1921"/>
        <s v="PID1922"/>
        <s v="PID1923"/>
        <s v="PID1924"/>
        <s v="PID1925"/>
        <s v="PID1926"/>
        <s v="PID1927"/>
        <s v="PID1928"/>
        <s v="PID1929"/>
        <s v="PID1930"/>
        <s v="PID1931"/>
        <s v="PID1932"/>
        <s v="PID1933"/>
        <s v="PID1934"/>
        <s v="PID1935"/>
        <s v="PID1936"/>
        <s v="PID1937"/>
        <s v="PID1938"/>
        <s v="PID1939"/>
        <s v="PID1940"/>
        <s v="PID1941"/>
        <s v="PID1942"/>
        <s v="PID1943"/>
        <s v="PID1944"/>
        <s v="PID1945"/>
        <s v="PID1946"/>
        <s v="PID1947"/>
        <s v="PID1948"/>
        <s v="PID1949"/>
        <s v="PID1950"/>
        <s v="PID1951"/>
        <s v="PID1952"/>
        <s v="PID1953"/>
        <s v="PID1954"/>
        <s v="PID1955"/>
        <s v="PID1956"/>
        <s v="PID1957"/>
        <s v="PID1958"/>
        <s v="PID1959"/>
        <s v="PID1960"/>
        <s v="PID1961"/>
        <s v="PID1962"/>
        <s v="PID1963"/>
        <s v="PID1964"/>
        <s v="PID1965"/>
        <s v="PID1966"/>
        <s v="PID1967"/>
        <s v="PID1968"/>
        <s v="PID1969"/>
        <s v="PID1970"/>
        <s v="PID1971"/>
        <s v="PID1972"/>
        <s v="PID1973"/>
        <s v="PID1974"/>
        <s v="PID1975"/>
        <s v="PID1976"/>
        <s v="PID1977"/>
        <s v="PID1978"/>
        <s v="PID1979"/>
        <s v="PID1980"/>
        <s v="PID1981"/>
        <s v="PID1982"/>
        <s v="PID1983"/>
        <s v="PID1984"/>
        <s v="PID1985"/>
        <s v="PID1986"/>
        <s v="PID1987"/>
        <s v="PID1988"/>
        <s v="PID1989"/>
        <s v="PID1990"/>
        <s v="PID1991"/>
        <s v="PID1992"/>
        <s v="PID1993"/>
        <s v="PID1994"/>
        <s v="PID1995"/>
        <s v="PID1996"/>
        <s v="PID1997"/>
        <s v="PID1998"/>
        <s v="PID1999"/>
        <s v="PID2000"/>
        <s v="PID2001"/>
        <s v="PID2002"/>
        <s v="PID2003"/>
        <s v="PID2004"/>
        <s v="PID2005"/>
        <s v="PID2006"/>
        <s v="PID2007"/>
        <s v="PID2008"/>
        <s v="PID2009"/>
        <s v="PID2010"/>
        <s v="PID2011"/>
        <s v="PID2012"/>
        <s v="PID2013"/>
        <s v="PID2014"/>
        <s v="PID2015"/>
        <s v="PID2016"/>
        <s v="PID2017"/>
        <s v="PID2018"/>
        <s v="PID2019"/>
        <s v="PID2020"/>
        <s v="PID2021"/>
        <s v="PID2022"/>
        <s v="PID2023"/>
        <s v="PID2024"/>
        <s v="PID2025"/>
        <s v="PID2026"/>
        <s v="PID2027"/>
        <s v="PID2028"/>
        <s v="PID2029"/>
        <s v="PID2030"/>
        <s v="PID2031"/>
        <s v="PID2032"/>
        <s v="PID2033"/>
        <s v="PID2034"/>
        <s v="PID2035"/>
        <s v="PID2036"/>
        <s v="PID2037"/>
        <s v="PID2038"/>
        <s v="PID2039"/>
        <s v="PID2040"/>
        <s v="PID2041"/>
        <s v="PID2042"/>
        <s v="PID2043"/>
        <s v="PID2044"/>
        <s v="PID2045"/>
        <s v="PID2046"/>
        <s v="PID2047"/>
        <s v="PID2048"/>
        <s v="PID2049"/>
        <s v="PID2050"/>
        <s v="PID2051"/>
        <s v="PID2052"/>
        <s v="PID2053"/>
        <s v="PID2054"/>
        <s v="PID2055"/>
        <s v="PID2056"/>
        <s v="PID2057"/>
        <s v="PID2058"/>
        <s v="PID2059"/>
        <s v="PID2060"/>
        <s v="PID2061"/>
        <s v="PID2062"/>
        <s v="PID2063"/>
        <s v="PID2064"/>
        <s v="PID2065"/>
        <s v="PID2066"/>
        <s v="PID2067"/>
        <s v="PID2068"/>
        <s v="PID2069"/>
        <s v="PID2070"/>
        <s v="PID2071"/>
        <s v="PID2072"/>
        <s v="PID2073"/>
        <s v="PID2074"/>
        <s v="PID2075"/>
        <s v="PID2076"/>
        <s v="PID2077"/>
        <s v="PID2078"/>
        <s v="PID2079"/>
        <s v="PID2080"/>
        <s v="PID2081"/>
        <s v="PID2082"/>
        <s v="PID2083"/>
        <s v="PID2084"/>
        <s v="PID2085"/>
        <s v="PID2086"/>
        <s v="PID2087"/>
        <s v="PID2088"/>
        <s v="PID2089"/>
        <s v="PID2090"/>
        <s v="PID2091"/>
        <s v="PID2092"/>
        <s v="PID2093"/>
        <s v="PID2094"/>
        <s v="PID2095"/>
        <s v="PID2096"/>
        <s v="PID2097"/>
        <s v="PID2098"/>
        <s v="PID2099"/>
        <s v="PID2100"/>
        <s v="PID2101"/>
        <s v="PID2102"/>
        <s v="PID2103"/>
        <s v="PID2104"/>
        <s v="PID2105"/>
        <s v="PID2106"/>
        <s v="PID2107"/>
        <s v="PID2108"/>
        <s v="PID2109"/>
        <s v="PID2110"/>
        <s v="PID2111"/>
        <s v="PID2112"/>
        <s v="PID2113"/>
        <s v="PID2114"/>
        <s v="PID2115"/>
        <s v="PID2116"/>
        <s v="PID2117"/>
        <s v="PID2118"/>
        <s v="PID2119"/>
        <s v="PID2120"/>
        <s v="PID2121"/>
        <s v="PID2122"/>
        <s v="PID2123"/>
        <s v="PID2124"/>
        <s v="PID2125"/>
        <s v="PID2126"/>
        <s v="PID2127"/>
        <s v="PID2128"/>
        <s v="PID2129"/>
        <s v="PID2130"/>
        <s v="PID2131"/>
        <s v="PID2132"/>
        <s v="PID2133"/>
        <s v="PID2134"/>
        <s v="PID2135"/>
        <s v="PID2136"/>
        <s v="PID2137"/>
        <s v="PID2138"/>
        <s v="PID2139"/>
        <s v="PID2140"/>
        <s v="PID2141"/>
        <s v="PID2142"/>
        <s v="PID2143"/>
        <s v="PID2144"/>
        <s v="PID2145"/>
        <s v="PID2146"/>
        <s v="PID2147"/>
        <s v="PID2148"/>
        <s v="PID2149"/>
        <s v="PID2150"/>
        <s v="PID2151"/>
        <s v="PID2152"/>
        <s v="PID2153"/>
        <s v="PID2154"/>
        <s v="PID2155"/>
        <s v="PID2156"/>
        <s v="PID2157"/>
        <s v="PID2158"/>
        <s v="PID2159"/>
        <s v="PID2160"/>
        <s v="PID2161"/>
        <s v="PID2162"/>
        <s v="PID2163"/>
        <s v="PID2164"/>
        <s v="PID2165"/>
        <s v="PID2166"/>
        <s v="PID2167"/>
        <s v="PID2168"/>
        <s v="PID2169"/>
        <s v="PID2170"/>
        <s v="PID2171"/>
        <s v="PID2172"/>
        <s v="PID2173"/>
        <s v="PID2174"/>
        <s v="PID2175"/>
        <s v="PID2176"/>
        <s v="PID2177"/>
        <s v="PID2178"/>
        <s v="PID2179"/>
        <s v="PID2180"/>
        <s v="PID2181"/>
        <s v="PID2182"/>
        <s v="PID2183"/>
        <s v="PID2184"/>
        <s v="PID2185"/>
        <s v="PID2186"/>
        <s v="PID2187"/>
        <s v="PID2188"/>
        <s v="PID2189"/>
        <s v="PID2190"/>
        <s v="PID2191"/>
        <s v="PID2192"/>
        <s v="PID2193"/>
        <s v="PID2194"/>
        <s v="PID2195"/>
        <s v="PID2196"/>
        <s v="PID2197"/>
        <s v="PID2198"/>
        <s v="PID2199"/>
        <s v="PID2200"/>
        <s v="PID2201"/>
        <s v="PID2202"/>
        <s v="PID2203"/>
        <s v="PID2204"/>
        <s v="PID2205"/>
        <s v="PID2206"/>
        <s v="PID2207"/>
        <s v="PID2208"/>
        <s v="PID2209"/>
        <s v="PID2210"/>
        <s v="PID2211"/>
        <s v="PID2212"/>
        <s v="PID2213"/>
        <s v="PID2214"/>
        <s v="PID2215"/>
        <s v="PID2216"/>
        <s v="PID2217"/>
        <s v="PID2218"/>
        <s v="PID2219"/>
        <s v="PID2220"/>
        <s v="PID2221"/>
        <s v="PID2222"/>
        <s v="PID2223"/>
        <s v="PID2224"/>
        <s v="PID2225"/>
        <s v="PID2226"/>
        <s v="PID2227"/>
        <s v="PID2228"/>
        <s v="PID2229"/>
        <s v="PID2230"/>
        <s v="PID2231"/>
        <s v="PID2232"/>
        <s v="PID2233"/>
        <s v="PID2234"/>
        <s v="PID2235"/>
        <s v="PID2236"/>
        <s v="PID2237"/>
        <s v="PID2238"/>
        <s v="PID2239"/>
        <s v="PID2240"/>
        <s v="PID2241"/>
        <s v="PID2242"/>
        <s v="PID2243"/>
        <s v="PID2244"/>
        <s v="PID2245"/>
        <s v="PID2246"/>
        <s v="PID2247"/>
        <s v="PID2248"/>
        <s v="PID2249"/>
        <s v="PID2250"/>
        <s v="PID2251"/>
        <s v="PID2252"/>
        <s v="PID2253"/>
        <s v="PID2254"/>
        <s v="PID2255"/>
        <s v="PID2256"/>
        <s v="PID2257"/>
        <s v="PID2258"/>
        <s v="PID2259"/>
        <s v="PID2260"/>
        <s v="PID2261"/>
        <s v="PID2262"/>
        <s v="PID2263"/>
        <s v="PID2264"/>
        <s v="PID2265"/>
        <s v="PID2266"/>
        <s v="PID2267"/>
        <s v="PID2268"/>
        <s v="PID2269"/>
        <s v="PID2270"/>
        <s v="PID2271"/>
        <s v="PID2272"/>
        <s v="PID2273"/>
        <s v="PID2274"/>
        <s v="PID2275"/>
        <s v="PID2276"/>
        <s v="PID2277"/>
        <s v="PID2278"/>
        <s v="PID2279"/>
        <s v="PID2280"/>
        <s v="PID2281"/>
        <s v="PID2282"/>
        <s v="PID2283"/>
        <s v="PID2284"/>
        <s v="PID2285"/>
        <s v="PID2286"/>
        <s v="PID2287"/>
        <s v="PID2288"/>
        <s v="PID2289"/>
        <s v="PID2290"/>
        <s v="PID2291"/>
        <s v="PID2292"/>
        <s v="PID2293"/>
        <s v="PID2294"/>
        <s v="PID2295"/>
        <s v="PID2296"/>
        <s v="PID2297"/>
        <s v="PID2298"/>
        <s v="PID2299"/>
        <s v="PID2300"/>
        <s v="PID2301"/>
        <s v="PID2302"/>
        <s v="PID2303"/>
        <s v="PID2304"/>
        <s v="PID2305"/>
        <s v="PID2306"/>
        <s v="PID2307"/>
        <s v="PID2308"/>
        <s v="PID2309"/>
        <s v="PID2310"/>
        <s v="PID2311"/>
        <s v="PID2312"/>
        <s v="PID2313"/>
        <s v="PID2314"/>
        <s v="PID2315"/>
        <s v="PID2316"/>
        <s v="PID2317"/>
        <s v="PID2318"/>
        <s v="PID2319"/>
        <s v="PID2320"/>
        <s v="PID2321"/>
        <s v="PID2322"/>
        <s v="PID2323"/>
        <s v="PID2324"/>
        <s v="PID2325"/>
        <s v="PID2326"/>
        <s v="PID2327"/>
        <s v="PID2328"/>
        <s v="PID2329"/>
        <s v="PID2330"/>
        <s v="PID2331"/>
        <s v="PID2332"/>
        <s v="PID2333"/>
        <s v="PID2334"/>
        <s v="PID2335"/>
        <s v="PID2336"/>
        <s v="PID2337"/>
        <s v="PID2338"/>
        <s v="PID2339"/>
        <s v="PID2340"/>
        <s v="PID2341"/>
        <s v="PID2342"/>
        <s v="PID2343"/>
        <s v="PID2344"/>
        <s v="PID2345"/>
        <s v="PID2346"/>
        <s v="PID2347"/>
        <s v="PID2348"/>
        <s v="PID2349"/>
        <s v="PID2350"/>
        <s v="PID2351"/>
        <s v="PID2352"/>
        <s v="PID2353"/>
        <s v="PID2354"/>
        <s v="PID2355"/>
        <s v="PID2356"/>
        <s v="PID2357"/>
        <s v="PID2358"/>
        <s v="PID2359"/>
        <s v="PID2360"/>
        <s v="PID2361"/>
        <s v="PID2362"/>
        <s v="PID2363"/>
        <s v="PID2364"/>
        <s v="PID2365"/>
        <s v="PID2366"/>
        <s v="PID2367"/>
        <s v="PID2368"/>
        <s v="PID2369"/>
        <s v="PID2370"/>
        <s v="PID2371"/>
        <s v="PID2372"/>
        <s v="PID2373"/>
        <s v="PID2374"/>
        <s v="PID2375"/>
        <s v="PID2376"/>
        <s v="PID2377"/>
        <s v="PID2378"/>
        <s v="PID2379"/>
        <s v="PID2380"/>
        <s v="PID2381"/>
        <s v="PID2382"/>
        <s v="PID2383"/>
        <s v="PID2384"/>
        <s v="PID2385"/>
        <s v="PID2386"/>
        <s v="PID2387"/>
        <s v="PID2388"/>
        <s v="PID2389"/>
        <s v="PID2390"/>
        <s v="PID2391"/>
        <s v="PID2392"/>
        <s v="PID2393"/>
        <s v="PID2394"/>
        <s v="PID2395"/>
        <s v="PID2396"/>
        <s v="PID2397"/>
        <s v="PID2398"/>
        <s v="PID2399"/>
        <s v="PID2400"/>
        <s v="PID2401"/>
        <s v="PID2402"/>
        <s v="PID2403"/>
        <s v="PID2404"/>
        <s v="PID2405"/>
        <s v="PID2406"/>
        <s v="PID2407"/>
        <s v="PID2408"/>
        <s v="PID2409"/>
        <s v="PID2410"/>
        <s v="PID2411"/>
        <s v="PID2412"/>
        <s v="PID2413"/>
        <s v="PID2414"/>
        <s v="PID2415"/>
        <s v="PID2416"/>
        <s v="PID2417"/>
        <s v="PID2418"/>
        <s v="PID2419"/>
        <s v="PID2420"/>
        <s v="PID2421"/>
        <s v="PID2422"/>
        <s v="PID2423"/>
        <s v="PID2424"/>
        <s v="PID2425"/>
        <s v="PID2426"/>
        <s v="PID2427"/>
        <s v="PID2428"/>
        <s v="PID2429"/>
        <s v="PID2430"/>
        <s v="PID2431"/>
        <s v="PID2432"/>
        <s v="PID2433"/>
        <s v="PID2434"/>
        <s v="PID2435"/>
        <s v="PID2436"/>
        <s v="PID2437"/>
        <s v="PID2438"/>
        <s v="PID2439"/>
        <s v="PID2440"/>
        <s v="PID2441"/>
        <s v="PID2442"/>
        <s v="PID2443"/>
        <s v="PID2444"/>
        <s v="PID2445"/>
        <s v="PID2446"/>
        <s v="PID2447"/>
        <s v="PID2448"/>
        <s v="PID2449"/>
        <s v="PID2450"/>
        <s v="PID2451"/>
        <s v="PID2452"/>
        <s v="PID2453"/>
        <s v="PID2454"/>
        <s v="PID2455"/>
        <s v="PID2456"/>
        <s v="PID2457"/>
        <s v="PID2458"/>
        <s v="PID2459"/>
        <s v="PID2460"/>
        <s v="PID2461"/>
        <s v="PID2462"/>
        <s v="PID2463"/>
        <s v="PID2464"/>
        <s v="PID2465"/>
        <s v="PID2466"/>
        <s v="PID2467"/>
        <s v="PID2468"/>
        <s v="PID2469"/>
        <s v="PID2470"/>
        <s v="PID2471"/>
        <s v="PID2472"/>
        <s v="PID2473"/>
        <s v="PID2474"/>
        <s v="PID2475"/>
        <s v="PID2476"/>
        <s v="PID2477"/>
        <s v="PID2478"/>
        <s v="PID2479"/>
        <s v="PID2480"/>
        <s v="PID2481"/>
        <s v="PID2482"/>
        <s v="PID2483"/>
        <s v="PID2484"/>
        <s v="PID2485"/>
        <s v="PID2486"/>
        <s v="PID2487"/>
        <s v="PID2488"/>
        <s v="PID2489"/>
        <s v="PID2490"/>
        <s v="PID2491"/>
        <s v="PID2492"/>
        <s v="PID2493"/>
        <s v="PID2494"/>
        <s v="PID2495"/>
        <s v="PID2496"/>
        <s v="PID2497"/>
        <s v="PID2498"/>
        <s v="PID2499"/>
        <s v="PID2500"/>
        <s v="PID2501"/>
        <s v="PID2502"/>
        <s v="PID2503"/>
        <s v="PID2504"/>
        <s v="PID2505"/>
        <s v="PID2506"/>
        <s v="PID2507"/>
        <s v="PID2508"/>
        <s v="PID2509"/>
        <s v="PID2510"/>
        <s v="PID2511"/>
        <s v="PID2512"/>
        <s v="PID2513"/>
        <s v="PID2514"/>
        <s v="PID2515"/>
        <s v="PID2516"/>
        <s v="PID2517"/>
        <s v="PID2518"/>
        <s v="PID2519"/>
        <s v="PID2520"/>
        <s v="PID2521"/>
        <s v="PID2522"/>
        <s v="PID2523"/>
        <s v="PID2524"/>
        <s v="PID2525"/>
        <s v="PID2526"/>
        <s v="PID2527"/>
        <s v="PID2528"/>
        <s v="PID2529"/>
        <s v="PID2530"/>
        <s v="PID2531"/>
        <s v="PID2532"/>
        <s v="PID2533"/>
        <s v="PID2534"/>
        <s v="PID2535"/>
        <s v="PID2536"/>
        <s v="PID2537"/>
        <s v="PID2538"/>
        <s v="PID2539"/>
        <s v="PID2540"/>
        <s v="PID2541"/>
        <s v="PID2542"/>
        <s v="PID2543"/>
        <s v="PID2544"/>
        <s v="PID2545"/>
        <s v="PID2546"/>
        <s v="PID2547"/>
        <s v="PID2548"/>
        <s v="PID2549"/>
        <s v="PID2550"/>
        <s v="PID2551"/>
        <s v="PID2552"/>
        <s v="PID2553"/>
        <s v="PID2554"/>
        <s v="PID2555"/>
        <s v="PID2556"/>
        <s v="PID2557"/>
        <s v="PID2558"/>
        <s v="PID2559"/>
        <s v="PID2560"/>
        <s v="PID2561"/>
        <s v="PID2562"/>
        <s v="PID2563"/>
        <s v="PID2564"/>
        <s v="PID2565"/>
        <s v="PID2566"/>
        <s v="PID2567"/>
        <s v="PID2568"/>
        <s v="PID2569"/>
        <s v="PID2570"/>
        <s v="PID2571"/>
        <s v="PID2572"/>
        <s v="PID2573"/>
        <s v="PID2574"/>
        <s v="PID2575"/>
        <s v="PID2576"/>
        <s v="PID2577"/>
        <s v="PID2578"/>
        <s v="PID2579"/>
        <s v="PID2580"/>
        <s v="PID2581"/>
        <s v="PID2582"/>
        <s v="PID2583"/>
        <s v="PID2584"/>
        <s v="PID2585"/>
        <s v="PID2586"/>
        <s v="PID2587"/>
        <s v="PID2588"/>
        <s v="PID2589"/>
        <s v="PID2590"/>
        <s v="PID2591"/>
        <s v="PID2592"/>
        <s v="PID2593"/>
        <s v="PID2594"/>
        <s v="PID2595"/>
        <s v="PID2596"/>
        <s v="PID2597"/>
        <s v="PID2598"/>
        <s v="PID2599"/>
        <s v="PID2600"/>
        <s v="PID2601"/>
        <s v="PID2602"/>
        <s v="PID2603"/>
        <s v="PID2604"/>
        <s v="PID2605"/>
        <s v="PID2606"/>
        <s v="PID2607"/>
        <s v="PID2608"/>
        <s v="PID2609"/>
        <s v="PID2610"/>
        <s v="PID2611"/>
        <s v="PID2612"/>
        <s v="PID2613"/>
        <s v="PID2614"/>
        <s v="PID2615"/>
        <s v="PID2616"/>
        <s v="PID2617"/>
        <s v="PID2618"/>
        <s v="PID2619"/>
        <s v="PID2620"/>
        <s v="PID2621"/>
        <s v="PID2622"/>
        <s v="PID2623"/>
        <s v="PID2624"/>
        <s v="PID2625"/>
        <s v="PID2626"/>
        <s v="PID2627"/>
        <s v="PID2628"/>
        <s v="PID2629"/>
        <s v="PID2630"/>
        <s v="PID2631"/>
        <s v="PID2632"/>
        <s v="PID2633"/>
        <s v="PID2634"/>
        <s v="PID2635"/>
        <s v="PID2636"/>
        <s v="PID2637"/>
        <s v="PID2638"/>
        <s v="PID2639"/>
        <s v="PID2640"/>
        <s v="PID2641"/>
        <s v="PID2642"/>
        <s v="PID2643"/>
        <s v="PID2644"/>
        <s v="PID2645"/>
        <s v="PID2646"/>
        <s v="PID2647"/>
        <s v="PID2648"/>
        <s v="PID2649"/>
        <s v="PID2650"/>
        <s v="PID2651"/>
        <s v="PID2652"/>
        <s v="PID2653"/>
        <s v="PID2654"/>
        <s v="PID2655"/>
        <s v="PID2656"/>
        <s v="PID2657"/>
        <s v="PID2658"/>
        <s v="PID2659"/>
        <s v="PID2660"/>
        <s v="PID2661"/>
        <s v="PID2662"/>
        <s v="PID2663"/>
        <s v="PID2664"/>
        <s v="PID2665"/>
        <s v="PID2666"/>
        <s v="PID2667"/>
        <s v="PID2668"/>
        <s v="PID2669"/>
        <s v="PID2670"/>
        <s v="PID2671"/>
        <s v="PID2672"/>
        <s v="PID2673"/>
        <s v="PID2674"/>
        <s v="PID2675"/>
        <s v="PID2676"/>
        <s v="PID2677"/>
        <s v="PID2678"/>
        <s v="PID2679"/>
        <s v="PID2680"/>
        <s v="PID2681"/>
        <s v="PID2682"/>
        <s v="PID2683"/>
        <s v="PID2684"/>
        <s v="PID2685"/>
        <s v="PID2686"/>
        <s v="PID2687"/>
        <s v="PID2688"/>
        <s v="PID2689"/>
        <s v="PID2690"/>
        <s v="PID2691"/>
        <s v="PID2692"/>
        <s v="PID2693"/>
        <s v="PID2694"/>
        <s v="PID2695"/>
        <s v="PID2696"/>
        <s v="PID2697"/>
        <s v="PID2698"/>
        <s v="PID2699"/>
        <s v="PID2700"/>
        <s v="PID2701"/>
        <s v="PID2702"/>
        <s v="PID2703"/>
        <s v="PID2704"/>
        <s v="PID2705"/>
        <s v="PID2706"/>
        <s v="PID2707"/>
        <s v="PID2708"/>
        <s v="PID2709"/>
        <s v="PID2710"/>
        <s v="PID2711"/>
        <s v="PID2712"/>
        <s v="PID2713"/>
        <s v="PID2714"/>
        <s v="PID2715"/>
        <s v="PID2716"/>
        <s v="PID2717"/>
        <s v="PID2718"/>
        <s v="PID2719"/>
        <s v="PID2720"/>
        <s v="PID2721"/>
        <s v="PID2722"/>
        <s v="PID2723"/>
        <s v="PID2724"/>
        <s v="PID2725"/>
        <s v="PID2726"/>
        <s v="PID2727"/>
        <s v="PID2728"/>
        <s v="PID2729"/>
        <s v="PID2730"/>
        <s v="PID2731"/>
        <s v="PID2732"/>
        <s v="PID2733"/>
        <s v="PID2734"/>
        <s v="PID2735"/>
        <s v="PID2736"/>
        <s v="PID2737"/>
        <s v="PID2738"/>
        <s v="PID2739"/>
        <s v="PID2740"/>
        <s v="PID2741"/>
        <s v="PID2742"/>
        <s v="PID2743"/>
        <s v="PID2744"/>
        <s v="PID2745"/>
        <s v="PID2746"/>
        <s v="PID2747"/>
        <s v="PID2748"/>
        <s v="PID2749"/>
        <s v="PID2750"/>
        <s v="PID2751"/>
        <s v="PID2752"/>
        <s v="PID2753"/>
        <s v="PID2754"/>
        <s v="PID2755"/>
        <s v="PID2756"/>
        <s v="PID2757"/>
        <s v="PID2758"/>
        <s v="PID2759"/>
        <s v="PID2760"/>
        <s v="PID2761"/>
        <s v="PID2762"/>
        <s v="PID2763"/>
        <s v="PID2764"/>
        <s v="PID2765"/>
        <s v="PID2766"/>
        <s v="PID2767"/>
        <s v="PID2768"/>
        <s v="PID2769"/>
        <s v="PID2770"/>
        <s v="PID2771"/>
        <s v="PID2772"/>
        <s v="PID2773"/>
        <s v="PID2774"/>
        <s v="PID2775"/>
        <s v="PID2776"/>
        <s v="PID2777"/>
        <s v="PID2778"/>
        <s v="PID2779"/>
        <s v="PID2780"/>
        <s v="PID2781"/>
        <s v="PID2782"/>
        <s v="PID2783"/>
        <s v="PID2784"/>
        <s v="PID2785"/>
        <s v="PID2786"/>
        <s v="PID2787"/>
        <s v="PID2788"/>
        <s v="PID2789"/>
        <s v="PID2790"/>
        <s v="PID2791"/>
        <s v="PID2792"/>
        <s v="PID2793"/>
        <s v="PID2794"/>
        <s v="PID2795"/>
        <s v="PID2796"/>
        <s v="PID2797"/>
        <s v="PID2798"/>
        <s v="PID2799"/>
        <s v="PID2800"/>
        <s v="PID2801"/>
        <s v="PID2802"/>
        <s v="PID2803"/>
        <s v="PID2804"/>
        <s v="PID2805"/>
        <s v="PID2806"/>
        <s v="PID2807"/>
        <s v="PID2808"/>
        <s v="PID2809"/>
        <s v="PID2810"/>
        <s v="PID2811"/>
        <s v="PID2812"/>
        <s v="PID2813"/>
        <s v="PID2814"/>
        <s v="PID2815"/>
        <s v="PID2816"/>
        <s v="PID2817"/>
        <s v="PID2818"/>
        <s v="PID2819"/>
        <s v="PID2820"/>
        <s v="PID2821"/>
        <s v="PID2822"/>
        <s v="PID2823"/>
        <s v="PID2824"/>
        <s v="PID2825"/>
        <s v="PID2826"/>
        <s v="PID2827"/>
        <s v="PID2828"/>
        <s v="PID2829"/>
        <s v="PID2830"/>
        <s v="PID2831"/>
        <s v="PID2832"/>
        <s v="PID2833"/>
        <s v="PID2834"/>
        <s v="PID2835"/>
        <s v="PID2836"/>
        <s v="PID2837"/>
        <s v="PID2838"/>
        <s v="PID2839"/>
        <s v="PID2840"/>
        <s v="PID2841"/>
        <s v="PID2842"/>
        <s v="PID2843"/>
        <s v="PID2844"/>
        <s v="PID2845"/>
        <s v="PID2846"/>
        <s v="PID2847"/>
        <s v="PID2848"/>
        <s v="PID2849"/>
        <s v="PID2850"/>
        <s v="PID2851"/>
        <s v="PID2852"/>
        <s v="PID2853"/>
        <s v="PID2854"/>
        <s v="PID2855"/>
        <s v="PID2856"/>
        <s v="PID2857"/>
        <s v="PID2858"/>
        <s v="PID2859"/>
        <s v="PID2860"/>
        <s v="PID2861"/>
        <s v="PID2862"/>
        <s v="PID2863"/>
        <s v="PID2864"/>
        <s v="PID2865"/>
        <s v="PID2866"/>
        <s v="PID2867"/>
        <s v="PID2868"/>
        <s v="PID2869"/>
        <s v="PID2870"/>
        <s v="PID2871"/>
        <s v="PID2872"/>
        <s v="PID2873"/>
        <s v="PID2874"/>
        <s v="PID2875"/>
        <s v="PID2876"/>
        <s v="PID2877"/>
        <s v="PID2878"/>
        <s v="PID2879"/>
        <s v="PID2880"/>
        <s v="PID2881"/>
        <s v="PID2882"/>
        <s v="PID2883"/>
        <s v="PID2884"/>
        <s v="PID2885"/>
        <s v="PID2886"/>
        <s v="PID2887"/>
        <s v="PID2888"/>
        <s v="PID2889"/>
        <s v="PID2890"/>
        <s v="PID2891"/>
        <s v="PID2892"/>
        <s v="PID2893"/>
        <s v="PID2894"/>
        <s v="PID2895"/>
        <s v="PID2896"/>
        <s v="PID2897"/>
        <s v="PID2898"/>
        <s v="PID2899"/>
        <s v="PID2900"/>
        <s v="PID2901"/>
        <s v="PID2902"/>
        <s v="PID2903"/>
        <s v="PID2904"/>
        <s v="PID2905"/>
        <s v="PID2906"/>
        <s v="PID2907"/>
        <s v="PID2908"/>
        <s v="PID2909"/>
        <s v="PID2910"/>
        <s v="PID2911"/>
        <s v="PID2912"/>
        <s v="PID2913"/>
        <s v="PID2914"/>
        <s v="PID2915"/>
        <s v="PID2916"/>
        <s v="PID2917"/>
        <s v="PID2918"/>
        <s v="PID2919"/>
        <s v="PID2920"/>
        <s v="PID2921"/>
        <s v="PID2922"/>
        <s v="PID2923"/>
        <s v="PID2924"/>
        <s v="PID2925"/>
        <s v="PID2926"/>
        <s v="PID2927"/>
        <s v="PID2928"/>
        <s v="PID2929"/>
        <s v="PID2930"/>
        <s v="PID2931"/>
        <s v="PID2932"/>
        <s v="PID2933"/>
        <s v="PID2934"/>
        <s v="PID2935"/>
        <s v="PID2936"/>
        <s v="PID2937"/>
        <s v="PID2938"/>
        <s v="PID2939"/>
        <s v="PID2940"/>
        <s v="PID2941"/>
        <s v="PID2942"/>
        <s v="PID2943"/>
        <s v="PID2944"/>
        <s v="PID2945"/>
        <s v="PID2946"/>
        <s v="PID2947"/>
        <s v="PID2948"/>
        <s v="PID2949"/>
        <s v="PID2950"/>
        <s v="PID2951"/>
        <s v="PID2952"/>
        <s v="PID2953"/>
        <s v="PID2954"/>
        <s v="PID2955"/>
        <s v="PID2956"/>
        <s v="PID2957"/>
        <s v="PID2958"/>
        <s v="PID2959"/>
        <s v="PID2960"/>
        <s v="PID2961"/>
        <s v="PID2962"/>
        <s v="PID2963"/>
        <s v="PID2964"/>
        <s v="PID2965"/>
        <s v="PID2966"/>
        <s v="PID2967"/>
        <s v="PID2968"/>
        <s v="PID2969"/>
        <s v="PID2970"/>
        <s v="PID2971"/>
        <s v="PID2972"/>
        <s v="PID2973"/>
        <s v="PID2974"/>
        <s v="PID2975"/>
        <s v="PID2976"/>
        <s v="PID2977"/>
        <s v="PID2978"/>
        <s v="PID2979"/>
        <s v="PID2980"/>
        <s v="PID2981"/>
        <s v="PID2982"/>
        <s v="PID2983"/>
        <s v="PID2984"/>
        <s v="PID2985"/>
        <s v="PID2986"/>
        <s v="PID2987"/>
        <s v="PID2988"/>
        <s v="PID2989"/>
        <s v="PID2990"/>
        <s v="PID2991"/>
        <s v="PID2992"/>
        <s v="PID2993"/>
        <s v="PID2994"/>
        <s v="PID2995"/>
        <s v="PID2996"/>
        <s v="PID2997"/>
        <s v="PID2998"/>
        <s v="PID2999"/>
        <s v="PID3000"/>
      </sharedItems>
    </cacheField>
    <cacheField name="Patient_Name" numFmtId="0">
      <sharedItems/>
    </cacheField>
    <cacheField name="Age" numFmtId="0">
      <sharedItems containsSemiMixedTypes="0" containsString="0" containsNumber="1" containsInteger="1" minValue="5" maxValue="85"/>
    </cacheField>
    <cacheField name="Gender" numFmtId="0">
      <sharedItems count="2">
        <s v="Female"/>
        <s v="Male"/>
      </sharedItems>
    </cacheField>
    <cacheField name="Blood_Group" numFmtId="0">
      <sharedItems/>
    </cacheField>
    <cacheField name="City" numFmtId="0">
      <sharedItems/>
    </cacheField>
    <cacheField name="Admission_Date" numFmtId="164">
      <sharedItems containsSemiMixedTypes="0" containsNonDate="0" containsDate="1" containsString="0" minDate="2022-01-01T00:00:00" maxDate="2025-01-01T00:00:00"/>
    </cacheField>
    <cacheField name="Discharge_Date" numFmtId="164">
      <sharedItems containsSemiMixedTypes="0" containsNonDate="0" containsDate="1" containsString="0" minDate="2022-01-05T00:00:00" maxDate="2025-01-01T00:00:00"/>
    </cacheField>
    <cacheField name="Length_of_Stay_Days" numFmtId="0">
      <sharedItems containsSemiMixedTypes="0" containsString="0" containsNumber="1" containsInteger="1" minValue="1" maxValue="30"/>
    </cacheField>
    <cacheField name="Department" numFmtId="0">
      <sharedItems count="7">
        <s v="General Medicine"/>
        <s v="Urology"/>
        <s v="Oncology"/>
        <s v="Neurology"/>
        <s v="Cardiology"/>
        <s v="Pulmonology"/>
        <s v="Orthopedics"/>
      </sharedItems>
    </cacheField>
    <cacheField name="Diagnosis" numFmtId="0">
      <sharedItems/>
    </cacheField>
    <cacheField name="Disease_Category" numFmtId="0">
      <sharedItems count="13">
        <s v="Gastrointestinal"/>
        <s v="Infectious"/>
        <s v="Urological"/>
        <s v="Oncology"/>
        <s v="Hematological"/>
        <s v="Mental Health"/>
        <s v="Neurological"/>
        <s v="Cardiovascular"/>
        <s v="Respiratory"/>
        <s v="Endocrine"/>
        <s v="Orthopedic"/>
        <s v="Musculoskeletal"/>
        <s v="Metabolic"/>
      </sharedItems>
    </cacheField>
    <cacheField name="Treatment_Type" numFmtId="0">
      <sharedItems/>
    </cacheField>
    <cacheField name="Admission_Type" numFmtId="0">
      <sharedItems count="4">
        <s v="Walk-in"/>
        <s v="Emergency"/>
        <s v="Elective"/>
        <s v="Referral"/>
      </sharedItems>
    </cacheField>
    <cacheField name="Doctor_Name" numFmtId="0">
      <sharedItems/>
    </cacheField>
    <cacheField name="Bed_Number" numFmtId="0">
      <sharedItems containsSemiMixedTypes="0" containsString="0" containsNumber="1" containsInteger="1" minValue="1" maxValue="500"/>
    </cacheField>
    <cacheField name="Room_Type" numFmtId="0">
      <sharedItems/>
    </cacheField>
    <cacheField name="Insurance_Type" numFmtId="0">
      <sharedItems count="5">
        <s v="Government Scheme"/>
        <s v="Senior Citizen Scheme"/>
        <s v="Private Insurance"/>
        <s v="Corporate Insurance"/>
        <s v="No Insurance"/>
      </sharedItems>
    </cacheField>
    <cacheField name="Total_Bill_Amount_INR" numFmtId="0">
      <sharedItems containsSemiMixedTypes="0" containsString="0" containsNumber="1" containsInteger="1" minValue="12744" maxValue="196565"/>
    </cacheField>
    <cacheField name="Insurance_Covered_INR" numFmtId="0">
      <sharedItems containsSemiMixedTypes="0" containsString="0" containsNumber="1" containsInteger="1" minValue="0" maxValue="163781"/>
    </cacheField>
    <cacheField name="Out_of_Pocket_INR" numFmtId="0">
      <sharedItems containsSemiMixedTypes="0" containsString="0" containsNumber="1" containsInteger="1" minValue="2491" maxValue="196565"/>
    </cacheField>
    <cacheField name="Treatment_Cost_INR" numFmtId="0">
      <sharedItems containsSemiMixedTypes="0" containsString="0" containsNumber="1" containsInteger="1" minValue="5031" maxValue="149952"/>
    </cacheField>
    <cacheField name="Medication_Cost_INR" numFmtId="0">
      <sharedItems containsSemiMixedTypes="0" containsString="0" containsNumber="1" containsInteger="1" minValue="1003" maxValue="29999"/>
    </cacheField>
    <cacheField name="Lab_Test_Cost_INR" numFmtId="0">
      <sharedItems containsSemiMixedTypes="0" containsString="0" containsNumber="1" containsInteger="1" minValue="501" maxValue="14998"/>
    </cacheField>
    <cacheField name="Readmitted_within_30_Days" numFmtId="0">
      <sharedItems/>
    </cacheField>
    <cacheField name="Recovery_Rate_Percent" numFmtId="0">
      <sharedItems containsSemiMixedTypes="0" containsString="0" containsNumber="1" containsInteger="1" minValue="40" maxValue="100"/>
    </cacheField>
    <cacheField name="Patient_Satisfaction_Score" numFmtId="0">
      <sharedItems containsSemiMixedTypes="0" containsString="0" containsNumber="1" minValue="2" maxValue="5"/>
    </cacheField>
    <cacheField name="Outcome" numFmtId="0">
      <sharedItems count="5">
        <s v="Still Admitted"/>
        <s v="Referred"/>
        <s v="Discharged"/>
        <s v="Recovered"/>
        <s v="Deceas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s v="Rajesh Kumar"/>
    <n v="8"/>
    <x v="0"/>
    <s v="B-"/>
    <s v="Chennai"/>
    <d v="2022-10-13T00:00:00"/>
    <d v="2022-11-06T00:00:00"/>
    <n v="24"/>
    <x v="0"/>
    <s v="Appendicitis"/>
    <x v="0"/>
    <s v="Surgery"/>
    <x v="0"/>
    <s v="Dr. Arun Sharma"/>
    <n v="48"/>
    <s v="Semi-Private"/>
    <x v="0"/>
    <n v="161263"/>
    <n v="99145"/>
    <n v="62118"/>
    <n v="137475"/>
    <n v="20726"/>
    <n v="934"/>
    <s v="No"/>
    <n v="66"/>
    <n v="2.7"/>
    <x v="0"/>
  </r>
  <r>
    <x v="1"/>
    <s v="Rohan Sharma"/>
    <n v="25"/>
    <x v="0"/>
    <s v="O-"/>
    <s v="Hyderabad"/>
    <d v="2022-11-15T00:00:00"/>
    <d v="2022-11-22T00:00:00"/>
    <n v="7"/>
    <x v="0"/>
    <s v="Dengue"/>
    <x v="1"/>
    <s v="Surgery"/>
    <x v="0"/>
    <s v="Dr. Prerna Kumar"/>
    <n v="434"/>
    <s v="Private"/>
    <x v="1"/>
    <n v="107263"/>
    <n v="60160"/>
    <n v="47103"/>
    <n v="74342"/>
    <n v="27447"/>
    <n v="1211"/>
    <s v="No"/>
    <n v="64"/>
    <n v="2.2000000000000002"/>
    <x v="1"/>
  </r>
  <r>
    <x v="2"/>
    <s v="Ashok Menon"/>
    <n v="51"/>
    <x v="1"/>
    <s v="A-"/>
    <s v="Mumbai"/>
    <d v="2023-04-12T00:00:00"/>
    <d v="2023-05-07T00:00:00"/>
    <n v="25"/>
    <x v="1"/>
    <s v="UTI"/>
    <x v="2"/>
    <s v="Chemotherapy"/>
    <x v="1"/>
    <s v="Dr. Vivek Singh"/>
    <n v="233"/>
    <s v="Private"/>
    <x v="0"/>
    <n v="121300"/>
    <n v="74059"/>
    <n v="47241"/>
    <n v="102040"/>
    <n v="12641"/>
    <n v="3932"/>
    <s v="No"/>
    <n v="44"/>
    <n v="3.8"/>
    <x v="2"/>
  </r>
  <r>
    <x v="3"/>
    <s v="Ritu Reddy"/>
    <n v="25"/>
    <x v="0"/>
    <s v="AB+"/>
    <s v="Hyderabad"/>
    <d v="2023-03-26T00:00:00"/>
    <d v="2023-04-17T00:00:00"/>
    <n v="22"/>
    <x v="0"/>
    <s v="Dengue"/>
    <x v="1"/>
    <s v="Chemotherapy"/>
    <x v="1"/>
    <s v="Dr. Nisha Joshi"/>
    <n v="138"/>
    <s v="General Ward"/>
    <x v="0"/>
    <n v="111284"/>
    <n v="57722"/>
    <n v="53562"/>
    <n v="87490"/>
    <n v="7967"/>
    <n v="11238"/>
    <s v="No"/>
    <n v="69"/>
    <n v="2.4"/>
    <x v="2"/>
  </r>
  <r>
    <x v="4"/>
    <s v="Kavya Pillai"/>
    <n v="73"/>
    <x v="0"/>
    <s v="AB+"/>
    <s v="Lucknow"/>
    <d v="2024-03-28T00:00:00"/>
    <d v="2024-04-09T00:00:00"/>
    <n v="12"/>
    <x v="2"/>
    <s v="Cancer"/>
    <x v="3"/>
    <s v="Counseling"/>
    <x v="0"/>
    <s v="Dr. Prerna Sharma"/>
    <n v="441"/>
    <s v="General Ward"/>
    <x v="0"/>
    <n v="89499"/>
    <n v="51813"/>
    <n v="37686"/>
    <n v="46938"/>
    <n v="26954"/>
    <n v="11649"/>
    <s v="No"/>
    <n v="78"/>
    <n v="5"/>
    <x v="0"/>
  </r>
  <r>
    <x v="5"/>
    <s v="Rohan Pillai"/>
    <n v="6"/>
    <x v="1"/>
    <s v="O+"/>
    <s v="Pune"/>
    <d v="2022-08-17T00:00:00"/>
    <d v="2022-08-27T00:00:00"/>
    <n v="10"/>
    <x v="0"/>
    <s v="Anemia"/>
    <x v="4"/>
    <s v="Radiation Therapy"/>
    <x v="1"/>
    <s v="Dr. Rakesh Nair"/>
    <n v="391"/>
    <s v="Semi-Private"/>
    <x v="1"/>
    <n v="76107"/>
    <n v="49660"/>
    <n v="26447"/>
    <n v="32894"/>
    <n v="29525"/>
    <n v="10744"/>
    <s v="No"/>
    <n v="52"/>
    <n v="2.5"/>
    <x v="2"/>
  </r>
  <r>
    <x v="6"/>
    <s v="Ritu Das"/>
    <n v="5"/>
    <x v="0"/>
    <s v="AB-"/>
    <s v="Mumbai"/>
    <d v="2022-08-18T00:00:00"/>
    <d v="2022-09-17T00:00:00"/>
    <n v="30"/>
    <x v="1"/>
    <s v="Kidney Stone"/>
    <x v="2"/>
    <s v="Chemotherapy"/>
    <x v="1"/>
    <s v="Dr. Kavita Rao"/>
    <n v="485"/>
    <s v="General Ward"/>
    <x v="2"/>
    <n v="166634"/>
    <n v="138265"/>
    <n v="28369"/>
    <n v="132399"/>
    <n v="27739"/>
    <n v="1633"/>
    <s v="Yes"/>
    <n v="70"/>
    <n v="4.8"/>
    <x v="2"/>
  </r>
  <r>
    <x v="7"/>
    <s v="Rohan Das"/>
    <n v="82"/>
    <x v="0"/>
    <s v="B-"/>
    <s v="Jaipur"/>
    <d v="2023-02-16T00:00:00"/>
    <d v="2023-03-11T00:00:00"/>
    <n v="23"/>
    <x v="1"/>
    <s v="UTI"/>
    <x v="2"/>
    <s v="ICU Care"/>
    <x v="0"/>
    <s v="Dr. Deepak Gupta"/>
    <n v="62"/>
    <s v="Semi-Private"/>
    <x v="0"/>
    <n v="37091"/>
    <n v="21384"/>
    <n v="15707"/>
    <n v="21784"/>
    <n v="12078"/>
    <n v="844"/>
    <s v="Yes"/>
    <n v="85"/>
    <n v="3.9"/>
    <x v="2"/>
  </r>
  <r>
    <x v="8"/>
    <s v="Rahul Patel"/>
    <n v="47"/>
    <x v="1"/>
    <s v="B-"/>
    <s v="Hyderabad"/>
    <d v="2024-09-21T00:00:00"/>
    <d v="2024-09-28T00:00:00"/>
    <n v="7"/>
    <x v="0"/>
    <s v="Depression"/>
    <x v="5"/>
    <s v="Dietary Management"/>
    <x v="0"/>
    <s v="Dr. Kavita Gupta"/>
    <n v="414"/>
    <s v="ICU"/>
    <x v="0"/>
    <n v="49229"/>
    <n v="24924"/>
    <n v="24305"/>
    <n v="29726"/>
    <n v="4176"/>
    <n v="11296"/>
    <s v="No"/>
    <n v="95"/>
    <n v="4.2"/>
    <x v="3"/>
  </r>
  <r>
    <x v="9"/>
    <s v="Priya Chopra"/>
    <n v="48"/>
    <x v="1"/>
    <s v="B-"/>
    <s v="Chennai"/>
    <d v="2023-01-25T00:00:00"/>
    <d v="2023-02-12T00:00:00"/>
    <n v="18"/>
    <x v="0"/>
    <s v="COVID-19"/>
    <x v="1"/>
    <s v="Observation"/>
    <x v="2"/>
    <s v="Dr. Rakesh Gupta"/>
    <n v="128"/>
    <s v="General Ward"/>
    <x v="3"/>
    <n v="159728"/>
    <n v="135898"/>
    <n v="23830"/>
    <n v="149264"/>
    <n v="4208"/>
    <n v="1328"/>
    <s v="No"/>
    <n v="99"/>
    <n v="4.3"/>
    <x v="2"/>
  </r>
  <r>
    <x v="10"/>
    <s v="Ananya Khanna"/>
    <n v="67"/>
    <x v="0"/>
    <s v="B-"/>
    <s v="Kolkata"/>
    <d v="2022-05-01T00:00:00"/>
    <d v="2022-05-07T00:00:00"/>
    <n v="6"/>
    <x v="3"/>
    <s v="Migraine"/>
    <x v="6"/>
    <s v="Observation"/>
    <x v="3"/>
    <s v="Dr. Anjali Singh"/>
    <n v="217"/>
    <s v="ICU"/>
    <x v="0"/>
    <n v="70547"/>
    <n v="40477"/>
    <n v="30070"/>
    <n v="54780"/>
    <n v="10722"/>
    <n v="4066"/>
    <s v="No"/>
    <n v="87"/>
    <n v="2.9"/>
    <x v="3"/>
  </r>
  <r>
    <x v="11"/>
    <s v="Sanjay Bose"/>
    <n v="69"/>
    <x v="1"/>
    <s v="A+"/>
    <s v="Jaipur"/>
    <d v="2022-06-14T00:00:00"/>
    <d v="2022-07-12T00:00:00"/>
    <n v="28"/>
    <x v="4"/>
    <s v="Heart Attack"/>
    <x v="7"/>
    <s v="Dietary Management"/>
    <x v="1"/>
    <s v="Dr. Kavita Joshi"/>
    <n v="62"/>
    <s v="Semi-Private"/>
    <x v="1"/>
    <n v="42490"/>
    <n v="25376"/>
    <n v="17114"/>
    <n v="15418"/>
    <n v="21295"/>
    <n v="1843"/>
    <s v="No"/>
    <n v="60"/>
    <n v="4.8"/>
    <x v="2"/>
  </r>
  <r>
    <x v="12"/>
    <s v="Sunita Verma"/>
    <n v="35"/>
    <x v="0"/>
    <s v="AB+"/>
    <s v="Bangalore"/>
    <d v="2023-09-07T00:00:00"/>
    <d v="2023-09-22T00:00:00"/>
    <n v="15"/>
    <x v="0"/>
    <s v="Dengue"/>
    <x v="1"/>
    <s v="Medication"/>
    <x v="0"/>
    <s v="Dr. Shalini Rao"/>
    <n v="52"/>
    <s v="General Ward"/>
    <x v="1"/>
    <n v="84883"/>
    <n v="57719"/>
    <n v="27164"/>
    <n v="60877"/>
    <n v="17576"/>
    <n v="4845"/>
    <s v="No"/>
    <n v="96"/>
    <n v="2.7"/>
    <x v="1"/>
  </r>
  <r>
    <x v="13"/>
    <s v="Ananya Malhotra"/>
    <n v="74"/>
    <x v="0"/>
    <s v="A+"/>
    <s v="Jaipur"/>
    <d v="2023-09-06T00:00:00"/>
    <d v="2023-10-06T00:00:00"/>
    <n v="30"/>
    <x v="0"/>
    <s v="Appendicitis"/>
    <x v="0"/>
    <s v="Dialysis"/>
    <x v="1"/>
    <s v="Dr. Prerna Nair"/>
    <n v="80"/>
    <s v="Private"/>
    <x v="4"/>
    <n v="93013"/>
    <n v="0"/>
    <n v="93013"/>
    <n v="60215"/>
    <n v="24514"/>
    <n v="6117"/>
    <s v="No"/>
    <n v="94"/>
    <n v="2.8"/>
    <x v="4"/>
  </r>
  <r>
    <x v="14"/>
    <s v="Rohan Patel"/>
    <n v="16"/>
    <x v="0"/>
    <s v="O+"/>
    <s v="Mumbai"/>
    <d v="2022-01-08T00:00:00"/>
    <d v="2022-01-19T00:00:00"/>
    <n v="11"/>
    <x v="5"/>
    <s v="Pneumonia"/>
    <x v="8"/>
    <s v="Physiotherapy"/>
    <x v="0"/>
    <s v="Dr. Deepak Joshi"/>
    <n v="288"/>
    <s v="General Ward"/>
    <x v="2"/>
    <n v="68203"/>
    <n v="52085"/>
    <n v="16118"/>
    <n v="24724"/>
    <n v="29937"/>
    <n v="11821"/>
    <s v="No"/>
    <n v="77"/>
    <n v="3.7"/>
    <x v="4"/>
  </r>
  <r>
    <x v="15"/>
    <s v="Vikram Patel"/>
    <n v="44"/>
    <x v="0"/>
    <s v="A+"/>
    <s v="Pune"/>
    <d v="2023-03-07T00:00:00"/>
    <d v="2023-03-29T00:00:00"/>
    <n v="22"/>
    <x v="2"/>
    <s v="Cancer"/>
    <x v="3"/>
    <s v="ICU Care"/>
    <x v="0"/>
    <s v="Dr. Shalini Mehta"/>
    <n v="474"/>
    <s v="Semi-Private"/>
    <x v="0"/>
    <n v="89253"/>
    <n v="40504"/>
    <n v="48749"/>
    <n v="51413"/>
    <n v="29882"/>
    <n v="7255"/>
    <s v="No"/>
    <n v="90"/>
    <n v="4.8"/>
    <x v="2"/>
  </r>
  <r>
    <x v="16"/>
    <s v="Rohan Joshi"/>
    <n v="18"/>
    <x v="0"/>
    <s v="A+"/>
    <s v="Ahmedabad"/>
    <d v="2023-04-01T00:00:00"/>
    <d v="2023-04-08T00:00:00"/>
    <n v="7"/>
    <x v="0"/>
    <s v="COVID-19"/>
    <x v="1"/>
    <s v="Dialysis"/>
    <x v="2"/>
    <s v="Dr. Kavita Sharma"/>
    <n v="338"/>
    <s v="Semi-Private"/>
    <x v="3"/>
    <n v="116909"/>
    <n v="104057"/>
    <n v="12852"/>
    <n v="91051"/>
    <n v="10129"/>
    <n v="14661"/>
    <s v="No"/>
    <n v="81"/>
    <n v="3.5"/>
    <x v="0"/>
  </r>
  <r>
    <x v="17"/>
    <s v="Amit Sharma"/>
    <n v="19"/>
    <x v="0"/>
    <s v="B+"/>
    <s v="Lucknow"/>
    <d v="2023-06-28T00:00:00"/>
    <d v="2023-06-30T00:00:00"/>
    <n v="2"/>
    <x v="0"/>
    <s v="Appendicitis"/>
    <x v="0"/>
    <s v="Observation"/>
    <x v="3"/>
    <s v="Dr. Nisha Joshi"/>
    <n v="311"/>
    <s v="General Ward"/>
    <x v="3"/>
    <n v="69473"/>
    <n v="41719"/>
    <n v="27754"/>
    <n v="54828"/>
    <n v="9346"/>
    <n v="1227"/>
    <s v="No"/>
    <n v="74"/>
    <n v="4.0999999999999996"/>
    <x v="2"/>
  </r>
  <r>
    <x v="18"/>
    <s v="Nisha Khanna"/>
    <n v="13"/>
    <x v="0"/>
    <s v="O-"/>
    <s v="Delhi"/>
    <d v="2023-09-08T00:00:00"/>
    <d v="2023-09-25T00:00:00"/>
    <n v="17"/>
    <x v="1"/>
    <s v="UTI"/>
    <x v="2"/>
    <s v="ICU Care"/>
    <x v="0"/>
    <s v="Dr. Rakesh Nair"/>
    <n v="66"/>
    <s v="Semi-Private"/>
    <x v="3"/>
    <n v="142266"/>
    <n v="111630"/>
    <n v="30636"/>
    <n v="104390"/>
    <n v="23194"/>
    <n v="12757"/>
    <s v="No"/>
    <n v="75"/>
    <n v="4.5"/>
    <x v="1"/>
  </r>
  <r>
    <x v="19"/>
    <s v="Deepa Mehta"/>
    <n v="60"/>
    <x v="0"/>
    <s v="AB-"/>
    <s v="Ahmedabad"/>
    <d v="2024-06-24T00:00:00"/>
    <d v="2024-07-16T00:00:00"/>
    <n v="22"/>
    <x v="3"/>
    <s v="Stroke"/>
    <x v="6"/>
    <s v="Radiation Therapy"/>
    <x v="2"/>
    <s v="Dr. Prerna Singh"/>
    <n v="264"/>
    <s v="Private"/>
    <x v="2"/>
    <n v="97540"/>
    <n v="82126"/>
    <n v="15414"/>
    <n v="66569"/>
    <n v="23046"/>
    <n v="5585"/>
    <s v="Yes"/>
    <n v="42"/>
    <n v="2.7"/>
    <x v="4"/>
  </r>
  <r>
    <x v="20"/>
    <s v="Divya Singh"/>
    <n v="63"/>
    <x v="0"/>
    <s v="B-"/>
    <s v="Kolkata"/>
    <d v="2024-10-09T00:00:00"/>
    <d v="2024-10-22T00:00:00"/>
    <n v="13"/>
    <x v="2"/>
    <s v="Cancer"/>
    <x v="3"/>
    <s v="Medication"/>
    <x v="1"/>
    <s v="Dr. Vivek Reddy"/>
    <n v="91"/>
    <s v="ICU"/>
    <x v="2"/>
    <n v="105850"/>
    <n v="67744"/>
    <n v="38106"/>
    <n v="70325"/>
    <n v="28798"/>
    <n v="2488"/>
    <s v="No"/>
    <n v="73"/>
    <n v="5"/>
    <x v="0"/>
  </r>
  <r>
    <x v="21"/>
    <s v="Amit Malhotra"/>
    <n v="83"/>
    <x v="0"/>
    <s v="AB-"/>
    <s v="Bangalore"/>
    <d v="2024-08-30T00:00:00"/>
    <d v="2024-09-14T00:00:00"/>
    <n v="15"/>
    <x v="5"/>
    <s v="Asthma"/>
    <x v="8"/>
    <s v="Dialysis"/>
    <x v="0"/>
    <s v="Dr. Kavita Singh"/>
    <n v="226"/>
    <s v="General Ward"/>
    <x v="4"/>
    <n v="85495"/>
    <n v="0"/>
    <n v="85495"/>
    <n v="66471"/>
    <n v="9903"/>
    <n v="6002"/>
    <s v="No"/>
    <n v="45"/>
    <n v="2.4"/>
    <x v="2"/>
  </r>
  <r>
    <x v="22"/>
    <s v="Karan Gupta"/>
    <n v="32"/>
    <x v="1"/>
    <s v="AB+"/>
    <s v="Kolkata"/>
    <d v="2023-11-09T00:00:00"/>
    <d v="2023-11-27T00:00:00"/>
    <n v="18"/>
    <x v="0"/>
    <s v="COVID-19"/>
    <x v="1"/>
    <s v="Medication"/>
    <x v="2"/>
    <s v="Dr. Vivek Joshi"/>
    <n v="464"/>
    <s v="General Ward"/>
    <x v="1"/>
    <n v="125320"/>
    <n v="61355"/>
    <n v="63965"/>
    <n v="104714"/>
    <n v="16629"/>
    <n v="596"/>
    <s v="No"/>
    <n v="97"/>
    <n v="4.9000000000000004"/>
    <x v="4"/>
  </r>
  <r>
    <x v="23"/>
    <s v="Ritu Pillai"/>
    <n v="82"/>
    <x v="1"/>
    <s v="AB-"/>
    <s v="Chennai"/>
    <d v="2023-07-13T00:00:00"/>
    <d v="2023-07-27T00:00:00"/>
    <n v="14"/>
    <x v="0"/>
    <s v="Typhoid"/>
    <x v="1"/>
    <s v="Observation"/>
    <x v="3"/>
    <s v="Dr. Vivek Mehta"/>
    <n v="431"/>
    <s v="ICU"/>
    <x v="0"/>
    <n v="154577"/>
    <n v="65724"/>
    <n v="88853"/>
    <n v="145017"/>
    <n v="1883"/>
    <n v="6955"/>
    <s v="No"/>
    <n v="95"/>
    <n v="3.4"/>
    <x v="3"/>
  </r>
  <r>
    <x v="24"/>
    <s v="Rohan Chopra"/>
    <n v="46"/>
    <x v="1"/>
    <s v="AB-"/>
    <s v="Pune"/>
    <d v="2023-11-23T00:00:00"/>
    <d v="2023-12-18T00:00:00"/>
    <n v="25"/>
    <x v="3"/>
    <s v="Migraine"/>
    <x v="6"/>
    <s v="Observation"/>
    <x v="3"/>
    <s v="Dr. Prerna Gupta"/>
    <n v="10"/>
    <s v="General Ward"/>
    <x v="4"/>
    <n v="88534"/>
    <n v="0"/>
    <n v="88534"/>
    <n v="63778"/>
    <n v="22303"/>
    <n v="1624"/>
    <s v="No"/>
    <n v="100"/>
    <n v="2.7"/>
    <x v="3"/>
  </r>
  <r>
    <x v="25"/>
    <s v="Divya Gupta"/>
    <n v="35"/>
    <x v="1"/>
    <s v="AB-"/>
    <s v="Delhi"/>
    <d v="2023-03-23T00:00:00"/>
    <d v="2023-04-07T00:00:00"/>
    <n v="15"/>
    <x v="5"/>
    <s v="Asthma"/>
    <x v="8"/>
    <s v="Physiotherapy"/>
    <x v="1"/>
    <s v="Dr. Sameer Singh"/>
    <n v="56"/>
    <s v="General Ward"/>
    <x v="4"/>
    <n v="131719"/>
    <n v="0"/>
    <n v="131719"/>
    <n v="103384"/>
    <n v="13997"/>
    <n v="12214"/>
    <s v="Yes"/>
    <n v="84"/>
    <n v="4.5"/>
    <x v="2"/>
  </r>
  <r>
    <x v="26"/>
    <s v="Sneha Rao"/>
    <n v="81"/>
    <x v="1"/>
    <s v="A+"/>
    <s v="Pune"/>
    <d v="2024-12-27T00:00:00"/>
    <d v="2024-12-31T00:00:00"/>
    <n v="4"/>
    <x v="1"/>
    <s v="Kidney Stone"/>
    <x v="2"/>
    <s v="Counseling"/>
    <x v="3"/>
    <s v="Dr. Arun Joshi"/>
    <n v="422"/>
    <s v="ICU"/>
    <x v="2"/>
    <n v="146692"/>
    <n v="119142"/>
    <n v="27550"/>
    <n v="118645"/>
    <n v="12868"/>
    <n v="10913"/>
    <s v="No"/>
    <n v="86"/>
    <n v="3.6"/>
    <x v="1"/>
  </r>
  <r>
    <x v="27"/>
    <s v="Divya Pillai"/>
    <n v="66"/>
    <x v="0"/>
    <s v="AB+"/>
    <s v="Lucknow"/>
    <d v="2023-07-04T00:00:00"/>
    <d v="2023-07-15T00:00:00"/>
    <n v="11"/>
    <x v="2"/>
    <s v="Cancer"/>
    <x v="3"/>
    <s v="Dialysis"/>
    <x v="0"/>
    <s v="Dr. Kavita Gupta"/>
    <n v="292"/>
    <s v="ICU"/>
    <x v="4"/>
    <n v="47324"/>
    <n v="0"/>
    <n v="47324"/>
    <n v="12523"/>
    <n v="17197"/>
    <n v="14442"/>
    <s v="No"/>
    <n v="53"/>
    <n v="3.1"/>
    <x v="1"/>
  </r>
  <r>
    <x v="28"/>
    <s v="Amit Nair"/>
    <n v="81"/>
    <x v="0"/>
    <s v="A+"/>
    <s v="Jaipur"/>
    <d v="2023-01-27T00:00:00"/>
    <d v="2023-01-30T00:00:00"/>
    <n v="3"/>
    <x v="2"/>
    <s v="Cancer"/>
    <x v="3"/>
    <s v="Radiation Therapy"/>
    <x v="2"/>
    <s v="Dr. Anjali Gupta"/>
    <n v="230"/>
    <s v="General Ward"/>
    <x v="2"/>
    <n v="100011"/>
    <n v="69194"/>
    <n v="30817"/>
    <n v="82132"/>
    <n v="8261"/>
    <n v="7125"/>
    <s v="No"/>
    <n v="70"/>
    <n v="3.7"/>
    <x v="1"/>
  </r>
  <r>
    <x v="29"/>
    <s v="Pooja Pillai"/>
    <n v="47"/>
    <x v="0"/>
    <s v="AB-"/>
    <s v="Hyderabad"/>
    <d v="2023-09-20T00:00:00"/>
    <d v="2023-09-29T00:00:00"/>
    <n v="9"/>
    <x v="2"/>
    <s v="Cancer"/>
    <x v="3"/>
    <s v="Chemotherapy"/>
    <x v="3"/>
    <s v="Dr. Prerna Nair"/>
    <n v="487"/>
    <s v="Semi-Private"/>
    <x v="0"/>
    <n v="98123"/>
    <n v="60579"/>
    <n v="37544"/>
    <n v="61723"/>
    <n v="25202"/>
    <n v="8433"/>
    <s v="No"/>
    <n v="73"/>
    <n v="3.8"/>
    <x v="3"/>
  </r>
  <r>
    <x v="30"/>
    <s v="Ashok Mehta"/>
    <n v="42"/>
    <x v="1"/>
    <s v="O-"/>
    <s v="Bangalore"/>
    <d v="2023-09-12T00:00:00"/>
    <d v="2023-09-13T00:00:00"/>
    <n v="1"/>
    <x v="0"/>
    <s v="Depression"/>
    <x v="5"/>
    <s v="Dialysis"/>
    <x v="1"/>
    <s v="Dr. Arun Nair"/>
    <n v="150"/>
    <s v="Semi-Private"/>
    <x v="3"/>
    <n v="65018"/>
    <n v="48167"/>
    <n v="16851"/>
    <n v="31892"/>
    <n v="29597"/>
    <n v="700"/>
    <s v="No"/>
    <n v="51"/>
    <n v="4.9000000000000004"/>
    <x v="1"/>
  </r>
  <r>
    <x v="31"/>
    <s v="Rekha Bose"/>
    <n v="19"/>
    <x v="1"/>
    <s v="AB+"/>
    <s v="Ahmedabad"/>
    <d v="2022-06-01T00:00:00"/>
    <d v="2022-06-20T00:00:00"/>
    <n v="19"/>
    <x v="0"/>
    <s v="Diabetes Type 2"/>
    <x v="9"/>
    <s v="Physiotherapy"/>
    <x v="3"/>
    <s v="Dr. Prerna Reddy"/>
    <n v="61"/>
    <s v="ICU"/>
    <x v="1"/>
    <n v="103256"/>
    <n v="55258"/>
    <n v="47998"/>
    <n v="64162"/>
    <n v="26417"/>
    <n v="9061"/>
    <s v="No"/>
    <n v="95"/>
    <n v="3.8"/>
    <x v="4"/>
  </r>
  <r>
    <x v="32"/>
    <s v="Deepa Iyer"/>
    <n v="84"/>
    <x v="1"/>
    <s v="A-"/>
    <s v="Chennai"/>
    <d v="2023-03-09T00:00:00"/>
    <d v="2023-03-18T00:00:00"/>
    <n v="9"/>
    <x v="6"/>
    <s v="Fracture"/>
    <x v="10"/>
    <s v="Chemotherapy"/>
    <x v="2"/>
    <s v="Dr. Deepak Patel"/>
    <n v="81"/>
    <s v="General Ward"/>
    <x v="3"/>
    <n v="161263"/>
    <n v="110849"/>
    <n v="50414"/>
    <n v="123096"/>
    <n v="23589"/>
    <n v="10229"/>
    <s v="No"/>
    <n v="85"/>
    <n v="2.8"/>
    <x v="4"/>
  </r>
  <r>
    <x v="33"/>
    <s v="Rahul Reddy"/>
    <n v="38"/>
    <x v="1"/>
    <s v="AB+"/>
    <s v="Delhi"/>
    <d v="2023-04-06T00:00:00"/>
    <d v="2023-04-27T00:00:00"/>
    <n v="21"/>
    <x v="5"/>
    <s v="Pneumonia"/>
    <x v="8"/>
    <s v="Physiotherapy"/>
    <x v="1"/>
    <s v="Dr. Arun Mehta"/>
    <n v="406"/>
    <s v="Private"/>
    <x v="1"/>
    <n v="102923"/>
    <n v="62433"/>
    <n v="40490"/>
    <n v="80657"/>
    <n v="15390"/>
    <n v="2537"/>
    <s v="No"/>
    <n v="100"/>
    <n v="2.8"/>
    <x v="0"/>
  </r>
  <r>
    <x v="34"/>
    <s v="Meera Malhotra"/>
    <n v="15"/>
    <x v="1"/>
    <s v="AB+"/>
    <s v="Pune"/>
    <d v="2023-05-28T00:00:00"/>
    <d v="2023-05-29T00:00:00"/>
    <n v="1"/>
    <x v="6"/>
    <s v="Fracture"/>
    <x v="10"/>
    <s v="Dietary Management"/>
    <x v="1"/>
    <s v="Dr. Rakesh Rao"/>
    <n v="21"/>
    <s v="Semi-Private"/>
    <x v="3"/>
    <n v="173914"/>
    <n v="113817"/>
    <n v="60097"/>
    <n v="141043"/>
    <n v="22348"/>
    <n v="7745"/>
    <s v="No"/>
    <n v="80"/>
    <n v="4.4000000000000004"/>
    <x v="3"/>
  </r>
  <r>
    <x v="35"/>
    <s v="Meera Shah"/>
    <n v="57"/>
    <x v="0"/>
    <s v="O-"/>
    <s v="Delhi"/>
    <d v="2022-11-26T00:00:00"/>
    <d v="2022-12-07T00:00:00"/>
    <n v="11"/>
    <x v="0"/>
    <s v="Anemia"/>
    <x v="4"/>
    <s v="Dialysis"/>
    <x v="0"/>
    <s v="Dr. Deepak Sharma"/>
    <n v="233"/>
    <s v="General Ward"/>
    <x v="4"/>
    <n v="88967"/>
    <n v="0"/>
    <n v="88967"/>
    <n v="71164"/>
    <n v="11593"/>
    <n v="2399"/>
    <s v="No"/>
    <n v="92"/>
    <n v="5"/>
    <x v="0"/>
  </r>
  <r>
    <x v="36"/>
    <s v="Sunil Khanna"/>
    <n v="11"/>
    <x v="1"/>
    <s v="O-"/>
    <s v="Lucknow"/>
    <d v="2024-10-17T00:00:00"/>
    <d v="2024-11-07T00:00:00"/>
    <n v="21"/>
    <x v="0"/>
    <s v="COVID-19"/>
    <x v="1"/>
    <s v="Chemotherapy"/>
    <x v="3"/>
    <s v="Dr. Deepak Mehta"/>
    <n v="475"/>
    <s v="Private"/>
    <x v="3"/>
    <n v="140474"/>
    <n v="114196"/>
    <n v="26278"/>
    <n v="132064"/>
    <n v="4978"/>
    <n v="972"/>
    <s v="No"/>
    <n v="40"/>
    <n v="3.7"/>
    <x v="3"/>
  </r>
  <r>
    <x v="37"/>
    <s v="Kavya Kumar"/>
    <n v="64"/>
    <x v="1"/>
    <s v="B+"/>
    <s v="Ahmedabad"/>
    <d v="2023-08-21T00:00:00"/>
    <d v="2023-09-07T00:00:00"/>
    <n v="17"/>
    <x v="5"/>
    <s v="Asthma"/>
    <x v="8"/>
    <s v="Radiation Therapy"/>
    <x v="0"/>
    <s v="Dr. Kavita Gupta"/>
    <n v="283"/>
    <s v="Semi-Private"/>
    <x v="3"/>
    <n v="86052"/>
    <n v="73937"/>
    <n v="12115"/>
    <n v="54967"/>
    <n v="20640"/>
    <n v="8827"/>
    <s v="No"/>
    <n v="90"/>
    <n v="4.5999999999999996"/>
    <x v="1"/>
  </r>
  <r>
    <x v="38"/>
    <s v="Sonia Das"/>
    <n v="39"/>
    <x v="1"/>
    <s v="O+"/>
    <s v="Hyderabad"/>
    <d v="2024-09-29T00:00:00"/>
    <d v="2024-10-27T00:00:00"/>
    <n v="28"/>
    <x v="5"/>
    <s v="Pneumonia"/>
    <x v="8"/>
    <s v="Counseling"/>
    <x v="0"/>
    <s v="Dr. Nisha Kumar"/>
    <n v="283"/>
    <s v="ICU"/>
    <x v="3"/>
    <n v="124893"/>
    <n v="96360"/>
    <n v="28533"/>
    <n v="89352"/>
    <n v="29495"/>
    <n v="3590"/>
    <s v="No"/>
    <n v="89"/>
    <n v="3.2"/>
    <x v="1"/>
  </r>
  <r>
    <x v="39"/>
    <s v="Geeta Bose"/>
    <n v="53"/>
    <x v="0"/>
    <s v="B+"/>
    <s v="Ahmedabad"/>
    <d v="2022-03-17T00:00:00"/>
    <d v="2022-03-22T00:00:00"/>
    <n v="5"/>
    <x v="6"/>
    <s v="Arthritis"/>
    <x v="11"/>
    <s v="ICU Care"/>
    <x v="1"/>
    <s v="Dr. Anjali Patel"/>
    <n v="270"/>
    <s v="ICU"/>
    <x v="2"/>
    <n v="73756"/>
    <n v="45909"/>
    <n v="27847"/>
    <n v="42789"/>
    <n v="14434"/>
    <n v="14769"/>
    <s v="No"/>
    <n v="56"/>
    <n v="3"/>
    <x v="4"/>
  </r>
  <r>
    <x v="40"/>
    <s v="Rajesh Singh"/>
    <n v="47"/>
    <x v="0"/>
    <s v="O-"/>
    <s v="Ahmedabad"/>
    <d v="2022-03-15T00:00:00"/>
    <d v="2022-04-04T00:00:00"/>
    <n v="20"/>
    <x v="6"/>
    <s v="Fracture"/>
    <x v="10"/>
    <s v="Dialysis"/>
    <x v="2"/>
    <s v="Dr. Prerna Joshi"/>
    <n v="51"/>
    <s v="General Ward"/>
    <x v="3"/>
    <n v="78495"/>
    <n v="48180"/>
    <n v="30315"/>
    <n v="48611"/>
    <n v="23741"/>
    <n v="5406"/>
    <s v="No"/>
    <n v="58"/>
    <n v="3.1"/>
    <x v="4"/>
  </r>
  <r>
    <x v="41"/>
    <s v="Vikram Reddy"/>
    <n v="72"/>
    <x v="0"/>
    <s v="B+"/>
    <s v="Bangalore"/>
    <d v="2022-12-25T00:00:00"/>
    <d v="2022-12-28T00:00:00"/>
    <n v="3"/>
    <x v="0"/>
    <s v="Liver Disease"/>
    <x v="0"/>
    <s v="Dietary Management"/>
    <x v="2"/>
    <s v="Dr. Anjali Rao"/>
    <n v="74"/>
    <s v="Semi-Private"/>
    <x v="3"/>
    <n v="92896"/>
    <n v="80789"/>
    <n v="12107"/>
    <n v="71578"/>
    <n v="16059"/>
    <n v="4683"/>
    <s v="No"/>
    <n v="58"/>
    <n v="4"/>
    <x v="2"/>
  </r>
  <r>
    <x v="42"/>
    <s v="Rahul Malhotra"/>
    <n v="49"/>
    <x v="0"/>
    <s v="AB+"/>
    <s v="Hyderabad"/>
    <d v="2024-07-24T00:00:00"/>
    <d v="2024-08-21T00:00:00"/>
    <n v="28"/>
    <x v="1"/>
    <s v="UTI"/>
    <x v="2"/>
    <s v="Observation"/>
    <x v="0"/>
    <s v="Dr. Prerna Reddy"/>
    <n v="196"/>
    <s v="Private"/>
    <x v="1"/>
    <n v="112490"/>
    <n v="77999"/>
    <n v="34491"/>
    <n v="82561"/>
    <n v="23913"/>
    <n v="5337"/>
    <s v="No"/>
    <n v="57"/>
    <n v="2"/>
    <x v="3"/>
  </r>
  <r>
    <x v="43"/>
    <s v="Sonia Menon"/>
    <n v="68"/>
    <x v="0"/>
    <s v="B-"/>
    <s v="Lucknow"/>
    <d v="2023-12-23T00:00:00"/>
    <d v="2023-12-31T00:00:00"/>
    <n v="8"/>
    <x v="3"/>
    <s v="Stroke"/>
    <x v="6"/>
    <s v="Dialysis"/>
    <x v="2"/>
    <s v="Dr. Prerna Sharma"/>
    <n v="159"/>
    <s v="ICU"/>
    <x v="2"/>
    <n v="129534"/>
    <n v="113069"/>
    <n v="16465"/>
    <n v="100646"/>
    <n v="24997"/>
    <n v="2653"/>
    <s v="No"/>
    <n v="66"/>
    <n v="2.5"/>
    <x v="2"/>
  </r>
  <r>
    <x v="44"/>
    <s v="Lata Pillai"/>
    <n v="51"/>
    <x v="0"/>
    <s v="B+"/>
    <s v="Hyderabad"/>
    <d v="2024-09-13T00:00:00"/>
    <d v="2024-10-09T00:00:00"/>
    <n v="26"/>
    <x v="1"/>
    <s v="UTI"/>
    <x v="2"/>
    <s v="Surgery"/>
    <x v="0"/>
    <s v="Dr. Prerna Mehta"/>
    <n v="387"/>
    <s v="Semi-Private"/>
    <x v="3"/>
    <n v="122030"/>
    <n v="73728"/>
    <n v="48302"/>
    <n v="100885"/>
    <n v="3959"/>
    <n v="13454"/>
    <s v="No"/>
    <n v="69"/>
    <n v="3.1"/>
    <x v="1"/>
  </r>
  <r>
    <x v="45"/>
    <s v="Sanjay Chopra"/>
    <n v="52"/>
    <x v="1"/>
    <s v="B-"/>
    <s v="Ahmedabad"/>
    <d v="2022-02-21T00:00:00"/>
    <d v="2022-03-13T00:00:00"/>
    <n v="20"/>
    <x v="0"/>
    <s v="Depression"/>
    <x v="5"/>
    <s v="Dietary Management"/>
    <x v="2"/>
    <s v="Dr. Prerna Gupta"/>
    <n v="466"/>
    <s v="Private"/>
    <x v="3"/>
    <n v="43211"/>
    <n v="29872"/>
    <n v="13339"/>
    <n v="35585"/>
    <n v="5580"/>
    <n v="1242"/>
    <s v="No"/>
    <n v="46"/>
    <n v="2.7"/>
    <x v="0"/>
  </r>
  <r>
    <x v="46"/>
    <s v="Vikram Chopra"/>
    <n v="63"/>
    <x v="0"/>
    <s v="AB+"/>
    <s v="Lucknow"/>
    <d v="2022-11-13T00:00:00"/>
    <d v="2022-12-12T00:00:00"/>
    <n v="29"/>
    <x v="0"/>
    <s v="Anemia"/>
    <x v="4"/>
    <s v="Radiation Therapy"/>
    <x v="0"/>
    <s v="Dr. Rakesh Sharma"/>
    <n v="354"/>
    <s v="Private"/>
    <x v="0"/>
    <n v="144640"/>
    <n v="62167"/>
    <n v="82473"/>
    <n v="121230"/>
    <n v="15571"/>
    <n v="4368"/>
    <s v="No"/>
    <n v="74"/>
    <n v="4.7"/>
    <x v="1"/>
  </r>
  <r>
    <x v="47"/>
    <s v="Priya Chopra"/>
    <n v="40"/>
    <x v="1"/>
    <s v="A-"/>
    <s v="Ahmedabad"/>
    <d v="2022-07-07T00:00:00"/>
    <d v="2022-07-29T00:00:00"/>
    <n v="22"/>
    <x v="3"/>
    <s v="Stroke"/>
    <x v="6"/>
    <s v="Medication"/>
    <x v="1"/>
    <s v="Dr. Nisha Reddy"/>
    <n v="65"/>
    <s v="Semi-Private"/>
    <x v="2"/>
    <n v="85965"/>
    <n v="60052"/>
    <n v="25913"/>
    <n v="59305"/>
    <n v="20214"/>
    <n v="4038"/>
    <s v="Yes"/>
    <n v="97"/>
    <n v="3.8"/>
    <x v="1"/>
  </r>
  <r>
    <x v="48"/>
    <s v="Rekha Gupta"/>
    <n v="21"/>
    <x v="0"/>
    <s v="B+"/>
    <s v="Delhi"/>
    <d v="2022-02-22T00:00:00"/>
    <d v="2022-02-27T00:00:00"/>
    <n v="5"/>
    <x v="4"/>
    <s v="Hypertension"/>
    <x v="7"/>
    <s v="Chemotherapy"/>
    <x v="3"/>
    <s v="Dr. Arun Mehta"/>
    <n v="136"/>
    <s v="General Ward"/>
    <x v="0"/>
    <n v="136972"/>
    <n v="74359"/>
    <n v="62613"/>
    <n v="115352"/>
    <n v="18238"/>
    <n v="2362"/>
    <s v="No"/>
    <n v="72"/>
    <n v="3.8"/>
    <x v="4"/>
  </r>
  <r>
    <x v="49"/>
    <s v="Arjun Reddy"/>
    <n v="83"/>
    <x v="1"/>
    <s v="O+"/>
    <s v="Ahmedabad"/>
    <d v="2022-03-05T00:00:00"/>
    <d v="2022-03-07T00:00:00"/>
    <n v="2"/>
    <x v="0"/>
    <s v="Typhoid"/>
    <x v="1"/>
    <s v="Observation"/>
    <x v="1"/>
    <s v="Dr. Anjali Gupta"/>
    <n v="38"/>
    <s v="General Ward"/>
    <x v="4"/>
    <n v="52355"/>
    <n v="0"/>
    <n v="52355"/>
    <n v="43884"/>
    <n v="3152"/>
    <n v="2567"/>
    <s v="No"/>
    <n v="77"/>
    <n v="3.6"/>
    <x v="1"/>
  </r>
  <r>
    <x v="50"/>
    <s v="Karan Menon"/>
    <n v="72"/>
    <x v="0"/>
    <s v="AB-"/>
    <s v="Jaipur"/>
    <d v="2024-05-31T00:00:00"/>
    <d v="2024-06-04T00:00:00"/>
    <n v="4"/>
    <x v="0"/>
    <s v="Appendicitis"/>
    <x v="0"/>
    <s v="Chemotherapy"/>
    <x v="0"/>
    <s v="Dr. Anjali Reddy"/>
    <n v="212"/>
    <s v="Private"/>
    <x v="3"/>
    <n v="137886"/>
    <n v="95660"/>
    <n v="42226"/>
    <n v="109524"/>
    <n v="14631"/>
    <n v="12453"/>
    <s v="No"/>
    <n v="56"/>
    <n v="3.1"/>
    <x v="2"/>
  </r>
  <r>
    <x v="51"/>
    <s v="Sunita Bose"/>
    <n v="13"/>
    <x v="1"/>
    <s v="A-"/>
    <s v="Delhi"/>
    <d v="2024-06-03T00:00:00"/>
    <d v="2024-06-07T00:00:00"/>
    <n v="4"/>
    <x v="1"/>
    <s v="Kidney Stone"/>
    <x v="2"/>
    <s v="Counseling"/>
    <x v="1"/>
    <s v="Dr. Shalini Nair"/>
    <n v="288"/>
    <s v="Private"/>
    <x v="2"/>
    <n v="144054"/>
    <n v="123948"/>
    <n v="20106"/>
    <n v="112691"/>
    <n v="12586"/>
    <n v="14813"/>
    <s v="No"/>
    <n v="58"/>
    <n v="3.8"/>
    <x v="1"/>
  </r>
  <r>
    <x v="52"/>
    <s v="Sneha Iyer"/>
    <n v="69"/>
    <x v="1"/>
    <s v="B+"/>
    <s v="Ahmedabad"/>
    <d v="2023-04-05T00:00:00"/>
    <d v="2023-05-03T00:00:00"/>
    <n v="28"/>
    <x v="0"/>
    <s v="Appendicitis"/>
    <x v="0"/>
    <s v="Counseling"/>
    <x v="3"/>
    <s v="Dr. Prerna Singh"/>
    <n v="294"/>
    <s v="Semi-Private"/>
    <x v="3"/>
    <n v="46804"/>
    <n v="28489"/>
    <n v="18315"/>
    <n v="11882"/>
    <n v="20955"/>
    <n v="11277"/>
    <s v="No"/>
    <n v="88"/>
    <n v="2.9"/>
    <x v="1"/>
  </r>
  <r>
    <x v="53"/>
    <s v="Nisha Sharma"/>
    <n v="28"/>
    <x v="1"/>
    <s v="AB+"/>
    <s v="Delhi"/>
    <d v="2022-10-18T00:00:00"/>
    <d v="2022-11-11T00:00:00"/>
    <n v="24"/>
    <x v="4"/>
    <s v="Hypertension"/>
    <x v="7"/>
    <s v="Counseling"/>
    <x v="2"/>
    <s v="Dr. Vivek Joshi"/>
    <n v="233"/>
    <s v="Private"/>
    <x v="0"/>
    <n v="128697"/>
    <n v="81472"/>
    <n v="47225"/>
    <n v="102007"/>
    <n v="11211"/>
    <n v="12322"/>
    <s v="No"/>
    <n v="45"/>
    <n v="4.7"/>
    <x v="2"/>
  </r>
  <r>
    <x v="54"/>
    <s v="Ananya Menon"/>
    <n v="11"/>
    <x v="1"/>
    <s v="O+"/>
    <s v="Ahmedabad"/>
    <d v="2024-05-18T00:00:00"/>
    <d v="2024-06-03T00:00:00"/>
    <n v="16"/>
    <x v="0"/>
    <s v="Liver Disease"/>
    <x v="0"/>
    <s v="Observation"/>
    <x v="3"/>
    <s v="Dr. Kavita Nair"/>
    <n v="59"/>
    <s v="Private"/>
    <x v="3"/>
    <n v="60447"/>
    <n v="45824"/>
    <n v="14623"/>
    <n v="34069"/>
    <n v="10281"/>
    <n v="11611"/>
    <s v="No"/>
    <n v="54"/>
    <n v="3.2"/>
    <x v="0"/>
  </r>
  <r>
    <x v="55"/>
    <s v="Priya Sharma"/>
    <n v="31"/>
    <x v="0"/>
    <s v="B-"/>
    <s v="Bangalore"/>
    <d v="2023-06-08T00:00:00"/>
    <d v="2023-06-18T00:00:00"/>
    <n v="10"/>
    <x v="0"/>
    <s v="Dengue"/>
    <x v="1"/>
    <s v="Medication"/>
    <x v="0"/>
    <s v="Dr. Vivek Mehta"/>
    <n v="67"/>
    <s v="ICU"/>
    <x v="1"/>
    <n v="95769"/>
    <n v="40378"/>
    <n v="55391"/>
    <n v="65322"/>
    <n v="17392"/>
    <n v="9654"/>
    <s v="No"/>
    <n v="42"/>
    <n v="3.3"/>
    <x v="4"/>
  </r>
  <r>
    <x v="56"/>
    <s v="Sonia Singh"/>
    <n v="45"/>
    <x v="0"/>
    <s v="AB+"/>
    <s v="Kolkata"/>
    <d v="2023-08-16T00:00:00"/>
    <d v="2023-08-20T00:00:00"/>
    <n v="4"/>
    <x v="3"/>
    <s v="Migraine"/>
    <x v="6"/>
    <s v="ICU Care"/>
    <x v="2"/>
    <s v="Dr. Shalini Gupta"/>
    <n v="426"/>
    <s v="Private"/>
    <x v="2"/>
    <n v="152880"/>
    <n v="111710"/>
    <n v="41170"/>
    <n v="119481"/>
    <n v="28672"/>
    <n v="2234"/>
    <s v="No"/>
    <n v="45"/>
    <n v="3.2"/>
    <x v="1"/>
  </r>
  <r>
    <x v="57"/>
    <s v="Geeta Verma"/>
    <n v="33"/>
    <x v="0"/>
    <s v="B+"/>
    <s v="Delhi"/>
    <d v="2024-11-11T00:00:00"/>
    <d v="2024-12-02T00:00:00"/>
    <n v="21"/>
    <x v="0"/>
    <s v="Appendicitis"/>
    <x v="0"/>
    <s v="Counseling"/>
    <x v="2"/>
    <s v="Dr. Nisha Kumar"/>
    <n v="373"/>
    <s v="Semi-Private"/>
    <x v="0"/>
    <n v="44556"/>
    <n v="20142"/>
    <n v="24414"/>
    <n v="31949"/>
    <n v="5798"/>
    <n v="4693"/>
    <s v="No"/>
    <n v="88"/>
    <n v="4"/>
    <x v="2"/>
  </r>
  <r>
    <x v="58"/>
    <s v="Vijay Bose"/>
    <n v="64"/>
    <x v="0"/>
    <s v="O-"/>
    <s v="Pune"/>
    <d v="2022-11-06T00:00:00"/>
    <d v="2022-11-21T00:00:00"/>
    <n v="15"/>
    <x v="6"/>
    <s v="Fracture"/>
    <x v="10"/>
    <s v="Radiation Therapy"/>
    <x v="3"/>
    <s v="Dr. Rakesh Rao"/>
    <n v="29"/>
    <s v="Private"/>
    <x v="1"/>
    <n v="47886"/>
    <n v="19695"/>
    <n v="28191"/>
    <n v="24448"/>
    <n v="11171"/>
    <n v="8065"/>
    <s v="No"/>
    <n v="58"/>
    <n v="2.2000000000000002"/>
    <x v="3"/>
  </r>
  <r>
    <x v="59"/>
    <s v="Divya Menon"/>
    <n v="69"/>
    <x v="0"/>
    <s v="AB-"/>
    <s v="Lucknow"/>
    <d v="2022-03-26T00:00:00"/>
    <d v="2022-04-10T00:00:00"/>
    <n v="15"/>
    <x v="0"/>
    <s v="Obesity"/>
    <x v="12"/>
    <s v="ICU Care"/>
    <x v="0"/>
    <s v="Dr. Deepak Mehta"/>
    <n v="491"/>
    <s v="General Ward"/>
    <x v="3"/>
    <n v="77237"/>
    <n v="69105"/>
    <n v="8132"/>
    <n v="32132"/>
    <n v="27573"/>
    <n v="14219"/>
    <s v="Yes"/>
    <n v="81"/>
    <n v="2.5"/>
    <x v="2"/>
  </r>
  <r>
    <x v="60"/>
    <s v="Manoj Malhotra"/>
    <n v="61"/>
    <x v="1"/>
    <s v="O-"/>
    <s v="Pune"/>
    <d v="2023-08-03T00:00:00"/>
    <d v="2023-08-16T00:00:00"/>
    <n v="13"/>
    <x v="0"/>
    <s v="Anemia"/>
    <x v="4"/>
    <s v="Dietary Management"/>
    <x v="1"/>
    <s v="Dr. Nisha Patel"/>
    <n v="169"/>
    <s v="General Ward"/>
    <x v="1"/>
    <n v="123004"/>
    <n v="61503"/>
    <n v="61501"/>
    <n v="106335"/>
    <n v="10310"/>
    <n v="4628"/>
    <s v="No"/>
    <n v="49"/>
    <n v="4.8"/>
    <x v="1"/>
  </r>
  <r>
    <x v="61"/>
    <s v="Rajesh Chopra"/>
    <n v="21"/>
    <x v="1"/>
    <s v="O+"/>
    <s v="Jaipur"/>
    <d v="2024-02-11T00:00:00"/>
    <d v="2024-03-03T00:00:00"/>
    <n v="21"/>
    <x v="0"/>
    <s v="Dengue"/>
    <x v="1"/>
    <s v="Counseling"/>
    <x v="1"/>
    <s v="Dr. Vivek Nair"/>
    <n v="186"/>
    <s v="General Ward"/>
    <x v="4"/>
    <n v="100181"/>
    <n v="0"/>
    <n v="100181"/>
    <n v="85967"/>
    <n v="6906"/>
    <n v="4009"/>
    <s v="No"/>
    <n v="71"/>
    <n v="2.6"/>
    <x v="2"/>
  </r>
  <r>
    <x v="62"/>
    <s v="Vikram Singh"/>
    <n v="42"/>
    <x v="1"/>
    <s v="A+"/>
    <s v="Pune"/>
    <d v="2022-09-26T00:00:00"/>
    <d v="2022-10-16T00:00:00"/>
    <n v="20"/>
    <x v="3"/>
    <s v="Migraine"/>
    <x v="6"/>
    <s v="Physiotherapy"/>
    <x v="2"/>
    <s v="Dr. Shalini Mehta"/>
    <n v="370"/>
    <s v="ICU"/>
    <x v="2"/>
    <n v="139667"/>
    <n v="124426"/>
    <n v="15241"/>
    <n v="112704"/>
    <n v="12937"/>
    <n v="11581"/>
    <s v="No"/>
    <n v="88"/>
    <n v="4.2"/>
    <x v="4"/>
  </r>
  <r>
    <x v="63"/>
    <s v="Kavya Pillai"/>
    <n v="35"/>
    <x v="0"/>
    <s v="AB-"/>
    <s v="Chennai"/>
    <d v="2024-01-24T00:00:00"/>
    <d v="2024-02-15T00:00:00"/>
    <n v="22"/>
    <x v="0"/>
    <s v="Obesity"/>
    <x v="12"/>
    <s v="Radiation Therapy"/>
    <x v="3"/>
    <s v="Dr. Vivek Nair"/>
    <n v="271"/>
    <s v="ICU"/>
    <x v="0"/>
    <n v="96643"/>
    <n v="63968"/>
    <n v="32675"/>
    <n v="57349"/>
    <n v="27255"/>
    <n v="10406"/>
    <s v="Yes"/>
    <n v="70"/>
    <n v="4.5999999999999996"/>
    <x v="0"/>
  </r>
  <r>
    <x v="64"/>
    <s v="Sonia Kumar"/>
    <n v="71"/>
    <x v="1"/>
    <s v="O+"/>
    <s v="Delhi"/>
    <d v="2022-11-25T00:00:00"/>
    <d v="2022-12-04T00:00:00"/>
    <n v="9"/>
    <x v="0"/>
    <s v="COVID-19"/>
    <x v="1"/>
    <s v="Physiotherapy"/>
    <x v="0"/>
    <s v="Dr. Prerna Reddy"/>
    <n v="419"/>
    <s v="ICU"/>
    <x v="4"/>
    <n v="31705"/>
    <n v="0"/>
    <n v="31705"/>
    <n v="11991"/>
    <n v="14595"/>
    <n v="1372"/>
    <s v="No"/>
    <n v="55"/>
    <n v="3.2"/>
    <x v="3"/>
  </r>
  <r>
    <x v="65"/>
    <s v="Nisha Reddy"/>
    <n v="8"/>
    <x v="0"/>
    <s v="A-"/>
    <s v="Pune"/>
    <d v="2022-10-27T00:00:00"/>
    <d v="2022-11-01T00:00:00"/>
    <n v="5"/>
    <x v="0"/>
    <s v="Diabetes Type 2"/>
    <x v="9"/>
    <s v="Radiation Therapy"/>
    <x v="2"/>
    <s v="Dr. Anjali Gupta"/>
    <n v="316"/>
    <s v="General Ward"/>
    <x v="2"/>
    <n v="25124"/>
    <n v="19211"/>
    <n v="5913"/>
    <n v="9981"/>
    <n v="9386"/>
    <n v="4033"/>
    <s v="No"/>
    <n v="73"/>
    <n v="3.3"/>
    <x v="1"/>
  </r>
  <r>
    <x v="66"/>
    <s v="Kavya Rao"/>
    <n v="20"/>
    <x v="1"/>
    <s v="B-"/>
    <s v="Kolkata"/>
    <d v="2024-07-25T00:00:00"/>
    <d v="2024-07-28T00:00:00"/>
    <n v="3"/>
    <x v="0"/>
    <s v="Appendicitis"/>
    <x v="0"/>
    <s v="Dietary Management"/>
    <x v="1"/>
    <s v="Dr. Deepak Rao"/>
    <n v="124"/>
    <s v="Semi-Private"/>
    <x v="4"/>
    <n v="132536"/>
    <n v="0"/>
    <n v="132536"/>
    <n v="117522"/>
    <n v="1051"/>
    <n v="10573"/>
    <s v="No"/>
    <n v="66"/>
    <n v="2.6"/>
    <x v="3"/>
  </r>
  <r>
    <x v="67"/>
    <s v="Arjun Shah"/>
    <n v="13"/>
    <x v="1"/>
    <s v="AB+"/>
    <s v="Ahmedabad"/>
    <d v="2022-03-31T00:00:00"/>
    <d v="2022-04-21T00:00:00"/>
    <n v="21"/>
    <x v="3"/>
    <s v="Migraine"/>
    <x v="6"/>
    <s v="Dialysis"/>
    <x v="1"/>
    <s v="Dr. Nisha Patel"/>
    <n v="177"/>
    <s v="Semi-Private"/>
    <x v="2"/>
    <n v="102150"/>
    <n v="78023"/>
    <n v="24127"/>
    <n v="92167"/>
    <n v="5371"/>
    <n v="1226"/>
    <s v="No"/>
    <n v="51"/>
    <n v="4.5"/>
    <x v="4"/>
  </r>
  <r>
    <x v="68"/>
    <s v="Manoj Bose"/>
    <n v="85"/>
    <x v="1"/>
    <s v="B+"/>
    <s v="Delhi"/>
    <d v="2024-07-26T00:00:00"/>
    <d v="2024-07-28T00:00:00"/>
    <n v="2"/>
    <x v="1"/>
    <s v="UTI"/>
    <x v="2"/>
    <s v="Medication"/>
    <x v="2"/>
    <s v="Dr. Arun Kumar"/>
    <n v="478"/>
    <s v="Private"/>
    <x v="1"/>
    <n v="150886"/>
    <n v="71821"/>
    <n v="79065"/>
    <n v="109392"/>
    <n v="27719"/>
    <n v="9397"/>
    <s v="No"/>
    <n v="52"/>
    <n v="2.9"/>
    <x v="3"/>
  </r>
  <r>
    <x v="69"/>
    <s v="Rekha Verma"/>
    <n v="39"/>
    <x v="1"/>
    <s v="O-"/>
    <s v="Kolkata"/>
    <d v="2024-03-30T00:00:00"/>
    <d v="2024-04-23T00:00:00"/>
    <n v="24"/>
    <x v="0"/>
    <s v="COVID-19"/>
    <x v="1"/>
    <s v="ICU Care"/>
    <x v="2"/>
    <s v="Dr. Anjali Gupta"/>
    <n v="189"/>
    <s v="Private"/>
    <x v="2"/>
    <n v="129399"/>
    <n v="98815"/>
    <n v="30584"/>
    <n v="116280"/>
    <n v="3586"/>
    <n v="7555"/>
    <s v="No"/>
    <n v="45"/>
    <n v="3"/>
    <x v="1"/>
  </r>
  <r>
    <x v="70"/>
    <s v="Deepa Malhotra"/>
    <n v="82"/>
    <x v="0"/>
    <s v="B+"/>
    <s v="Ahmedabad"/>
    <d v="2023-12-21T00:00:00"/>
    <d v="2024-01-05T00:00:00"/>
    <n v="15"/>
    <x v="0"/>
    <s v="Diabetes Type 2"/>
    <x v="9"/>
    <s v="Dietary Management"/>
    <x v="0"/>
    <s v="Dr. Rakesh Sharma"/>
    <n v="39"/>
    <s v="ICU"/>
    <x v="4"/>
    <n v="181348"/>
    <n v="0"/>
    <n v="181348"/>
    <n v="139502"/>
    <n v="27250"/>
    <n v="12786"/>
    <s v="No"/>
    <n v="49"/>
    <n v="4.5"/>
    <x v="4"/>
  </r>
  <r>
    <x v="71"/>
    <s v="Priya Gupta"/>
    <n v="13"/>
    <x v="1"/>
    <s v="O-"/>
    <s v="Pune"/>
    <d v="2024-02-24T00:00:00"/>
    <d v="2024-03-14T00:00:00"/>
    <n v="19"/>
    <x v="0"/>
    <s v="Diabetes Type 2"/>
    <x v="9"/>
    <s v="Physiotherapy"/>
    <x v="0"/>
    <s v="Dr. Nisha Kumar"/>
    <n v="228"/>
    <s v="General Ward"/>
    <x v="1"/>
    <n v="69716"/>
    <n v="34462"/>
    <n v="35254"/>
    <n v="41095"/>
    <n v="18349"/>
    <n v="6512"/>
    <s v="No"/>
    <n v="47"/>
    <n v="2.1"/>
    <x v="2"/>
  </r>
  <r>
    <x v="72"/>
    <s v="Meera Das"/>
    <n v="54"/>
    <x v="1"/>
    <s v="O+"/>
    <s v="Hyderabad"/>
    <d v="2024-07-02T00:00:00"/>
    <d v="2024-07-09T00:00:00"/>
    <n v="7"/>
    <x v="0"/>
    <s v="Liver Disease"/>
    <x v="0"/>
    <s v="Radiation Therapy"/>
    <x v="2"/>
    <s v="Dr. Prerna Mehta"/>
    <n v="437"/>
    <s v="General Ward"/>
    <x v="3"/>
    <n v="83646"/>
    <n v="70526"/>
    <n v="13120"/>
    <n v="50260"/>
    <n v="24375"/>
    <n v="7792"/>
    <s v="No"/>
    <n v="60"/>
    <n v="4"/>
    <x v="3"/>
  </r>
  <r>
    <x v="73"/>
    <s v="Ritu Pillai"/>
    <n v="42"/>
    <x v="0"/>
    <s v="B+"/>
    <s v="Bangalore"/>
    <d v="2024-01-11T00:00:00"/>
    <d v="2024-01-28T00:00:00"/>
    <n v="17"/>
    <x v="2"/>
    <s v="Cancer"/>
    <x v="3"/>
    <s v="Chemotherapy"/>
    <x v="2"/>
    <s v="Dr. Kavita Gupta"/>
    <n v="14"/>
    <s v="Private"/>
    <x v="1"/>
    <n v="133252"/>
    <n v="77764"/>
    <n v="55488"/>
    <n v="101707"/>
    <n v="16315"/>
    <n v="13667"/>
    <s v="Yes"/>
    <n v="59"/>
    <n v="3.2"/>
    <x v="4"/>
  </r>
  <r>
    <x v="74"/>
    <s v="Arjun Khanna"/>
    <n v="57"/>
    <x v="1"/>
    <s v="B+"/>
    <s v="Pune"/>
    <d v="2022-06-01T00:00:00"/>
    <d v="2022-06-16T00:00:00"/>
    <n v="15"/>
    <x v="0"/>
    <s v="COVID-19"/>
    <x v="1"/>
    <s v="ICU Care"/>
    <x v="2"/>
    <s v="Dr. Deepak Rao"/>
    <n v="94"/>
    <s v="Semi-Private"/>
    <x v="3"/>
    <n v="169195"/>
    <n v="127815"/>
    <n v="41380"/>
    <n v="136822"/>
    <n v="29449"/>
    <n v="1407"/>
    <s v="No"/>
    <n v="50"/>
    <n v="3"/>
    <x v="2"/>
  </r>
  <r>
    <x v="75"/>
    <s v="Nisha Das"/>
    <n v="41"/>
    <x v="1"/>
    <s v="O+"/>
    <s v="Chennai"/>
    <d v="2023-07-17T00:00:00"/>
    <d v="2023-07-22T00:00:00"/>
    <n v="5"/>
    <x v="1"/>
    <s v="UTI"/>
    <x v="2"/>
    <s v="Counseling"/>
    <x v="1"/>
    <s v="Dr. Deepak Mehta"/>
    <n v="304"/>
    <s v="Semi-Private"/>
    <x v="0"/>
    <n v="132683"/>
    <n v="85922"/>
    <n v="46761"/>
    <n v="93504"/>
    <n v="28608"/>
    <n v="9734"/>
    <s v="Yes"/>
    <n v="42"/>
    <n v="4.8"/>
    <x v="0"/>
  </r>
  <r>
    <x v="76"/>
    <s v="Rohan Mehta"/>
    <n v="78"/>
    <x v="0"/>
    <s v="A+"/>
    <s v="Ahmedabad"/>
    <d v="2023-08-17T00:00:00"/>
    <d v="2023-09-07T00:00:00"/>
    <n v="21"/>
    <x v="1"/>
    <s v="UTI"/>
    <x v="2"/>
    <s v="Chemotherapy"/>
    <x v="0"/>
    <s v="Dr. Rakesh Gupta"/>
    <n v="38"/>
    <s v="General Ward"/>
    <x v="0"/>
    <n v="147595"/>
    <n v="68072"/>
    <n v="79523"/>
    <n v="120239"/>
    <n v="14619"/>
    <n v="8433"/>
    <s v="No"/>
    <n v="60"/>
    <n v="4.5999999999999996"/>
    <x v="1"/>
  </r>
  <r>
    <x v="77"/>
    <s v="Geeta Shah"/>
    <n v="56"/>
    <x v="1"/>
    <s v="O-"/>
    <s v="Jaipur"/>
    <d v="2022-08-06T00:00:00"/>
    <d v="2022-08-17T00:00:00"/>
    <n v="11"/>
    <x v="2"/>
    <s v="Cancer"/>
    <x v="3"/>
    <s v="Surgery"/>
    <x v="3"/>
    <s v="Dr. Anjali Reddy"/>
    <n v="73"/>
    <s v="General Ward"/>
    <x v="2"/>
    <n v="113247"/>
    <n v="76383"/>
    <n v="36864"/>
    <n v="81077"/>
    <n v="13587"/>
    <n v="14658"/>
    <s v="No"/>
    <n v="50"/>
    <n v="4.4000000000000004"/>
    <x v="0"/>
  </r>
  <r>
    <x v="78"/>
    <s v="Geeta Verma"/>
    <n v="29"/>
    <x v="1"/>
    <s v="AB-"/>
    <s v="Jaipur"/>
    <d v="2024-08-14T00:00:00"/>
    <d v="2024-08-30T00:00:00"/>
    <n v="16"/>
    <x v="1"/>
    <s v="UTI"/>
    <x v="2"/>
    <s v="Medication"/>
    <x v="1"/>
    <s v="Dr. Vivek Nair"/>
    <n v="235"/>
    <s v="Semi-Private"/>
    <x v="0"/>
    <n v="104235"/>
    <n v="57170"/>
    <n v="47065"/>
    <n v="97509"/>
    <n v="2594"/>
    <n v="1328"/>
    <s v="No"/>
    <n v="81"/>
    <n v="4"/>
    <x v="1"/>
  </r>
  <r>
    <x v="79"/>
    <s v="Ritu Sharma"/>
    <n v="18"/>
    <x v="0"/>
    <s v="B+"/>
    <s v="Hyderabad"/>
    <d v="2024-01-20T00:00:00"/>
    <d v="2024-02-14T00:00:00"/>
    <n v="25"/>
    <x v="3"/>
    <s v="Migraine"/>
    <x v="6"/>
    <s v="Medication"/>
    <x v="0"/>
    <s v="Dr. Arun Rao"/>
    <n v="288"/>
    <s v="Semi-Private"/>
    <x v="4"/>
    <n v="95523"/>
    <n v="0"/>
    <n v="95523"/>
    <n v="80655"/>
    <n v="3409"/>
    <n v="6829"/>
    <s v="No"/>
    <n v="75"/>
    <n v="2.8"/>
    <x v="0"/>
  </r>
  <r>
    <x v="80"/>
    <s v="Sunita Menon"/>
    <n v="20"/>
    <x v="1"/>
    <s v="A-"/>
    <s v="Kolkata"/>
    <d v="2024-02-04T00:00:00"/>
    <d v="2024-03-01T00:00:00"/>
    <n v="26"/>
    <x v="0"/>
    <s v="Dengue"/>
    <x v="1"/>
    <s v="ICU Care"/>
    <x v="2"/>
    <s v="Dr. Kavita Rao"/>
    <n v="261"/>
    <s v="ICU"/>
    <x v="1"/>
    <n v="20795"/>
    <n v="12770"/>
    <n v="8025"/>
    <n v="15552"/>
    <n v="2484"/>
    <n v="1137"/>
    <s v="No"/>
    <n v="73"/>
    <n v="3.4"/>
    <x v="0"/>
  </r>
  <r>
    <x v="81"/>
    <s v="Mukesh Das"/>
    <n v="22"/>
    <x v="0"/>
    <s v="O-"/>
    <s v="Bangalore"/>
    <d v="2024-03-15T00:00:00"/>
    <d v="2024-04-04T00:00:00"/>
    <n v="20"/>
    <x v="1"/>
    <s v="UTI"/>
    <x v="2"/>
    <s v="ICU Care"/>
    <x v="0"/>
    <s v="Dr. Shalini Singh"/>
    <n v="244"/>
    <s v="General Ward"/>
    <x v="4"/>
    <n v="121118"/>
    <n v="0"/>
    <n v="121118"/>
    <n v="91832"/>
    <n v="23079"/>
    <n v="2295"/>
    <s v="No"/>
    <n v="90"/>
    <n v="4.7"/>
    <x v="3"/>
  </r>
  <r>
    <x v="82"/>
    <s v="Divya Bose"/>
    <n v="38"/>
    <x v="1"/>
    <s v="A+"/>
    <s v="Lucknow"/>
    <d v="2024-09-10T00:00:00"/>
    <d v="2024-09-16T00:00:00"/>
    <n v="6"/>
    <x v="6"/>
    <s v="Arthritis"/>
    <x v="11"/>
    <s v="Observation"/>
    <x v="2"/>
    <s v="Dr. Kavita Sharma"/>
    <n v="294"/>
    <s v="General Ward"/>
    <x v="0"/>
    <n v="34984"/>
    <n v="15583"/>
    <n v="19401"/>
    <n v="9964"/>
    <n v="15451"/>
    <n v="5639"/>
    <s v="No"/>
    <n v="66"/>
    <n v="3.5"/>
    <x v="0"/>
  </r>
  <r>
    <x v="83"/>
    <s v="Sonia Bose"/>
    <n v="12"/>
    <x v="1"/>
    <s v="B-"/>
    <s v="Jaipur"/>
    <d v="2023-10-28T00:00:00"/>
    <d v="2023-11-19T00:00:00"/>
    <n v="22"/>
    <x v="0"/>
    <s v="Typhoid"/>
    <x v="1"/>
    <s v="Observation"/>
    <x v="3"/>
    <s v="Dr. Sameer Gupta"/>
    <n v="468"/>
    <s v="Private"/>
    <x v="1"/>
    <n v="136833"/>
    <n v="79777"/>
    <n v="57056"/>
    <n v="97874"/>
    <n v="23146"/>
    <n v="13148"/>
    <s v="No"/>
    <n v="55"/>
    <n v="2.8"/>
    <x v="1"/>
  </r>
  <r>
    <x v="84"/>
    <s v="Kavya Rao"/>
    <n v="41"/>
    <x v="1"/>
    <s v="AB-"/>
    <s v="Pune"/>
    <d v="2024-09-09T00:00:00"/>
    <d v="2024-09-21T00:00:00"/>
    <n v="12"/>
    <x v="0"/>
    <s v="Depression"/>
    <x v="5"/>
    <s v="Dialysis"/>
    <x v="1"/>
    <s v="Dr. Shalini Nair"/>
    <n v="195"/>
    <s v="ICU"/>
    <x v="4"/>
    <n v="57959"/>
    <n v="0"/>
    <n v="57959"/>
    <n v="43397"/>
    <n v="10517"/>
    <n v="1189"/>
    <s v="No"/>
    <n v="45"/>
    <n v="3"/>
    <x v="4"/>
  </r>
  <r>
    <x v="85"/>
    <s v="Rajesh Nair"/>
    <n v="66"/>
    <x v="1"/>
    <s v="B-"/>
    <s v="Jaipur"/>
    <d v="2023-07-10T00:00:00"/>
    <d v="2023-08-09T00:00:00"/>
    <n v="30"/>
    <x v="0"/>
    <s v="Depression"/>
    <x v="5"/>
    <s v="Physiotherapy"/>
    <x v="1"/>
    <s v="Dr. Shalini Rao"/>
    <n v="123"/>
    <s v="Semi-Private"/>
    <x v="2"/>
    <n v="165962"/>
    <n v="102191"/>
    <n v="63771"/>
    <n v="144209"/>
    <n v="8394"/>
    <n v="10952"/>
    <s v="No"/>
    <n v="85"/>
    <n v="3.4"/>
    <x v="2"/>
  </r>
  <r>
    <x v="86"/>
    <s v="Aditya Pillai"/>
    <n v="25"/>
    <x v="0"/>
    <s v="AB-"/>
    <s v="Ahmedabad"/>
    <d v="2023-02-13T00:00:00"/>
    <d v="2023-03-10T00:00:00"/>
    <n v="25"/>
    <x v="1"/>
    <s v="UTI"/>
    <x v="2"/>
    <s v="Dialysis"/>
    <x v="1"/>
    <s v="Dr. Prerna Rao"/>
    <n v="119"/>
    <s v="General Ward"/>
    <x v="0"/>
    <n v="160618"/>
    <n v="109249"/>
    <n v="51369"/>
    <n v="114546"/>
    <n v="29909"/>
    <n v="14223"/>
    <s v="Yes"/>
    <n v="93"/>
    <n v="3.2"/>
    <x v="4"/>
  </r>
  <r>
    <x v="87"/>
    <s v="Ananya Rao"/>
    <n v="9"/>
    <x v="1"/>
    <s v="O+"/>
    <s v="Lucknow"/>
    <d v="2022-08-08T00:00:00"/>
    <d v="2022-09-07T00:00:00"/>
    <n v="30"/>
    <x v="0"/>
    <s v="Dengue"/>
    <x v="1"/>
    <s v="Radiation Therapy"/>
    <x v="0"/>
    <s v="Dr. Sameer Nair"/>
    <n v="240"/>
    <s v="Private"/>
    <x v="0"/>
    <n v="53785"/>
    <n v="31974"/>
    <n v="21811"/>
    <n v="34529"/>
    <n v="11835"/>
    <n v="3162"/>
    <s v="No"/>
    <n v="40"/>
    <n v="4.2"/>
    <x v="1"/>
  </r>
  <r>
    <x v="88"/>
    <s v="Sanjay Mehta"/>
    <n v="27"/>
    <x v="0"/>
    <s v="AB+"/>
    <s v="Jaipur"/>
    <d v="2023-11-03T00:00:00"/>
    <d v="2023-11-06T00:00:00"/>
    <n v="3"/>
    <x v="3"/>
    <s v="Migraine"/>
    <x v="6"/>
    <s v="Physiotherapy"/>
    <x v="2"/>
    <s v="Dr. Anjali Kumar"/>
    <n v="480"/>
    <s v="Semi-Private"/>
    <x v="2"/>
    <n v="95448"/>
    <n v="78852"/>
    <n v="16596"/>
    <n v="73363"/>
    <n v="13568"/>
    <n v="4358"/>
    <s v="No"/>
    <n v="59"/>
    <n v="3.7"/>
    <x v="0"/>
  </r>
  <r>
    <x v="89"/>
    <s v="Aditya Nair"/>
    <n v="51"/>
    <x v="1"/>
    <s v="A+"/>
    <s v="Delhi"/>
    <d v="2024-08-11T00:00:00"/>
    <d v="2024-08-21T00:00:00"/>
    <n v="10"/>
    <x v="4"/>
    <s v="Heart Attack"/>
    <x v="7"/>
    <s v="Counseling"/>
    <x v="3"/>
    <s v="Dr. Prerna Singh"/>
    <n v="189"/>
    <s v="Semi-Private"/>
    <x v="0"/>
    <n v="63919"/>
    <n v="39906"/>
    <n v="24013"/>
    <n v="40014"/>
    <n v="16669"/>
    <n v="3009"/>
    <s v="No"/>
    <n v="66"/>
    <n v="4.0999999999999996"/>
    <x v="4"/>
  </r>
  <r>
    <x v="90"/>
    <s v="Vijay Pillai"/>
    <n v="32"/>
    <x v="1"/>
    <s v="A-"/>
    <s v="Jaipur"/>
    <d v="2024-07-03T00:00:00"/>
    <d v="2024-07-20T00:00:00"/>
    <n v="17"/>
    <x v="1"/>
    <s v="Kidney Stone"/>
    <x v="2"/>
    <s v="Dietary Management"/>
    <x v="1"/>
    <s v="Dr. Arun Nair"/>
    <n v="463"/>
    <s v="Semi-Private"/>
    <x v="1"/>
    <n v="157974"/>
    <n v="103686"/>
    <n v="54288"/>
    <n v="145682"/>
    <n v="5910"/>
    <n v="3195"/>
    <s v="No"/>
    <n v="83"/>
    <n v="2.6"/>
    <x v="0"/>
  </r>
  <r>
    <x v="91"/>
    <s v="Meera Singh"/>
    <n v="70"/>
    <x v="0"/>
    <s v="A+"/>
    <s v="Ahmedabad"/>
    <d v="2022-09-28T00:00:00"/>
    <d v="2022-10-15T00:00:00"/>
    <n v="17"/>
    <x v="0"/>
    <s v="Anemia"/>
    <x v="4"/>
    <s v="Dietary Management"/>
    <x v="1"/>
    <s v="Dr. Deepak Gupta"/>
    <n v="345"/>
    <s v="Private"/>
    <x v="2"/>
    <n v="132533"/>
    <n v="109173"/>
    <n v="23360"/>
    <n v="108795"/>
    <n v="9338"/>
    <n v="13876"/>
    <s v="No"/>
    <n v="42"/>
    <n v="3.3"/>
    <x v="3"/>
  </r>
  <r>
    <x v="92"/>
    <s v="Ritu Patel"/>
    <n v="13"/>
    <x v="0"/>
    <s v="A+"/>
    <s v="Hyderabad"/>
    <d v="2024-04-17T00:00:00"/>
    <d v="2024-04-23T00:00:00"/>
    <n v="6"/>
    <x v="5"/>
    <s v="Pneumonia"/>
    <x v="8"/>
    <s v="ICU Care"/>
    <x v="0"/>
    <s v="Dr. Anjali Joshi"/>
    <n v="193"/>
    <s v="General Ward"/>
    <x v="1"/>
    <n v="80219"/>
    <n v="34943"/>
    <n v="45276"/>
    <n v="39862"/>
    <n v="22415"/>
    <n v="14594"/>
    <s v="No"/>
    <n v="65"/>
    <n v="3.6"/>
    <x v="2"/>
  </r>
  <r>
    <x v="93"/>
    <s v="Ashok Sharma"/>
    <n v="7"/>
    <x v="0"/>
    <s v="AB-"/>
    <s v="Jaipur"/>
    <d v="2024-05-18T00:00:00"/>
    <d v="2024-06-05T00:00:00"/>
    <n v="18"/>
    <x v="3"/>
    <s v="Migraine"/>
    <x v="6"/>
    <s v="Chemotherapy"/>
    <x v="0"/>
    <s v="Dr. Nisha Mehta"/>
    <n v="142"/>
    <s v="Semi-Private"/>
    <x v="2"/>
    <n v="56219"/>
    <n v="44103"/>
    <n v="12116"/>
    <n v="13445"/>
    <n v="27524"/>
    <n v="11316"/>
    <s v="No"/>
    <n v="96"/>
    <n v="2"/>
    <x v="2"/>
  </r>
  <r>
    <x v="94"/>
    <s v="Rahul Kumar"/>
    <n v="81"/>
    <x v="1"/>
    <s v="AB-"/>
    <s v="Lucknow"/>
    <d v="2022-04-10T00:00:00"/>
    <d v="2022-04-18T00:00:00"/>
    <n v="8"/>
    <x v="0"/>
    <s v="Diabetes Type 2"/>
    <x v="9"/>
    <s v="Radiation Therapy"/>
    <x v="2"/>
    <s v="Dr. Deepak Reddy"/>
    <n v="387"/>
    <s v="General Ward"/>
    <x v="0"/>
    <n v="155019"/>
    <n v="88863"/>
    <n v="66156"/>
    <n v="137093"/>
    <n v="10478"/>
    <n v="4336"/>
    <s v="No"/>
    <n v="92"/>
    <n v="3"/>
    <x v="1"/>
  </r>
  <r>
    <x v="95"/>
    <s v="Mukesh Gupta"/>
    <n v="71"/>
    <x v="1"/>
    <s v="AB+"/>
    <s v="Hyderabad"/>
    <d v="2023-07-18T00:00:00"/>
    <d v="2023-07-20T00:00:00"/>
    <n v="2"/>
    <x v="0"/>
    <s v="Depression"/>
    <x v="5"/>
    <s v="Physiotherapy"/>
    <x v="0"/>
    <s v="Dr. Deepak Gupta"/>
    <n v="25"/>
    <s v="Private"/>
    <x v="3"/>
    <n v="169746"/>
    <n v="122638"/>
    <n v="47108"/>
    <n v="142484"/>
    <n v="11444"/>
    <n v="11908"/>
    <s v="No"/>
    <n v="51"/>
    <n v="4.3"/>
    <x v="4"/>
  </r>
  <r>
    <x v="96"/>
    <s v="Kavya Reddy"/>
    <n v="43"/>
    <x v="1"/>
    <s v="AB-"/>
    <s v="Mumbai"/>
    <d v="2024-04-25T00:00:00"/>
    <d v="2024-05-09T00:00:00"/>
    <n v="14"/>
    <x v="0"/>
    <s v="Depression"/>
    <x v="5"/>
    <s v="Physiotherapy"/>
    <x v="0"/>
    <s v="Dr. Kavita Singh"/>
    <n v="105"/>
    <s v="Private"/>
    <x v="2"/>
    <n v="159502"/>
    <n v="121332"/>
    <n v="38170"/>
    <n v="122908"/>
    <n v="28758"/>
    <n v="6579"/>
    <s v="No"/>
    <n v="43"/>
    <n v="2.8"/>
    <x v="0"/>
  </r>
  <r>
    <x v="97"/>
    <s v="Divya Patel"/>
    <n v="14"/>
    <x v="1"/>
    <s v="B-"/>
    <s v="Ahmedabad"/>
    <d v="2023-03-04T00:00:00"/>
    <d v="2023-04-01T00:00:00"/>
    <n v="28"/>
    <x v="0"/>
    <s v="Dengue"/>
    <x v="1"/>
    <s v="Medication"/>
    <x v="2"/>
    <s v="Dr. Kavita Patel"/>
    <n v="383"/>
    <s v="ICU"/>
    <x v="0"/>
    <n v="80162"/>
    <n v="50715"/>
    <n v="29447"/>
    <n v="58611"/>
    <n v="13996"/>
    <n v="4421"/>
    <s v="No"/>
    <n v="74"/>
    <n v="3.9"/>
    <x v="1"/>
  </r>
  <r>
    <x v="98"/>
    <s v="Rohan Shah"/>
    <n v="70"/>
    <x v="0"/>
    <s v="AB-"/>
    <s v="Delhi"/>
    <d v="2024-08-19T00:00:00"/>
    <d v="2024-09-13T00:00:00"/>
    <n v="25"/>
    <x v="0"/>
    <s v="Dengue"/>
    <x v="1"/>
    <s v="ICU Care"/>
    <x v="3"/>
    <s v="Dr. Vivek Sharma"/>
    <n v="289"/>
    <s v="Semi-Private"/>
    <x v="0"/>
    <n v="32281"/>
    <n v="15771"/>
    <n v="16510"/>
    <n v="9251"/>
    <n v="9545"/>
    <n v="9565"/>
    <s v="No"/>
    <n v="54"/>
    <n v="3.1"/>
    <x v="2"/>
  </r>
  <r>
    <x v="99"/>
    <s v="Meera Pillai"/>
    <n v="48"/>
    <x v="0"/>
    <s v="AB-"/>
    <s v="Ahmedabad"/>
    <d v="2024-08-01T00:00:00"/>
    <d v="2024-08-07T00:00:00"/>
    <n v="6"/>
    <x v="1"/>
    <s v="Kidney Stone"/>
    <x v="2"/>
    <s v="Physiotherapy"/>
    <x v="0"/>
    <s v="Dr. Sameer Nair"/>
    <n v="329"/>
    <s v="General Ward"/>
    <x v="1"/>
    <n v="57840"/>
    <n v="39537"/>
    <n v="18303"/>
    <n v="13866"/>
    <n v="28494"/>
    <n v="14372"/>
    <s v="No"/>
    <n v="88"/>
    <n v="2"/>
    <x v="2"/>
  </r>
  <r>
    <x v="100"/>
    <s v="Ashok Reddy"/>
    <n v="13"/>
    <x v="1"/>
    <s v="A+"/>
    <s v="Chennai"/>
    <d v="2024-11-01T00:00:00"/>
    <d v="2024-11-16T00:00:00"/>
    <n v="15"/>
    <x v="1"/>
    <s v="Kidney Stone"/>
    <x v="2"/>
    <s v="Dietary Management"/>
    <x v="0"/>
    <s v="Dr. Anjali Sharma"/>
    <n v="4"/>
    <s v="ICU"/>
    <x v="2"/>
    <n v="42813"/>
    <n v="32569"/>
    <n v="10244"/>
    <n v="9384"/>
    <n v="18347"/>
    <n v="12332"/>
    <s v="No"/>
    <n v="72"/>
    <n v="4.4000000000000004"/>
    <x v="4"/>
  </r>
  <r>
    <x v="101"/>
    <s v="Lata Joshi"/>
    <n v="18"/>
    <x v="1"/>
    <s v="B+"/>
    <s v="Chennai"/>
    <d v="2023-01-29T00:00:00"/>
    <d v="2023-02-18T00:00:00"/>
    <n v="20"/>
    <x v="6"/>
    <s v="Arthritis"/>
    <x v="11"/>
    <s v="ICU Care"/>
    <x v="3"/>
    <s v="Dr. Vivek Patel"/>
    <n v="192"/>
    <s v="ICU"/>
    <x v="3"/>
    <n v="99759"/>
    <n v="80327"/>
    <n v="19432"/>
    <n v="68755"/>
    <n v="23847"/>
    <n v="4200"/>
    <s v="No"/>
    <n v="81"/>
    <n v="5"/>
    <x v="3"/>
  </r>
  <r>
    <x v="102"/>
    <s v="Rahul Chopra"/>
    <n v="53"/>
    <x v="0"/>
    <s v="AB-"/>
    <s v="Mumbai"/>
    <d v="2022-01-20T00:00:00"/>
    <d v="2022-02-12T00:00:00"/>
    <n v="23"/>
    <x v="4"/>
    <s v="Heart Attack"/>
    <x v="7"/>
    <s v="Radiation Therapy"/>
    <x v="0"/>
    <s v="Dr. Nisha Rao"/>
    <n v="440"/>
    <s v="General Ward"/>
    <x v="1"/>
    <n v="33040"/>
    <n v="15903"/>
    <n v="17137"/>
    <n v="16154"/>
    <n v="8528"/>
    <n v="3963"/>
    <s v="No"/>
    <n v="83"/>
    <n v="4.8"/>
    <x v="0"/>
  </r>
  <r>
    <x v="103"/>
    <s v="Sanjay Patel"/>
    <n v="27"/>
    <x v="0"/>
    <s v="A+"/>
    <s v="Chennai"/>
    <d v="2022-10-23T00:00:00"/>
    <d v="2022-11-17T00:00:00"/>
    <n v="25"/>
    <x v="3"/>
    <s v="Migraine"/>
    <x v="6"/>
    <s v="Dialysis"/>
    <x v="2"/>
    <s v="Dr. Shalini Reddy"/>
    <n v="291"/>
    <s v="ICU"/>
    <x v="1"/>
    <n v="120062"/>
    <n v="76497"/>
    <n v="43565"/>
    <n v="91960"/>
    <n v="13577"/>
    <n v="12879"/>
    <s v="No"/>
    <n v="45"/>
    <n v="3.5"/>
    <x v="1"/>
  </r>
  <r>
    <x v="104"/>
    <s v="Priya Kumar"/>
    <n v="60"/>
    <x v="1"/>
    <s v="A-"/>
    <s v="Pune"/>
    <d v="2024-03-23T00:00:00"/>
    <d v="2024-04-17T00:00:00"/>
    <n v="25"/>
    <x v="0"/>
    <s v="Dengue"/>
    <x v="1"/>
    <s v="Dialysis"/>
    <x v="0"/>
    <s v="Dr. Anjali Reddy"/>
    <n v="183"/>
    <s v="ICU"/>
    <x v="3"/>
    <n v="90673"/>
    <n v="56735"/>
    <n v="33938"/>
    <n v="53690"/>
    <n v="23272"/>
    <n v="10098"/>
    <s v="No"/>
    <n v="91"/>
    <n v="2.7"/>
    <x v="3"/>
  </r>
  <r>
    <x v="105"/>
    <s v="Rahul Nair"/>
    <n v="24"/>
    <x v="0"/>
    <s v="B+"/>
    <s v="Kolkata"/>
    <d v="2023-10-11T00:00:00"/>
    <d v="2023-10-23T00:00:00"/>
    <n v="12"/>
    <x v="0"/>
    <s v="Appendicitis"/>
    <x v="0"/>
    <s v="Medication"/>
    <x v="3"/>
    <s v="Dr. Anjali Kumar"/>
    <n v="390"/>
    <s v="Private"/>
    <x v="2"/>
    <n v="51195"/>
    <n v="37611"/>
    <n v="13584"/>
    <n v="39735"/>
    <n v="3860"/>
    <n v="3570"/>
    <s v="No"/>
    <n v="66"/>
    <n v="2.2999999999999998"/>
    <x v="3"/>
  </r>
  <r>
    <x v="106"/>
    <s v="Nisha Pillai"/>
    <n v="16"/>
    <x v="0"/>
    <s v="AB+"/>
    <s v="Mumbai"/>
    <d v="2023-08-21T00:00:00"/>
    <d v="2023-09-04T00:00:00"/>
    <n v="14"/>
    <x v="3"/>
    <s v="Migraine"/>
    <x v="6"/>
    <s v="Counseling"/>
    <x v="2"/>
    <s v="Dr. Shalini Nair"/>
    <n v="87"/>
    <s v="ICU"/>
    <x v="0"/>
    <n v="59338"/>
    <n v="32513"/>
    <n v="26825"/>
    <n v="41396"/>
    <n v="9811"/>
    <n v="5433"/>
    <s v="Yes"/>
    <n v="67"/>
    <n v="2.8"/>
    <x v="1"/>
  </r>
  <r>
    <x v="107"/>
    <s v="Meera Singh"/>
    <n v="51"/>
    <x v="0"/>
    <s v="B-"/>
    <s v="Ahmedabad"/>
    <d v="2023-02-05T00:00:00"/>
    <d v="2023-02-20T00:00:00"/>
    <n v="15"/>
    <x v="0"/>
    <s v="Appendicitis"/>
    <x v="0"/>
    <s v="Dialysis"/>
    <x v="1"/>
    <s v="Dr. Vivek Kumar"/>
    <n v="431"/>
    <s v="ICU"/>
    <x v="4"/>
    <n v="141539"/>
    <n v="0"/>
    <n v="141539"/>
    <n v="120401"/>
    <n v="11968"/>
    <n v="7555"/>
    <s v="No"/>
    <n v="78"/>
    <n v="4.8"/>
    <x v="2"/>
  </r>
  <r>
    <x v="108"/>
    <s v="Meera Verma"/>
    <n v="27"/>
    <x v="0"/>
    <s v="O-"/>
    <s v="Hyderabad"/>
    <d v="2024-10-02T00:00:00"/>
    <d v="2024-10-21T00:00:00"/>
    <n v="19"/>
    <x v="2"/>
    <s v="Cancer"/>
    <x v="3"/>
    <s v="Observation"/>
    <x v="3"/>
    <s v="Dr. Vivek Kumar"/>
    <n v="59"/>
    <s v="Semi-Private"/>
    <x v="1"/>
    <n v="167317"/>
    <n v="114763"/>
    <n v="52554"/>
    <n v="148033"/>
    <n v="6895"/>
    <n v="11669"/>
    <s v="No"/>
    <n v="85"/>
    <n v="2.6"/>
    <x v="1"/>
  </r>
  <r>
    <x v="109"/>
    <s v="Ashok Singh"/>
    <n v="57"/>
    <x v="0"/>
    <s v="B+"/>
    <s v="Hyderabad"/>
    <d v="2023-05-11T00:00:00"/>
    <d v="2023-05-20T00:00:00"/>
    <n v="9"/>
    <x v="5"/>
    <s v="Pneumonia"/>
    <x v="8"/>
    <s v="Observation"/>
    <x v="1"/>
    <s v="Dr. Anjali Rao"/>
    <n v="246"/>
    <s v="ICU"/>
    <x v="1"/>
    <n v="183059"/>
    <n v="103079"/>
    <n v="79980"/>
    <n v="137805"/>
    <n v="29496"/>
    <n v="11832"/>
    <s v="No"/>
    <n v="63"/>
    <n v="4.0999999999999996"/>
    <x v="0"/>
  </r>
  <r>
    <x v="110"/>
    <s v="Divya Singh"/>
    <n v="18"/>
    <x v="1"/>
    <s v="O-"/>
    <s v="Bangalore"/>
    <d v="2022-04-01T00:00:00"/>
    <d v="2022-04-20T00:00:00"/>
    <n v="19"/>
    <x v="3"/>
    <s v="Migraine"/>
    <x v="6"/>
    <s v="Observation"/>
    <x v="1"/>
    <s v="Dr. Arun Patel"/>
    <n v="133"/>
    <s v="Semi-Private"/>
    <x v="1"/>
    <n v="172604"/>
    <n v="92125"/>
    <n v="80479"/>
    <n v="140999"/>
    <n v="19284"/>
    <n v="10011"/>
    <s v="No"/>
    <n v="89"/>
    <n v="4"/>
    <x v="0"/>
  </r>
  <r>
    <x v="111"/>
    <s v="Vikram Shah"/>
    <n v="8"/>
    <x v="0"/>
    <s v="A-"/>
    <s v="Hyderabad"/>
    <d v="2024-05-01T00:00:00"/>
    <d v="2024-05-31T00:00:00"/>
    <n v="30"/>
    <x v="6"/>
    <s v="Fracture"/>
    <x v="10"/>
    <s v="Physiotherapy"/>
    <x v="3"/>
    <s v="Dr. Rakesh Kumar"/>
    <n v="234"/>
    <s v="Semi-Private"/>
    <x v="1"/>
    <n v="153609"/>
    <n v="81635"/>
    <n v="71974"/>
    <n v="131596"/>
    <n v="12413"/>
    <n v="8301"/>
    <s v="No"/>
    <n v="60"/>
    <n v="2.2000000000000002"/>
    <x v="3"/>
  </r>
  <r>
    <x v="112"/>
    <s v="Lata Kumar"/>
    <n v="7"/>
    <x v="0"/>
    <s v="A-"/>
    <s v="Bangalore"/>
    <d v="2023-05-15T00:00:00"/>
    <d v="2023-06-01T00:00:00"/>
    <n v="17"/>
    <x v="4"/>
    <s v="Heart Attack"/>
    <x v="7"/>
    <s v="Physiotherapy"/>
    <x v="3"/>
    <s v="Dr. Deepak Joshi"/>
    <n v="491"/>
    <s v="ICU"/>
    <x v="0"/>
    <n v="138363"/>
    <n v="81931"/>
    <n v="56432"/>
    <n v="111180"/>
    <n v="21635"/>
    <n v="3522"/>
    <s v="No"/>
    <n v="41"/>
    <n v="4.2"/>
    <x v="2"/>
  </r>
  <r>
    <x v="113"/>
    <s v="Sunil Iyer"/>
    <n v="59"/>
    <x v="0"/>
    <s v="A+"/>
    <s v="Chennai"/>
    <d v="2023-02-26T00:00:00"/>
    <d v="2023-03-07T00:00:00"/>
    <n v="9"/>
    <x v="6"/>
    <s v="Fracture"/>
    <x v="10"/>
    <s v="Surgery"/>
    <x v="2"/>
    <s v="Dr. Nisha Kumar"/>
    <n v="101"/>
    <s v="ICU"/>
    <x v="2"/>
    <n v="115893"/>
    <n v="87883"/>
    <n v="28010"/>
    <n v="73774"/>
    <n v="22977"/>
    <n v="14633"/>
    <s v="No"/>
    <n v="78"/>
    <n v="3.2"/>
    <x v="4"/>
  </r>
  <r>
    <x v="114"/>
    <s v="Sanjay Kumar"/>
    <n v="49"/>
    <x v="0"/>
    <s v="AB-"/>
    <s v="Lucknow"/>
    <d v="2022-12-20T00:00:00"/>
    <d v="2023-01-16T00:00:00"/>
    <n v="27"/>
    <x v="1"/>
    <s v="UTI"/>
    <x v="2"/>
    <s v="Dietary Management"/>
    <x v="1"/>
    <s v="Dr. Sameer Kumar"/>
    <n v="61"/>
    <s v="Semi-Private"/>
    <x v="4"/>
    <n v="50929"/>
    <n v="0"/>
    <n v="50929"/>
    <n v="35657"/>
    <n v="6998"/>
    <n v="6616"/>
    <s v="No"/>
    <n v="66"/>
    <n v="3.8"/>
    <x v="0"/>
  </r>
  <r>
    <x v="115"/>
    <s v="Karan Khanna"/>
    <n v="28"/>
    <x v="0"/>
    <s v="B+"/>
    <s v="Jaipur"/>
    <d v="2022-12-08T00:00:00"/>
    <d v="2022-12-24T00:00:00"/>
    <n v="16"/>
    <x v="1"/>
    <s v="UTI"/>
    <x v="2"/>
    <s v="Physiotherapy"/>
    <x v="3"/>
    <s v="Dr. Anjali Rao"/>
    <n v="28"/>
    <s v="Private"/>
    <x v="2"/>
    <n v="144851"/>
    <n v="128794"/>
    <n v="16057"/>
    <n v="132037"/>
    <n v="5473"/>
    <n v="3696"/>
    <s v="No"/>
    <n v="71"/>
    <n v="3.2"/>
    <x v="4"/>
  </r>
  <r>
    <x v="116"/>
    <s v="Pooja Malhotra"/>
    <n v="67"/>
    <x v="1"/>
    <s v="A-"/>
    <s v="Lucknow"/>
    <d v="2022-03-05T00:00:00"/>
    <d v="2022-03-31T00:00:00"/>
    <n v="26"/>
    <x v="2"/>
    <s v="Cancer"/>
    <x v="3"/>
    <s v="Medication"/>
    <x v="3"/>
    <s v="Dr. Kavita Nair"/>
    <n v="148"/>
    <s v="Semi-Private"/>
    <x v="3"/>
    <n v="164152"/>
    <n v="126695"/>
    <n v="37457"/>
    <n v="134843"/>
    <n v="19013"/>
    <n v="8869"/>
    <s v="No"/>
    <n v="74"/>
    <n v="4.5"/>
    <x v="1"/>
  </r>
  <r>
    <x v="117"/>
    <s v="Ritu Patel"/>
    <n v="61"/>
    <x v="1"/>
    <s v="AB+"/>
    <s v="Delhi"/>
    <d v="2023-05-22T00:00:00"/>
    <d v="2023-06-01T00:00:00"/>
    <n v="10"/>
    <x v="0"/>
    <s v="Diabetes Type 2"/>
    <x v="9"/>
    <s v="Dialysis"/>
    <x v="3"/>
    <s v="Dr. Prerna Gupta"/>
    <n v="444"/>
    <s v="General Ward"/>
    <x v="0"/>
    <n v="103540"/>
    <n v="68162"/>
    <n v="35378"/>
    <n v="60018"/>
    <n v="27565"/>
    <n v="12585"/>
    <s v="No"/>
    <n v="67"/>
    <n v="2.5"/>
    <x v="2"/>
  </r>
  <r>
    <x v="118"/>
    <s v="Lata Mehta"/>
    <n v="31"/>
    <x v="1"/>
    <s v="O-"/>
    <s v="Jaipur"/>
    <d v="2023-07-30T00:00:00"/>
    <d v="2023-08-19T00:00:00"/>
    <n v="20"/>
    <x v="0"/>
    <s v="Depression"/>
    <x v="5"/>
    <s v="ICU Care"/>
    <x v="3"/>
    <s v="Dr. Rakesh Rao"/>
    <n v="137"/>
    <s v="General Ward"/>
    <x v="0"/>
    <n v="122421"/>
    <n v="74729"/>
    <n v="47692"/>
    <n v="112897"/>
    <n v="2942"/>
    <n v="5043"/>
    <s v="Yes"/>
    <n v="49"/>
    <n v="4.0999999999999996"/>
    <x v="2"/>
  </r>
  <r>
    <x v="119"/>
    <s v="Vijay Chopra"/>
    <n v="67"/>
    <x v="1"/>
    <s v="O+"/>
    <s v="Kolkata"/>
    <d v="2024-02-08T00:00:00"/>
    <d v="2024-02-23T00:00:00"/>
    <n v="15"/>
    <x v="6"/>
    <s v="Fracture"/>
    <x v="10"/>
    <s v="Observation"/>
    <x v="3"/>
    <s v="Dr. Nisha Gupta"/>
    <n v="487"/>
    <s v="ICU"/>
    <x v="4"/>
    <n v="49566"/>
    <n v="0"/>
    <n v="49566"/>
    <n v="5648"/>
    <n v="29472"/>
    <n v="13183"/>
    <s v="No"/>
    <n v="69"/>
    <n v="3.9"/>
    <x v="1"/>
  </r>
  <r>
    <x v="120"/>
    <s v="Rekha Singh"/>
    <n v="73"/>
    <x v="0"/>
    <s v="B-"/>
    <s v="Kolkata"/>
    <d v="2023-03-10T00:00:00"/>
    <d v="2023-03-26T00:00:00"/>
    <n v="16"/>
    <x v="5"/>
    <s v="Asthma"/>
    <x v="8"/>
    <s v="Dialysis"/>
    <x v="3"/>
    <s v="Dr. Deepak Rao"/>
    <n v="67"/>
    <s v="ICU"/>
    <x v="4"/>
    <n v="26590"/>
    <n v="0"/>
    <n v="26590"/>
    <n v="17690"/>
    <n v="2505"/>
    <n v="2131"/>
    <s v="Yes"/>
    <n v="99"/>
    <n v="4.5999999999999996"/>
    <x v="4"/>
  </r>
  <r>
    <x v="121"/>
    <s v="Sunil Sharma"/>
    <n v="59"/>
    <x v="1"/>
    <s v="B+"/>
    <s v="Hyderabad"/>
    <d v="2022-11-22T00:00:00"/>
    <d v="2022-12-20T00:00:00"/>
    <n v="28"/>
    <x v="5"/>
    <s v="Asthma"/>
    <x v="8"/>
    <s v="ICU Care"/>
    <x v="3"/>
    <s v="Dr. Prerna Kumar"/>
    <n v="341"/>
    <s v="Semi-Private"/>
    <x v="2"/>
    <n v="138320"/>
    <n v="100803"/>
    <n v="37517"/>
    <n v="108898"/>
    <n v="21499"/>
    <n v="5505"/>
    <s v="Yes"/>
    <n v="46"/>
    <n v="2"/>
    <x v="4"/>
  </r>
  <r>
    <x v="122"/>
    <s v="Rahul Gupta"/>
    <n v="80"/>
    <x v="1"/>
    <s v="AB-"/>
    <s v="Mumbai"/>
    <d v="2022-01-17T00:00:00"/>
    <d v="2022-02-09T00:00:00"/>
    <n v="23"/>
    <x v="0"/>
    <s v="Dengue"/>
    <x v="1"/>
    <s v="Observation"/>
    <x v="2"/>
    <s v="Dr. Anjali Patel"/>
    <n v="118"/>
    <s v="ICU"/>
    <x v="2"/>
    <n v="45375"/>
    <n v="39217"/>
    <n v="6158"/>
    <n v="31850"/>
    <n v="4381"/>
    <n v="5633"/>
    <s v="Yes"/>
    <n v="89"/>
    <n v="4.4000000000000004"/>
    <x v="2"/>
  </r>
  <r>
    <x v="123"/>
    <s v="Rajesh Gupta"/>
    <n v="13"/>
    <x v="1"/>
    <s v="B+"/>
    <s v="Ahmedabad"/>
    <d v="2023-12-21T00:00:00"/>
    <d v="2024-01-14T00:00:00"/>
    <n v="24"/>
    <x v="3"/>
    <s v="Stroke"/>
    <x v="6"/>
    <s v="Observation"/>
    <x v="0"/>
    <s v="Dr. Kavita Patel"/>
    <n v="460"/>
    <s v="General Ward"/>
    <x v="0"/>
    <n v="73708"/>
    <n v="37256"/>
    <n v="36452"/>
    <n v="37284"/>
    <n v="20319"/>
    <n v="12460"/>
    <s v="No"/>
    <n v="90"/>
    <n v="2.4"/>
    <x v="1"/>
  </r>
  <r>
    <x v="124"/>
    <s v="Rajesh Singh"/>
    <n v="36"/>
    <x v="0"/>
    <s v="A+"/>
    <s v="Hyderabad"/>
    <d v="2023-02-25T00:00:00"/>
    <d v="2023-03-14T00:00:00"/>
    <n v="17"/>
    <x v="0"/>
    <s v="Liver Disease"/>
    <x v="0"/>
    <s v="Chemotherapy"/>
    <x v="0"/>
    <s v="Dr. Rakesh Sharma"/>
    <n v="402"/>
    <s v="Semi-Private"/>
    <x v="3"/>
    <n v="119892"/>
    <n v="94885"/>
    <n v="25007"/>
    <n v="106157"/>
    <n v="4694"/>
    <n v="4449"/>
    <s v="Yes"/>
    <n v="96"/>
    <n v="4.9000000000000004"/>
    <x v="1"/>
  </r>
  <r>
    <x v="125"/>
    <s v="Sonia Verma"/>
    <n v="21"/>
    <x v="0"/>
    <s v="AB+"/>
    <s v="Pune"/>
    <d v="2022-12-20T00:00:00"/>
    <d v="2023-01-14T00:00:00"/>
    <n v="25"/>
    <x v="0"/>
    <s v="Typhoid"/>
    <x v="1"/>
    <s v="Medication"/>
    <x v="1"/>
    <s v="Dr. Arun Singh"/>
    <n v="111"/>
    <s v="General Ward"/>
    <x v="2"/>
    <n v="136723"/>
    <n v="113498"/>
    <n v="23225"/>
    <n v="109326"/>
    <n v="17600"/>
    <n v="5193"/>
    <s v="No"/>
    <n v="65"/>
    <n v="2.2000000000000002"/>
    <x v="0"/>
  </r>
  <r>
    <x v="126"/>
    <s v="Ritu Menon"/>
    <n v="24"/>
    <x v="0"/>
    <s v="A-"/>
    <s v="Hyderabad"/>
    <d v="2022-06-11T00:00:00"/>
    <d v="2022-06-28T00:00:00"/>
    <n v="17"/>
    <x v="3"/>
    <s v="Stroke"/>
    <x v="6"/>
    <s v="Counseling"/>
    <x v="3"/>
    <s v="Dr. Vivek Rao"/>
    <n v="325"/>
    <s v="General Ward"/>
    <x v="4"/>
    <n v="161425"/>
    <n v="0"/>
    <n v="161425"/>
    <n v="119684"/>
    <n v="24919"/>
    <n v="14368"/>
    <s v="Yes"/>
    <n v="45"/>
    <n v="4.8"/>
    <x v="3"/>
  </r>
  <r>
    <x v="127"/>
    <s v="Sunil Menon"/>
    <n v="82"/>
    <x v="1"/>
    <s v="O+"/>
    <s v="Bangalore"/>
    <d v="2022-09-02T00:00:00"/>
    <d v="2022-09-03T00:00:00"/>
    <n v="1"/>
    <x v="5"/>
    <s v="Pneumonia"/>
    <x v="8"/>
    <s v="Physiotherapy"/>
    <x v="0"/>
    <s v="Dr. Nisha Nair"/>
    <n v="265"/>
    <s v="Private"/>
    <x v="0"/>
    <n v="123127"/>
    <n v="76324"/>
    <n v="46803"/>
    <n v="102483"/>
    <n v="5159"/>
    <n v="12784"/>
    <s v="Yes"/>
    <n v="97"/>
    <n v="2.1"/>
    <x v="4"/>
  </r>
  <r>
    <x v="128"/>
    <s v="Rohan Das"/>
    <n v="13"/>
    <x v="0"/>
    <s v="A-"/>
    <s v="Ahmedabad"/>
    <d v="2024-07-21T00:00:00"/>
    <d v="2024-08-07T00:00:00"/>
    <n v="17"/>
    <x v="1"/>
    <s v="Kidney Stone"/>
    <x v="2"/>
    <s v="Radiation Therapy"/>
    <x v="2"/>
    <s v="Dr. Nisha Mehta"/>
    <n v="131"/>
    <s v="General Ward"/>
    <x v="1"/>
    <n v="61022"/>
    <n v="24456"/>
    <n v="36566"/>
    <n v="35234"/>
    <n v="8484"/>
    <n v="12636"/>
    <s v="No"/>
    <n v="40"/>
    <n v="2.7"/>
    <x v="4"/>
  </r>
  <r>
    <x v="129"/>
    <s v="Nisha Chopra"/>
    <n v="24"/>
    <x v="1"/>
    <s v="A+"/>
    <s v="Jaipur"/>
    <d v="2024-05-08T00:00:00"/>
    <d v="2024-05-16T00:00:00"/>
    <n v="8"/>
    <x v="0"/>
    <s v="Dengue"/>
    <x v="1"/>
    <s v="Observation"/>
    <x v="3"/>
    <s v="Dr. Rakesh Patel"/>
    <n v="293"/>
    <s v="Private"/>
    <x v="2"/>
    <n v="163001"/>
    <n v="108714"/>
    <n v="54287"/>
    <n v="136607"/>
    <n v="23063"/>
    <n v="1362"/>
    <s v="No"/>
    <n v="42"/>
    <n v="4.9000000000000004"/>
    <x v="3"/>
  </r>
  <r>
    <x v="130"/>
    <s v="Mukesh Malhotra"/>
    <n v="41"/>
    <x v="0"/>
    <s v="O-"/>
    <s v="Delhi"/>
    <d v="2024-07-24T00:00:00"/>
    <d v="2024-07-25T00:00:00"/>
    <n v="1"/>
    <x v="1"/>
    <s v="Kidney Stone"/>
    <x v="2"/>
    <s v="Dialysis"/>
    <x v="3"/>
    <s v="Dr. Shalini Reddy"/>
    <n v="238"/>
    <s v="Private"/>
    <x v="1"/>
    <n v="175959"/>
    <n v="109049"/>
    <n v="66910"/>
    <n v="134331"/>
    <n v="26316"/>
    <n v="13212"/>
    <s v="No"/>
    <n v="90"/>
    <n v="2.7"/>
    <x v="3"/>
  </r>
  <r>
    <x v="131"/>
    <s v="Sonia Khanna"/>
    <n v="8"/>
    <x v="1"/>
    <s v="O-"/>
    <s v="Mumbai"/>
    <d v="2023-11-18T00:00:00"/>
    <d v="2023-11-19T00:00:00"/>
    <n v="1"/>
    <x v="3"/>
    <s v="Migraine"/>
    <x v="6"/>
    <s v="Surgery"/>
    <x v="2"/>
    <s v="Dr. Deepak Reddy"/>
    <n v="215"/>
    <s v="ICU"/>
    <x v="2"/>
    <n v="72987"/>
    <n v="44753"/>
    <n v="28234"/>
    <n v="42322"/>
    <n v="24319"/>
    <n v="5084"/>
    <s v="No"/>
    <n v="94"/>
    <n v="3.6"/>
    <x v="1"/>
  </r>
  <r>
    <x v="132"/>
    <s v="Sunil Singh"/>
    <n v="79"/>
    <x v="1"/>
    <s v="B+"/>
    <s v="Kolkata"/>
    <d v="2022-06-03T00:00:00"/>
    <d v="2022-06-22T00:00:00"/>
    <n v="19"/>
    <x v="0"/>
    <s v="Obesity"/>
    <x v="12"/>
    <s v="Observation"/>
    <x v="2"/>
    <s v="Dr. Kavita Singh"/>
    <n v="134"/>
    <s v="Private"/>
    <x v="3"/>
    <n v="112590"/>
    <n v="75445"/>
    <n v="37145"/>
    <n v="90524"/>
    <n v="11422"/>
    <n v="7917"/>
    <s v="No"/>
    <n v="48"/>
    <n v="4.3"/>
    <x v="0"/>
  </r>
  <r>
    <x v="133"/>
    <s v="Sneha Gupta"/>
    <n v="18"/>
    <x v="1"/>
    <s v="AB-"/>
    <s v="Ahmedabad"/>
    <d v="2023-10-06T00:00:00"/>
    <d v="2023-10-20T00:00:00"/>
    <n v="14"/>
    <x v="0"/>
    <s v="Appendicitis"/>
    <x v="0"/>
    <s v="ICU Care"/>
    <x v="2"/>
    <s v="Dr. Anjali Singh"/>
    <n v="238"/>
    <s v="Private"/>
    <x v="2"/>
    <n v="51590"/>
    <n v="43744"/>
    <n v="7846"/>
    <n v="28703"/>
    <n v="6164"/>
    <n v="13731"/>
    <s v="No"/>
    <n v="42"/>
    <n v="2.6"/>
    <x v="1"/>
  </r>
  <r>
    <x v="134"/>
    <s v="Vikram Singh"/>
    <n v="36"/>
    <x v="0"/>
    <s v="AB+"/>
    <s v="Jaipur"/>
    <d v="2022-04-11T00:00:00"/>
    <d v="2022-05-03T00:00:00"/>
    <n v="22"/>
    <x v="1"/>
    <s v="UTI"/>
    <x v="2"/>
    <s v="Physiotherapy"/>
    <x v="1"/>
    <s v="Dr. Vivek Gupta"/>
    <n v="285"/>
    <s v="Semi-Private"/>
    <x v="2"/>
    <n v="145776"/>
    <n v="92777"/>
    <n v="52999"/>
    <n v="126121"/>
    <n v="4339"/>
    <n v="13671"/>
    <s v="Yes"/>
    <n v="89"/>
    <n v="4.9000000000000004"/>
    <x v="2"/>
  </r>
  <r>
    <x v="135"/>
    <s v="Suresh Chopra"/>
    <n v="52"/>
    <x v="1"/>
    <s v="O+"/>
    <s v="Delhi"/>
    <d v="2022-02-14T00:00:00"/>
    <d v="2022-02-17T00:00:00"/>
    <n v="3"/>
    <x v="3"/>
    <s v="Stroke"/>
    <x v="6"/>
    <s v="Physiotherapy"/>
    <x v="1"/>
    <s v="Dr. Nisha Patel"/>
    <n v="22"/>
    <s v="ICU"/>
    <x v="2"/>
    <n v="80173"/>
    <n v="60037"/>
    <n v="20136"/>
    <n v="49037"/>
    <n v="19805"/>
    <n v="7596"/>
    <s v="No"/>
    <n v="67"/>
    <n v="2.5"/>
    <x v="2"/>
  </r>
  <r>
    <x v="136"/>
    <s v="Sonia Joshi"/>
    <n v="40"/>
    <x v="0"/>
    <s v="AB-"/>
    <s v="Bangalore"/>
    <d v="2022-03-12T00:00:00"/>
    <d v="2022-04-01T00:00:00"/>
    <n v="20"/>
    <x v="0"/>
    <s v="Liver Disease"/>
    <x v="0"/>
    <s v="Chemotherapy"/>
    <x v="3"/>
    <s v="Dr. Anjali Joshi"/>
    <n v="452"/>
    <s v="ICU"/>
    <x v="2"/>
    <n v="46561"/>
    <n v="33793"/>
    <n v="12768"/>
    <n v="27995"/>
    <n v="10167"/>
    <n v="6775"/>
    <s v="No"/>
    <n v="91"/>
    <n v="3.6"/>
    <x v="0"/>
  </r>
  <r>
    <x v="137"/>
    <s v="Lata Sharma"/>
    <n v="53"/>
    <x v="0"/>
    <s v="AB-"/>
    <s v="Jaipur"/>
    <d v="2024-09-19T00:00:00"/>
    <d v="2024-10-01T00:00:00"/>
    <n v="12"/>
    <x v="0"/>
    <s v="Obesity"/>
    <x v="12"/>
    <s v="ICU Care"/>
    <x v="0"/>
    <s v="Dr. Rakesh Mehta"/>
    <n v="14"/>
    <s v="Private"/>
    <x v="1"/>
    <n v="80957"/>
    <n v="33806"/>
    <n v="47151"/>
    <n v="62414"/>
    <n v="1960"/>
    <n v="13782"/>
    <s v="No"/>
    <n v="73"/>
    <n v="3.1"/>
    <x v="0"/>
  </r>
  <r>
    <x v="138"/>
    <s v="Kavya Joshi"/>
    <n v="17"/>
    <x v="1"/>
    <s v="B-"/>
    <s v="Hyderabad"/>
    <d v="2024-12-28T00:00:00"/>
    <d v="2024-12-31T00:00:00"/>
    <n v="3"/>
    <x v="0"/>
    <s v="Diabetes Type 2"/>
    <x v="9"/>
    <s v="Dietary Management"/>
    <x v="0"/>
    <s v="Dr. Nisha Mehta"/>
    <n v="91"/>
    <s v="Semi-Private"/>
    <x v="1"/>
    <n v="131811"/>
    <n v="88866"/>
    <n v="42945"/>
    <n v="88362"/>
    <n v="27417"/>
    <n v="12593"/>
    <s v="Yes"/>
    <n v="84"/>
    <n v="3.1"/>
    <x v="0"/>
  </r>
  <r>
    <x v="139"/>
    <s v="Sanjay Gupta"/>
    <n v="77"/>
    <x v="1"/>
    <s v="AB-"/>
    <s v="Jaipur"/>
    <d v="2023-09-25T00:00:00"/>
    <d v="2023-10-01T00:00:00"/>
    <n v="6"/>
    <x v="0"/>
    <s v="Typhoid"/>
    <x v="1"/>
    <s v="Surgery"/>
    <x v="1"/>
    <s v="Dr. Kavita Rao"/>
    <n v="113"/>
    <s v="General Ward"/>
    <x v="1"/>
    <n v="139408"/>
    <n v="89491"/>
    <n v="49917"/>
    <n v="130301"/>
    <n v="1022"/>
    <n v="5935"/>
    <s v="No"/>
    <n v="51"/>
    <n v="4.8"/>
    <x v="1"/>
  </r>
  <r>
    <x v="140"/>
    <s v="Priya Sharma"/>
    <n v="23"/>
    <x v="1"/>
    <s v="A-"/>
    <s v="Jaipur"/>
    <d v="2024-01-18T00:00:00"/>
    <d v="2024-01-21T00:00:00"/>
    <n v="3"/>
    <x v="1"/>
    <s v="Kidney Stone"/>
    <x v="2"/>
    <s v="Dietary Management"/>
    <x v="1"/>
    <s v="Dr. Nisha Singh"/>
    <n v="166"/>
    <s v="Semi-Private"/>
    <x v="0"/>
    <n v="161933"/>
    <n v="96310"/>
    <n v="65623"/>
    <n v="119522"/>
    <n v="26947"/>
    <n v="10973"/>
    <s v="No"/>
    <n v="75"/>
    <n v="4.0999999999999996"/>
    <x v="0"/>
  </r>
  <r>
    <x v="141"/>
    <s v="Lata Shah"/>
    <n v="33"/>
    <x v="1"/>
    <s v="AB+"/>
    <s v="Hyderabad"/>
    <d v="2023-08-27T00:00:00"/>
    <d v="2023-09-01T00:00:00"/>
    <n v="5"/>
    <x v="4"/>
    <s v="Heart Attack"/>
    <x v="7"/>
    <s v="Dietary Management"/>
    <x v="0"/>
    <s v="Dr. Shalini Sharma"/>
    <n v="94"/>
    <s v="Private"/>
    <x v="1"/>
    <n v="95982"/>
    <n v="65364"/>
    <n v="30618"/>
    <n v="62906"/>
    <n v="21959"/>
    <n v="9765"/>
    <s v="Yes"/>
    <n v="87"/>
    <n v="2.2000000000000002"/>
    <x v="1"/>
  </r>
  <r>
    <x v="142"/>
    <s v="Amit Joshi"/>
    <n v="16"/>
    <x v="0"/>
    <s v="AB-"/>
    <s v="Mumbai"/>
    <d v="2023-06-28T00:00:00"/>
    <d v="2023-07-05T00:00:00"/>
    <n v="7"/>
    <x v="2"/>
    <s v="Cancer"/>
    <x v="3"/>
    <s v="ICU Care"/>
    <x v="3"/>
    <s v="Dr. Prerna Sharma"/>
    <n v="25"/>
    <s v="ICU"/>
    <x v="3"/>
    <n v="140342"/>
    <n v="104965"/>
    <n v="35377"/>
    <n v="115009"/>
    <n v="6450"/>
    <n v="14992"/>
    <s v="No"/>
    <n v="74"/>
    <n v="3.1"/>
    <x v="4"/>
  </r>
  <r>
    <x v="143"/>
    <s v="Lata Iyer"/>
    <n v="33"/>
    <x v="1"/>
    <s v="AB-"/>
    <s v="Delhi"/>
    <d v="2022-03-10T00:00:00"/>
    <d v="2022-03-20T00:00:00"/>
    <n v="10"/>
    <x v="4"/>
    <s v="Hypertension"/>
    <x v="7"/>
    <s v="Dialysis"/>
    <x v="1"/>
    <s v="Dr. Prerna Kumar"/>
    <n v="88"/>
    <s v="ICU"/>
    <x v="0"/>
    <n v="48879"/>
    <n v="28262"/>
    <n v="20617"/>
    <n v="24661"/>
    <n v="18925"/>
    <n v="2025"/>
    <s v="No"/>
    <n v="70"/>
    <n v="4.0999999999999996"/>
    <x v="4"/>
  </r>
  <r>
    <x v="144"/>
    <s v="Rajesh Joshi"/>
    <n v="82"/>
    <x v="0"/>
    <s v="B+"/>
    <s v="Mumbai"/>
    <d v="2022-07-27T00:00:00"/>
    <d v="2022-08-07T00:00:00"/>
    <n v="11"/>
    <x v="3"/>
    <s v="Stroke"/>
    <x v="6"/>
    <s v="Observation"/>
    <x v="3"/>
    <s v="Dr. Rakesh Singh"/>
    <n v="122"/>
    <s v="General Ward"/>
    <x v="2"/>
    <n v="141757"/>
    <n v="91586"/>
    <n v="50171"/>
    <n v="107996"/>
    <n v="19735"/>
    <n v="9505"/>
    <s v="No"/>
    <n v="67"/>
    <n v="2.2999999999999998"/>
    <x v="0"/>
  </r>
  <r>
    <x v="145"/>
    <s v="Meera Mehta"/>
    <n v="17"/>
    <x v="1"/>
    <s v="B-"/>
    <s v="Bangalore"/>
    <d v="2023-08-21T00:00:00"/>
    <d v="2023-08-24T00:00:00"/>
    <n v="3"/>
    <x v="0"/>
    <s v="Typhoid"/>
    <x v="1"/>
    <s v="Dialysis"/>
    <x v="0"/>
    <s v="Dr. Anjali Gupta"/>
    <n v="459"/>
    <s v="Private"/>
    <x v="2"/>
    <n v="168405"/>
    <n v="145779"/>
    <n v="22626"/>
    <n v="147639"/>
    <n v="13698"/>
    <n v="3529"/>
    <s v="No"/>
    <n v="68"/>
    <n v="2.1"/>
    <x v="4"/>
  </r>
  <r>
    <x v="146"/>
    <s v="Sunil Nair"/>
    <n v="33"/>
    <x v="0"/>
    <s v="A+"/>
    <s v="Bangalore"/>
    <d v="2022-07-18T00:00:00"/>
    <d v="2022-07-21T00:00:00"/>
    <n v="3"/>
    <x v="1"/>
    <s v="Kidney Stone"/>
    <x v="2"/>
    <s v="Observation"/>
    <x v="2"/>
    <s v="Dr. Deepak Sharma"/>
    <n v="431"/>
    <s v="ICU"/>
    <x v="1"/>
    <n v="149433"/>
    <n v="85448"/>
    <n v="63985"/>
    <n v="114741"/>
    <n v="18547"/>
    <n v="11756"/>
    <s v="No"/>
    <n v="59"/>
    <n v="2.2000000000000002"/>
    <x v="3"/>
  </r>
  <r>
    <x v="147"/>
    <s v="Arjun Iyer"/>
    <n v="71"/>
    <x v="1"/>
    <s v="A-"/>
    <s v="Ahmedabad"/>
    <d v="2022-12-21T00:00:00"/>
    <d v="2022-12-27T00:00:00"/>
    <n v="6"/>
    <x v="3"/>
    <s v="Stroke"/>
    <x v="6"/>
    <s v="Physiotherapy"/>
    <x v="1"/>
    <s v="Dr. Vivek Patel"/>
    <n v="350"/>
    <s v="ICU"/>
    <x v="0"/>
    <n v="84958"/>
    <n v="42133"/>
    <n v="42825"/>
    <n v="43765"/>
    <n v="28332"/>
    <n v="10249"/>
    <s v="No"/>
    <n v="91"/>
    <n v="2.2000000000000002"/>
    <x v="4"/>
  </r>
  <r>
    <x v="148"/>
    <s v="Ritu Chopra"/>
    <n v="75"/>
    <x v="0"/>
    <s v="O+"/>
    <s v="Jaipur"/>
    <d v="2024-07-27T00:00:00"/>
    <d v="2024-08-26T00:00:00"/>
    <n v="30"/>
    <x v="4"/>
    <s v="Hypertension"/>
    <x v="7"/>
    <s v="Dietary Management"/>
    <x v="0"/>
    <s v="Dr. Prerna Joshi"/>
    <n v="77"/>
    <s v="Semi-Private"/>
    <x v="1"/>
    <n v="46774"/>
    <n v="29735"/>
    <n v="17039"/>
    <n v="31267"/>
    <n v="4461"/>
    <n v="9719"/>
    <s v="No"/>
    <n v="96"/>
    <n v="3"/>
    <x v="4"/>
  </r>
  <r>
    <x v="149"/>
    <s v="Rohan Chopra"/>
    <n v="67"/>
    <x v="0"/>
    <s v="A+"/>
    <s v="Bangalore"/>
    <d v="2023-07-19T00:00:00"/>
    <d v="2023-08-01T00:00:00"/>
    <n v="13"/>
    <x v="5"/>
    <s v="Pneumonia"/>
    <x v="8"/>
    <s v="Dietary Management"/>
    <x v="0"/>
    <s v="Dr. Arun Joshi"/>
    <n v="456"/>
    <s v="Private"/>
    <x v="0"/>
    <n v="54342"/>
    <n v="36361"/>
    <n v="17981"/>
    <n v="17921"/>
    <n v="25436"/>
    <n v="8285"/>
    <s v="Yes"/>
    <n v="92"/>
    <n v="4.4000000000000004"/>
    <x v="1"/>
  </r>
  <r>
    <x v="150"/>
    <s v="Rohan Bose"/>
    <n v="17"/>
    <x v="1"/>
    <s v="B+"/>
    <s v="Hyderabad"/>
    <d v="2024-06-26T00:00:00"/>
    <d v="2024-07-21T00:00:00"/>
    <n v="25"/>
    <x v="0"/>
    <s v="Dengue"/>
    <x v="1"/>
    <s v="Observation"/>
    <x v="1"/>
    <s v="Dr. Kavita Gupta"/>
    <n v="109"/>
    <s v="ICU"/>
    <x v="3"/>
    <n v="177399"/>
    <n v="133862"/>
    <n v="43537"/>
    <n v="140397"/>
    <n v="29416"/>
    <n v="6626"/>
    <s v="No"/>
    <n v="59"/>
    <n v="4.0999999999999996"/>
    <x v="4"/>
  </r>
  <r>
    <x v="151"/>
    <s v="Vikram Das"/>
    <n v="77"/>
    <x v="1"/>
    <s v="B+"/>
    <s v="Chennai"/>
    <d v="2023-02-16T00:00:00"/>
    <d v="2023-03-15T00:00:00"/>
    <n v="27"/>
    <x v="0"/>
    <s v="Diabetes Type 2"/>
    <x v="9"/>
    <s v="Medication"/>
    <x v="0"/>
    <s v="Dr. Arun Kumar"/>
    <n v="361"/>
    <s v="Semi-Private"/>
    <x v="4"/>
    <n v="142287"/>
    <n v="0"/>
    <n v="142287"/>
    <n v="101561"/>
    <n v="27984"/>
    <n v="8105"/>
    <s v="No"/>
    <n v="99"/>
    <n v="2.4"/>
    <x v="3"/>
  </r>
  <r>
    <x v="152"/>
    <s v="Kavya Shah"/>
    <n v="67"/>
    <x v="0"/>
    <s v="B+"/>
    <s v="Ahmedabad"/>
    <d v="2023-12-18T00:00:00"/>
    <d v="2023-12-30T00:00:00"/>
    <n v="12"/>
    <x v="4"/>
    <s v="Heart Attack"/>
    <x v="7"/>
    <s v="Surgery"/>
    <x v="3"/>
    <s v="Dr. Arun Joshi"/>
    <n v="26"/>
    <s v="Semi-Private"/>
    <x v="1"/>
    <n v="96737"/>
    <n v="58362"/>
    <n v="38375"/>
    <n v="61182"/>
    <n v="29085"/>
    <n v="4126"/>
    <s v="No"/>
    <n v="66"/>
    <n v="3.5"/>
    <x v="3"/>
  </r>
  <r>
    <x v="153"/>
    <s v="Meera Gupta"/>
    <n v="27"/>
    <x v="1"/>
    <s v="B-"/>
    <s v="Hyderabad"/>
    <d v="2023-09-18T00:00:00"/>
    <d v="2023-10-11T00:00:00"/>
    <n v="23"/>
    <x v="5"/>
    <s v="Asthma"/>
    <x v="8"/>
    <s v="Observation"/>
    <x v="3"/>
    <s v="Dr. Anjali Singh"/>
    <n v="112"/>
    <s v="ICU"/>
    <x v="4"/>
    <n v="183963"/>
    <n v="0"/>
    <n v="183963"/>
    <n v="141482"/>
    <n v="28011"/>
    <n v="10717"/>
    <s v="No"/>
    <n v="40"/>
    <n v="3.5"/>
    <x v="1"/>
  </r>
  <r>
    <x v="154"/>
    <s v="Ritu Menon"/>
    <n v="82"/>
    <x v="0"/>
    <s v="O+"/>
    <s v="Delhi"/>
    <d v="2024-09-13T00:00:00"/>
    <d v="2024-09-16T00:00:00"/>
    <n v="3"/>
    <x v="0"/>
    <s v="Dengue"/>
    <x v="1"/>
    <s v="ICU Care"/>
    <x v="3"/>
    <s v="Dr. Rakesh Singh"/>
    <n v="97"/>
    <s v="Semi-Private"/>
    <x v="1"/>
    <n v="88359"/>
    <n v="52853"/>
    <n v="35506"/>
    <n v="67993"/>
    <n v="2860"/>
    <n v="13696"/>
    <s v="No"/>
    <n v="86"/>
    <n v="2.1"/>
    <x v="4"/>
  </r>
  <r>
    <x v="155"/>
    <s v="Deepa Nair"/>
    <n v="58"/>
    <x v="0"/>
    <s v="AB+"/>
    <s v="Mumbai"/>
    <d v="2023-01-24T00:00:00"/>
    <d v="2023-02-04T00:00:00"/>
    <n v="11"/>
    <x v="2"/>
    <s v="Cancer"/>
    <x v="3"/>
    <s v="Radiation Therapy"/>
    <x v="3"/>
    <s v="Dr. Deepak Singh"/>
    <n v="433"/>
    <s v="Semi-Private"/>
    <x v="1"/>
    <n v="69564"/>
    <n v="30496"/>
    <n v="39068"/>
    <n v="52483"/>
    <n v="10626"/>
    <n v="2099"/>
    <s v="No"/>
    <n v="91"/>
    <n v="3.7"/>
    <x v="2"/>
  </r>
  <r>
    <x v="156"/>
    <s v="Sunita Verma"/>
    <n v="16"/>
    <x v="1"/>
    <s v="O-"/>
    <s v="Chennai"/>
    <d v="2023-09-21T00:00:00"/>
    <d v="2023-10-05T00:00:00"/>
    <n v="14"/>
    <x v="0"/>
    <s v="Dengue"/>
    <x v="1"/>
    <s v="Dialysis"/>
    <x v="3"/>
    <s v="Dr. Anjali Patel"/>
    <n v="241"/>
    <s v="General Ward"/>
    <x v="1"/>
    <n v="48427"/>
    <n v="21111"/>
    <n v="27316"/>
    <n v="23668"/>
    <n v="16473"/>
    <n v="3687"/>
    <s v="No"/>
    <n v="73"/>
    <n v="2.9"/>
    <x v="3"/>
  </r>
  <r>
    <x v="157"/>
    <s v="Rekha Gupta"/>
    <n v="22"/>
    <x v="1"/>
    <s v="O-"/>
    <s v="Kolkata"/>
    <d v="2024-07-26T00:00:00"/>
    <d v="2024-07-31T00:00:00"/>
    <n v="5"/>
    <x v="0"/>
    <s v="Dengue"/>
    <x v="1"/>
    <s v="Surgery"/>
    <x v="0"/>
    <s v="Dr. Nisha Mehta"/>
    <n v="161"/>
    <s v="General Ward"/>
    <x v="2"/>
    <n v="139276"/>
    <n v="107644"/>
    <n v="31632"/>
    <n v="123503"/>
    <n v="9962"/>
    <n v="3930"/>
    <s v="No"/>
    <n v="90"/>
    <n v="4.3"/>
    <x v="3"/>
  </r>
  <r>
    <x v="158"/>
    <s v="Vikram Menon"/>
    <n v="60"/>
    <x v="0"/>
    <s v="AB+"/>
    <s v="Kolkata"/>
    <d v="2024-09-04T00:00:00"/>
    <d v="2024-09-17T00:00:00"/>
    <n v="13"/>
    <x v="4"/>
    <s v="Hypertension"/>
    <x v="7"/>
    <s v="Counseling"/>
    <x v="2"/>
    <s v="Dr. Nisha Sharma"/>
    <n v="457"/>
    <s v="Private"/>
    <x v="1"/>
    <n v="68665"/>
    <n v="40375"/>
    <n v="28290"/>
    <n v="54958"/>
    <n v="1587"/>
    <n v="11587"/>
    <s v="No"/>
    <n v="84"/>
    <n v="4.5999999999999996"/>
    <x v="1"/>
  </r>
  <r>
    <x v="159"/>
    <s v="Vikram Kumar"/>
    <n v="54"/>
    <x v="0"/>
    <s v="B+"/>
    <s v="Delhi"/>
    <d v="2022-04-04T00:00:00"/>
    <d v="2022-04-14T00:00:00"/>
    <n v="10"/>
    <x v="1"/>
    <s v="UTI"/>
    <x v="2"/>
    <s v="Counseling"/>
    <x v="3"/>
    <s v="Dr. Vivek Mehta"/>
    <n v="176"/>
    <s v="ICU"/>
    <x v="4"/>
    <n v="78403"/>
    <n v="0"/>
    <n v="78403"/>
    <n v="54394"/>
    <n v="6402"/>
    <n v="13803"/>
    <s v="Yes"/>
    <n v="54"/>
    <n v="4.2"/>
    <x v="2"/>
  </r>
  <r>
    <x v="160"/>
    <s v="Suresh Sharma"/>
    <n v="80"/>
    <x v="1"/>
    <s v="A-"/>
    <s v="Pune"/>
    <d v="2022-03-18T00:00:00"/>
    <d v="2022-03-31T00:00:00"/>
    <n v="13"/>
    <x v="5"/>
    <s v="Asthma"/>
    <x v="8"/>
    <s v="Dietary Management"/>
    <x v="1"/>
    <s v="Dr. Shalini Sharma"/>
    <n v="339"/>
    <s v="General Ward"/>
    <x v="2"/>
    <n v="47556"/>
    <n v="34873"/>
    <n v="12683"/>
    <n v="17644"/>
    <n v="23601"/>
    <n v="2397"/>
    <s v="Yes"/>
    <n v="56"/>
    <n v="3.4"/>
    <x v="2"/>
  </r>
  <r>
    <x v="161"/>
    <s v="Suresh Sharma"/>
    <n v="43"/>
    <x v="0"/>
    <s v="A-"/>
    <s v="Jaipur"/>
    <d v="2023-07-07T00:00:00"/>
    <d v="2023-07-27T00:00:00"/>
    <n v="20"/>
    <x v="0"/>
    <s v="Liver Disease"/>
    <x v="0"/>
    <s v="Observation"/>
    <x v="1"/>
    <s v="Dr. Deepak Rao"/>
    <n v="61"/>
    <s v="Private"/>
    <x v="2"/>
    <n v="56055"/>
    <n v="46716"/>
    <n v="9339"/>
    <n v="32856"/>
    <n v="17309"/>
    <n v="3754"/>
    <s v="No"/>
    <n v="52"/>
    <n v="3.1"/>
    <x v="4"/>
  </r>
  <r>
    <x v="162"/>
    <s v="Deepa Joshi"/>
    <n v="10"/>
    <x v="0"/>
    <s v="B-"/>
    <s v="Ahmedabad"/>
    <d v="2023-11-09T00:00:00"/>
    <d v="2023-11-17T00:00:00"/>
    <n v="8"/>
    <x v="4"/>
    <s v="Hypertension"/>
    <x v="7"/>
    <s v="Surgery"/>
    <x v="1"/>
    <s v="Dr. Shalini Gupta"/>
    <n v="77"/>
    <s v="General Ward"/>
    <x v="1"/>
    <n v="63066"/>
    <n v="42345"/>
    <n v="20721"/>
    <n v="24673"/>
    <n v="24709"/>
    <n v="12355"/>
    <s v="No"/>
    <n v="69"/>
    <n v="5"/>
    <x v="1"/>
  </r>
  <r>
    <x v="163"/>
    <s v="Rohan Malhotra"/>
    <n v="11"/>
    <x v="1"/>
    <s v="B+"/>
    <s v="Mumbai"/>
    <d v="2023-08-19T00:00:00"/>
    <d v="2023-08-31T00:00:00"/>
    <n v="12"/>
    <x v="0"/>
    <s v="Dengue"/>
    <x v="1"/>
    <s v="Surgery"/>
    <x v="1"/>
    <s v="Dr. Arun Sharma"/>
    <n v="437"/>
    <s v="Semi-Private"/>
    <x v="0"/>
    <n v="114239"/>
    <n v="75802"/>
    <n v="38437"/>
    <n v="91156"/>
    <n v="12715"/>
    <n v="7671"/>
    <s v="Yes"/>
    <n v="92"/>
    <n v="3"/>
    <x v="3"/>
  </r>
  <r>
    <x v="164"/>
    <s v="Karan Chopra"/>
    <n v="63"/>
    <x v="0"/>
    <s v="AB+"/>
    <s v="Ahmedabad"/>
    <d v="2024-05-13T00:00:00"/>
    <d v="2024-06-03T00:00:00"/>
    <n v="21"/>
    <x v="4"/>
    <s v="Heart Attack"/>
    <x v="7"/>
    <s v="Physiotherapy"/>
    <x v="1"/>
    <s v="Dr. Sameer Patel"/>
    <n v="214"/>
    <s v="ICU"/>
    <x v="1"/>
    <n v="140925"/>
    <n v="89311"/>
    <n v="51614"/>
    <n v="119861"/>
    <n v="6939"/>
    <n v="10515"/>
    <s v="No"/>
    <n v="95"/>
    <n v="4.0999999999999996"/>
    <x v="2"/>
  </r>
  <r>
    <x v="165"/>
    <s v="Meera Bose"/>
    <n v="19"/>
    <x v="0"/>
    <s v="AB-"/>
    <s v="Mumbai"/>
    <d v="2022-05-10T00:00:00"/>
    <d v="2022-05-19T00:00:00"/>
    <n v="9"/>
    <x v="0"/>
    <s v="Dengue"/>
    <x v="1"/>
    <s v="Counseling"/>
    <x v="2"/>
    <s v="Dr. Nisha Nair"/>
    <n v="268"/>
    <s v="General Ward"/>
    <x v="3"/>
    <n v="96769"/>
    <n v="62377"/>
    <n v="34392"/>
    <n v="70162"/>
    <n v="16791"/>
    <n v="6164"/>
    <s v="No"/>
    <n v="97"/>
    <n v="5"/>
    <x v="3"/>
  </r>
  <r>
    <x v="166"/>
    <s v="Aditya Joshi"/>
    <n v="69"/>
    <x v="0"/>
    <s v="AB-"/>
    <s v="Bangalore"/>
    <d v="2022-06-03T00:00:00"/>
    <d v="2022-06-28T00:00:00"/>
    <n v="25"/>
    <x v="0"/>
    <s v="Typhoid"/>
    <x v="1"/>
    <s v="Chemotherapy"/>
    <x v="3"/>
    <s v="Dr. Rakesh Sharma"/>
    <n v="260"/>
    <s v="Semi-Private"/>
    <x v="1"/>
    <n v="134783"/>
    <n v="57101"/>
    <n v="77682"/>
    <n v="104257"/>
    <n v="14214"/>
    <n v="13887"/>
    <s v="No"/>
    <n v="76"/>
    <n v="3.3"/>
    <x v="4"/>
  </r>
  <r>
    <x v="167"/>
    <s v="Sunil Verma"/>
    <n v="20"/>
    <x v="0"/>
    <s v="A+"/>
    <s v="Delhi"/>
    <d v="2024-04-06T00:00:00"/>
    <d v="2024-04-20T00:00:00"/>
    <n v="14"/>
    <x v="0"/>
    <s v="Diabetes Type 2"/>
    <x v="9"/>
    <s v="Counseling"/>
    <x v="1"/>
    <s v="Dr. Prerna Rao"/>
    <n v="494"/>
    <s v="Private"/>
    <x v="1"/>
    <n v="97411"/>
    <n v="66737"/>
    <n v="30674"/>
    <n v="59224"/>
    <n v="22449"/>
    <n v="11501"/>
    <s v="No"/>
    <n v="43"/>
    <n v="4.4000000000000004"/>
    <x v="4"/>
  </r>
  <r>
    <x v="168"/>
    <s v="Amit Pillai"/>
    <n v="84"/>
    <x v="0"/>
    <s v="O-"/>
    <s v="Ahmedabad"/>
    <d v="2022-08-22T00:00:00"/>
    <d v="2022-08-26T00:00:00"/>
    <n v="4"/>
    <x v="2"/>
    <s v="Cancer"/>
    <x v="3"/>
    <s v="ICU Care"/>
    <x v="3"/>
    <s v="Dr. Rakesh Nair"/>
    <n v="268"/>
    <s v="Private"/>
    <x v="2"/>
    <n v="33596"/>
    <n v="28441"/>
    <n v="5155"/>
    <n v="17000"/>
    <n v="6379"/>
    <n v="8567"/>
    <s v="No"/>
    <n v="66"/>
    <n v="2.2999999999999998"/>
    <x v="0"/>
  </r>
  <r>
    <x v="169"/>
    <s v="Suresh Mehta"/>
    <n v="20"/>
    <x v="0"/>
    <s v="B-"/>
    <s v="Ahmedabad"/>
    <d v="2023-01-26T00:00:00"/>
    <d v="2023-02-18T00:00:00"/>
    <n v="23"/>
    <x v="0"/>
    <s v="Dengue"/>
    <x v="1"/>
    <s v="Observation"/>
    <x v="1"/>
    <s v="Dr. Shalini Patel"/>
    <n v="396"/>
    <s v="ICU"/>
    <x v="3"/>
    <n v="151790"/>
    <n v="115225"/>
    <n v="36565"/>
    <n v="137172"/>
    <n v="5411"/>
    <n v="8672"/>
    <s v="Yes"/>
    <n v="99"/>
    <n v="3.3"/>
    <x v="0"/>
  </r>
  <r>
    <x v="170"/>
    <s v="Meera Das"/>
    <n v="27"/>
    <x v="1"/>
    <s v="B+"/>
    <s v="Delhi"/>
    <d v="2024-03-04T00:00:00"/>
    <d v="2024-03-26T00:00:00"/>
    <n v="22"/>
    <x v="0"/>
    <s v="Liver Disease"/>
    <x v="0"/>
    <s v="ICU Care"/>
    <x v="0"/>
    <s v="Dr. Vivek Rao"/>
    <n v="469"/>
    <s v="Semi-Private"/>
    <x v="4"/>
    <n v="131061"/>
    <n v="0"/>
    <n v="131061"/>
    <n v="109299"/>
    <n v="12234"/>
    <n v="5319"/>
    <s v="No"/>
    <n v="48"/>
    <n v="3.2"/>
    <x v="0"/>
  </r>
  <r>
    <x v="171"/>
    <s v="Deepa Pillai"/>
    <n v="45"/>
    <x v="1"/>
    <s v="B-"/>
    <s v="Chennai"/>
    <d v="2023-08-19T00:00:00"/>
    <d v="2023-09-10T00:00:00"/>
    <n v="22"/>
    <x v="1"/>
    <s v="Kidney Stone"/>
    <x v="2"/>
    <s v="Physiotherapy"/>
    <x v="3"/>
    <s v="Dr. Prerna Kumar"/>
    <n v="288"/>
    <s v="ICU"/>
    <x v="1"/>
    <n v="155158"/>
    <n v="75372"/>
    <n v="79786"/>
    <n v="114439"/>
    <n v="23093"/>
    <n v="12753"/>
    <s v="No"/>
    <n v="91"/>
    <n v="2"/>
    <x v="3"/>
  </r>
  <r>
    <x v="172"/>
    <s v="Aditya Chopra"/>
    <n v="23"/>
    <x v="1"/>
    <s v="A+"/>
    <s v="Chennai"/>
    <d v="2023-07-01T00:00:00"/>
    <d v="2023-07-26T00:00:00"/>
    <n v="25"/>
    <x v="4"/>
    <s v="Heart Attack"/>
    <x v="7"/>
    <s v="Dialysis"/>
    <x v="2"/>
    <s v="Dr. Arun Singh"/>
    <n v="105"/>
    <s v="General Ward"/>
    <x v="4"/>
    <n v="140933"/>
    <n v="0"/>
    <n v="140933"/>
    <n v="123644"/>
    <n v="4358"/>
    <n v="10594"/>
    <s v="No"/>
    <n v="75"/>
    <n v="3.2"/>
    <x v="0"/>
  </r>
  <r>
    <x v="173"/>
    <s v="Lata Rao"/>
    <n v="11"/>
    <x v="0"/>
    <s v="AB+"/>
    <s v="Kolkata"/>
    <d v="2023-10-03T00:00:00"/>
    <d v="2023-10-21T00:00:00"/>
    <n v="18"/>
    <x v="0"/>
    <s v="Diabetes Type 2"/>
    <x v="9"/>
    <s v="Dialysis"/>
    <x v="2"/>
    <s v="Dr. Shalini Gupta"/>
    <n v="425"/>
    <s v="Semi-Private"/>
    <x v="4"/>
    <n v="185982"/>
    <n v="0"/>
    <n v="185982"/>
    <n v="148291"/>
    <n v="25197"/>
    <n v="10385"/>
    <s v="No"/>
    <n v="52"/>
    <n v="2.9"/>
    <x v="2"/>
  </r>
  <r>
    <x v="174"/>
    <s v="Sunita Singh"/>
    <n v="28"/>
    <x v="1"/>
    <s v="A-"/>
    <s v="Kolkata"/>
    <d v="2022-03-25T00:00:00"/>
    <d v="2022-04-08T00:00:00"/>
    <n v="14"/>
    <x v="5"/>
    <s v="Asthma"/>
    <x v="8"/>
    <s v="Dialysis"/>
    <x v="2"/>
    <s v="Dr. Sameer Rao"/>
    <n v="434"/>
    <s v="Private"/>
    <x v="2"/>
    <n v="121830"/>
    <n v="74558"/>
    <n v="47272"/>
    <n v="91655"/>
    <n v="16280"/>
    <n v="12127"/>
    <s v="No"/>
    <n v="78"/>
    <n v="2.2000000000000002"/>
    <x v="0"/>
  </r>
  <r>
    <x v="175"/>
    <s v="Ashok Rao"/>
    <n v="67"/>
    <x v="0"/>
    <s v="A-"/>
    <s v="Pune"/>
    <d v="2024-12-12T00:00:00"/>
    <d v="2024-12-20T00:00:00"/>
    <n v="8"/>
    <x v="4"/>
    <s v="Heart Attack"/>
    <x v="7"/>
    <s v="Surgery"/>
    <x v="2"/>
    <s v="Dr. Vivek Nair"/>
    <n v="275"/>
    <s v="ICU"/>
    <x v="2"/>
    <n v="122061"/>
    <n v="97527"/>
    <n v="24534"/>
    <n v="96593"/>
    <n v="8248"/>
    <n v="14973"/>
    <s v="No"/>
    <n v="58"/>
    <n v="2.7"/>
    <x v="0"/>
  </r>
  <r>
    <x v="176"/>
    <s v="Arjun Bose"/>
    <n v="76"/>
    <x v="1"/>
    <s v="A-"/>
    <s v="Pune"/>
    <d v="2024-07-01T00:00:00"/>
    <d v="2024-07-09T00:00:00"/>
    <n v="8"/>
    <x v="0"/>
    <s v="Liver Disease"/>
    <x v="0"/>
    <s v="Chemotherapy"/>
    <x v="1"/>
    <s v="Dr. Nisha Joshi"/>
    <n v="469"/>
    <s v="General Ward"/>
    <x v="3"/>
    <n v="106142"/>
    <n v="64472"/>
    <n v="41670"/>
    <n v="72263"/>
    <n v="18702"/>
    <n v="12361"/>
    <s v="No"/>
    <n v="89"/>
    <n v="3.1"/>
    <x v="0"/>
  </r>
  <r>
    <x v="177"/>
    <s v="Sunil Bose"/>
    <n v="10"/>
    <x v="0"/>
    <s v="B-"/>
    <s v="Pune"/>
    <d v="2024-11-18T00:00:00"/>
    <d v="2024-11-21T00:00:00"/>
    <n v="3"/>
    <x v="0"/>
    <s v="Appendicitis"/>
    <x v="0"/>
    <s v="Counseling"/>
    <x v="1"/>
    <s v="Dr. Prerna Reddy"/>
    <n v="344"/>
    <s v="Semi-Private"/>
    <x v="3"/>
    <n v="53354"/>
    <n v="42361"/>
    <n v="10993"/>
    <n v="32243"/>
    <n v="7736"/>
    <n v="9310"/>
    <s v="No"/>
    <n v="87"/>
    <n v="4.0999999999999996"/>
    <x v="3"/>
  </r>
  <r>
    <x v="178"/>
    <s v="Sunil Verma"/>
    <n v="9"/>
    <x v="1"/>
    <s v="A-"/>
    <s v="Mumbai"/>
    <d v="2022-12-31T00:00:00"/>
    <d v="2023-01-26T00:00:00"/>
    <n v="26"/>
    <x v="5"/>
    <s v="Asthma"/>
    <x v="8"/>
    <s v="Surgery"/>
    <x v="2"/>
    <s v="Dr. Rakesh Joshi"/>
    <n v="199"/>
    <s v="ICU"/>
    <x v="3"/>
    <n v="134347"/>
    <n v="107745"/>
    <n v="26602"/>
    <n v="118514"/>
    <n v="11367"/>
    <n v="776"/>
    <s v="No"/>
    <n v="81"/>
    <n v="4.2"/>
    <x v="3"/>
  </r>
  <r>
    <x v="179"/>
    <s v="Vijay Iyer"/>
    <n v="10"/>
    <x v="1"/>
    <s v="O-"/>
    <s v="Jaipur"/>
    <d v="2022-08-06T00:00:00"/>
    <d v="2022-08-16T00:00:00"/>
    <n v="10"/>
    <x v="1"/>
    <s v="UTI"/>
    <x v="2"/>
    <s v="Surgery"/>
    <x v="3"/>
    <s v="Dr. Anjali Joshi"/>
    <n v="203"/>
    <s v="General Ward"/>
    <x v="3"/>
    <n v="70178"/>
    <n v="57829"/>
    <n v="12349"/>
    <n v="45979"/>
    <n v="18480"/>
    <n v="4102"/>
    <s v="No"/>
    <n v="94"/>
    <n v="3.6"/>
    <x v="2"/>
  </r>
  <r>
    <x v="180"/>
    <s v="Deepa Shah"/>
    <n v="6"/>
    <x v="1"/>
    <s v="A-"/>
    <s v="Mumbai"/>
    <d v="2022-01-11T00:00:00"/>
    <d v="2022-01-30T00:00:00"/>
    <n v="19"/>
    <x v="0"/>
    <s v="Liver Disease"/>
    <x v="0"/>
    <s v="Counseling"/>
    <x v="1"/>
    <s v="Dr. Rakesh Reddy"/>
    <n v="384"/>
    <s v="Private"/>
    <x v="0"/>
    <n v="154487"/>
    <n v="68397"/>
    <n v="86090"/>
    <n v="113174"/>
    <n v="22165"/>
    <n v="14450"/>
    <s v="No"/>
    <n v="79"/>
    <n v="4.5"/>
    <x v="2"/>
  </r>
  <r>
    <x v="181"/>
    <s v="Sneha Joshi"/>
    <n v="77"/>
    <x v="1"/>
    <s v="AB-"/>
    <s v="Jaipur"/>
    <d v="2022-05-30T00:00:00"/>
    <d v="2022-06-09T00:00:00"/>
    <n v="10"/>
    <x v="6"/>
    <s v="Fracture"/>
    <x v="10"/>
    <s v="Surgery"/>
    <x v="2"/>
    <s v="Dr. Shalini Gupta"/>
    <n v="488"/>
    <s v="Private"/>
    <x v="4"/>
    <n v="75267"/>
    <n v="0"/>
    <n v="75267"/>
    <n v="38610"/>
    <n v="22997"/>
    <n v="11239"/>
    <s v="Yes"/>
    <n v="79"/>
    <n v="2.2000000000000002"/>
    <x v="2"/>
  </r>
  <r>
    <x v="182"/>
    <s v="Amit Bose"/>
    <n v="62"/>
    <x v="0"/>
    <s v="O+"/>
    <s v="Lucknow"/>
    <d v="2022-11-09T00:00:00"/>
    <d v="2022-11-28T00:00:00"/>
    <n v="19"/>
    <x v="0"/>
    <s v="Obesity"/>
    <x v="12"/>
    <s v="ICU Care"/>
    <x v="0"/>
    <s v="Dr. Sameer Sharma"/>
    <n v="161"/>
    <s v="Semi-Private"/>
    <x v="0"/>
    <n v="147101"/>
    <n v="64767"/>
    <n v="82334"/>
    <n v="119327"/>
    <n v="10066"/>
    <n v="14264"/>
    <s v="No"/>
    <n v="96"/>
    <n v="3.4"/>
    <x v="4"/>
  </r>
  <r>
    <x v="183"/>
    <s v="Nisha Rao"/>
    <n v="67"/>
    <x v="1"/>
    <s v="B+"/>
    <s v="Lucknow"/>
    <d v="2022-06-17T00:00:00"/>
    <d v="2022-07-14T00:00:00"/>
    <n v="27"/>
    <x v="5"/>
    <s v="Asthma"/>
    <x v="8"/>
    <s v="Counseling"/>
    <x v="2"/>
    <s v="Dr. Rakesh Patel"/>
    <n v="373"/>
    <s v="General Ward"/>
    <x v="2"/>
    <n v="164479"/>
    <n v="136643"/>
    <n v="27836"/>
    <n v="137953"/>
    <n v="21697"/>
    <n v="1011"/>
    <s v="No"/>
    <n v="42"/>
    <n v="3.7"/>
    <x v="0"/>
  </r>
  <r>
    <x v="184"/>
    <s v="Mukesh Pillai"/>
    <n v="65"/>
    <x v="1"/>
    <s v="O-"/>
    <s v="Kolkata"/>
    <d v="2023-04-03T00:00:00"/>
    <d v="2023-05-02T00:00:00"/>
    <n v="29"/>
    <x v="0"/>
    <s v="Obesity"/>
    <x v="12"/>
    <s v="Physiotherapy"/>
    <x v="0"/>
    <s v="Dr. Deepak Nair"/>
    <n v="47"/>
    <s v="ICU"/>
    <x v="4"/>
    <n v="151800"/>
    <n v="0"/>
    <n v="151800"/>
    <n v="136640"/>
    <n v="1347"/>
    <n v="11357"/>
    <s v="No"/>
    <n v="91"/>
    <n v="4.9000000000000004"/>
    <x v="2"/>
  </r>
  <r>
    <x v="185"/>
    <s v="Vijay Das"/>
    <n v="22"/>
    <x v="0"/>
    <s v="B+"/>
    <s v="Bangalore"/>
    <d v="2022-10-27T00:00:00"/>
    <d v="2022-11-20T00:00:00"/>
    <n v="24"/>
    <x v="0"/>
    <s v="Typhoid"/>
    <x v="1"/>
    <s v="Medication"/>
    <x v="2"/>
    <s v="Dr. Anjali Reddy"/>
    <n v="33"/>
    <s v="Private"/>
    <x v="4"/>
    <n v="82395"/>
    <n v="0"/>
    <n v="82395"/>
    <n v="66346"/>
    <n v="2402"/>
    <n v="11454"/>
    <s v="No"/>
    <n v="90"/>
    <n v="3.1"/>
    <x v="4"/>
  </r>
  <r>
    <x v="186"/>
    <s v="Sonia Malhotra"/>
    <n v="10"/>
    <x v="1"/>
    <s v="O-"/>
    <s v="Delhi"/>
    <d v="2024-12-03T00:00:00"/>
    <d v="2024-12-24T00:00:00"/>
    <n v="21"/>
    <x v="5"/>
    <s v="Asthma"/>
    <x v="8"/>
    <s v="Dietary Management"/>
    <x v="2"/>
    <s v="Dr. Vivek Joshi"/>
    <n v="188"/>
    <s v="General Ward"/>
    <x v="1"/>
    <n v="93163"/>
    <n v="48608"/>
    <n v="44555"/>
    <n v="70951"/>
    <n v="13331"/>
    <n v="4151"/>
    <s v="No"/>
    <n v="62"/>
    <n v="3.5"/>
    <x v="4"/>
  </r>
  <r>
    <x v="187"/>
    <s v="Mukesh Menon"/>
    <n v="5"/>
    <x v="1"/>
    <s v="AB-"/>
    <s v="Bangalore"/>
    <d v="2023-04-17T00:00:00"/>
    <d v="2023-04-20T00:00:00"/>
    <n v="3"/>
    <x v="6"/>
    <s v="Arthritis"/>
    <x v="11"/>
    <s v="Chemotherapy"/>
    <x v="2"/>
    <s v="Dr. Sameer Mehta"/>
    <n v="186"/>
    <s v="General Ward"/>
    <x v="0"/>
    <n v="148606"/>
    <n v="80909"/>
    <n v="67697"/>
    <n v="113688"/>
    <n v="27580"/>
    <n v="5910"/>
    <s v="No"/>
    <n v="53"/>
    <n v="3.8"/>
    <x v="4"/>
  </r>
  <r>
    <x v="188"/>
    <s v="Aditya Reddy"/>
    <n v="10"/>
    <x v="1"/>
    <s v="B+"/>
    <s v="Bangalore"/>
    <d v="2024-11-15T00:00:00"/>
    <d v="2024-11-17T00:00:00"/>
    <n v="2"/>
    <x v="0"/>
    <s v="Obesity"/>
    <x v="12"/>
    <s v="Medication"/>
    <x v="2"/>
    <s v="Dr. Rakesh Mehta"/>
    <n v="265"/>
    <s v="ICU"/>
    <x v="1"/>
    <n v="54778"/>
    <n v="37478"/>
    <n v="17300"/>
    <n v="9881"/>
    <n v="29786"/>
    <n v="12289"/>
    <s v="No"/>
    <n v="78"/>
    <n v="5"/>
    <x v="4"/>
  </r>
  <r>
    <x v="189"/>
    <s v="Ananya Reddy"/>
    <n v="57"/>
    <x v="1"/>
    <s v="B+"/>
    <s v="Lucknow"/>
    <d v="2024-11-12T00:00:00"/>
    <d v="2024-11-21T00:00:00"/>
    <n v="9"/>
    <x v="4"/>
    <s v="Heart Attack"/>
    <x v="7"/>
    <s v="Radiation Therapy"/>
    <x v="1"/>
    <s v="Dr. Kavita Joshi"/>
    <n v="198"/>
    <s v="Semi-Private"/>
    <x v="2"/>
    <n v="30666"/>
    <n v="24696"/>
    <n v="5970"/>
    <n v="9341"/>
    <n v="7630"/>
    <n v="9064"/>
    <s v="No"/>
    <n v="78"/>
    <n v="2.2999999999999998"/>
    <x v="4"/>
  </r>
  <r>
    <x v="190"/>
    <s v="Mukesh Menon"/>
    <n v="81"/>
    <x v="1"/>
    <s v="A-"/>
    <s v="Delhi"/>
    <d v="2024-09-14T00:00:00"/>
    <d v="2024-10-06T00:00:00"/>
    <n v="22"/>
    <x v="5"/>
    <s v="Pneumonia"/>
    <x v="8"/>
    <s v="Counseling"/>
    <x v="1"/>
    <s v="Dr. Vivek Nair"/>
    <n v="216"/>
    <s v="Private"/>
    <x v="2"/>
    <n v="167652"/>
    <n v="140302"/>
    <n v="27350"/>
    <n v="143888"/>
    <n v="15056"/>
    <n v="4259"/>
    <s v="No"/>
    <n v="77"/>
    <n v="4.4000000000000004"/>
    <x v="0"/>
  </r>
  <r>
    <x v="191"/>
    <s v="Sneha Khanna"/>
    <n v="22"/>
    <x v="0"/>
    <s v="AB-"/>
    <s v="Chennai"/>
    <d v="2022-06-21T00:00:00"/>
    <d v="2022-07-01T00:00:00"/>
    <n v="10"/>
    <x v="0"/>
    <s v="Liver Disease"/>
    <x v="0"/>
    <s v="Observation"/>
    <x v="3"/>
    <s v="Dr. Kavita Sharma"/>
    <n v="364"/>
    <s v="General Ward"/>
    <x v="1"/>
    <n v="156414"/>
    <n v="80164"/>
    <n v="76250"/>
    <n v="141980"/>
    <n v="4861"/>
    <n v="9015"/>
    <s v="No"/>
    <n v="91"/>
    <n v="2.9"/>
    <x v="1"/>
  </r>
  <r>
    <x v="192"/>
    <s v="Sneha Gupta"/>
    <n v="59"/>
    <x v="0"/>
    <s v="O+"/>
    <s v="Jaipur"/>
    <d v="2024-05-17T00:00:00"/>
    <d v="2024-06-05T00:00:00"/>
    <n v="19"/>
    <x v="1"/>
    <s v="Kidney Stone"/>
    <x v="2"/>
    <s v="Dialysis"/>
    <x v="0"/>
    <s v="Dr. Kavita Joshi"/>
    <n v="283"/>
    <s v="ICU"/>
    <x v="0"/>
    <n v="135422"/>
    <n v="64479"/>
    <n v="70943"/>
    <n v="102049"/>
    <n v="19320"/>
    <n v="9591"/>
    <s v="No"/>
    <n v="62"/>
    <n v="4.3"/>
    <x v="4"/>
  </r>
  <r>
    <x v="193"/>
    <s v="Geeta Gupta"/>
    <n v="20"/>
    <x v="1"/>
    <s v="AB-"/>
    <s v="Bangalore"/>
    <d v="2022-07-25T00:00:00"/>
    <d v="2022-08-01T00:00:00"/>
    <n v="7"/>
    <x v="6"/>
    <s v="Arthritis"/>
    <x v="11"/>
    <s v="ICU Care"/>
    <x v="1"/>
    <s v="Dr. Sameer Joshi"/>
    <n v="494"/>
    <s v="General Ward"/>
    <x v="2"/>
    <n v="73951"/>
    <n v="46326"/>
    <n v="27625"/>
    <n v="43096"/>
    <n v="16455"/>
    <n v="10334"/>
    <s v="No"/>
    <n v="63"/>
    <n v="2.2000000000000002"/>
    <x v="3"/>
  </r>
  <r>
    <x v="194"/>
    <s v="Geeta Chopra"/>
    <n v="56"/>
    <x v="0"/>
    <s v="A+"/>
    <s v="Bangalore"/>
    <d v="2024-10-09T00:00:00"/>
    <d v="2024-10-24T00:00:00"/>
    <n v="15"/>
    <x v="4"/>
    <s v="Hypertension"/>
    <x v="7"/>
    <s v="Counseling"/>
    <x v="3"/>
    <s v="Dr. Kavita Sharma"/>
    <n v="402"/>
    <s v="Semi-Private"/>
    <x v="1"/>
    <n v="77050"/>
    <n v="36350"/>
    <n v="40700"/>
    <n v="49428"/>
    <n v="23086"/>
    <n v="1090"/>
    <s v="Yes"/>
    <n v="50"/>
    <n v="2.2999999999999998"/>
    <x v="1"/>
  </r>
  <r>
    <x v="195"/>
    <s v="Vijay Chopra"/>
    <n v="50"/>
    <x v="0"/>
    <s v="AB+"/>
    <s v="Lucknow"/>
    <d v="2023-02-15T00:00:00"/>
    <d v="2023-03-04T00:00:00"/>
    <n v="17"/>
    <x v="4"/>
    <s v="Hypertension"/>
    <x v="7"/>
    <s v="Surgery"/>
    <x v="3"/>
    <s v="Dr. Deepak Rao"/>
    <n v="179"/>
    <s v="Private"/>
    <x v="4"/>
    <n v="93103"/>
    <n v="0"/>
    <n v="93103"/>
    <n v="64322"/>
    <n v="20869"/>
    <n v="3687"/>
    <s v="No"/>
    <n v="76"/>
    <n v="2"/>
    <x v="2"/>
  </r>
  <r>
    <x v="196"/>
    <s v="Pooja Das"/>
    <n v="18"/>
    <x v="1"/>
    <s v="O+"/>
    <s v="Pune"/>
    <d v="2022-08-28T00:00:00"/>
    <d v="2022-09-23T00:00:00"/>
    <n v="26"/>
    <x v="6"/>
    <s v="Arthritis"/>
    <x v="11"/>
    <s v="Counseling"/>
    <x v="3"/>
    <s v="Dr. Anjali Joshi"/>
    <n v="289"/>
    <s v="ICU"/>
    <x v="0"/>
    <n v="132745"/>
    <n v="88801"/>
    <n v="43944"/>
    <n v="94040"/>
    <n v="26414"/>
    <n v="8017"/>
    <s v="No"/>
    <n v="70"/>
    <n v="2.2999999999999998"/>
    <x v="3"/>
  </r>
  <r>
    <x v="197"/>
    <s v="Karan Reddy"/>
    <n v="34"/>
    <x v="0"/>
    <s v="AB+"/>
    <s v="Pune"/>
    <d v="2024-11-23T00:00:00"/>
    <d v="2024-12-11T00:00:00"/>
    <n v="18"/>
    <x v="4"/>
    <s v="Hypertension"/>
    <x v="7"/>
    <s v="Chemotherapy"/>
    <x v="3"/>
    <s v="Dr. Prerna Joshi"/>
    <n v="345"/>
    <s v="Private"/>
    <x v="2"/>
    <n v="77441"/>
    <n v="51542"/>
    <n v="25899"/>
    <n v="51788"/>
    <n v="16615"/>
    <n v="5642"/>
    <s v="No"/>
    <n v="51"/>
    <n v="4.8"/>
    <x v="2"/>
  </r>
  <r>
    <x v="198"/>
    <s v="Meera Mehta"/>
    <n v="35"/>
    <x v="1"/>
    <s v="O+"/>
    <s v="Chennai"/>
    <d v="2023-04-15T00:00:00"/>
    <d v="2023-04-22T00:00:00"/>
    <n v="7"/>
    <x v="2"/>
    <s v="Cancer"/>
    <x v="3"/>
    <s v="ICU Care"/>
    <x v="2"/>
    <s v="Dr. Prerna Patel"/>
    <n v="472"/>
    <s v="General Ward"/>
    <x v="3"/>
    <n v="52255"/>
    <n v="46371"/>
    <n v="5884"/>
    <n v="6736"/>
    <n v="26042"/>
    <n v="14542"/>
    <s v="No"/>
    <n v="63"/>
    <n v="3.9"/>
    <x v="4"/>
  </r>
  <r>
    <x v="199"/>
    <s v="Mukesh Iyer"/>
    <n v="40"/>
    <x v="0"/>
    <s v="B+"/>
    <s v="Jaipur"/>
    <d v="2023-07-28T00:00:00"/>
    <d v="2023-08-10T00:00:00"/>
    <n v="13"/>
    <x v="2"/>
    <s v="Cancer"/>
    <x v="3"/>
    <s v="Physiotherapy"/>
    <x v="1"/>
    <s v="Dr. Deepak Joshi"/>
    <n v="245"/>
    <s v="General Ward"/>
    <x v="1"/>
    <n v="126467"/>
    <n v="67933"/>
    <n v="58534"/>
    <n v="96039"/>
    <n v="13901"/>
    <n v="14596"/>
    <s v="Yes"/>
    <n v="73"/>
    <n v="3.4"/>
    <x v="3"/>
  </r>
  <r>
    <x v="200"/>
    <s v="Aditya Mehta"/>
    <n v="53"/>
    <x v="1"/>
    <s v="O-"/>
    <s v="Pune"/>
    <d v="2023-06-16T00:00:00"/>
    <d v="2023-06-22T00:00:00"/>
    <n v="6"/>
    <x v="0"/>
    <s v="Depression"/>
    <x v="5"/>
    <s v="Chemotherapy"/>
    <x v="3"/>
    <s v="Dr. Anjali Rao"/>
    <n v="176"/>
    <s v="Private"/>
    <x v="0"/>
    <n v="158522"/>
    <n v="96732"/>
    <n v="61790"/>
    <n v="135749"/>
    <n v="14891"/>
    <n v="3949"/>
    <s v="No"/>
    <n v="94"/>
    <n v="3.2"/>
    <x v="4"/>
  </r>
  <r>
    <x v="201"/>
    <s v="Ananya Iyer"/>
    <n v="21"/>
    <x v="1"/>
    <s v="A-"/>
    <s v="Hyderabad"/>
    <d v="2023-04-28T00:00:00"/>
    <d v="2023-05-16T00:00:00"/>
    <n v="18"/>
    <x v="0"/>
    <s v="Anemia"/>
    <x v="4"/>
    <s v="Chemotherapy"/>
    <x v="2"/>
    <s v="Dr. Sameer Gupta"/>
    <n v="413"/>
    <s v="General Ward"/>
    <x v="0"/>
    <n v="140307"/>
    <n v="78599"/>
    <n v="61708"/>
    <n v="115499"/>
    <n v="17370"/>
    <n v="2703"/>
    <s v="No"/>
    <n v="71"/>
    <n v="2.9"/>
    <x v="0"/>
  </r>
  <r>
    <x v="202"/>
    <s v="Rekha Iyer"/>
    <n v="11"/>
    <x v="0"/>
    <s v="A-"/>
    <s v="Bangalore"/>
    <d v="2022-05-03T00:00:00"/>
    <d v="2022-05-10T00:00:00"/>
    <n v="7"/>
    <x v="5"/>
    <s v="Asthma"/>
    <x v="8"/>
    <s v="Surgery"/>
    <x v="0"/>
    <s v="Dr. Nisha Singh"/>
    <n v="185"/>
    <s v="Private"/>
    <x v="1"/>
    <n v="89531"/>
    <n v="39069"/>
    <n v="50462"/>
    <n v="72558"/>
    <n v="12276"/>
    <n v="824"/>
    <s v="No"/>
    <n v="78"/>
    <n v="2.6"/>
    <x v="0"/>
  </r>
  <r>
    <x v="203"/>
    <s v="Rajesh Pillai"/>
    <n v="27"/>
    <x v="0"/>
    <s v="O-"/>
    <s v="Pune"/>
    <d v="2024-11-11T00:00:00"/>
    <d v="2024-11-27T00:00:00"/>
    <n v="16"/>
    <x v="0"/>
    <s v="COVID-19"/>
    <x v="1"/>
    <s v="Observation"/>
    <x v="3"/>
    <s v="Dr. Anjali Mehta"/>
    <n v="445"/>
    <s v="Semi-Private"/>
    <x v="4"/>
    <n v="151608"/>
    <n v="0"/>
    <n v="151608"/>
    <n v="115576"/>
    <n v="21685"/>
    <n v="10532"/>
    <s v="No"/>
    <n v="44"/>
    <n v="2.2000000000000002"/>
    <x v="1"/>
  </r>
  <r>
    <x v="204"/>
    <s v="Kavya Verma"/>
    <n v="45"/>
    <x v="0"/>
    <s v="O+"/>
    <s v="Lucknow"/>
    <d v="2024-03-20T00:00:00"/>
    <d v="2024-03-29T00:00:00"/>
    <n v="9"/>
    <x v="0"/>
    <s v="COVID-19"/>
    <x v="1"/>
    <s v="Dietary Management"/>
    <x v="0"/>
    <s v="Dr. Vivek Mehta"/>
    <n v="95"/>
    <s v="General Ward"/>
    <x v="0"/>
    <n v="94976"/>
    <n v="43990"/>
    <n v="50986"/>
    <n v="66506"/>
    <n v="22693"/>
    <n v="4622"/>
    <s v="No"/>
    <n v="46"/>
    <n v="2.2000000000000002"/>
    <x v="4"/>
  </r>
  <r>
    <x v="205"/>
    <s v="Ritu Patel"/>
    <n v="8"/>
    <x v="0"/>
    <s v="A-"/>
    <s v="Delhi"/>
    <d v="2023-06-22T00:00:00"/>
    <d v="2023-07-12T00:00:00"/>
    <n v="20"/>
    <x v="5"/>
    <s v="Pneumonia"/>
    <x v="8"/>
    <s v="Observation"/>
    <x v="3"/>
    <s v="Dr. Kavita Reddy"/>
    <n v="378"/>
    <s v="Private"/>
    <x v="3"/>
    <n v="54466"/>
    <n v="33146"/>
    <n v="21320"/>
    <n v="38138"/>
    <n v="5301"/>
    <n v="9130"/>
    <s v="No"/>
    <n v="95"/>
    <n v="4.7"/>
    <x v="4"/>
  </r>
  <r>
    <x v="206"/>
    <s v="Sunil Pillai"/>
    <n v="39"/>
    <x v="0"/>
    <s v="B+"/>
    <s v="Jaipur"/>
    <d v="2022-12-29T00:00:00"/>
    <d v="2023-01-17T00:00:00"/>
    <n v="19"/>
    <x v="0"/>
    <s v="Liver Disease"/>
    <x v="0"/>
    <s v="Dietary Management"/>
    <x v="0"/>
    <s v="Dr. Deepak Nair"/>
    <n v="159"/>
    <s v="Private"/>
    <x v="3"/>
    <n v="169829"/>
    <n v="124410"/>
    <n v="45419"/>
    <n v="146470"/>
    <n v="8442"/>
    <n v="13684"/>
    <s v="No"/>
    <n v="56"/>
    <n v="2.5"/>
    <x v="3"/>
  </r>
  <r>
    <x v="207"/>
    <s v="Aditya Das"/>
    <n v="22"/>
    <x v="0"/>
    <s v="O+"/>
    <s v="Ahmedabad"/>
    <d v="2024-12-31T00:00:00"/>
    <d v="2024-12-31T00:00:00"/>
    <n v="1"/>
    <x v="0"/>
    <s v="Typhoid"/>
    <x v="1"/>
    <s v="Dialysis"/>
    <x v="1"/>
    <s v="Dr. Vivek Singh"/>
    <n v="306"/>
    <s v="Semi-Private"/>
    <x v="2"/>
    <n v="169414"/>
    <n v="146484"/>
    <n v="22930"/>
    <n v="148710"/>
    <n v="13243"/>
    <n v="3589"/>
    <s v="No"/>
    <n v="55"/>
    <n v="2.5"/>
    <x v="4"/>
  </r>
  <r>
    <x v="208"/>
    <s v="Ashok Chopra"/>
    <n v="33"/>
    <x v="0"/>
    <s v="A-"/>
    <s v="Kolkata"/>
    <d v="2023-05-06T00:00:00"/>
    <d v="2023-05-23T00:00:00"/>
    <n v="17"/>
    <x v="0"/>
    <s v="Liver Disease"/>
    <x v="0"/>
    <s v="Dialysis"/>
    <x v="3"/>
    <s v="Dr. Vivek Reddy"/>
    <n v="437"/>
    <s v="General Ward"/>
    <x v="0"/>
    <n v="57842"/>
    <n v="33856"/>
    <n v="23986"/>
    <n v="40815"/>
    <n v="10489"/>
    <n v="2308"/>
    <s v="No"/>
    <n v="79"/>
    <n v="3.5"/>
    <x v="1"/>
  </r>
  <r>
    <x v="209"/>
    <s v="Aditya Gupta"/>
    <n v="11"/>
    <x v="1"/>
    <s v="B+"/>
    <s v="Delhi"/>
    <d v="2023-08-01T00:00:00"/>
    <d v="2023-08-10T00:00:00"/>
    <n v="9"/>
    <x v="5"/>
    <s v="Pneumonia"/>
    <x v="8"/>
    <s v="Medication"/>
    <x v="2"/>
    <s v="Dr. Prerna Mehta"/>
    <n v="8"/>
    <s v="ICU"/>
    <x v="0"/>
    <n v="119586"/>
    <n v="83637"/>
    <n v="35949"/>
    <n v="94630"/>
    <n v="14770"/>
    <n v="5604"/>
    <s v="No"/>
    <n v="90"/>
    <n v="2.1"/>
    <x v="3"/>
  </r>
  <r>
    <x v="210"/>
    <s v="Ashok Gupta"/>
    <n v="12"/>
    <x v="0"/>
    <s v="AB+"/>
    <s v="Delhi"/>
    <d v="2024-08-20T00:00:00"/>
    <d v="2024-08-26T00:00:00"/>
    <n v="6"/>
    <x v="3"/>
    <s v="Stroke"/>
    <x v="6"/>
    <s v="Observation"/>
    <x v="1"/>
    <s v="Dr. Prerna Reddy"/>
    <n v="198"/>
    <s v="ICU"/>
    <x v="0"/>
    <n v="30629"/>
    <n v="17040"/>
    <n v="13589"/>
    <n v="13784"/>
    <n v="7526"/>
    <n v="8050"/>
    <s v="No"/>
    <n v="70"/>
    <n v="3.2"/>
    <x v="1"/>
  </r>
  <r>
    <x v="211"/>
    <s v="Sonia Verma"/>
    <n v="25"/>
    <x v="1"/>
    <s v="A-"/>
    <s v="Hyderabad"/>
    <d v="2024-09-12T00:00:00"/>
    <d v="2024-10-03T00:00:00"/>
    <n v="21"/>
    <x v="1"/>
    <s v="UTI"/>
    <x v="2"/>
    <s v="ICU Care"/>
    <x v="1"/>
    <s v="Dr. Kavita Patel"/>
    <n v="121"/>
    <s v="ICU"/>
    <x v="4"/>
    <n v="31709"/>
    <n v="0"/>
    <n v="31709"/>
    <n v="8949"/>
    <n v="6484"/>
    <n v="13515"/>
    <s v="No"/>
    <n v="65"/>
    <n v="4.4000000000000004"/>
    <x v="3"/>
  </r>
  <r>
    <x v="212"/>
    <s v="Priya Iyer"/>
    <n v="65"/>
    <x v="1"/>
    <s v="O-"/>
    <s v="Delhi"/>
    <d v="2023-05-25T00:00:00"/>
    <d v="2023-05-31T00:00:00"/>
    <n v="6"/>
    <x v="0"/>
    <s v="Typhoid"/>
    <x v="1"/>
    <s v="Dietary Management"/>
    <x v="3"/>
    <s v="Dr. Arun Sharma"/>
    <n v="183"/>
    <s v="Semi-Private"/>
    <x v="1"/>
    <n v="49173"/>
    <n v="24342"/>
    <n v="24831"/>
    <n v="33152"/>
    <n v="5123"/>
    <n v="8492"/>
    <s v="No"/>
    <n v="81"/>
    <n v="4.3"/>
    <x v="4"/>
  </r>
  <r>
    <x v="213"/>
    <s v="Geeta Mehta"/>
    <n v="7"/>
    <x v="0"/>
    <s v="O-"/>
    <s v="Bangalore"/>
    <d v="2023-05-29T00:00:00"/>
    <d v="2023-06-27T00:00:00"/>
    <n v="29"/>
    <x v="0"/>
    <s v="Diabetes Type 2"/>
    <x v="9"/>
    <s v="Radiation Therapy"/>
    <x v="3"/>
    <s v="Dr. Deepak Gupta"/>
    <n v="98"/>
    <s v="Semi-Private"/>
    <x v="1"/>
    <n v="124580"/>
    <n v="60122"/>
    <n v="64458"/>
    <n v="96138"/>
    <n v="11606"/>
    <n v="12499"/>
    <s v="No"/>
    <n v="98"/>
    <n v="4.5999999999999996"/>
    <x v="2"/>
  </r>
  <r>
    <x v="214"/>
    <s v="Rahul Das"/>
    <n v="24"/>
    <x v="0"/>
    <s v="O+"/>
    <s v="Hyderabad"/>
    <d v="2024-01-22T00:00:00"/>
    <d v="2024-02-06T00:00:00"/>
    <n v="15"/>
    <x v="4"/>
    <s v="Hypertension"/>
    <x v="7"/>
    <s v="Observation"/>
    <x v="2"/>
    <s v="Dr. Arun Rao"/>
    <n v="439"/>
    <s v="Private"/>
    <x v="1"/>
    <n v="92434"/>
    <n v="55228"/>
    <n v="37206"/>
    <n v="67596"/>
    <n v="11508"/>
    <n v="12312"/>
    <s v="No"/>
    <n v="64"/>
    <n v="2.6"/>
    <x v="4"/>
  </r>
  <r>
    <x v="215"/>
    <s v="Vijay Pillai"/>
    <n v="24"/>
    <x v="0"/>
    <s v="O-"/>
    <s v="Kolkata"/>
    <d v="2023-10-22T00:00:00"/>
    <d v="2023-10-26T00:00:00"/>
    <n v="4"/>
    <x v="0"/>
    <s v="Appendicitis"/>
    <x v="0"/>
    <s v="Surgery"/>
    <x v="1"/>
    <s v="Dr. Sameer Mehta"/>
    <n v="448"/>
    <s v="General Ward"/>
    <x v="0"/>
    <n v="54914"/>
    <n v="22490"/>
    <n v="32424"/>
    <n v="33063"/>
    <n v="16904"/>
    <n v="3639"/>
    <s v="No"/>
    <n v="64"/>
    <n v="4"/>
    <x v="0"/>
  </r>
  <r>
    <x v="216"/>
    <s v="Divya Iyer"/>
    <n v="37"/>
    <x v="1"/>
    <s v="O-"/>
    <s v="Chennai"/>
    <d v="2022-05-26T00:00:00"/>
    <d v="2022-05-27T00:00:00"/>
    <n v="1"/>
    <x v="3"/>
    <s v="Stroke"/>
    <x v="6"/>
    <s v="Surgery"/>
    <x v="0"/>
    <s v="Dr. Arun Kumar"/>
    <n v="286"/>
    <s v="ICU"/>
    <x v="4"/>
    <n v="61556"/>
    <n v="0"/>
    <n v="61556"/>
    <n v="20283"/>
    <n v="27989"/>
    <n v="10607"/>
    <s v="No"/>
    <n v="86"/>
    <n v="2.2000000000000002"/>
    <x v="1"/>
  </r>
  <r>
    <x v="217"/>
    <s v="Rahul Mehta"/>
    <n v="71"/>
    <x v="1"/>
    <s v="A-"/>
    <s v="Chennai"/>
    <d v="2024-12-24T00:00:00"/>
    <d v="2024-12-31T00:00:00"/>
    <n v="7"/>
    <x v="3"/>
    <s v="Stroke"/>
    <x v="6"/>
    <s v="Counseling"/>
    <x v="2"/>
    <s v="Dr. Shalini Mehta"/>
    <n v="286"/>
    <s v="ICU"/>
    <x v="2"/>
    <n v="133951"/>
    <n v="115847"/>
    <n v="18104"/>
    <n v="98837"/>
    <n v="23101"/>
    <n v="8015"/>
    <s v="No"/>
    <n v="51"/>
    <n v="3.6"/>
    <x v="0"/>
  </r>
  <r>
    <x v="218"/>
    <s v="Amit Joshi"/>
    <n v="73"/>
    <x v="0"/>
    <s v="O-"/>
    <s v="Pune"/>
    <d v="2023-10-27T00:00:00"/>
    <d v="2023-11-24T00:00:00"/>
    <n v="28"/>
    <x v="1"/>
    <s v="Kidney Stone"/>
    <x v="2"/>
    <s v="Observation"/>
    <x v="3"/>
    <s v="Dr. Shalini Reddy"/>
    <n v="289"/>
    <s v="Semi-Private"/>
    <x v="3"/>
    <n v="182750"/>
    <n v="162373"/>
    <n v="20377"/>
    <n v="149241"/>
    <n v="25398"/>
    <n v="4662"/>
    <s v="No"/>
    <n v="65"/>
    <n v="2"/>
    <x v="3"/>
  </r>
  <r>
    <x v="219"/>
    <s v="Deepa Menon"/>
    <n v="7"/>
    <x v="1"/>
    <s v="O+"/>
    <s v="Mumbai"/>
    <d v="2023-09-08T00:00:00"/>
    <d v="2023-09-16T00:00:00"/>
    <n v="8"/>
    <x v="3"/>
    <s v="Stroke"/>
    <x v="6"/>
    <s v="Medication"/>
    <x v="3"/>
    <s v="Dr. Deepak Nair"/>
    <n v="285"/>
    <s v="Semi-Private"/>
    <x v="2"/>
    <n v="39082"/>
    <n v="25072"/>
    <n v="14010"/>
    <n v="14892"/>
    <n v="16085"/>
    <n v="6327"/>
    <s v="No"/>
    <n v="77"/>
    <n v="2.7"/>
    <x v="1"/>
  </r>
  <r>
    <x v="220"/>
    <s v="Lata Rao"/>
    <n v="16"/>
    <x v="0"/>
    <s v="B-"/>
    <s v="Delhi"/>
    <d v="2023-10-27T00:00:00"/>
    <d v="2023-11-22T00:00:00"/>
    <n v="26"/>
    <x v="0"/>
    <s v="Typhoid"/>
    <x v="1"/>
    <s v="Radiation Therapy"/>
    <x v="1"/>
    <s v="Dr. Shalini Singh"/>
    <n v="20"/>
    <s v="ICU"/>
    <x v="2"/>
    <n v="55247"/>
    <n v="47730"/>
    <n v="7517"/>
    <n v="19659"/>
    <n v="26260"/>
    <n v="5978"/>
    <s v="No"/>
    <n v="99"/>
    <n v="4.5999999999999996"/>
    <x v="2"/>
  </r>
  <r>
    <x v="221"/>
    <s v="Geeta Menon"/>
    <n v="6"/>
    <x v="0"/>
    <s v="A+"/>
    <s v="Hyderabad"/>
    <d v="2024-12-09T00:00:00"/>
    <d v="2024-12-11T00:00:00"/>
    <n v="2"/>
    <x v="0"/>
    <s v="Dengue"/>
    <x v="1"/>
    <s v="Dietary Management"/>
    <x v="2"/>
    <s v="Dr. Nisha Nair"/>
    <n v="358"/>
    <s v="Semi-Private"/>
    <x v="0"/>
    <n v="57520"/>
    <n v="39764"/>
    <n v="17756"/>
    <n v="18243"/>
    <n v="23073"/>
    <n v="12486"/>
    <s v="No"/>
    <n v="76"/>
    <n v="3.5"/>
    <x v="2"/>
  </r>
  <r>
    <x v="222"/>
    <s v="Pooja Rao"/>
    <n v="55"/>
    <x v="1"/>
    <s v="B+"/>
    <s v="Pune"/>
    <d v="2022-06-19T00:00:00"/>
    <d v="2022-07-05T00:00:00"/>
    <n v="16"/>
    <x v="0"/>
    <s v="Obesity"/>
    <x v="12"/>
    <s v="Counseling"/>
    <x v="0"/>
    <s v="Dr. Rakesh Patel"/>
    <n v="205"/>
    <s v="ICU"/>
    <x v="0"/>
    <n v="68898"/>
    <n v="37643"/>
    <n v="31255"/>
    <n v="40355"/>
    <n v="16758"/>
    <n v="9663"/>
    <s v="No"/>
    <n v="52"/>
    <n v="3.7"/>
    <x v="0"/>
  </r>
  <r>
    <x v="223"/>
    <s v="Kavya Reddy"/>
    <n v="14"/>
    <x v="0"/>
    <s v="AB+"/>
    <s v="Pune"/>
    <d v="2022-07-03T00:00:00"/>
    <d v="2022-07-07T00:00:00"/>
    <n v="4"/>
    <x v="0"/>
    <s v="Anemia"/>
    <x v="4"/>
    <s v="ICU Care"/>
    <x v="3"/>
    <s v="Dr. Kavita Kumar"/>
    <n v="177"/>
    <s v="General Ward"/>
    <x v="4"/>
    <n v="76546"/>
    <n v="0"/>
    <n v="76546"/>
    <n v="49369"/>
    <n v="12459"/>
    <n v="10596"/>
    <s v="No"/>
    <n v="68"/>
    <n v="2.1"/>
    <x v="2"/>
  </r>
  <r>
    <x v="224"/>
    <s v="Suresh Shah"/>
    <n v="24"/>
    <x v="1"/>
    <s v="A-"/>
    <s v="Mumbai"/>
    <d v="2023-05-13T00:00:00"/>
    <d v="2023-06-02T00:00:00"/>
    <n v="20"/>
    <x v="5"/>
    <s v="Pneumonia"/>
    <x v="8"/>
    <s v="Medication"/>
    <x v="3"/>
    <s v="Dr. Prerna Singh"/>
    <n v="231"/>
    <s v="ICU"/>
    <x v="2"/>
    <n v="117378"/>
    <n v="77888"/>
    <n v="39490"/>
    <n v="91999"/>
    <n v="7848"/>
    <n v="12624"/>
    <s v="No"/>
    <n v="88"/>
    <n v="2.8"/>
    <x v="4"/>
  </r>
  <r>
    <x v="225"/>
    <s v="Divya Gupta"/>
    <n v="7"/>
    <x v="0"/>
    <s v="A+"/>
    <s v="Hyderabad"/>
    <d v="2022-12-15T00:00:00"/>
    <d v="2022-12-17T00:00:00"/>
    <n v="2"/>
    <x v="1"/>
    <s v="UTI"/>
    <x v="2"/>
    <s v="Dietary Management"/>
    <x v="3"/>
    <s v="Dr. Arun Gupta"/>
    <n v="336"/>
    <s v="General Ward"/>
    <x v="2"/>
    <n v="137914"/>
    <n v="118507"/>
    <n v="19407"/>
    <n v="106880"/>
    <n v="22639"/>
    <n v="4945"/>
    <s v="Yes"/>
    <n v="95"/>
    <n v="4.7"/>
    <x v="4"/>
  </r>
  <r>
    <x v="226"/>
    <s v="Kavya Chopra"/>
    <n v="70"/>
    <x v="1"/>
    <s v="O-"/>
    <s v="Ahmedabad"/>
    <d v="2024-12-24T00:00:00"/>
    <d v="2024-12-27T00:00:00"/>
    <n v="3"/>
    <x v="4"/>
    <s v="Heart Attack"/>
    <x v="7"/>
    <s v="Counseling"/>
    <x v="0"/>
    <s v="Dr. Deepak Sharma"/>
    <n v="21"/>
    <s v="Semi-Private"/>
    <x v="1"/>
    <n v="109113"/>
    <n v="68012"/>
    <n v="41101"/>
    <n v="84934"/>
    <n v="11930"/>
    <n v="8527"/>
    <s v="Yes"/>
    <n v="83"/>
    <n v="3.1"/>
    <x v="1"/>
  </r>
  <r>
    <x v="227"/>
    <s v="Kavya Das"/>
    <n v="40"/>
    <x v="1"/>
    <s v="O+"/>
    <s v="Kolkata"/>
    <d v="2022-03-02T00:00:00"/>
    <d v="2022-03-20T00:00:00"/>
    <n v="18"/>
    <x v="5"/>
    <s v="Asthma"/>
    <x v="8"/>
    <s v="Physiotherapy"/>
    <x v="3"/>
    <s v="Dr. Vivek Mehta"/>
    <n v="45"/>
    <s v="ICU"/>
    <x v="1"/>
    <n v="85482"/>
    <n v="45129"/>
    <n v="40353"/>
    <n v="64618"/>
    <n v="14675"/>
    <n v="4438"/>
    <s v="No"/>
    <n v="78"/>
    <n v="3"/>
    <x v="0"/>
  </r>
  <r>
    <x v="228"/>
    <s v="Vikram Mehta"/>
    <n v="22"/>
    <x v="1"/>
    <s v="B+"/>
    <s v="Hyderabad"/>
    <d v="2024-12-08T00:00:00"/>
    <d v="2024-12-31T00:00:00"/>
    <n v="23"/>
    <x v="5"/>
    <s v="Pneumonia"/>
    <x v="8"/>
    <s v="Physiotherapy"/>
    <x v="2"/>
    <s v="Dr. Nisha Patel"/>
    <n v="286"/>
    <s v="General Ward"/>
    <x v="0"/>
    <n v="133368"/>
    <n v="82438"/>
    <n v="50930"/>
    <n v="88256"/>
    <n v="28509"/>
    <n v="14911"/>
    <s v="No"/>
    <n v="96"/>
    <n v="4.9000000000000004"/>
    <x v="4"/>
  </r>
  <r>
    <x v="229"/>
    <s v="Deepa Malhotra"/>
    <n v="40"/>
    <x v="1"/>
    <s v="B-"/>
    <s v="Delhi"/>
    <d v="2022-09-27T00:00:00"/>
    <d v="2022-10-03T00:00:00"/>
    <n v="6"/>
    <x v="4"/>
    <s v="Hypertension"/>
    <x v="7"/>
    <s v="Dietary Management"/>
    <x v="3"/>
    <s v="Dr. Shalini Rao"/>
    <n v="314"/>
    <s v="Semi-Private"/>
    <x v="1"/>
    <n v="86905"/>
    <n v="44128"/>
    <n v="42777"/>
    <n v="65865"/>
    <n v="8566"/>
    <n v="11761"/>
    <s v="No"/>
    <n v="70"/>
    <n v="2.4"/>
    <x v="0"/>
  </r>
  <r>
    <x v="230"/>
    <s v="Meera Shah"/>
    <n v="28"/>
    <x v="0"/>
    <s v="AB-"/>
    <s v="Ahmedabad"/>
    <d v="2022-10-09T00:00:00"/>
    <d v="2022-10-15T00:00:00"/>
    <n v="6"/>
    <x v="3"/>
    <s v="Stroke"/>
    <x v="6"/>
    <s v="Medication"/>
    <x v="0"/>
    <s v="Dr. Arun Singh"/>
    <n v="487"/>
    <s v="ICU"/>
    <x v="0"/>
    <n v="88893"/>
    <n v="40280"/>
    <n v="48613"/>
    <n v="58171"/>
    <n v="25830"/>
    <n v="3851"/>
    <s v="No"/>
    <n v="68"/>
    <n v="4.5999999999999996"/>
    <x v="4"/>
  </r>
  <r>
    <x v="231"/>
    <s v="Manoj Verma"/>
    <n v="63"/>
    <x v="1"/>
    <s v="AB+"/>
    <s v="Kolkata"/>
    <d v="2022-03-27T00:00:00"/>
    <d v="2022-04-16T00:00:00"/>
    <n v="20"/>
    <x v="3"/>
    <s v="Migraine"/>
    <x v="6"/>
    <s v="Observation"/>
    <x v="1"/>
    <s v="Dr. Deepak Patel"/>
    <n v="232"/>
    <s v="ICU"/>
    <x v="2"/>
    <n v="100462"/>
    <n v="89928"/>
    <n v="10534"/>
    <n v="69414"/>
    <n v="17996"/>
    <n v="9312"/>
    <s v="Yes"/>
    <n v="64"/>
    <n v="3.5"/>
    <x v="3"/>
  </r>
  <r>
    <x v="232"/>
    <s v="Suresh Rao"/>
    <n v="61"/>
    <x v="0"/>
    <s v="O+"/>
    <s v="Hyderabad"/>
    <d v="2024-08-02T00:00:00"/>
    <d v="2024-08-08T00:00:00"/>
    <n v="6"/>
    <x v="0"/>
    <s v="Anemia"/>
    <x v="4"/>
    <s v="Dietary Management"/>
    <x v="1"/>
    <s v="Dr. Deepak Mehta"/>
    <n v="238"/>
    <s v="ICU"/>
    <x v="2"/>
    <n v="149373"/>
    <n v="95687"/>
    <n v="53686"/>
    <n v="136244"/>
    <n v="4708"/>
    <n v="3445"/>
    <s v="No"/>
    <n v="68"/>
    <n v="2.1"/>
    <x v="4"/>
  </r>
  <r>
    <x v="233"/>
    <s v="Sanjay Mehta"/>
    <n v="63"/>
    <x v="1"/>
    <s v="O+"/>
    <s v="Pune"/>
    <d v="2022-12-02T00:00:00"/>
    <d v="2022-12-25T00:00:00"/>
    <n v="23"/>
    <x v="0"/>
    <s v="Appendicitis"/>
    <x v="0"/>
    <s v="Surgery"/>
    <x v="0"/>
    <s v="Dr. Nisha Patel"/>
    <n v="269"/>
    <s v="ICU"/>
    <x v="1"/>
    <n v="73457"/>
    <n v="30350"/>
    <n v="43107"/>
    <n v="46916"/>
    <n v="13408"/>
    <n v="9516"/>
    <s v="No"/>
    <n v="61"/>
    <n v="3.7"/>
    <x v="2"/>
  </r>
  <r>
    <x v="234"/>
    <s v="Ananya Gupta"/>
    <n v="27"/>
    <x v="1"/>
    <s v="AB+"/>
    <s v="Hyderabad"/>
    <d v="2023-09-26T00:00:00"/>
    <d v="2023-10-20T00:00:00"/>
    <n v="24"/>
    <x v="0"/>
    <s v="COVID-19"/>
    <x v="1"/>
    <s v="Physiotherapy"/>
    <x v="1"/>
    <s v="Dr. Sameer Reddy"/>
    <n v="2"/>
    <s v="Private"/>
    <x v="2"/>
    <n v="161635"/>
    <n v="123336"/>
    <n v="38299"/>
    <n v="125230"/>
    <n v="17306"/>
    <n v="14515"/>
    <s v="Yes"/>
    <n v="96"/>
    <n v="3.5"/>
    <x v="2"/>
  </r>
  <r>
    <x v="235"/>
    <s v="Sanjay Bose"/>
    <n v="63"/>
    <x v="0"/>
    <s v="AB-"/>
    <s v="Delhi"/>
    <d v="2022-01-14T00:00:00"/>
    <d v="2022-01-22T00:00:00"/>
    <n v="8"/>
    <x v="0"/>
    <s v="Depression"/>
    <x v="5"/>
    <s v="Dietary Management"/>
    <x v="2"/>
    <s v="Dr. Arun Mehta"/>
    <n v="76"/>
    <s v="General Ward"/>
    <x v="4"/>
    <n v="35643"/>
    <n v="0"/>
    <n v="35643"/>
    <n v="14626"/>
    <n v="5763"/>
    <n v="14489"/>
    <s v="No"/>
    <n v="93"/>
    <n v="3.8"/>
    <x v="1"/>
  </r>
  <r>
    <x v="236"/>
    <s v="Sonia Singh"/>
    <n v="11"/>
    <x v="1"/>
    <s v="AB+"/>
    <s v="Bangalore"/>
    <d v="2022-11-27T00:00:00"/>
    <d v="2022-12-19T00:00:00"/>
    <n v="22"/>
    <x v="1"/>
    <s v="UTI"/>
    <x v="2"/>
    <s v="Dietary Management"/>
    <x v="2"/>
    <s v="Dr. Anjali Rao"/>
    <n v="185"/>
    <s v="General Ward"/>
    <x v="2"/>
    <n v="105178"/>
    <n v="88989"/>
    <n v="16189"/>
    <n v="83458"/>
    <n v="11578"/>
    <n v="6538"/>
    <s v="No"/>
    <n v="93"/>
    <n v="3.7"/>
    <x v="1"/>
  </r>
  <r>
    <x v="237"/>
    <s v="Meera Gupta"/>
    <n v="20"/>
    <x v="0"/>
    <s v="O-"/>
    <s v="Jaipur"/>
    <d v="2024-04-27T00:00:00"/>
    <d v="2024-05-14T00:00:00"/>
    <n v="17"/>
    <x v="3"/>
    <s v="Stroke"/>
    <x v="6"/>
    <s v="Dietary Management"/>
    <x v="1"/>
    <s v="Dr. Prerna Rao"/>
    <n v="374"/>
    <s v="General Ward"/>
    <x v="3"/>
    <n v="108844"/>
    <n v="73785"/>
    <n v="35059"/>
    <n v="80284"/>
    <n v="14993"/>
    <n v="10475"/>
    <s v="No"/>
    <n v="79"/>
    <n v="3.1"/>
    <x v="2"/>
  </r>
  <r>
    <x v="238"/>
    <s v="Divya Iyer"/>
    <n v="68"/>
    <x v="0"/>
    <s v="AB-"/>
    <s v="Bangalore"/>
    <d v="2023-04-22T00:00:00"/>
    <d v="2023-05-15T00:00:00"/>
    <n v="23"/>
    <x v="1"/>
    <s v="UTI"/>
    <x v="2"/>
    <s v="Medication"/>
    <x v="1"/>
    <s v="Dr. Arun Gupta"/>
    <n v="321"/>
    <s v="General Ward"/>
    <x v="0"/>
    <n v="132739"/>
    <n v="67019"/>
    <n v="65720"/>
    <n v="113693"/>
    <n v="14567"/>
    <n v="1245"/>
    <s v="No"/>
    <n v="53"/>
    <n v="2"/>
    <x v="2"/>
  </r>
  <r>
    <x v="239"/>
    <s v="Manoj Rao"/>
    <n v="37"/>
    <x v="1"/>
    <s v="O+"/>
    <s v="Hyderabad"/>
    <d v="2024-11-03T00:00:00"/>
    <d v="2024-11-21T00:00:00"/>
    <n v="18"/>
    <x v="0"/>
    <s v="Dengue"/>
    <x v="1"/>
    <s v="Surgery"/>
    <x v="3"/>
    <s v="Dr. Nisha Joshi"/>
    <n v="371"/>
    <s v="General Ward"/>
    <x v="0"/>
    <n v="85119"/>
    <n v="57599"/>
    <n v="27520"/>
    <n v="55860"/>
    <n v="11830"/>
    <n v="14161"/>
    <s v="No"/>
    <n v="70"/>
    <n v="4.4000000000000004"/>
    <x v="2"/>
  </r>
  <r>
    <x v="240"/>
    <s v="Meera Gupta"/>
    <n v="85"/>
    <x v="0"/>
    <s v="O-"/>
    <s v="Ahmedabad"/>
    <d v="2024-04-27T00:00:00"/>
    <d v="2024-05-27T00:00:00"/>
    <n v="30"/>
    <x v="0"/>
    <s v="Diabetes Type 2"/>
    <x v="9"/>
    <s v="Dialysis"/>
    <x v="3"/>
    <s v="Dr. Deepak Nair"/>
    <n v="10"/>
    <s v="Semi-Private"/>
    <x v="1"/>
    <n v="136091"/>
    <n v="57140"/>
    <n v="78951"/>
    <n v="91958"/>
    <n v="27199"/>
    <n v="13538"/>
    <s v="Yes"/>
    <n v="93"/>
    <n v="2.1"/>
    <x v="4"/>
  </r>
  <r>
    <x v="241"/>
    <s v="Rajesh Pillai"/>
    <n v="26"/>
    <x v="0"/>
    <s v="B+"/>
    <s v="Lucknow"/>
    <d v="2022-08-28T00:00:00"/>
    <d v="2022-09-25T00:00:00"/>
    <n v="28"/>
    <x v="1"/>
    <s v="UTI"/>
    <x v="2"/>
    <s v="Medication"/>
    <x v="3"/>
    <s v="Dr. Vivek Patel"/>
    <n v="255"/>
    <s v="Semi-Private"/>
    <x v="4"/>
    <n v="159371"/>
    <n v="0"/>
    <n v="159371"/>
    <n v="123464"/>
    <n v="28179"/>
    <n v="5458"/>
    <s v="No"/>
    <n v="51"/>
    <n v="2.2999999999999998"/>
    <x v="3"/>
  </r>
  <r>
    <x v="242"/>
    <s v="Vijay Mehta"/>
    <n v="16"/>
    <x v="0"/>
    <s v="A+"/>
    <s v="Ahmedabad"/>
    <d v="2024-10-21T00:00:00"/>
    <d v="2024-10-26T00:00:00"/>
    <n v="5"/>
    <x v="3"/>
    <s v="Stroke"/>
    <x v="6"/>
    <s v="Radiation Therapy"/>
    <x v="3"/>
    <s v="Dr. Nisha Mehta"/>
    <n v="394"/>
    <s v="General Ward"/>
    <x v="1"/>
    <n v="60684"/>
    <n v="32636"/>
    <n v="28048"/>
    <n v="39791"/>
    <n v="7723"/>
    <n v="12371"/>
    <s v="No"/>
    <n v="73"/>
    <n v="2.2999999999999998"/>
    <x v="1"/>
  </r>
  <r>
    <x v="243"/>
    <s v="Sonia Patel"/>
    <n v="81"/>
    <x v="1"/>
    <s v="O-"/>
    <s v="Ahmedabad"/>
    <d v="2022-04-05T00:00:00"/>
    <d v="2022-04-09T00:00:00"/>
    <n v="4"/>
    <x v="6"/>
    <s v="Arthritis"/>
    <x v="11"/>
    <s v="Medication"/>
    <x v="3"/>
    <s v="Dr. Kavita Kumar"/>
    <n v="103"/>
    <s v="Semi-Private"/>
    <x v="4"/>
    <n v="105804"/>
    <n v="0"/>
    <n v="105804"/>
    <n v="77522"/>
    <n v="18441"/>
    <n v="5728"/>
    <s v="No"/>
    <n v="57"/>
    <n v="2.4"/>
    <x v="1"/>
  </r>
  <r>
    <x v="244"/>
    <s v="Sneha Sharma"/>
    <n v="84"/>
    <x v="1"/>
    <s v="B-"/>
    <s v="Jaipur"/>
    <d v="2023-12-19T00:00:00"/>
    <d v="2024-01-06T00:00:00"/>
    <n v="18"/>
    <x v="0"/>
    <s v="Dengue"/>
    <x v="1"/>
    <s v="Physiotherapy"/>
    <x v="3"/>
    <s v="Dr. Shalini Reddy"/>
    <n v="88"/>
    <s v="General Ward"/>
    <x v="4"/>
    <n v="121194"/>
    <n v="0"/>
    <n v="121194"/>
    <n v="93798"/>
    <n v="18713"/>
    <n v="7768"/>
    <s v="Yes"/>
    <n v="70"/>
    <n v="4.7"/>
    <x v="3"/>
  </r>
  <r>
    <x v="245"/>
    <s v="Sneha Chopra"/>
    <n v="11"/>
    <x v="1"/>
    <s v="AB+"/>
    <s v="Kolkata"/>
    <d v="2023-01-02T00:00:00"/>
    <d v="2023-01-25T00:00:00"/>
    <n v="23"/>
    <x v="0"/>
    <s v="Liver Disease"/>
    <x v="0"/>
    <s v="Radiation Therapy"/>
    <x v="3"/>
    <s v="Dr. Rakesh Kumar"/>
    <n v="419"/>
    <s v="Semi-Private"/>
    <x v="1"/>
    <n v="68692"/>
    <n v="39178"/>
    <n v="29514"/>
    <n v="25590"/>
    <n v="25764"/>
    <n v="13024"/>
    <s v="Yes"/>
    <n v="91"/>
    <n v="4.8"/>
    <x v="4"/>
  </r>
  <r>
    <x v="246"/>
    <s v="Sneha Malhotra"/>
    <n v="44"/>
    <x v="0"/>
    <s v="AB-"/>
    <s v="Chennai"/>
    <d v="2023-04-04T00:00:00"/>
    <d v="2023-04-09T00:00:00"/>
    <n v="5"/>
    <x v="0"/>
    <s v="Liver Disease"/>
    <x v="0"/>
    <s v="ICU Care"/>
    <x v="0"/>
    <s v="Dr. Sameer Kumar"/>
    <n v="404"/>
    <s v="Private"/>
    <x v="3"/>
    <n v="140750"/>
    <n v="89217"/>
    <n v="51533"/>
    <n v="132796"/>
    <n v="1991"/>
    <n v="1570"/>
    <s v="No"/>
    <n v="94"/>
    <n v="2.5"/>
    <x v="1"/>
  </r>
  <r>
    <x v="247"/>
    <s v="Divya Iyer"/>
    <n v="21"/>
    <x v="1"/>
    <s v="AB+"/>
    <s v="Delhi"/>
    <d v="2023-10-30T00:00:00"/>
    <d v="2023-11-17T00:00:00"/>
    <n v="18"/>
    <x v="6"/>
    <s v="Fracture"/>
    <x v="10"/>
    <s v="Counseling"/>
    <x v="0"/>
    <s v="Dr. Vivek Rao"/>
    <n v="212"/>
    <s v="Semi-Private"/>
    <x v="1"/>
    <n v="95393"/>
    <n v="49141"/>
    <n v="46252"/>
    <n v="68882"/>
    <n v="18955"/>
    <n v="3105"/>
    <s v="No"/>
    <n v="92"/>
    <n v="4.0999999999999996"/>
    <x v="4"/>
  </r>
  <r>
    <x v="248"/>
    <s v="Lata Khanna"/>
    <n v="77"/>
    <x v="0"/>
    <s v="B-"/>
    <s v="Bangalore"/>
    <d v="2022-06-09T00:00:00"/>
    <d v="2022-07-03T00:00:00"/>
    <n v="24"/>
    <x v="0"/>
    <s v="Obesity"/>
    <x v="12"/>
    <s v="Surgery"/>
    <x v="0"/>
    <s v="Dr. Nisha Nair"/>
    <n v="50"/>
    <s v="ICU"/>
    <x v="0"/>
    <n v="103076"/>
    <n v="62428"/>
    <n v="40648"/>
    <n v="85749"/>
    <n v="14297"/>
    <n v="1640"/>
    <s v="No"/>
    <n v="92"/>
    <n v="3.1"/>
    <x v="4"/>
  </r>
  <r>
    <x v="249"/>
    <s v="Rajesh Patel"/>
    <n v="16"/>
    <x v="1"/>
    <s v="B+"/>
    <s v="Lucknow"/>
    <d v="2022-01-01T00:00:00"/>
    <d v="2022-01-26T00:00:00"/>
    <n v="25"/>
    <x v="5"/>
    <s v="Pneumonia"/>
    <x v="8"/>
    <s v="Radiation Therapy"/>
    <x v="3"/>
    <s v="Dr. Vivek Rao"/>
    <n v="296"/>
    <s v="ICU"/>
    <x v="0"/>
    <n v="100211"/>
    <n v="49095"/>
    <n v="51116"/>
    <n v="58912"/>
    <n v="23331"/>
    <n v="14875"/>
    <s v="No"/>
    <n v="83"/>
    <n v="2.9"/>
    <x v="4"/>
  </r>
  <r>
    <x v="250"/>
    <s v="Manoj Shah"/>
    <n v="16"/>
    <x v="1"/>
    <s v="AB+"/>
    <s v="Bangalore"/>
    <d v="2023-08-26T00:00:00"/>
    <d v="2023-08-28T00:00:00"/>
    <n v="2"/>
    <x v="1"/>
    <s v="Kidney Stone"/>
    <x v="2"/>
    <s v="Medication"/>
    <x v="1"/>
    <s v="Dr. Deepak Kumar"/>
    <n v="57"/>
    <s v="Private"/>
    <x v="2"/>
    <n v="97547"/>
    <n v="76825"/>
    <n v="20722"/>
    <n v="66667"/>
    <n v="15146"/>
    <n v="12005"/>
    <s v="No"/>
    <n v="65"/>
    <n v="3.1"/>
    <x v="0"/>
  </r>
  <r>
    <x v="251"/>
    <s v="Suresh Joshi"/>
    <n v="65"/>
    <x v="1"/>
    <s v="B-"/>
    <s v="Jaipur"/>
    <d v="2024-02-27T00:00:00"/>
    <d v="2024-03-25T00:00:00"/>
    <n v="27"/>
    <x v="1"/>
    <s v="Kidney Stone"/>
    <x v="2"/>
    <s v="Physiotherapy"/>
    <x v="3"/>
    <s v="Dr. Sameer Mehta"/>
    <n v="6"/>
    <s v="General Ward"/>
    <x v="2"/>
    <n v="86868"/>
    <n v="69267"/>
    <n v="17601"/>
    <n v="42747"/>
    <n v="24636"/>
    <n v="14998"/>
    <s v="No"/>
    <n v="48"/>
    <n v="2.2999999999999998"/>
    <x v="4"/>
  </r>
  <r>
    <x v="252"/>
    <s v="Rekha Malhotra"/>
    <n v="82"/>
    <x v="0"/>
    <s v="B+"/>
    <s v="Ahmedabad"/>
    <d v="2024-11-09T00:00:00"/>
    <d v="2024-11-23T00:00:00"/>
    <n v="14"/>
    <x v="0"/>
    <s v="Depression"/>
    <x v="5"/>
    <s v="Observation"/>
    <x v="3"/>
    <s v="Dr. Kavita Mehta"/>
    <n v="218"/>
    <s v="General Ward"/>
    <x v="1"/>
    <n v="179250"/>
    <n v="109995"/>
    <n v="69255"/>
    <n v="135588"/>
    <n v="28748"/>
    <n v="12475"/>
    <s v="No"/>
    <n v="99"/>
    <n v="3.6"/>
    <x v="1"/>
  </r>
  <r>
    <x v="253"/>
    <s v="Priya Patel"/>
    <n v="77"/>
    <x v="0"/>
    <s v="O-"/>
    <s v="Delhi"/>
    <d v="2024-09-13T00:00:00"/>
    <d v="2024-10-06T00:00:00"/>
    <n v="23"/>
    <x v="6"/>
    <s v="Fracture"/>
    <x v="10"/>
    <s v="Counseling"/>
    <x v="3"/>
    <s v="Dr. Anjali Nair"/>
    <n v="41"/>
    <s v="General Ward"/>
    <x v="0"/>
    <n v="164305"/>
    <n v="99441"/>
    <n v="64864"/>
    <n v="128850"/>
    <n v="21665"/>
    <n v="12651"/>
    <s v="No"/>
    <n v="77"/>
    <n v="2.9"/>
    <x v="3"/>
  </r>
  <r>
    <x v="254"/>
    <s v="Mukesh Verma"/>
    <n v="73"/>
    <x v="1"/>
    <s v="AB-"/>
    <s v="Ahmedabad"/>
    <d v="2024-11-15T00:00:00"/>
    <d v="2024-12-14T00:00:00"/>
    <n v="29"/>
    <x v="0"/>
    <s v="Typhoid"/>
    <x v="1"/>
    <s v="ICU Care"/>
    <x v="0"/>
    <s v="Dr. Nisha Singh"/>
    <n v="149"/>
    <s v="Semi-Private"/>
    <x v="2"/>
    <n v="125525"/>
    <n v="77628"/>
    <n v="47897"/>
    <n v="84710"/>
    <n v="24821"/>
    <n v="13361"/>
    <s v="No"/>
    <n v="50"/>
    <n v="3.7"/>
    <x v="1"/>
  </r>
  <r>
    <x v="255"/>
    <s v="Lata Menon"/>
    <n v="8"/>
    <x v="0"/>
    <s v="AB-"/>
    <s v="Delhi"/>
    <d v="2022-09-17T00:00:00"/>
    <d v="2022-10-04T00:00:00"/>
    <n v="17"/>
    <x v="6"/>
    <s v="Fracture"/>
    <x v="10"/>
    <s v="Dialysis"/>
    <x v="2"/>
    <s v="Dr. Shalini Singh"/>
    <n v="141"/>
    <s v="Private"/>
    <x v="2"/>
    <n v="60126"/>
    <n v="47965"/>
    <n v="12161"/>
    <n v="34242"/>
    <n v="20786"/>
    <n v="3360"/>
    <s v="No"/>
    <n v="51"/>
    <n v="2.8"/>
    <x v="2"/>
  </r>
  <r>
    <x v="256"/>
    <s v="Meera Joshi"/>
    <n v="72"/>
    <x v="1"/>
    <s v="O-"/>
    <s v="Delhi"/>
    <d v="2022-10-25T00:00:00"/>
    <d v="2022-11-14T00:00:00"/>
    <n v="20"/>
    <x v="5"/>
    <s v="Pneumonia"/>
    <x v="8"/>
    <s v="Observation"/>
    <x v="0"/>
    <s v="Dr. Kavita Gupta"/>
    <n v="372"/>
    <s v="Semi-Private"/>
    <x v="0"/>
    <n v="111926"/>
    <n v="70138"/>
    <n v="41788"/>
    <n v="95459"/>
    <n v="2780"/>
    <n v="11022"/>
    <s v="Yes"/>
    <n v="50"/>
    <n v="3.4"/>
    <x v="4"/>
  </r>
  <r>
    <x v="257"/>
    <s v="Deepa Bose"/>
    <n v="73"/>
    <x v="1"/>
    <s v="AB+"/>
    <s v="Kolkata"/>
    <d v="2024-08-29T00:00:00"/>
    <d v="2024-09-07T00:00:00"/>
    <n v="9"/>
    <x v="5"/>
    <s v="Pneumonia"/>
    <x v="8"/>
    <s v="Observation"/>
    <x v="1"/>
    <s v="Dr. Rakesh Gupta"/>
    <n v="196"/>
    <s v="Private"/>
    <x v="1"/>
    <n v="32544"/>
    <n v="22353"/>
    <n v="10191"/>
    <n v="15752"/>
    <n v="4190"/>
    <n v="9204"/>
    <s v="No"/>
    <n v="98"/>
    <n v="4"/>
    <x v="1"/>
  </r>
  <r>
    <x v="258"/>
    <s v="Amit Nair"/>
    <n v="39"/>
    <x v="1"/>
    <s v="O+"/>
    <s v="Lucknow"/>
    <d v="2024-03-12T00:00:00"/>
    <d v="2024-03-27T00:00:00"/>
    <n v="15"/>
    <x v="2"/>
    <s v="Cancer"/>
    <x v="3"/>
    <s v="Chemotherapy"/>
    <x v="3"/>
    <s v="Dr. Sameer Kumar"/>
    <n v="281"/>
    <s v="General Ward"/>
    <x v="2"/>
    <n v="32741"/>
    <n v="24804"/>
    <n v="7937"/>
    <n v="22813"/>
    <n v="1391"/>
    <n v="7237"/>
    <s v="No"/>
    <n v="62"/>
    <n v="2.7"/>
    <x v="1"/>
  </r>
  <r>
    <x v="259"/>
    <s v="Rohan Mehta"/>
    <n v="9"/>
    <x v="1"/>
    <s v="A-"/>
    <s v="Mumbai"/>
    <d v="2023-03-21T00:00:00"/>
    <d v="2023-04-10T00:00:00"/>
    <n v="20"/>
    <x v="0"/>
    <s v="Appendicitis"/>
    <x v="0"/>
    <s v="Surgery"/>
    <x v="2"/>
    <s v="Dr. Vivek Rao"/>
    <n v="412"/>
    <s v="Semi-Private"/>
    <x v="2"/>
    <n v="72255"/>
    <n v="57670"/>
    <n v="14585"/>
    <n v="53303"/>
    <n v="9301"/>
    <n v="5326"/>
    <s v="Yes"/>
    <n v="69"/>
    <n v="4.8"/>
    <x v="1"/>
  </r>
  <r>
    <x v="260"/>
    <s v="Vijay Khanna"/>
    <n v="46"/>
    <x v="0"/>
    <s v="B+"/>
    <s v="Delhi"/>
    <d v="2023-07-22T00:00:00"/>
    <d v="2023-08-16T00:00:00"/>
    <n v="25"/>
    <x v="0"/>
    <s v="Diabetes Type 2"/>
    <x v="9"/>
    <s v="Observation"/>
    <x v="3"/>
    <s v="Dr. Arun Singh"/>
    <n v="490"/>
    <s v="Private"/>
    <x v="0"/>
    <n v="134467"/>
    <n v="78406"/>
    <n v="56061"/>
    <n v="120494"/>
    <n v="3274"/>
    <n v="8556"/>
    <s v="No"/>
    <n v="71"/>
    <n v="2.2999999999999998"/>
    <x v="0"/>
  </r>
  <r>
    <x v="261"/>
    <s v="Vijay Khanna"/>
    <n v="32"/>
    <x v="1"/>
    <s v="AB-"/>
    <s v="Hyderabad"/>
    <d v="2022-07-31T00:00:00"/>
    <d v="2022-08-02T00:00:00"/>
    <n v="2"/>
    <x v="6"/>
    <s v="Fracture"/>
    <x v="10"/>
    <s v="Dietary Management"/>
    <x v="3"/>
    <s v="Dr. Anjali Sharma"/>
    <n v="460"/>
    <s v="ICU"/>
    <x v="0"/>
    <n v="22552"/>
    <n v="10823"/>
    <n v="11729"/>
    <n v="5227"/>
    <n v="2239"/>
    <n v="11388"/>
    <s v="No"/>
    <n v="97"/>
    <n v="3.2"/>
    <x v="3"/>
  </r>
  <r>
    <x v="262"/>
    <s v="Arjun Bose"/>
    <n v="66"/>
    <x v="0"/>
    <s v="AB+"/>
    <s v="Delhi"/>
    <d v="2023-04-08T00:00:00"/>
    <d v="2023-04-09T00:00:00"/>
    <n v="1"/>
    <x v="3"/>
    <s v="Migraine"/>
    <x v="6"/>
    <s v="Surgery"/>
    <x v="3"/>
    <s v="Dr. Nisha Singh"/>
    <n v="206"/>
    <s v="General Ward"/>
    <x v="2"/>
    <n v="137059"/>
    <n v="85544"/>
    <n v="51515"/>
    <n v="100775"/>
    <n v="18518"/>
    <n v="14481"/>
    <s v="No"/>
    <n v="89"/>
    <n v="2.9"/>
    <x v="2"/>
  </r>
  <r>
    <x v="263"/>
    <s v="Ananya Pillai"/>
    <n v="10"/>
    <x v="0"/>
    <s v="B-"/>
    <s v="Hyderabad"/>
    <d v="2024-03-09T00:00:00"/>
    <d v="2024-04-07T00:00:00"/>
    <n v="29"/>
    <x v="0"/>
    <s v="Appendicitis"/>
    <x v="0"/>
    <s v="Radiation Therapy"/>
    <x v="1"/>
    <s v="Dr. Anjali Reddy"/>
    <n v="72"/>
    <s v="General Ward"/>
    <x v="0"/>
    <n v="48900"/>
    <n v="26737"/>
    <n v="22163"/>
    <n v="11649"/>
    <n v="24584"/>
    <n v="10214"/>
    <s v="Yes"/>
    <n v="74"/>
    <n v="3.9"/>
    <x v="4"/>
  </r>
  <r>
    <x v="264"/>
    <s v="Ritu Malhotra"/>
    <n v="7"/>
    <x v="1"/>
    <s v="O-"/>
    <s v="Mumbai"/>
    <d v="2023-11-23T00:00:00"/>
    <d v="2023-12-19T00:00:00"/>
    <n v="26"/>
    <x v="0"/>
    <s v="Diabetes Type 2"/>
    <x v="9"/>
    <s v="Surgery"/>
    <x v="2"/>
    <s v="Dr. Deepak Gupta"/>
    <n v="482"/>
    <s v="Semi-Private"/>
    <x v="1"/>
    <n v="72198"/>
    <n v="39468"/>
    <n v="32730"/>
    <n v="66075"/>
    <n v="3360"/>
    <n v="1104"/>
    <s v="Yes"/>
    <n v="98"/>
    <n v="4.8"/>
    <x v="3"/>
  </r>
  <r>
    <x v="265"/>
    <s v="Kavya Gupta"/>
    <n v="6"/>
    <x v="1"/>
    <s v="A+"/>
    <s v="Hyderabad"/>
    <d v="2022-07-19T00:00:00"/>
    <d v="2022-08-03T00:00:00"/>
    <n v="15"/>
    <x v="0"/>
    <s v="Liver Disease"/>
    <x v="0"/>
    <s v="Dietary Management"/>
    <x v="1"/>
    <s v="Dr. Prerna Patel"/>
    <n v="255"/>
    <s v="Semi-Private"/>
    <x v="2"/>
    <n v="82907"/>
    <n v="57809"/>
    <n v="25098"/>
    <n v="58121"/>
    <n v="14966"/>
    <n v="6027"/>
    <s v="No"/>
    <n v="76"/>
    <n v="3.6"/>
    <x v="1"/>
  </r>
  <r>
    <x v="266"/>
    <s v="Ashok Mehta"/>
    <n v="10"/>
    <x v="1"/>
    <s v="O-"/>
    <s v="Delhi"/>
    <d v="2022-09-05T00:00:00"/>
    <d v="2022-09-14T00:00:00"/>
    <n v="9"/>
    <x v="5"/>
    <s v="Pneumonia"/>
    <x v="8"/>
    <s v="Physiotherapy"/>
    <x v="3"/>
    <s v="Dr. Deepak Mehta"/>
    <n v="225"/>
    <s v="Semi-Private"/>
    <x v="1"/>
    <n v="26756"/>
    <n v="16945"/>
    <n v="9811"/>
    <n v="15668"/>
    <n v="5370"/>
    <n v="2137"/>
    <s v="Yes"/>
    <n v="71"/>
    <n v="2.2000000000000002"/>
    <x v="3"/>
  </r>
  <r>
    <x v="267"/>
    <s v="Ananya Singh"/>
    <n v="80"/>
    <x v="0"/>
    <s v="AB+"/>
    <s v="Ahmedabad"/>
    <d v="2022-09-17T00:00:00"/>
    <d v="2022-09-24T00:00:00"/>
    <n v="7"/>
    <x v="5"/>
    <s v="Pneumonia"/>
    <x v="8"/>
    <s v="Counseling"/>
    <x v="0"/>
    <s v="Dr. Vivek Reddy"/>
    <n v="481"/>
    <s v="Semi-Private"/>
    <x v="1"/>
    <n v="43444"/>
    <n v="25355"/>
    <n v="18089"/>
    <n v="14862"/>
    <n v="20538"/>
    <n v="3449"/>
    <s v="Yes"/>
    <n v="92"/>
    <n v="4.3"/>
    <x v="1"/>
  </r>
  <r>
    <x v="268"/>
    <s v="Pooja Sharma"/>
    <n v="76"/>
    <x v="1"/>
    <s v="B-"/>
    <s v="Delhi"/>
    <d v="2024-12-21T00:00:00"/>
    <d v="2024-12-25T00:00:00"/>
    <n v="4"/>
    <x v="0"/>
    <s v="Liver Disease"/>
    <x v="0"/>
    <s v="Counseling"/>
    <x v="2"/>
    <s v="Dr. Anjali Reddy"/>
    <n v="142"/>
    <s v="General Ward"/>
    <x v="0"/>
    <n v="68971"/>
    <n v="37883"/>
    <n v="31088"/>
    <n v="34538"/>
    <n v="27103"/>
    <n v="2944"/>
    <s v="No"/>
    <n v="99"/>
    <n v="2.1"/>
    <x v="1"/>
  </r>
  <r>
    <x v="269"/>
    <s v="Deepa Mehta"/>
    <n v="60"/>
    <x v="0"/>
    <s v="O-"/>
    <s v="Lucknow"/>
    <d v="2024-07-17T00:00:00"/>
    <d v="2024-07-19T00:00:00"/>
    <n v="2"/>
    <x v="0"/>
    <s v="Appendicitis"/>
    <x v="0"/>
    <s v="Counseling"/>
    <x v="2"/>
    <s v="Dr. Sameer Sharma"/>
    <n v="249"/>
    <s v="General Ward"/>
    <x v="2"/>
    <n v="102277"/>
    <n v="74224"/>
    <n v="28053"/>
    <n v="66682"/>
    <n v="24638"/>
    <n v="7787"/>
    <s v="No"/>
    <n v="97"/>
    <n v="3"/>
    <x v="3"/>
  </r>
  <r>
    <x v="270"/>
    <s v="Amit Reddy"/>
    <n v="17"/>
    <x v="1"/>
    <s v="AB+"/>
    <s v="Chennai"/>
    <d v="2024-02-09T00:00:00"/>
    <d v="2024-03-09T00:00:00"/>
    <n v="29"/>
    <x v="2"/>
    <s v="Cancer"/>
    <x v="3"/>
    <s v="Radiation Therapy"/>
    <x v="0"/>
    <s v="Dr. Arun Joshi"/>
    <n v="75"/>
    <s v="Semi-Private"/>
    <x v="1"/>
    <n v="141512"/>
    <n v="62396"/>
    <n v="79116"/>
    <n v="124273"/>
    <n v="6834"/>
    <n v="6846"/>
    <s v="No"/>
    <n v="80"/>
    <n v="3.1"/>
    <x v="1"/>
  </r>
  <r>
    <x v="271"/>
    <s v="Suresh Verma"/>
    <n v="21"/>
    <x v="1"/>
    <s v="A+"/>
    <s v="Hyderabad"/>
    <d v="2022-10-07T00:00:00"/>
    <d v="2022-10-11T00:00:00"/>
    <n v="4"/>
    <x v="0"/>
    <s v="COVID-19"/>
    <x v="1"/>
    <s v="Observation"/>
    <x v="2"/>
    <s v="Dr. Nisha Reddy"/>
    <n v="454"/>
    <s v="Private"/>
    <x v="1"/>
    <n v="88382"/>
    <n v="50681"/>
    <n v="37701"/>
    <n v="46101"/>
    <n v="26871"/>
    <n v="13518"/>
    <s v="No"/>
    <n v="54"/>
    <n v="2.2999999999999998"/>
    <x v="0"/>
  </r>
  <r>
    <x v="272"/>
    <s v="Meera Mehta"/>
    <n v="80"/>
    <x v="0"/>
    <s v="AB-"/>
    <s v="Hyderabad"/>
    <d v="2022-01-30T00:00:00"/>
    <d v="2022-02-23T00:00:00"/>
    <n v="24"/>
    <x v="0"/>
    <s v="Anemia"/>
    <x v="4"/>
    <s v="Chemotherapy"/>
    <x v="3"/>
    <s v="Dr. Vivek Rao"/>
    <n v="114"/>
    <s v="Semi-Private"/>
    <x v="1"/>
    <n v="23072"/>
    <n v="16090"/>
    <n v="6982"/>
    <n v="6331"/>
    <n v="14689"/>
    <n v="1224"/>
    <s v="No"/>
    <n v="72"/>
    <n v="2.1"/>
    <x v="0"/>
  </r>
  <r>
    <x v="273"/>
    <s v="Karan Bose"/>
    <n v="17"/>
    <x v="0"/>
    <s v="AB-"/>
    <s v="Chennai"/>
    <d v="2022-06-20T00:00:00"/>
    <d v="2022-07-08T00:00:00"/>
    <n v="18"/>
    <x v="4"/>
    <s v="Hypertension"/>
    <x v="7"/>
    <s v="Chemotherapy"/>
    <x v="2"/>
    <s v="Dr. Nisha Singh"/>
    <n v="123"/>
    <s v="General Ward"/>
    <x v="2"/>
    <n v="161013"/>
    <n v="130580"/>
    <n v="30433"/>
    <n v="130772"/>
    <n v="22922"/>
    <n v="5494"/>
    <s v="No"/>
    <n v="87"/>
    <n v="3.8"/>
    <x v="4"/>
  </r>
  <r>
    <x v="274"/>
    <s v="Sunil Gupta"/>
    <n v="56"/>
    <x v="1"/>
    <s v="O-"/>
    <s v="Ahmedabad"/>
    <d v="2022-01-03T00:00:00"/>
    <d v="2022-01-31T00:00:00"/>
    <n v="28"/>
    <x v="6"/>
    <s v="Fracture"/>
    <x v="10"/>
    <s v="ICU Care"/>
    <x v="1"/>
    <s v="Dr. Rakesh Joshi"/>
    <n v="386"/>
    <s v="Private"/>
    <x v="1"/>
    <n v="182757"/>
    <n v="116290"/>
    <n v="66467"/>
    <n v="147196"/>
    <n v="19849"/>
    <n v="13516"/>
    <s v="Yes"/>
    <n v="96"/>
    <n v="3"/>
    <x v="3"/>
  </r>
  <r>
    <x v="275"/>
    <s v="Arjun Shah"/>
    <n v="11"/>
    <x v="1"/>
    <s v="AB+"/>
    <s v="Pune"/>
    <d v="2024-08-11T00:00:00"/>
    <d v="2024-08-31T00:00:00"/>
    <n v="20"/>
    <x v="0"/>
    <s v="Diabetes Type 2"/>
    <x v="9"/>
    <s v="ICU Care"/>
    <x v="2"/>
    <s v="Dr. Deepak Patel"/>
    <n v="288"/>
    <s v="Semi-Private"/>
    <x v="0"/>
    <n v="112389"/>
    <n v="66839"/>
    <n v="45550"/>
    <n v="92799"/>
    <n v="8819"/>
    <n v="9341"/>
    <s v="No"/>
    <n v="88"/>
    <n v="3.7"/>
    <x v="2"/>
  </r>
  <r>
    <x v="276"/>
    <s v="Vijay Reddy"/>
    <n v="46"/>
    <x v="0"/>
    <s v="O+"/>
    <s v="Jaipur"/>
    <d v="2024-05-16T00:00:00"/>
    <d v="2024-05-25T00:00:00"/>
    <n v="9"/>
    <x v="0"/>
    <s v="Diabetes Type 2"/>
    <x v="9"/>
    <s v="ICU Care"/>
    <x v="3"/>
    <s v="Dr. Anjali Gupta"/>
    <n v="257"/>
    <s v="General Ward"/>
    <x v="3"/>
    <n v="186549"/>
    <n v="162267"/>
    <n v="24282"/>
    <n v="144435"/>
    <n v="23226"/>
    <n v="14023"/>
    <s v="No"/>
    <n v="63"/>
    <n v="4.4000000000000004"/>
    <x v="3"/>
  </r>
  <r>
    <x v="277"/>
    <s v="Suresh Malhotra"/>
    <n v="16"/>
    <x v="1"/>
    <s v="AB+"/>
    <s v="Bangalore"/>
    <d v="2023-08-14T00:00:00"/>
    <d v="2023-08-17T00:00:00"/>
    <n v="3"/>
    <x v="0"/>
    <s v="Appendicitis"/>
    <x v="0"/>
    <s v="Dialysis"/>
    <x v="1"/>
    <s v="Dr. Sameer Gupta"/>
    <n v="78"/>
    <s v="Semi-Private"/>
    <x v="1"/>
    <n v="33813"/>
    <n v="22976"/>
    <n v="10837"/>
    <n v="10948"/>
    <n v="10606"/>
    <n v="7324"/>
    <s v="No"/>
    <n v="66"/>
    <n v="3.3"/>
    <x v="3"/>
  </r>
  <r>
    <x v="278"/>
    <s v="Deepa Mehta"/>
    <n v="13"/>
    <x v="1"/>
    <s v="B-"/>
    <s v="Jaipur"/>
    <d v="2023-11-19T00:00:00"/>
    <d v="2023-12-03T00:00:00"/>
    <n v="14"/>
    <x v="0"/>
    <s v="Obesity"/>
    <x v="12"/>
    <s v="ICU Care"/>
    <x v="0"/>
    <s v="Dr. Shalini Nair"/>
    <n v="432"/>
    <s v="ICU"/>
    <x v="3"/>
    <n v="109971"/>
    <n v="71648"/>
    <n v="38323"/>
    <n v="84713"/>
    <n v="19587"/>
    <n v="2661"/>
    <s v="No"/>
    <n v="70"/>
    <n v="3.1"/>
    <x v="1"/>
  </r>
  <r>
    <x v="279"/>
    <s v="Vijay Patel"/>
    <n v="23"/>
    <x v="0"/>
    <s v="O+"/>
    <s v="Ahmedabad"/>
    <d v="2022-12-07T00:00:00"/>
    <d v="2022-12-27T00:00:00"/>
    <n v="20"/>
    <x v="4"/>
    <s v="Heart Attack"/>
    <x v="7"/>
    <s v="Dialysis"/>
    <x v="2"/>
    <s v="Dr. Sameer Mehta"/>
    <n v="83"/>
    <s v="Semi-Private"/>
    <x v="2"/>
    <n v="38611"/>
    <n v="28274"/>
    <n v="10337"/>
    <n v="15787"/>
    <n v="11375"/>
    <n v="9913"/>
    <s v="No"/>
    <n v="53"/>
    <n v="3.7"/>
    <x v="3"/>
  </r>
  <r>
    <x v="280"/>
    <s v="Sunita Verma"/>
    <n v="49"/>
    <x v="1"/>
    <s v="O-"/>
    <s v="Ahmedabad"/>
    <d v="2022-11-29T00:00:00"/>
    <d v="2022-12-17T00:00:00"/>
    <n v="18"/>
    <x v="1"/>
    <s v="UTI"/>
    <x v="2"/>
    <s v="Medication"/>
    <x v="0"/>
    <s v="Dr. Anjali Mehta"/>
    <n v="486"/>
    <s v="ICU"/>
    <x v="4"/>
    <n v="64621"/>
    <n v="0"/>
    <n v="64621"/>
    <n v="45908"/>
    <n v="1140"/>
    <n v="12599"/>
    <s v="No"/>
    <n v="61"/>
    <n v="3.9"/>
    <x v="1"/>
  </r>
  <r>
    <x v="281"/>
    <s v="Meera Rao"/>
    <n v="78"/>
    <x v="1"/>
    <s v="AB-"/>
    <s v="Pune"/>
    <d v="2022-08-19T00:00:00"/>
    <d v="2022-09-12T00:00:00"/>
    <n v="24"/>
    <x v="0"/>
    <s v="Typhoid"/>
    <x v="1"/>
    <s v="Physiotherapy"/>
    <x v="1"/>
    <s v="Dr. Rakesh Sharma"/>
    <n v="206"/>
    <s v="Semi-Private"/>
    <x v="3"/>
    <n v="109515"/>
    <n v="85690"/>
    <n v="23825"/>
    <n v="98688"/>
    <n v="4030"/>
    <n v="5847"/>
    <s v="No"/>
    <n v="73"/>
    <n v="2.7"/>
    <x v="1"/>
  </r>
  <r>
    <x v="282"/>
    <s v="Suresh Sharma"/>
    <n v="15"/>
    <x v="0"/>
    <s v="A-"/>
    <s v="Jaipur"/>
    <d v="2024-03-18T00:00:00"/>
    <d v="2024-03-25T00:00:00"/>
    <n v="7"/>
    <x v="0"/>
    <s v="Typhoid"/>
    <x v="1"/>
    <s v="Dietary Management"/>
    <x v="1"/>
    <s v="Dr. Nisha Joshi"/>
    <n v="76"/>
    <s v="ICU"/>
    <x v="4"/>
    <n v="122963"/>
    <n v="0"/>
    <n v="122963"/>
    <n v="106217"/>
    <n v="13216"/>
    <n v="699"/>
    <s v="No"/>
    <n v="59"/>
    <n v="4.9000000000000004"/>
    <x v="0"/>
  </r>
  <r>
    <x v="283"/>
    <s v="Rahul Mehta"/>
    <n v="61"/>
    <x v="0"/>
    <s v="AB-"/>
    <s v="Hyderabad"/>
    <d v="2022-12-02T00:00:00"/>
    <d v="2022-12-28T00:00:00"/>
    <n v="26"/>
    <x v="0"/>
    <s v="Anemia"/>
    <x v="4"/>
    <s v="Physiotherapy"/>
    <x v="1"/>
    <s v="Dr. Sameer Reddy"/>
    <n v="156"/>
    <s v="ICU"/>
    <x v="1"/>
    <n v="109848"/>
    <n v="46854"/>
    <n v="62994"/>
    <n v="92927"/>
    <n v="3166"/>
    <n v="10177"/>
    <s v="No"/>
    <n v="98"/>
    <n v="2.8"/>
    <x v="2"/>
  </r>
  <r>
    <x v="284"/>
    <s v="Ritu Malhotra"/>
    <n v="77"/>
    <x v="1"/>
    <s v="B-"/>
    <s v="Bangalore"/>
    <d v="2024-02-21T00:00:00"/>
    <d v="2024-03-02T00:00:00"/>
    <n v="10"/>
    <x v="0"/>
    <s v="Depression"/>
    <x v="5"/>
    <s v="Medication"/>
    <x v="3"/>
    <s v="Dr. Shalini Singh"/>
    <n v="253"/>
    <s v="ICU"/>
    <x v="0"/>
    <n v="41262"/>
    <n v="19756"/>
    <n v="21506"/>
    <n v="12035"/>
    <n v="26926"/>
    <n v="540"/>
    <s v="No"/>
    <n v="93"/>
    <n v="3.9"/>
    <x v="3"/>
  </r>
  <r>
    <x v="285"/>
    <s v="Rajesh Rao"/>
    <n v="58"/>
    <x v="1"/>
    <s v="AB-"/>
    <s v="Chennai"/>
    <d v="2022-02-28T00:00:00"/>
    <d v="2022-03-04T00:00:00"/>
    <n v="4"/>
    <x v="5"/>
    <s v="Asthma"/>
    <x v="8"/>
    <s v="Surgery"/>
    <x v="3"/>
    <s v="Dr. Shalini Gupta"/>
    <n v="290"/>
    <s v="ICU"/>
    <x v="4"/>
    <n v="168925"/>
    <n v="0"/>
    <n v="168925"/>
    <n v="129791"/>
    <n v="23749"/>
    <n v="13906"/>
    <s v="No"/>
    <n v="86"/>
    <n v="3.7"/>
    <x v="1"/>
  </r>
  <r>
    <x v="286"/>
    <s v="Ananya Iyer"/>
    <n v="12"/>
    <x v="1"/>
    <s v="O-"/>
    <s v="Ahmedabad"/>
    <d v="2022-10-05T00:00:00"/>
    <d v="2022-10-17T00:00:00"/>
    <n v="12"/>
    <x v="4"/>
    <s v="Heart Attack"/>
    <x v="7"/>
    <s v="Dialysis"/>
    <x v="3"/>
    <s v="Dr. Vivek Kumar"/>
    <n v="25"/>
    <s v="Private"/>
    <x v="4"/>
    <n v="172237"/>
    <n v="0"/>
    <n v="172237"/>
    <n v="143834"/>
    <n v="21936"/>
    <n v="1758"/>
    <s v="No"/>
    <n v="80"/>
    <n v="2.5"/>
    <x v="3"/>
  </r>
  <r>
    <x v="287"/>
    <s v="Divya Joshi"/>
    <n v="74"/>
    <x v="0"/>
    <s v="O-"/>
    <s v="Hyderabad"/>
    <d v="2023-07-10T00:00:00"/>
    <d v="2023-08-01T00:00:00"/>
    <n v="22"/>
    <x v="1"/>
    <s v="Kidney Stone"/>
    <x v="2"/>
    <s v="Counseling"/>
    <x v="3"/>
    <s v="Dr. Sameer Sharma"/>
    <n v="71"/>
    <s v="Private"/>
    <x v="4"/>
    <n v="154523"/>
    <n v="0"/>
    <n v="154523"/>
    <n v="132113"/>
    <n v="14500"/>
    <n v="6075"/>
    <s v="Yes"/>
    <n v="49"/>
    <n v="3.5"/>
    <x v="2"/>
  </r>
  <r>
    <x v="288"/>
    <s v="Lata Pillai"/>
    <n v="83"/>
    <x v="1"/>
    <s v="AB+"/>
    <s v="Ahmedabad"/>
    <d v="2022-06-06T00:00:00"/>
    <d v="2022-06-10T00:00:00"/>
    <n v="4"/>
    <x v="5"/>
    <s v="Pneumonia"/>
    <x v="8"/>
    <s v="Radiation Therapy"/>
    <x v="3"/>
    <s v="Dr. Rakesh Kumar"/>
    <n v="72"/>
    <s v="ICU"/>
    <x v="1"/>
    <n v="176168"/>
    <n v="107985"/>
    <n v="68183"/>
    <n v="142133"/>
    <n v="26021"/>
    <n v="6104"/>
    <s v="Yes"/>
    <n v="92"/>
    <n v="2.4"/>
    <x v="2"/>
  </r>
  <r>
    <x v="289"/>
    <s v="Rekha Gupta"/>
    <n v="34"/>
    <x v="0"/>
    <s v="B+"/>
    <s v="Chennai"/>
    <d v="2022-09-24T00:00:00"/>
    <d v="2022-09-27T00:00:00"/>
    <n v="3"/>
    <x v="0"/>
    <s v="Anemia"/>
    <x v="4"/>
    <s v="Surgery"/>
    <x v="1"/>
    <s v="Dr. Anjali Joshi"/>
    <n v="22"/>
    <s v="Semi-Private"/>
    <x v="2"/>
    <n v="56597"/>
    <n v="44030"/>
    <n v="12567"/>
    <n v="13596"/>
    <n v="26986"/>
    <n v="11309"/>
    <s v="No"/>
    <n v="98"/>
    <n v="2.8"/>
    <x v="3"/>
  </r>
  <r>
    <x v="290"/>
    <s v="Deepa Sharma"/>
    <n v="17"/>
    <x v="1"/>
    <s v="B-"/>
    <s v="Lucknow"/>
    <d v="2023-02-14T00:00:00"/>
    <d v="2023-02-20T00:00:00"/>
    <n v="6"/>
    <x v="1"/>
    <s v="Kidney Stone"/>
    <x v="2"/>
    <s v="Surgery"/>
    <x v="2"/>
    <s v="Dr. Rakesh Rao"/>
    <n v="179"/>
    <s v="Private"/>
    <x v="0"/>
    <n v="177740"/>
    <n v="98019"/>
    <n v="79721"/>
    <n v="136238"/>
    <n v="26585"/>
    <n v="12436"/>
    <s v="Yes"/>
    <n v="92"/>
    <n v="3.7"/>
    <x v="3"/>
  </r>
  <r>
    <x v="291"/>
    <s v="Arjun Mehta"/>
    <n v="29"/>
    <x v="0"/>
    <s v="B+"/>
    <s v="Jaipur"/>
    <d v="2022-01-09T00:00:00"/>
    <d v="2022-02-02T00:00:00"/>
    <n v="24"/>
    <x v="0"/>
    <s v="Appendicitis"/>
    <x v="0"/>
    <s v="Counseling"/>
    <x v="0"/>
    <s v="Dr. Nisha Rao"/>
    <n v="95"/>
    <s v="ICU"/>
    <x v="2"/>
    <n v="90682"/>
    <n v="65946"/>
    <n v="24736"/>
    <n v="52408"/>
    <n v="28352"/>
    <n v="6313"/>
    <s v="No"/>
    <n v="66"/>
    <n v="2.2999999999999998"/>
    <x v="1"/>
  </r>
  <r>
    <x v="292"/>
    <s v="Sneha Malhotra"/>
    <n v="19"/>
    <x v="1"/>
    <s v="AB-"/>
    <s v="Pune"/>
    <d v="2023-08-14T00:00:00"/>
    <d v="2023-09-01T00:00:00"/>
    <n v="18"/>
    <x v="0"/>
    <s v="Diabetes Type 2"/>
    <x v="9"/>
    <s v="ICU Care"/>
    <x v="0"/>
    <s v="Dr. Prerna Joshi"/>
    <n v="146"/>
    <s v="ICU"/>
    <x v="1"/>
    <n v="128719"/>
    <n v="60210"/>
    <n v="68509"/>
    <n v="86790"/>
    <n v="23513"/>
    <n v="14280"/>
    <s v="No"/>
    <n v="94"/>
    <n v="3.3"/>
    <x v="3"/>
  </r>
  <r>
    <x v="293"/>
    <s v="Mukesh Bose"/>
    <n v="52"/>
    <x v="1"/>
    <s v="A+"/>
    <s v="Ahmedabad"/>
    <d v="2022-08-04T00:00:00"/>
    <d v="2022-08-17T00:00:00"/>
    <n v="13"/>
    <x v="0"/>
    <s v="COVID-19"/>
    <x v="1"/>
    <s v="Surgery"/>
    <x v="1"/>
    <s v="Dr. Sameer Joshi"/>
    <n v="206"/>
    <s v="General Ward"/>
    <x v="0"/>
    <n v="41916"/>
    <n v="19285"/>
    <n v="22631"/>
    <n v="21963"/>
    <n v="12918"/>
    <n v="3761"/>
    <s v="No"/>
    <n v="65"/>
    <n v="2.4"/>
    <x v="4"/>
  </r>
  <r>
    <x v="294"/>
    <s v="Geeta Bose"/>
    <n v="40"/>
    <x v="0"/>
    <s v="AB+"/>
    <s v="Pune"/>
    <d v="2024-09-01T00:00:00"/>
    <d v="2024-09-23T00:00:00"/>
    <n v="22"/>
    <x v="0"/>
    <s v="Liver Disease"/>
    <x v="0"/>
    <s v="Radiation Therapy"/>
    <x v="3"/>
    <s v="Dr. Sameer Gupta"/>
    <n v="56"/>
    <s v="General Ward"/>
    <x v="4"/>
    <n v="156454"/>
    <n v="0"/>
    <n v="156454"/>
    <n v="133277"/>
    <n v="17294"/>
    <n v="4281"/>
    <s v="Yes"/>
    <n v="87"/>
    <n v="2.2000000000000002"/>
    <x v="3"/>
  </r>
  <r>
    <x v="295"/>
    <s v="Meera Sharma"/>
    <n v="27"/>
    <x v="0"/>
    <s v="O-"/>
    <s v="Bangalore"/>
    <d v="2023-09-13T00:00:00"/>
    <d v="2023-10-03T00:00:00"/>
    <n v="20"/>
    <x v="0"/>
    <s v="Liver Disease"/>
    <x v="0"/>
    <s v="Surgery"/>
    <x v="0"/>
    <s v="Dr. Anjali Reddy"/>
    <n v="151"/>
    <s v="ICU"/>
    <x v="3"/>
    <n v="159603"/>
    <n v="134521"/>
    <n v="25082"/>
    <n v="137328"/>
    <n v="9574"/>
    <n v="9387"/>
    <s v="No"/>
    <n v="41"/>
    <n v="4.9000000000000004"/>
    <x v="3"/>
  </r>
  <r>
    <x v="296"/>
    <s v="Pooja Kumar"/>
    <n v="54"/>
    <x v="0"/>
    <s v="O-"/>
    <s v="Kolkata"/>
    <d v="2024-06-25T00:00:00"/>
    <d v="2024-07-10T00:00:00"/>
    <n v="15"/>
    <x v="0"/>
    <s v="Diabetes Type 2"/>
    <x v="9"/>
    <s v="Physiotherapy"/>
    <x v="3"/>
    <s v="Dr. Sameer Gupta"/>
    <n v="221"/>
    <s v="Semi-Private"/>
    <x v="4"/>
    <n v="138380"/>
    <n v="0"/>
    <n v="138380"/>
    <n v="106995"/>
    <n v="16972"/>
    <n v="13017"/>
    <s v="No"/>
    <n v="71"/>
    <n v="4"/>
    <x v="0"/>
  </r>
  <r>
    <x v="297"/>
    <s v="Sanjay Bose"/>
    <n v="65"/>
    <x v="1"/>
    <s v="A+"/>
    <s v="Kolkata"/>
    <d v="2023-06-24T00:00:00"/>
    <d v="2023-07-10T00:00:00"/>
    <n v="16"/>
    <x v="0"/>
    <s v="Obesity"/>
    <x v="12"/>
    <s v="Dietary Management"/>
    <x v="3"/>
    <s v="Dr. Rakesh Kumar"/>
    <n v="32"/>
    <s v="General Ward"/>
    <x v="1"/>
    <n v="39740"/>
    <n v="20055"/>
    <n v="19685"/>
    <n v="16827"/>
    <n v="5200"/>
    <n v="14212"/>
    <s v="No"/>
    <n v="41"/>
    <n v="4.3"/>
    <x v="1"/>
  </r>
  <r>
    <x v="298"/>
    <s v="Karan Kumar"/>
    <n v="59"/>
    <x v="0"/>
    <s v="O-"/>
    <s v="Kolkata"/>
    <d v="2023-12-21T00:00:00"/>
    <d v="2023-12-23T00:00:00"/>
    <n v="2"/>
    <x v="2"/>
    <s v="Cancer"/>
    <x v="3"/>
    <s v="Chemotherapy"/>
    <x v="3"/>
    <s v="Dr. Shalini Patel"/>
    <n v="467"/>
    <s v="General Ward"/>
    <x v="4"/>
    <n v="51011"/>
    <n v="0"/>
    <n v="51011"/>
    <n v="35007"/>
    <n v="12062"/>
    <n v="3281"/>
    <s v="No"/>
    <n v="42"/>
    <n v="3.4"/>
    <x v="4"/>
  </r>
  <r>
    <x v="299"/>
    <s v="Sanjay Das"/>
    <n v="58"/>
    <x v="0"/>
    <s v="A+"/>
    <s v="Ahmedabad"/>
    <d v="2022-02-15T00:00:00"/>
    <d v="2022-02-26T00:00:00"/>
    <n v="11"/>
    <x v="3"/>
    <s v="Migraine"/>
    <x v="6"/>
    <s v="Observation"/>
    <x v="3"/>
    <s v="Dr. Shalini Patel"/>
    <n v="414"/>
    <s v="ICU"/>
    <x v="2"/>
    <n v="84241"/>
    <n v="71052"/>
    <n v="13189"/>
    <n v="58977"/>
    <n v="12008"/>
    <n v="8638"/>
    <s v="No"/>
    <n v="50"/>
    <n v="3.8"/>
    <x v="1"/>
  </r>
  <r>
    <x v="300"/>
    <s v="Pooja Mehta"/>
    <n v="68"/>
    <x v="1"/>
    <s v="B-"/>
    <s v="Hyderabad"/>
    <d v="2023-06-28T00:00:00"/>
    <d v="2023-06-30T00:00:00"/>
    <n v="2"/>
    <x v="1"/>
    <s v="UTI"/>
    <x v="2"/>
    <s v="Observation"/>
    <x v="2"/>
    <s v="Dr. Shalini Patel"/>
    <n v="368"/>
    <s v="General Ward"/>
    <x v="1"/>
    <n v="109709"/>
    <n v="59526"/>
    <n v="50183"/>
    <n v="93300"/>
    <n v="9957"/>
    <n v="1602"/>
    <s v="No"/>
    <n v="90"/>
    <n v="2.2000000000000002"/>
    <x v="1"/>
  </r>
  <r>
    <x v="301"/>
    <s v="Arjun Rao"/>
    <n v="60"/>
    <x v="0"/>
    <s v="B-"/>
    <s v="Kolkata"/>
    <d v="2024-04-03T00:00:00"/>
    <d v="2024-04-12T00:00:00"/>
    <n v="9"/>
    <x v="0"/>
    <s v="Liver Disease"/>
    <x v="0"/>
    <s v="Radiation Therapy"/>
    <x v="2"/>
    <s v="Dr. Arun Nair"/>
    <n v="442"/>
    <s v="Semi-Private"/>
    <x v="1"/>
    <n v="159495"/>
    <n v="76618"/>
    <n v="82877"/>
    <n v="135863"/>
    <n v="7978"/>
    <n v="11326"/>
    <s v="No"/>
    <n v="91"/>
    <n v="3.8"/>
    <x v="4"/>
  </r>
  <r>
    <x v="302"/>
    <s v="Sonia Iyer"/>
    <n v="85"/>
    <x v="1"/>
    <s v="B-"/>
    <s v="Pune"/>
    <d v="2024-08-05T00:00:00"/>
    <d v="2024-08-10T00:00:00"/>
    <n v="5"/>
    <x v="2"/>
    <s v="Cancer"/>
    <x v="3"/>
    <s v="Dialysis"/>
    <x v="0"/>
    <s v="Dr. Vivek Kumar"/>
    <n v="441"/>
    <s v="General Ward"/>
    <x v="0"/>
    <n v="139710"/>
    <n v="82962"/>
    <n v="56748"/>
    <n v="113118"/>
    <n v="9746"/>
    <n v="13995"/>
    <s v="No"/>
    <n v="78"/>
    <n v="2.7"/>
    <x v="2"/>
  </r>
  <r>
    <x v="303"/>
    <s v="Sneha Gupta"/>
    <n v="29"/>
    <x v="1"/>
    <s v="B-"/>
    <s v="Hyderabad"/>
    <d v="2024-08-08T00:00:00"/>
    <d v="2024-08-24T00:00:00"/>
    <n v="16"/>
    <x v="0"/>
    <s v="Depression"/>
    <x v="5"/>
    <s v="Observation"/>
    <x v="1"/>
    <s v="Dr. Kavita Mehta"/>
    <n v="140"/>
    <s v="Semi-Private"/>
    <x v="2"/>
    <n v="116052"/>
    <n v="92563"/>
    <n v="23489"/>
    <n v="72737"/>
    <n v="26875"/>
    <n v="13665"/>
    <s v="No"/>
    <n v="94"/>
    <n v="2.1"/>
    <x v="4"/>
  </r>
  <r>
    <x v="304"/>
    <s v="Lata Sharma"/>
    <n v="12"/>
    <x v="1"/>
    <s v="O-"/>
    <s v="Lucknow"/>
    <d v="2023-09-03T00:00:00"/>
    <d v="2023-10-01T00:00:00"/>
    <n v="28"/>
    <x v="6"/>
    <s v="Fracture"/>
    <x v="10"/>
    <s v="ICU Care"/>
    <x v="1"/>
    <s v="Dr. Vivek Mehta"/>
    <n v="121"/>
    <s v="General Ward"/>
    <x v="1"/>
    <n v="154943"/>
    <n v="73682"/>
    <n v="81261"/>
    <n v="136137"/>
    <n v="4953"/>
    <n v="9051"/>
    <s v="No"/>
    <n v="55"/>
    <n v="3.8"/>
    <x v="1"/>
  </r>
  <r>
    <x v="305"/>
    <s v="Amit Iyer"/>
    <n v="54"/>
    <x v="1"/>
    <s v="AB+"/>
    <s v="Chennai"/>
    <d v="2022-10-23T00:00:00"/>
    <d v="2022-10-27T00:00:00"/>
    <n v="4"/>
    <x v="4"/>
    <s v="Heart Attack"/>
    <x v="7"/>
    <s v="Dialysis"/>
    <x v="0"/>
    <s v="Dr. Vivek Singh"/>
    <n v="442"/>
    <s v="General Ward"/>
    <x v="3"/>
    <n v="171510"/>
    <n v="119190"/>
    <n v="52320"/>
    <n v="144845"/>
    <n v="13278"/>
    <n v="11962"/>
    <s v="No"/>
    <n v="83"/>
    <n v="2.7"/>
    <x v="1"/>
  </r>
  <r>
    <x v="306"/>
    <s v="Mukesh Gupta"/>
    <n v="51"/>
    <x v="0"/>
    <s v="O-"/>
    <s v="Hyderabad"/>
    <d v="2022-02-13T00:00:00"/>
    <d v="2022-03-06T00:00:00"/>
    <n v="21"/>
    <x v="0"/>
    <s v="Liver Disease"/>
    <x v="0"/>
    <s v="Medication"/>
    <x v="2"/>
    <s v="Dr. Rakesh Nair"/>
    <n v="197"/>
    <s v="Private"/>
    <x v="4"/>
    <n v="72662"/>
    <n v="0"/>
    <n v="72662"/>
    <n v="36995"/>
    <n v="18527"/>
    <n v="14704"/>
    <s v="No"/>
    <n v="64"/>
    <n v="2"/>
    <x v="4"/>
  </r>
  <r>
    <x v="307"/>
    <s v="Sonia Nair"/>
    <n v="43"/>
    <x v="1"/>
    <s v="B-"/>
    <s v="Hyderabad"/>
    <d v="2023-03-07T00:00:00"/>
    <d v="2023-04-04T00:00:00"/>
    <n v="28"/>
    <x v="4"/>
    <s v="Heart Attack"/>
    <x v="7"/>
    <s v="ICU Care"/>
    <x v="0"/>
    <s v="Dr. Arun Singh"/>
    <n v="444"/>
    <s v="General Ward"/>
    <x v="3"/>
    <n v="164131"/>
    <n v="133802"/>
    <n v="30329"/>
    <n v="128493"/>
    <n v="25148"/>
    <n v="7265"/>
    <s v="No"/>
    <n v="92"/>
    <n v="2.2999999999999998"/>
    <x v="2"/>
  </r>
  <r>
    <x v="308"/>
    <s v="Manoj Nair"/>
    <n v="69"/>
    <x v="1"/>
    <s v="O-"/>
    <s v="Kolkata"/>
    <d v="2023-11-01T00:00:00"/>
    <d v="2023-11-16T00:00:00"/>
    <n v="15"/>
    <x v="4"/>
    <s v="Hypertension"/>
    <x v="7"/>
    <s v="Physiotherapy"/>
    <x v="0"/>
    <s v="Dr. Sameer Sharma"/>
    <n v="206"/>
    <s v="Semi-Private"/>
    <x v="4"/>
    <n v="110362"/>
    <n v="0"/>
    <n v="110362"/>
    <n v="87240"/>
    <n v="19868"/>
    <n v="1847"/>
    <s v="No"/>
    <n v="73"/>
    <n v="4.0999999999999996"/>
    <x v="2"/>
  </r>
  <r>
    <x v="309"/>
    <s v="Rekha Menon"/>
    <n v="57"/>
    <x v="0"/>
    <s v="AB-"/>
    <s v="Ahmedabad"/>
    <d v="2022-10-01T00:00:00"/>
    <d v="2022-10-10T00:00:00"/>
    <n v="9"/>
    <x v="4"/>
    <s v="Heart Attack"/>
    <x v="7"/>
    <s v="ICU Care"/>
    <x v="3"/>
    <s v="Dr. Kavita Patel"/>
    <n v="213"/>
    <s v="Private"/>
    <x v="0"/>
    <n v="146889"/>
    <n v="59669"/>
    <n v="87220"/>
    <n v="108152"/>
    <n v="29717"/>
    <n v="6682"/>
    <s v="Yes"/>
    <n v="75"/>
    <n v="3.9"/>
    <x v="2"/>
  </r>
  <r>
    <x v="310"/>
    <s v="Sonia Singh"/>
    <n v="64"/>
    <x v="1"/>
    <s v="O+"/>
    <s v="Bangalore"/>
    <d v="2022-04-12T00:00:00"/>
    <d v="2022-04-25T00:00:00"/>
    <n v="13"/>
    <x v="0"/>
    <s v="Liver Disease"/>
    <x v="0"/>
    <s v="Dietary Management"/>
    <x v="3"/>
    <s v="Dr. Sameer Patel"/>
    <n v="491"/>
    <s v="Private"/>
    <x v="0"/>
    <n v="54304"/>
    <n v="28811"/>
    <n v="25493"/>
    <n v="35762"/>
    <n v="1462"/>
    <n v="12273"/>
    <s v="No"/>
    <n v="69"/>
    <n v="4.5"/>
    <x v="4"/>
  </r>
  <r>
    <x v="311"/>
    <s v="Sneha Reddy"/>
    <n v="31"/>
    <x v="1"/>
    <s v="O+"/>
    <s v="Hyderabad"/>
    <d v="2024-10-09T00:00:00"/>
    <d v="2024-10-22T00:00:00"/>
    <n v="13"/>
    <x v="5"/>
    <s v="Pneumonia"/>
    <x v="8"/>
    <s v="Chemotherapy"/>
    <x v="2"/>
    <s v="Dr. Rakesh Reddy"/>
    <n v="215"/>
    <s v="Semi-Private"/>
    <x v="3"/>
    <n v="53098"/>
    <n v="35610"/>
    <n v="17488"/>
    <n v="43258"/>
    <n v="1942"/>
    <n v="5254"/>
    <s v="No"/>
    <n v="55"/>
    <n v="3.1"/>
    <x v="4"/>
  </r>
  <r>
    <x v="312"/>
    <s v="Rahul Sharma"/>
    <n v="65"/>
    <x v="1"/>
    <s v="O-"/>
    <s v="Kolkata"/>
    <d v="2023-03-11T00:00:00"/>
    <d v="2023-04-03T00:00:00"/>
    <n v="23"/>
    <x v="3"/>
    <s v="Migraine"/>
    <x v="6"/>
    <s v="Dietary Management"/>
    <x v="3"/>
    <s v="Dr. Prerna Patel"/>
    <n v="286"/>
    <s v="General Ward"/>
    <x v="2"/>
    <n v="112569"/>
    <n v="101202"/>
    <n v="11367"/>
    <n v="92257"/>
    <n v="8695"/>
    <n v="8215"/>
    <s v="No"/>
    <n v="91"/>
    <n v="3.8"/>
    <x v="3"/>
  </r>
  <r>
    <x v="313"/>
    <s v="Aditya Nair"/>
    <n v="69"/>
    <x v="0"/>
    <s v="O+"/>
    <s v="Kolkata"/>
    <d v="2024-01-30T00:00:00"/>
    <d v="2024-02-04T00:00:00"/>
    <n v="5"/>
    <x v="0"/>
    <s v="Depression"/>
    <x v="5"/>
    <s v="Dietary Management"/>
    <x v="2"/>
    <s v="Dr. Rakesh Mehta"/>
    <n v="258"/>
    <s v="ICU"/>
    <x v="4"/>
    <n v="138094"/>
    <n v="0"/>
    <n v="138094"/>
    <n v="127705"/>
    <n v="5322"/>
    <n v="1968"/>
    <s v="No"/>
    <n v="67"/>
    <n v="2.4"/>
    <x v="3"/>
  </r>
  <r>
    <x v="314"/>
    <s v="Amit Patel"/>
    <n v="21"/>
    <x v="0"/>
    <s v="O+"/>
    <s v="Pune"/>
    <d v="2024-05-30T00:00:00"/>
    <d v="2024-06-09T00:00:00"/>
    <n v="10"/>
    <x v="5"/>
    <s v="Asthma"/>
    <x v="8"/>
    <s v="Dialysis"/>
    <x v="3"/>
    <s v="Dr. Vivek Mehta"/>
    <n v="162"/>
    <s v="ICU"/>
    <x v="0"/>
    <n v="128395"/>
    <n v="53460"/>
    <n v="74935"/>
    <n v="120340"/>
    <n v="2743"/>
    <n v="3595"/>
    <s v="No"/>
    <n v="70"/>
    <n v="2.8"/>
    <x v="4"/>
  </r>
  <r>
    <x v="315"/>
    <s v="Pooja Kumar"/>
    <n v="68"/>
    <x v="1"/>
    <s v="AB-"/>
    <s v="Pune"/>
    <d v="2024-09-20T00:00:00"/>
    <d v="2024-10-05T00:00:00"/>
    <n v="15"/>
    <x v="0"/>
    <s v="Typhoid"/>
    <x v="1"/>
    <s v="Physiotherapy"/>
    <x v="1"/>
    <s v="Dr. Nisha Patel"/>
    <n v="105"/>
    <s v="Private"/>
    <x v="0"/>
    <n v="86259"/>
    <n v="49079"/>
    <n v="37180"/>
    <n v="49117"/>
    <n v="25573"/>
    <n v="8835"/>
    <s v="No"/>
    <n v="53"/>
    <n v="3.8"/>
    <x v="3"/>
  </r>
  <r>
    <x v="316"/>
    <s v="Arjun Iyer"/>
    <n v="28"/>
    <x v="0"/>
    <s v="A-"/>
    <s v="Chennai"/>
    <d v="2024-10-17T00:00:00"/>
    <d v="2024-11-08T00:00:00"/>
    <n v="22"/>
    <x v="0"/>
    <s v="Appendicitis"/>
    <x v="0"/>
    <s v="Medication"/>
    <x v="3"/>
    <s v="Dr. Prerna Joshi"/>
    <n v="192"/>
    <s v="General Ward"/>
    <x v="4"/>
    <n v="53355"/>
    <n v="0"/>
    <n v="53355"/>
    <n v="45311"/>
    <n v="1946"/>
    <n v="1828"/>
    <s v="No"/>
    <n v="82"/>
    <n v="3.4"/>
    <x v="1"/>
  </r>
  <r>
    <x v="317"/>
    <s v="Divya Sharma"/>
    <n v="47"/>
    <x v="1"/>
    <s v="AB-"/>
    <s v="Pune"/>
    <d v="2022-09-22T00:00:00"/>
    <d v="2022-09-29T00:00:00"/>
    <n v="7"/>
    <x v="0"/>
    <s v="Diabetes Type 2"/>
    <x v="9"/>
    <s v="ICU Care"/>
    <x v="1"/>
    <s v="Dr. Prerna Nair"/>
    <n v="488"/>
    <s v="ICU"/>
    <x v="2"/>
    <n v="124801"/>
    <n v="111012"/>
    <n v="13789"/>
    <n v="109558"/>
    <n v="9361"/>
    <n v="3416"/>
    <s v="No"/>
    <n v="45"/>
    <n v="2.1"/>
    <x v="2"/>
  </r>
  <r>
    <x v="318"/>
    <s v="Ananya Chopra"/>
    <n v="56"/>
    <x v="0"/>
    <s v="B+"/>
    <s v="Delhi"/>
    <d v="2023-09-04T00:00:00"/>
    <d v="2023-09-20T00:00:00"/>
    <n v="16"/>
    <x v="0"/>
    <s v="Anemia"/>
    <x v="4"/>
    <s v="Dietary Management"/>
    <x v="2"/>
    <s v="Dr. Nisha Patel"/>
    <n v="427"/>
    <s v="Private"/>
    <x v="1"/>
    <n v="85915"/>
    <n v="46646"/>
    <n v="39269"/>
    <n v="57395"/>
    <n v="17043"/>
    <n v="7798"/>
    <s v="No"/>
    <n v="67"/>
    <n v="2.2999999999999998"/>
    <x v="4"/>
  </r>
  <r>
    <x v="319"/>
    <s v="Lata Shah"/>
    <n v="83"/>
    <x v="1"/>
    <s v="AB+"/>
    <s v="Kolkata"/>
    <d v="2022-07-10T00:00:00"/>
    <d v="2022-07-12T00:00:00"/>
    <n v="2"/>
    <x v="6"/>
    <s v="Arthritis"/>
    <x v="11"/>
    <s v="Radiation Therapy"/>
    <x v="2"/>
    <s v="Dr. Sameer Gupta"/>
    <n v="270"/>
    <s v="General Ward"/>
    <x v="4"/>
    <n v="149280"/>
    <n v="0"/>
    <n v="149280"/>
    <n v="127740"/>
    <n v="15331"/>
    <n v="1797"/>
    <s v="No"/>
    <n v="48"/>
    <n v="4.0999999999999996"/>
    <x v="1"/>
  </r>
  <r>
    <x v="320"/>
    <s v="Ashok Reddy"/>
    <n v="71"/>
    <x v="0"/>
    <s v="O+"/>
    <s v="Lucknow"/>
    <d v="2022-04-08T00:00:00"/>
    <d v="2022-04-26T00:00:00"/>
    <n v="18"/>
    <x v="6"/>
    <s v="Fracture"/>
    <x v="10"/>
    <s v="Counseling"/>
    <x v="1"/>
    <s v="Dr. Deepak Joshi"/>
    <n v="212"/>
    <s v="General Ward"/>
    <x v="3"/>
    <n v="89913"/>
    <n v="74681"/>
    <n v="15232"/>
    <n v="71422"/>
    <n v="12647"/>
    <n v="4675"/>
    <s v="Yes"/>
    <n v="87"/>
    <n v="4"/>
    <x v="2"/>
  </r>
  <r>
    <x v="321"/>
    <s v="Lata Joshi"/>
    <n v="55"/>
    <x v="1"/>
    <s v="A-"/>
    <s v="Kolkata"/>
    <d v="2023-09-02T00:00:00"/>
    <d v="2023-09-13T00:00:00"/>
    <n v="11"/>
    <x v="0"/>
    <s v="Obesity"/>
    <x v="12"/>
    <s v="Radiation Therapy"/>
    <x v="3"/>
    <s v="Dr. Nisha Mehta"/>
    <n v="109"/>
    <s v="Semi-Private"/>
    <x v="2"/>
    <n v="115443"/>
    <n v="84290"/>
    <n v="31153"/>
    <n v="72978"/>
    <n v="29561"/>
    <n v="11533"/>
    <s v="Yes"/>
    <n v="65"/>
    <n v="2.4"/>
    <x v="2"/>
  </r>
  <r>
    <x v="322"/>
    <s v="Rajesh Bose"/>
    <n v="63"/>
    <x v="0"/>
    <s v="AB-"/>
    <s v="Hyderabad"/>
    <d v="2024-01-09T00:00:00"/>
    <d v="2024-02-01T00:00:00"/>
    <n v="23"/>
    <x v="3"/>
    <s v="Migraine"/>
    <x v="6"/>
    <s v="Surgery"/>
    <x v="2"/>
    <s v="Dr. Sameer Sharma"/>
    <n v="98"/>
    <s v="General Ward"/>
    <x v="2"/>
    <n v="86642"/>
    <n v="64491"/>
    <n v="22151"/>
    <n v="54341"/>
    <n v="29148"/>
    <n v="939"/>
    <s v="Yes"/>
    <n v="55"/>
    <n v="3.3"/>
    <x v="0"/>
  </r>
  <r>
    <x v="323"/>
    <s v="Suresh Singh"/>
    <n v="43"/>
    <x v="0"/>
    <s v="B+"/>
    <s v="Ahmedabad"/>
    <d v="2024-05-14T00:00:00"/>
    <d v="2024-05-15T00:00:00"/>
    <n v="1"/>
    <x v="0"/>
    <s v="Appendicitis"/>
    <x v="0"/>
    <s v="Physiotherapy"/>
    <x v="0"/>
    <s v="Dr. Anjali Gupta"/>
    <n v="11"/>
    <s v="ICU"/>
    <x v="1"/>
    <n v="85239"/>
    <n v="35398"/>
    <n v="49841"/>
    <n v="68603"/>
    <n v="7597"/>
    <n v="5330"/>
    <s v="Yes"/>
    <n v="80"/>
    <n v="4.5"/>
    <x v="4"/>
  </r>
  <r>
    <x v="324"/>
    <s v="Pooja Bose"/>
    <n v="79"/>
    <x v="0"/>
    <s v="A+"/>
    <s v="Ahmedabad"/>
    <d v="2024-03-29T00:00:00"/>
    <d v="2024-04-14T00:00:00"/>
    <n v="16"/>
    <x v="6"/>
    <s v="Arthritis"/>
    <x v="11"/>
    <s v="Dietary Management"/>
    <x v="0"/>
    <s v="Dr. Kavita Sharma"/>
    <n v="271"/>
    <s v="General Ward"/>
    <x v="3"/>
    <n v="111161"/>
    <n v="96473"/>
    <n v="14688"/>
    <n v="87798"/>
    <n v="19129"/>
    <n v="1540"/>
    <s v="No"/>
    <n v="70"/>
    <n v="2.4"/>
    <x v="0"/>
  </r>
  <r>
    <x v="325"/>
    <s v="Rajesh Shah"/>
    <n v="62"/>
    <x v="0"/>
    <s v="A+"/>
    <s v="Bangalore"/>
    <d v="2023-08-13T00:00:00"/>
    <d v="2023-09-06T00:00:00"/>
    <n v="24"/>
    <x v="3"/>
    <s v="Stroke"/>
    <x v="6"/>
    <s v="ICU Care"/>
    <x v="0"/>
    <s v="Dr. Kavita Nair"/>
    <n v="113"/>
    <s v="Private"/>
    <x v="1"/>
    <n v="150974"/>
    <n v="93136"/>
    <n v="57838"/>
    <n v="127805"/>
    <n v="5297"/>
    <n v="14969"/>
    <s v="No"/>
    <n v="66"/>
    <n v="4.5"/>
    <x v="1"/>
  </r>
  <r>
    <x v="326"/>
    <s v="Lata Bose"/>
    <n v="25"/>
    <x v="1"/>
    <s v="O+"/>
    <s v="Delhi"/>
    <d v="2024-09-15T00:00:00"/>
    <d v="2024-09-20T00:00:00"/>
    <n v="5"/>
    <x v="4"/>
    <s v="Heart Attack"/>
    <x v="7"/>
    <s v="Physiotherapy"/>
    <x v="0"/>
    <s v="Dr. Prerna Joshi"/>
    <n v="483"/>
    <s v="ICU"/>
    <x v="4"/>
    <n v="84900"/>
    <n v="0"/>
    <n v="84900"/>
    <n v="66530"/>
    <n v="7862"/>
    <n v="9623"/>
    <s v="No"/>
    <n v="62"/>
    <n v="4.5999999999999996"/>
    <x v="1"/>
  </r>
  <r>
    <x v="327"/>
    <s v="Sunita Joshi"/>
    <n v="27"/>
    <x v="1"/>
    <s v="A-"/>
    <s v="Pune"/>
    <d v="2024-05-31T00:00:00"/>
    <d v="2024-06-04T00:00:00"/>
    <n v="4"/>
    <x v="0"/>
    <s v="Liver Disease"/>
    <x v="0"/>
    <s v="Surgery"/>
    <x v="2"/>
    <s v="Dr. Anjali Singh"/>
    <n v="175"/>
    <s v="Private"/>
    <x v="2"/>
    <n v="100278"/>
    <n v="78346"/>
    <n v="21932"/>
    <n v="75121"/>
    <n v="5953"/>
    <n v="14482"/>
    <s v="Yes"/>
    <n v="43"/>
    <n v="4.8"/>
    <x v="4"/>
  </r>
  <r>
    <x v="328"/>
    <s v="Lata Malhotra"/>
    <n v="19"/>
    <x v="1"/>
    <s v="A-"/>
    <s v="Jaipur"/>
    <d v="2022-03-27T00:00:00"/>
    <d v="2022-04-13T00:00:00"/>
    <n v="17"/>
    <x v="0"/>
    <s v="Appendicitis"/>
    <x v="0"/>
    <s v="Surgery"/>
    <x v="2"/>
    <s v="Dr. Nisha Mehta"/>
    <n v="373"/>
    <s v="Private"/>
    <x v="3"/>
    <n v="168763"/>
    <n v="109070"/>
    <n v="59693"/>
    <n v="137617"/>
    <n v="17331"/>
    <n v="12502"/>
    <s v="No"/>
    <n v="92"/>
    <n v="2.4"/>
    <x v="2"/>
  </r>
  <r>
    <x v="329"/>
    <s v="Sunil Khanna"/>
    <n v="5"/>
    <x v="1"/>
    <s v="AB-"/>
    <s v="Pune"/>
    <d v="2023-08-11T00:00:00"/>
    <d v="2023-08-28T00:00:00"/>
    <n v="17"/>
    <x v="4"/>
    <s v="Heart Attack"/>
    <x v="7"/>
    <s v="Dialysis"/>
    <x v="3"/>
    <s v="Dr. Vivek Kumar"/>
    <n v="323"/>
    <s v="Semi-Private"/>
    <x v="0"/>
    <n v="174428"/>
    <n v="76992"/>
    <n v="97436"/>
    <n v="143844"/>
    <n v="14818"/>
    <n v="13397"/>
    <s v="No"/>
    <n v="98"/>
    <n v="3.2"/>
    <x v="4"/>
  </r>
  <r>
    <x v="330"/>
    <s v="Rekha Das"/>
    <n v="51"/>
    <x v="1"/>
    <s v="AB-"/>
    <s v="Bangalore"/>
    <d v="2022-01-21T00:00:00"/>
    <d v="2022-02-13T00:00:00"/>
    <n v="23"/>
    <x v="6"/>
    <s v="Arthritis"/>
    <x v="11"/>
    <s v="Surgery"/>
    <x v="3"/>
    <s v="Dr. Nisha Joshi"/>
    <n v="396"/>
    <s v="Semi-Private"/>
    <x v="3"/>
    <n v="48740"/>
    <n v="38897"/>
    <n v="9843"/>
    <n v="21113"/>
    <n v="13886"/>
    <n v="12938"/>
    <s v="No"/>
    <n v="97"/>
    <n v="3.7"/>
    <x v="0"/>
  </r>
  <r>
    <x v="331"/>
    <s v="Deepa Khanna"/>
    <n v="56"/>
    <x v="0"/>
    <s v="O-"/>
    <s v="Pune"/>
    <d v="2022-01-17T00:00:00"/>
    <d v="2022-02-13T00:00:00"/>
    <n v="27"/>
    <x v="5"/>
    <s v="Asthma"/>
    <x v="8"/>
    <s v="Dietary Management"/>
    <x v="2"/>
    <s v="Dr. Vivek Gupta"/>
    <n v="330"/>
    <s v="Semi-Private"/>
    <x v="1"/>
    <n v="154728"/>
    <n v="97884"/>
    <n v="56844"/>
    <n v="120905"/>
    <n v="23854"/>
    <n v="6156"/>
    <s v="No"/>
    <n v="45"/>
    <n v="2.1"/>
    <x v="1"/>
  </r>
  <r>
    <x v="332"/>
    <s v="Karan Gupta"/>
    <n v="71"/>
    <x v="0"/>
    <s v="B-"/>
    <s v="Delhi"/>
    <d v="2024-11-13T00:00:00"/>
    <d v="2024-12-01T00:00:00"/>
    <n v="18"/>
    <x v="1"/>
    <s v="UTI"/>
    <x v="2"/>
    <s v="ICU Care"/>
    <x v="2"/>
    <s v="Dr. Arun Sharma"/>
    <n v="456"/>
    <s v="Private"/>
    <x v="0"/>
    <n v="121547"/>
    <n v="52646"/>
    <n v="68901"/>
    <n v="84676"/>
    <n v="24806"/>
    <n v="7426"/>
    <s v="Yes"/>
    <n v="63"/>
    <n v="2.8"/>
    <x v="0"/>
  </r>
  <r>
    <x v="333"/>
    <s v="Nisha Kumar"/>
    <n v="11"/>
    <x v="1"/>
    <s v="AB-"/>
    <s v="Hyderabad"/>
    <d v="2022-01-11T00:00:00"/>
    <d v="2022-01-26T00:00:00"/>
    <n v="15"/>
    <x v="0"/>
    <s v="Dengue"/>
    <x v="1"/>
    <s v="Dietary Management"/>
    <x v="2"/>
    <s v="Dr. Nisha Singh"/>
    <n v="146"/>
    <s v="Semi-Private"/>
    <x v="3"/>
    <n v="172312"/>
    <n v="120335"/>
    <n v="51977"/>
    <n v="141227"/>
    <n v="25166"/>
    <n v="4557"/>
    <s v="No"/>
    <n v="92"/>
    <n v="4.3"/>
    <x v="4"/>
  </r>
  <r>
    <x v="334"/>
    <s v="Sneha Gupta"/>
    <n v="59"/>
    <x v="0"/>
    <s v="A-"/>
    <s v="Delhi"/>
    <d v="2022-05-08T00:00:00"/>
    <d v="2022-05-22T00:00:00"/>
    <n v="14"/>
    <x v="5"/>
    <s v="Pneumonia"/>
    <x v="8"/>
    <s v="Chemotherapy"/>
    <x v="0"/>
    <s v="Dr. Prerna Kumar"/>
    <n v="347"/>
    <s v="ICU"/>
    <x v="1"/>
    <n v="177186"/>
    <n v="101934"/>
    <n v="75252"/>
    <n v="141038"/>
    <n v="26520"/>
    <n v="6968"/>
    <s v="No"/>
    <n v="68"/>
    <n v="4.0999999999999996"/>
    <x v="4"/>
  </r>
  <r>
    <x v="335"/>
    <s v="Geeta Khanna"/>
    <n v="25"/>
    <x v="1"/>
    <s v="B+"/>
    <s v="Ahmedabad"/>
    <d v="2024-07-26T00:00:00"/>
    <d v="2024-07-31T00:00:00"/>
    <n v="5"/>
    <x v="6"/>
    <s v="Arthritis"/>
    <x v="11"/>
    <s v="Surgery"/>
    <x v="2"/>
    <s v="Dr. Anjali Gupta"/>
    <n v="17"/>
    <s v="Semi-Private"/>
    <x v="1"/>
    <n v="120912"/>
    <n v="52367"/>
    <n v="68545"/>
    <n v="101818"/>
    <n v="4891"/>
    <n v="10356"/>
    <s v="No"/>
    <n v="58"/>
    <n v="2.1"/>
    <x v="2"/>
  </r>
  <r>
    <x v="336"/>
    <s v="Sneha Shah"/>
    <n v="44"/>
    <x v="0"/>
    <s v="O+"/>
    <s v="Hyderabad"/>
    <d v="2024-09-22T00:00:00"/>
    <d v="2024-09-23T00:00:00"/>
    <n v="1"/>
    <x v="5"/>
    <s v="Pneumonia"/>
    <x v="8"/>
    <s v="Dietary Management"/>
    <x v="0"/>
    <s v="Dr. Arun Singh"/>
    <n v="456"/>
    <s v="Private"/>
    <x v="0"/>
    <n v="97955"/>
    <n v="39243"/>
    <n v="58712"/>
    <n v="52992"/>
    <n v="27841"/>
    <n v="12618"/>
    <s v="No"/>
    <n v="44"/>
    <n v="4.5999999999999996"/>
    <x v="4"/>
  </r>
  <r>
    <x v="337"/>
    <s v="Meera Iyer"/>
    <n v="44"/>
    <x v="0"/>
    <s v="O-"/>
    <s v="Kolkata"/>
    <d v="2024-08-31T00:00:00"/>
    <d v="2024-09-27T00:00:00"/>
    <n v="27"/>
    <x v="0"/>
    <s v="Liver Disease"/>
    <x v="0"/>
    <s v="Physiotherapy"/>
    <x v="0"/>
    <s v="Dr. Anjali Gupta"/>
    <n v="77"/>
    <s v="Private"/>
    <x v="2"/>
    <n v="134122"/>
    <n v="94113"/>
    <n v="40009"/>
    <n v="112381"/>
    <n v="13688"/>
    <n v="4314"/>
    <s v="Yes"/>
    <n v="82"/>
    <n v="4.7"/>
    <x v="1"/>
  </r>
  <r>
    <x v="338"/>
    <s v="Rajesh Singh"/>
    <n v="26"/>
    <x v="1"/>
    <s v="O+"/>
    <s v="Jaipur"/>
    <d v="2022-09-11T00:00:00"/>
    <d v="2022-10-02T00:00:00"/>
    <n v="21"/>
    <x v="0"/>
    <s v="Depression"/>
    <x v="5"/>
    <s v="Chemotherapy"/>
    <x v="1"/>
    <s v="Dr. Shalini Nair"/>
    <n v="97"/>
    <s v="ICU"/>
    <x v="1"/>
    <n v="30973"/>
    <n v="14059"/>
    <n v="16914"/>
    <n v="9892"/>
    <n v="4941"/>
    <n v="11284"/>
    <s v="Yes"/>
    <n v="90"/>
    <n v="2.6"/>
    <x v="0"/>
  </r>
  <r>
    <x v="339"/>
    <s v="Sunil Singh"/>
    <n v="73"/>
    <x v="0"/>
    <s v="AB+"/>
    <s v="Lucknow"/>
    <d v="2022-04-03T00:00:00"/>
    <d v="2022-04-19T00:00:00"/>
    <n v="16"/>
    <x v="4"/>
    <s v="Hypertension"/>
    <x v="7"/>
    <s v="Observation"/>
    <x v="2"/>
    <s v="Dr. Vivek Sharma"/>
    <n v="441"/>
    <s v="Private"/>
    <x v="3"/>
    <n v="80090"/>
    <n v="61071"/>
    <n v="19019"/>
    <n v="72417"/>
    <n v="3982"/>
    <n v="2378"/>
    <s v="No"/>
    <n v="51"/>
    <n v="2.8"/>
    <x v="3"/>
  </r>
  <r>
    <x v="340"/>
    <s v="Vikram Rao"/>
    <n v="57"/>
    <x v="1"/>
    <s v="A+"/>
    <s v="Lucknow"/>
    <d v="2023-10-29T00:00:00"/>
    <d v="2023-11-04T00:00:00"/>
    <n v="6"/>
    <x v="4"/>
    <s v="Hypertension"/>
    <x v="7"/>
    <s v="Dialysis"/>
    <x v="0"/>
    <s v="Dr. Prerna Kumar"/>
    <n v="73"/>
    <s v="ICU"/>
    <x v="4"/>
    <n v="101470"/>
    <n v="0"/>
    <n v="101470"/>
    <n v="72615"/>
    <n v="13304"/>
    <n v="14061"/>
    <s v="Yes"/>
    <n v="55"/>
    <n v="4.3"/>
    <x v="0"/>
  </r>
  <r>
    <x v="341"/>
    <s v="Kavya Bose"/>
    <n v="70"/>
    <x v="0"/>
    <s v="A-"/>
    <s v="Hyderabad"/>
    <d v="2022-05-05T00:00:00"/>
    <d v="2022-05-16T00:00:00"/>
    <n v="11"/>
    <x v="0"/>
    <s v="COVID-19"/>
    <x v="1"/>
    <s v="Observation"/>
    <x v="1"/>
    <s v="Dr. Anjali Sharma"/>
    <n v="209"/>
    <s v="Semi-Private"/>
    <x v="2"/>
    <n v="106147"/>
    <n v="71532"/>
    <n v="34615"/>
    <n v="75558"/>
    <n v="19155"/>
    <n v="10103"/>
    <s v="No"/>
    <n v="90"/>
    <n v="2.4"/>
    <x v="0"/>
  </r>
  <r>
    <x v="342"/>
    <s v="Pooja Malhotra"/>
    <n v="15"/>
    <x v="1"/>
    <s v="B+"/>
    <s v="Pune"/>
    <d v="2022-12-11T00:00:00"/>
    <d v="2023-01-06T00:00:00"/>
    <n v="26"/>
    <x v="2"/>
    <s v="Cancer"/>
    <x v="3"/>
    <s v="Observation"/>
    <x v="0"/>
    <s v="Dr. Arun Sharma"/>
    <n v="417"/>
    <s v="ICU"/>
    <x v="1"/>
    <n v="106970"/>
    <n v="44719"/>
    <n v="62251"/>
    <n v="80825"/>
    <n v="22399"/>
    <n v="3242"/>
    <s v="No"/>
    <n v="57"/>
    <n v="3.8"/>
    <x v="4"/>
  </r>
  <r>
    <x v="343"/>
    <s v="Nisha Mehta"/>
    <n v="79"/>
    <x v="0"/>
    <s v="A+"/>
    <s v="Bangalore"/>
    <d v="2024-12-29T00:00:00"/>
    <d v="2024-12-31T00:00:00"/>
    <n v="2"/>
    <x v="6"/>
    <s v="Fracture"/>
    <x v="10"/>
    <s v="Surgery"/>
    <x v="0"/>
    <s v="Dr. Prerna Mehta"/>
    <n v="372"/>
    <s v="Private"/>
    <x v="3"/>
    <n v="93153"/>
    <n v="80594"/>
    <n v="12559"/>
    <n v="60273"/>
    <n v="21003"/>
    <n v="8770"/>
    <s v="No"/>
    <n v="80"/>
    <n v="2.8"/>
    <x v="4"/>
  </r>
  <r>
    <x v="344"/>
    <s v="Rohan Reddy"/>
    <n v="46"/>
    <x v="0"/>
    <s v="B-"/>
    <s v="Ahmedabad"/>
    <d v="2023-11-04T00:00:00"/>
    <d v="2023-11-05T00:00:00"/>
    <n v="1"/>
    <x v="5"/>
    <s v="Pneumonia"/>
    <x v="8"/>
    <s v="Dietary Management"/>
    <x v="0"/>
    <s v="Dr. Arun Sharma"/>
    <n v="345"/>
    <s v="Semi-Private"/>
    <x v="3"/>
    <n v="171009"/>
    <n v="106769"/>
    <n v="64240"/>
    <n v="133182"/>
    <n v="25984"/>
    <n v="6935"/>
    <s v="No"/>
    <n v="81"/>
    <n v="2.2000000000000002"/>
    <x v="3"/>
  </r>
  <r>
    <x v="345"/>
    <s v="Mukesh Malhotra"/>
    <n v="20"/>
    <x v="0"/>
    <s v="AB+"/>
    <s v="Lucknow"/>
    <d v="2024-01-04T00:00:00"/>
    <d v="2024-01-17T00:00:00"/>
    <n v="13"/>
    <x v="4"/>
    <s v="Heart Attack"/>
    <x v="7"/>
    <s v="Surgery"/>
    <x v="0"/>
    <s v="Dr. Nisha Reddy"/>
    <n v="228"/>
    <s v="General Ward"/>
    <x v="0"/>
    <n v="44573"/>
    <n v="20390"/>
    <n v="24183"/>
    <n v="10185"/>
    <n v="25851"/>
    <n v="5106"/>
    <s v="No"/>
    <n v="80"/>
    <n v="2.9"/>
    <x v="2"/>
  </r>
  <r>
    <x v="346"/>
    <s v="Kavya Bose"/>
    <n v="51"/>
    <x v="1"/>
    <s v="O+"/>
    <s v="Ahmedabad"/>
    <d v="2023-03-05T00:00:00"/>
    <d v="2023-03-06T00:00:00"/>
    <n v="1"/>
    <x v="3"/>
    <s v="Stroke"/>
    <x v="6"/>
    <s v="Surgery"/>
    <x v="3"/>
    <s v="Dr. Shalini Nair"/>
    <n v="253"/>
    <s v="Semi-Private"/>
    <x v="1"/>
    <n v="92957"/>
    <n v="39006"/>
    <n v="53951"/>
    <n v="55795"/>
    <n v="22621"/>
    <n v="12604"/>
    <s v="Yes"/>
    <n v="44"/>
    <n v="2.4"/>
    <x v="0"/>
  </r>
  <r>
    <x v="347"/>
    <s v="Rekha Reddy"/>
    <n v="71"/>
    <x v="0"/>
    <s v="B-"/>
    <s v="Mumbai"/>
    <d v="2024-12-27T00:00:00"/>
    <d v="2024-12-31T00:00:00"/>
    <n v="4"/>
    <x v="5"/>
    <s v="Asthma"/>
    <x v="8"/>
    <s v="Radiation Therapy"/>
    <x v="1"/>
    <s v="Dr. Vivek Sharma"/>
    <n v="438"/>
    <s v="Private"/>
    <x v="3"/>
    <n v="128878"/>
    <n v="95367"/>
    <n v="33511"/>
    <n v="111660"/>
    <n v="9979"/>
    <n v="2494"/>
    <s v="No"/>
    <n v="88"/>
    <n v="2.1"/>
    <x v="2"/>
  </r>
  <r>
    <x v="348"/>
    <s v="Priya Nair"/>
    <n v="58"/>
    <x v="0"/>
    <s v="O-"/>
    <s v="Mumbai"/>
    <d v="2024-03-13T00:00:00"/>
    <d v="2024-03-20T00:00:00"/>
    <n v="7"/>
    <x v="0"/>
    <s v="Dengue"/>
    <x v="1"/>
    <s v="Dietary Management"/>
    <x v="1"/>
    <s v="Dr. Kavita Joshi"/>
    <n v="491"/>
    <s v="General Ward"/>
    <x v="0"/>
    <n v="71939"/>
    <n v="30132"/>
    <n v="41807"/>
    <n v="56610"/>
    <n v="6389"/>
    <n v="5894"/>
    <s v="No"/>
    <n v="41"/>
    <n v="3.4"/>
    <x v="3"/>
  </r>
  <r>
    <x v="349"/>
    <s v="Sanjay Verma"/>
    <n v="37"/>
    <x v="1"/>
    <s v="A-"/>
    <s v="Ahmedabad"/>
    <d v="2023-05-04T00:00:00"/>
    <d v="2023-05-15T00:00:00"/>
    <n v="11"/>
    <x v="0"/>
    <s v="Diabetes Type 2"/>
    <x v="9"/>
    <s v="Counseling"/>
    <x v="2"/>
    <s v="Dr. Prerna Rao"/>
    <n v="318"/>
    <s v="ICU"/>
    <x v="2"/>
    <n v="145750"/>
    <n v="130061"/>
    <n v="15689"/>
    <n v="122035"/>
    <n v="19970"/>
    <n v="2545"/>
    <s v="No"/>
    <n v="64"/>
    <n v="2.9"/>
    <x v="3"/>
  </r>
  <r>
    <x v="350"/>
    <s v="Lata Gupta"/>
    <n v="12"/>
    <x v="0"/>
    <s v="A+"/>
    <s v="Hyderabad"/>
    <d v="2024-06-03T00:00:00"/>
    <d v="2024-06-06T00:00:00"/>
    <n v="3"/>
    <x v="0"/>
    <s v="Appendicitis"/>
    <x v="0"/>
    <s v="Counseling"/>
    <x v="1"/>
    <s v="Dr. Rakesh Joshi"/>
    <n v="206"/>
    <s v="General Ward"/>
    <x v="1"/>
    <n v="136658"/>
    <n v="73252"/>
    <n v="63406"/>
    <n v="112769"/>
    <n v="8638"/>
    <n v="14665"/>
    <s v="No"/>
    <n v="67"/>
    <n v="4.5999999999999996"/>
    <x v="0"/>
  </r>
  <r>
    <x v="351"/>
    <s v="Sneha Verma"/>
    <n v="8"/>
    <x v="0"/>
    <s v="O-"/>
    <s v="Lucknow"/>
    <d v="2023-01-30T00:00:00"/>
    <d v="2023-02-03T00:00:00"/>
    <n v="4"/>
    <x v="0"/>
    <s v="Appendicitis"/>
    <x v="0"/>
    <s v="Dietary Management"/>
    <x v="1"/>
    <s v="Dr. Shalini Reddy"/>
    <n v="464"/>
    <s v="Semi-Private"/>
    <x v="1"/>
    <n v="96668"/>
    <n v="59682"/>
    <n v="36986"/>
    <n v="72183"/>
    <n v="12645"/>
    <n v="7397"/>
    <s v="No"/>
    <n v="55"/>
    <n v="2.4"/>
    <x v="3"/>
  </r>
  <r>
    <x v="352"/>
    <s v="Priya Gupta"/>
    <n v="44"/>
    <x v="0"/>
    <s v="O-"/>
    <s v="Hyderabad"/>
    <d v="2022-10-26T00:00:00"/>
    <d v="2022-10-31T00:00:00"/>
    <n v="5"/>
    <x v="0"/>
    <s v="Typhoid"/>
    <x v="1"/>
    <s v="Dietary Management"/>
    <x v="3"/>
    <s v="Dr. Rakesh Kumar"/>
    <n v="497"/>
    <s v="General Ward"/>
    <x v="1"/>
    <n v="54827"/>
    <n v="35405"/>
    <n v="19422"/>
    <n v="42906"/>
    <n v="2878"/>
    <n v="4389"/>
    <s v="No"/>
    <n v="43"/>
    <n v="3.3"/>
    <x v="2"/>
  </r>
  <r>
    <x v="353"/>
    <s v="Suresh Mehta"/>
    <n v="13"/>
    <x v="0"/>
    <s v="B-"/>
    <s v="Ahmedabad"/>
    <d v="2024-08-15T00:00:00"/>
    <d v="2024-09-04T00:00:00"/>
    <n v="20"/>
    <x v="0"/>
    <s v="Dengue"/>
    <x v="1"/>
    <s v="Dietary Management"/>
    <x v="3"/>
    <s v="Dr. Shalini Singh"/>
    <n v="215"/>
    <s v="Private"/>
    <x v="0"/>
    <n v="64070"/>
    <n v="35160"/>
    <n v="28910"/>
    <n v="32485"/>
    <n v="15886"/>
    <n v="14854"/>
    <s v="No"/>
    <n v="80"/>
    <n v="2.7"/>
    <x v="2"/>
  </r>
  <r>
    <x v="354"/>
    <s v="Sunil Menon"/>
    <n v="32"/>
    <x v="1"/>
    <s v="AB-"/>
    <s v="Pune"/>
    <d v="2024-02-09T00:00:00"/>
    <d v="2024-02-16T00:00:00"/>
    <n v="7"/>
    <x v="3"/>
    <s v="Migraine"/>
    <x v="6"/>
    <s v="Medication"/>
    <x v="3"/>
    <s v="Dr. Arun Patel"/>
    <n v="184"/>
    <s v="General Ward"/>
    <x v="1"/>
    <n v="50229"/>
    <n v="23021"/>
    <n v="27208"/>
    <n v="35196"/>
    <n v="5666"/>
    <n v="5260"/>
    <s v="No"/>
    <n v="88"/>
    <n v="3.1"/>
    <x v="3"/>
  </r>
  <r>
    <x v="355"/>
    <s v="Suresh Mehta"/>
    <n v="41"/>
    <x v="1"/>
    <s v="B-"/>
    <s v="Hyderabad"/>
    <d v="2022-12-23T00:00:00"/>
    <d v="2023-01-03T00:00:00"/>
    <n v="11"/>
    <x v="0"/>
    <s v="Depression"/>
    <x v="5"/>
    <s v="Physiotherapy"/>
    <x v="2"/>
    <s v="Dr. Arun Mehta"/>
    <n v="432"/>
    <s v="Private"/>
    <x v="2"/>
    <n v="51970"/>
    <n v="37090"/>
    <n v="14880"/>
    <n v="10503"/>
    <n v="28244"/>
    <n v="11599"/>
    <s v="No"/>
    <n v="47"/>
    <n v="3"/>
    <x v="2"/>
  </r>
  <r>
    <x v="356"/>
    <s v="Deepa Malhotra"/>
    <n v="35"/>
    <x v="0"/>
    <s v="O-"/>
    <s v="Bangalore"/>
    <d v="2024-12-15T00:00:00"/>
    <d v="2024-12-31T00:00:00"/>
    <n v="16"/>
    <x v="0"/>
    <s v="Liver Disease"/>
    <x v="0"/>
    <s v="Surgery"/>
    <x v="1"/>
    <s v="Dr. Sameer Mehta"/>
    <n v="407"/>
    <s v="Semi-Private"/>
    <x v="0"/>
    <n v="173439"/>
    <n v="85919"/>
    <n v="87520"/>
    <n v="144606"/>
    <n v="13392"/>
    <n v="11876"/>
    <s v="No"/>
    <n v="80"/>
    <n v="2.7"/>
    <x v="3"/>
  </r>
  <r>
    <x v="357"/>
    <s v="Vijay Menon"/>
    <n v="80"/>
    <x v="1"/>
    <s v="O+"/>
    <s v="Bangalore"/>
    <d v="2023-11-03T00:00:00"/>
    <d v="2023-11-11T00:00:00"/>
    <n v="8"/>
    <x v="0"/>
    <s v="Diabetes Type 2"/>
    <x v="9"/>
    <s v="Physiotherapy"/>
    <x v="0"/>
    <s v="Dr. Kavita Patel"/>
    <n v="402"/>
    <s v="ICU"/>
    <x v="1"/>
    <n v="41004"/>
    <n v="25644"/>
    <n v="15360"/>
    <n v="22006"/>
    <n v="6486"/>
    <n v="8833"/>
    <s v="No"/>
    <n v="72"/>
    <n v="3.1"/>
    <x v="0"/>
  </r>
  <r>
    <x v="358"/>
    <s v="Sunil Joshi"/>
    <n v="46"/>
    <x v="0"/>
    <s v="AB-"/>
    <s v="Ahmedabad"/>
    <d v="2024-08-28T00:00:00"/>
    <d v="2024-09-06T00:00:00"/>
    <n v="9"/>
    <x v="0"/>
    <s v="Obesity"/>
    <x v="12"/>
    <s v="Dietary Management"/>
    <x v="1"/>
    <s v="Dr. Kavita Reddy"/>
    <n v="459"/>
    <s v="Semi-Private"/>
    <x v="3"/>
    <n v="87501"/>
    <n v="63658"/>
    <n v="23843"/>
    <n v="66442"/>
    <n v="13972"/>
    <n v="4081"/>
    <s v="No"/>
    <n v="50"/>
    <n v="4.8"/>
    <x v="1"/>
  </r>
  <r>
    <x v="359"/>
    <s v="Rohan Pillai"/>
    <n v="15"/>
    <x v="1"/>
    <s v="A-"/>
    <s v="Hyderabad"/>
    <d v="2024-06-29T00:00:00"/>
    <d v="2024-07-16T00:00:00"/>
    <n v="17"/>
    <x v="1"/>
    <s v="Kidney Stone"/>
    <x v="2"/>
    <s v="Dietary Management"/>
    <x v="1"/>
    <s v="Dr. Anjali Nair"/>
    <n v="319"/>
    <s v="Private"/>
    <x v="3"/>
    <n v="151022"/>
    <n v="107264"/>
    <n v="43758"/>
    <n v="123266"/>
    <n v="16320"/>
    <n v="7586"/>
    <s v="No"/>
    <n v="57"/>
    <n v="3.1"/>
    <x v="2"/>
  </r>
  <r>
    <x v="360"/>
    <s v="Sunil Reddy"/>
    <n v="38"/>
    <x v="1"/>
    <s v="O-"/>
    <s v="Delhi"/>
    <d v="2023-08-27T00:00:00"/>
    <d v="2023-09-23T00:00:00"/>
    <n v="27"/>
    <x v="6"/>
    <s v="Arthritis"/>
    <x v="11"/>
    <s v="Counseling"/>
    <x v="1"/>
    <s v="Dr. Rakesh Reddy"/>
    <n v="51"/>
    <s v="General Ward"/>
    <x v="2"/>
    <n v="113273"/>
    <n v="79306"/>
    <n v="33967"/>
    <n v="99433"/>
    <n v="2254"/>
    <n v="9446"/>
    <s v="No"/>
    <n v="56"/>
    <n v="2.9"/>
    <x v="1"/>
  </r>
  <r>
    <x v="361"/>
    <s v="Suresh Menon"/>
    <n v="22"/>
    <x v="0"/>
    <s v="A+"/>
    <s v="Hyderabad"/>
    <d v="2023-08-01T00:00:00"/>
    <d v="2023-08-28T00:00:00"/>
    <n v="27"/>
    <x v="1"/>
    <s v="Kidney Stone"/>
    <x v="2"/>
    <s v="Observation"/>
    <x v="1"/>
    <s v="Dr. Anjali Nair"/>
    <n v="390"/>
    <s v="Semi-Private"/>
    <x v="3"/>
    <n v="87663"/>
    <n v="65075"/>
    <n v="22588"/>
    <n v="64658"/>
    <n v="8435"/>
    <n v="12351"/>
    <s v="No"/>
    <n v="90"/>
    <n v="3.7"/>
    <x v="4"/>
  </r>
  <r>
    <x v="362"/>
    <s v="Geeta Malhotra"/>
    <n v="48"/>
    <x v="1"/>
    <s v="O-"/>
    <s v="Chennai"/>
    <d v="2024-05-28T00:00:00"/>
    <d v="2024-06-22T00:00:00"/>
    <n v="25"/>
    <x v="0"/>
    <s v="Anemia"/>
    <x v="4"/>
    <s v="Radiation Therapy"/>
    <x v="0"/>
    <s v="Dr. Deepak Sharma"/>
    <n v="192"/>
    <s v="Semi-Private"/>
    <x v="1"/>
    <n v="62824"/>
    <n v="34549"/>
    <n v="28275"/>
    <n v="38645"/>
    <n v="11012"/>
    <n v="12588"/>
    <s v="No"/>
    <n v="62"/>
    <n v="3"/>
    <x v="4"/>
  </r>
  <r>
    <x v="363"/>
    <s v="Pooja Chopra"/>
    <n v="73"/>
    <x v="0"/>
    <s v="O-"/>
    <s v="Lucknow"/>
    <d v="2022-02-17T00:00:00"/>
    <d v="2022-03-08T00:00:00"/>
    <n v="19"/>
    <x v="0"/>
    <s v="Diabetes Type 2"/>
    <x v="9"/>
    <s v="Physiotherapy"/>
    <x v="3"/>
    <s v="Dr. Shalini Rao"/>
    <n v="468"/>
    <s v="ICU"/>
    <x v="3"/>
    <n v="78752"/>
    <n v="56381"/>
    <n v="22371"/>
    <n v="58531"/>
    <n v="13800"/>
    <n v="1543"/>
    <s v="No"/>
    <n v="61"/>
    <n v="3.7"/>
    <x v="4"/>
  </r>
  <r>
    <x v="364"/>
    <s v="Rajesh Rao"/>
    <n v="16"/>
    <x v="1"/>
    <s v="A-"/>
    <s v="Jaipur"/>
    <d v="2022-12-30T00:00:00"/>
    <d v="2023-01-01T00:00:00"/>
    <n v="2"/>
    <x v="0"/>
    <s v="Liver Disease"/>
    <x v="0"/>
    <s v="Medication"/>
    <x v="2"/>
    <s v="Dr. Kavita Patel"/>
    <n v="467"/>
    <s v="ICU"/>
    <x v="4"/>
    <n v="77673"/>
    <n v="0"/>
    <n v="77673"/>
    <n v="58973"/>
    <n v="8636"/>
    <n v="5269"/>
    <s v="Yes"/>
    <n v="43"/>
    <n v="3.1"/>
    <x v="3"/>
  </r>
  <r>
    <x v="365"/>
    <s v="Ananya Verma"/>
    <n v="57"/>
    <x v="0"/>
    <s v="B+"/>
    <s v="Delhi"/>
    <d v="2022-09-22T00:00:00"/>
    <d v="2022-10-10T00:00:00"/>
    <n v="18"/>
    <x v="0"/>
    <s v="Anemia"/>
    <x v="4"/>
    <s v="Surgery"/>
    <x v="0"/>
    <s v="Dr. Kavita Mehta"/>
    <n v="446"/>
    <s v="Semi-Private"/>
    <x v="4"/>
    <n v="162614"/>
    <n v="0"/>
    <n v="162614"/>
    <n v="118298"/>
    <n v="27800"/>
    <n v="12127"/>
    <s v="No"/>
    <n v="76"/>
    <n v="4.8"/>
    <x v="0"/>
  </r>
  <r>
    <x v="366"/>
    <s v="Suresh Das"/>
    <n v="63"/>
    <x v="0"/>
    <s v="B-"/>
    <s v="Mumbai"/>
    <d v="2022-10-20T00:00:00"/>
    <d v="2022-11-04T00:00:00"/>
    <n v="15"/>
    <x v="6"/>
    <s v="Fracture"/>
    <x v="10"/>
    <s v="Dietary Management"/>
    <x v="2"/>
    <s v="Dr. Deepak Kumar"/>
    <n v="467"/>
    <s v="ICU"/>
    <x v="3"/>
    <n v="148556"/>
    <n v="101965"/>
    <n v="46591"/>
    <n v="126292"/>
    <n v="19878"/>
    <n v="1140"/>
    <s v="No"/>
    <n v="69"/>
    <n v="3"/>
    <x v="1"/>
  </r>
  <r>
    <x v="367"/>
    <s v="Karan Menon"/>
    <n v="27"/>
    <x v="0"/>
    <s v="B-"/>
    <s v="Bangalore"/>
    <d v="2024-06-03T00:00:00"/>
    <d v="2024-06-18T00:00:00"/>
    <n v="15"/>
    <x v="3"/>
    <s v="Migraine"/>
    <x v="6"/>
    <s v="Dietary Management"/>
    <x v="1"/>
    <s v="Dr. Vivek Sharma"/>
    <n v="123"/>
    <s v="Semi-Private"/>
    <x v="4"/>
    <n v="168996"/>
    <n v="0"/>
    <n v="168996"/>
    <n v="145964"/>
    <n v="10564"/>
    <n v="11422"/>
    <s v="No"/>
    <n v="86"/>
    <n v="4.7"/>
    <x v="4"/>
  </r>
  <r>
    <x v="368"/>
    <s v="Pooja Pillai"/>
    <n v="20"/>
    <x v="0"/>
    <s v="A-"/>
    <s v="Delhi"/>
    <d v="2024-10-30T00:00:00"/>
    <d v="2024-11-24T00:00:00"/>
    <n v="25"/>
    <x v="0"/>
    <s v="Dengue"/>
    <x v="1"/>
    <s v="Radiation Therapy"/>
    <x v="2"/>
    <s v="Dr. Rakesh Reddy"/>
    <n v="260"/>
    <s v="General Ward"/>
    <x v="3"/>
    <n v="30651"/>
    <n v="21895"/>
    <n v="8756"/>
    <n v="12003"/>
    <n v="3398"/>
    <n v="10967"/>
    <s v="No"/>
    <n v="94"/>
    <n v="2.6"/>
    <x v="3"/>
  </r>
  <r>
    <x v="369"/>
    <s v="Aditya Nair"/>
    <n v="19"/>
    <x v="1"/>
    <s v="O-"/>
    <s v="Ahmedabad"/>
    <d v="2024-09-19T00:00:00"/>
    <d v="2024-10-04T00:00:00"/>
    <n v="15"/>
    <x v="6"/>
    <s v="Fracture"/>
    <x v="10"/>
    <s v="Counseling"/>
    <x v="2"/>
    <s v="Dr. Anjali Mehta"/>
    <n v="242"/>
    <s v="Private"/>
    <x v="0"/>
    <n v="80311"/>
    <n v="36395"/>
    <n v="43916"/>
    <n v="49718"/>
    <n v="28475"/>
    <n v="795"/>
    <s v="Yes"/>
    <n v="87"/>
    <n v="3.2"/>
    <x v="3"/>
  </r>
  <r>
    <x v="370"/>
    <s v="Sunita Sharma"/>
    <n v="39"/>
    <x v="1"/>
    <s v="AB-"/>
    <s v="Pune"/>
    <d v="2022-12-31T00:00:00"/>
    <d v="2023-01-07T00:00:00"/>
    <n v="7"/>
    <x v="0"/>
    <s v="Diabetes Type 2"/>
    <x v="9"/>
    <s v="Chemotherapy"/>
    <x v="0"/>
    <s v="Dr. Arun Nair"/>
    <n v="329"/>
    <s v="General Ward"/>
    <x v="3"/>
    <n v="103269"/>
    <n v="63469"/>
    <n v="39800"/>
    <n v="85825"/>
    <n v="15548"/>
    <n v="1358"/>
    <s v="No"/>
    <n v="52"/>
    <n v="4.8"/>
    <x v="1"/>
  </r>
  <r>
    <x v="371"/>
    <s v="Sonia Reddy"/>
    <n v="30"/>
    <x v="1"/>
    <s v="A+"/>
    <s v="Kolkata"/>
    <d v="2022-02-27T00:00:00"/>
    <d v="2022-02-28T00:00:00"/>
    <n v="1"/>
    <x v="0"/>
    <s v="Dengue"/>
    <x v="1"/>
    <s v="Surgery"/>
    <x v="2"/>
    <s v="Dr. Prerna Mehta"/>
    <n v="371"/>
    <s v="Semi-Private"/>
    <x v="2"/>
    <n v="137204"/>
    <n v="95604"/>
    <n v="41600"/>
    <n v="113968"/>
    <n v="17793"/>
    <n v="2264"/>
    <s v="No"/>
    <n v="79"/>
    <n v="2.6"/>
    <x v="0"/>
  </r>
  <r>
    <x v="372"/>
    <s v="Karan Khanna"/>
    <n v="20"/>
    <x v="1"/>
    <s v="B-"/>
    <s v="Delhi"/>
    <d v="2024-01-01T00:00:00"/>
    <d v="2024-01-12T00:00:00"/>
    <n v="11"/>
    <x v="4"/>
    <s v="Heart Attack"/>
    <x v="7"/>
    <s v="Observation"/>
    <x v="3"/>
    <s v="Dr. Arun Joshi"/>
    <n v="109"/>
    <s v="ICU"/>
    <x v="0"/>
    <n v="61500"/>
    <n v="36591"/>
    <n v="24909"/>
    <n v="22305"/>
    <n v="22560"/>
    <n v="13854"/>
    <s v="No"/>
    <n v="44"/>
    <n v="4.7"/>
    <x v="4"/>
  </r>
  <r>
    <x v="373"/>
    <s v="Deepa Menon"/>
    <n v="68"/>
    <x v="1"/>
    <s v="B+"/>
    <s v="Hyderabad"/>
    <d v="2022-07-14T00:00:00"/>
    <d v="2022-08-03T00:00:00"/>
    <n v="20"/>
    <x v="0"/>
    <s v="Dengue"/>
    <x v="1"/>
    <s v="Physiotherapy"/>
    <x v="3"/>
    <s v="Dr. Sameer Kumar"/>
    <n v="436"/>
    <s v="ICU"/>
    <x v="2"/>
    <n v="109070"/>
    <n v="77954"/>
    <n v="31116"/>
    <n v="92845"/>
    <n v="1578"/>
    <n v="10470"/>
    <s v="No"/>
    <n v="54"/>
    <n v="3.5"/>
    <x v="3"/>
  </r>
  <r>
    <x v="374"/>
    <s v="Kavya Sharma"/>
    <n v="83"/>
    <x v="1"/>
    <s v="O+"/>
    <s v="Chennai"/>
    <d v="2024-05-27T00:00:00"/>
    <d v="2024-06-21T00:00:00"/>
    <n v="25"/>
    <x v="2"/>
    <s v="Cancer"/>
    <x v="3"/>
    <s v="Surgery"/>
    <x v="1"/>
    <s v="Dr. Sameer Kumar"/>
    <n v="256"/>
    <s v="Private"/>
    <x v="0"/>
    <n v="62729"/>
    <n v="29572"/>
    <n v="33157"/>
    <n v="44759"/>
    <n v="13312"/>
    <n v="3848"/>
    <s v="No"/>
    <n v="100"/>
    <n v="3.3"/>
    <x v="1"/>
  </r>
  <r>
    <x v="375"/>
    <s v="Vikram Nair"/>
    <n v="45"/>
    <x v="1"/>
    <s v="AB+"/>
    <s v="Hyderabad"/>
    <d v="2022-02-18T00:00:00"/>
    <d v="2022-02-26T00:00:00"/>
    <n v="8"/>
    <x v="0"/>
    <s v="Dengue"/>
    <x v="1"/>
    <s v="Chemotherapy"/>
    <x v="2"/>
    <s v="Dr. Deepak Sharma"/>
    <n v="465"/>
    <s v="Semi-Private"/>
    <x v="0"/>
    <n v="130863"/>
    <n v="69712"/>
    <n v="61151"/>
    <n v="105004"/>
    <n v="18087"/>
    <n v="5769"/>
    <s v="Yes"/>
    <n v="95"/>
    <n v="3.5"/>
    <x v="2"/>
  </r>
  <r>
    <x v="376"/>
    <s v="Priya Gupta"/>
    <n v="31"/>
    <x v="1"/>
    <s v="A-"/>
    <s v="Bangalore"/>
    <d v="2023-02-23T00:00:00"/>
    <d v="2023-03-03T00:00:00"/>
    <n v="8"/>
    <x v="6"/>
    <s v="Arthritis"/>
    <x v="11"/>
    <s v="Observation"/>
    <x v="0"/>
    <s v="Dr. Rakesh Mehta"/>
    <n v="370"/>
    <s v="Semi-Private"/>
    <x v="0"/>
    <n v="135899"/>
    <n v="66717"/>
    <n v="69182"/>
    <n v="116153"/>
    <n v="6781"/>
    <n v="10426"/>
    <s v="No"/>
    <n v="80"/>
    <n v="2.6"/>
    <x v="4"/>
  </r>
  <r>
    <x v="377"/>
    <s v="Rahul Shah"/>
    <n v="55"/>
    <x v="0"/>
    <s v="B+"/>
    <s v="Ahmedabad"/>
    <d v="2024-06-22T00:00:00"/>
    <d v="2024-07-06T00:00:00"/>
    <n v="14"/>
    <x v="6"/>
    <s v="Arthritis"/>
    <x v="11"/>
    <s v="Observation"/>
    <x v="2"/>
    <s v="Dr. Anjali Sharma"/>
    <n v="391"/>
    <s v="ICU"/>
    <x v="3"/>
    <n v="63002"/>
    <n v="40689"/>
    <n v="22313"/>
    <n v="26818"/>
    <n v="25866"/>
    <n v="5418"/>
    <s v="No"/>
    <n v="56"/>
    <n v="3.1"/>
    <x v="1"/>
  </r>
  <r>
    <x v="378"/>
    <s v="Sunil Rao"/>
    <n v="53"/>
    <x v="0"/>
    <s v="A-"/>
    <s v="Pune"/>
    <d v="2022-10-07T00:00:00"/>
    <d v="2022-10-30T00:00:00"/>
    <n v="23"/>
    <x v="0"/>
    <s v="Typhoid"/>
    <x v="1"/>
    <s v="Physiotherapy"/>
    <x v="2"/>
    <s v="Dr. Arun Sharma"/>
    <n v="442"/>
    <s v="Private"/>
    <x v="3"/>
    <n v="136197"/>
    <n v="97410"/>
    <n v="38787"/>
    <n v="111051"/>
    <n v="14625"/>
    <n v="6965"/>
    <s v="No"/>
    <n v="77"/>
    <n v="2.2000000000000002"/>
    <x v="3"/>
  </r>
  <r>
    <x v="379"/>
    <s v="Sonia Kumar"/>
    <n v="54"/>
    <x v="1"/>
    <s v="B-"/>
    <s v="Kolkata"/>
    <d v="2023-06-07T00:00:00"/>
    <d v="2023-07-02T00:00:00"/>
    <n v="25"/>
    <x v="1"/>
    <s v="Kidney Stone"/>
    <x v="2"/>
    <s v="Radiation Therapy"/>
    <x v="3"/>
    <s v="Dr. Arun Joshi"/>
    <n v="475"/>
    <s v="ICU"/>
    <x v="0"/>
    <n v="89710"/>
    <n v="52865"/>
    <n v="36845"/>
    <n v="68531"/>
    <n v="16654"/>
    <n v="1065"/>
    <s v="No"/>
    <n v="84"/>
    <n v="4"/>
    <x v="2"/>
  </r>
  <r>
    <x v="380"/>
    <s v="Rohan Menon"/>
    <n v="63"/>
    <x v="1"/>
    <s v="O+"/>
    <s v="Chennai"/>
    <d v="2022-11-27T00:00:00"/>
    <d v="2022-11-28T00:00:00"/>
    <n v="1"/>
    <x v="0"/>
    <s v="Appendicitis"/>
    <x v="0"/>
    <s v="Observation"/>
    <x v="0"/>
    <s v="Dr. Shalini Patel"/>
    <n v="266"/>
    <s v="Semi-Private"/>
    <x v="3"/>
    <n v="86722"/>
    <n v="70032"/>
    <n v="16690"/>
    <n v="48469"/>
    <n v="28189"/>
    <n v="7493"/>
    <s v="No"/>
    <n v="74"/>
    <n v="4"/>
    <x v="4"/>
  </r>
  <r>
    <x v="381"/>
    <s v="Sanjay Rao"/>
    <n v="57"/>
    <x v="1"/>
    <s v="A-"/>
    <s v="Lucknow"/>
    <d v="2023-12-07T00:00:00"/>
    <d v="2024-01-03T00:00:00"/>
    <n v="27"/>
    <x v="5"/>
    <s v="Pneumonia"/>
    <x v="8"/>
    <s v="Chemotherapy"/>
    <x v="0"/>
    <s v="Dr. Rakesh Sharma"/>
    <n v="87"/>
    <s v="ICU"/>
    <x v="2"/>
    <n v="50781"/>
    <n v="38466"/>
    <n v="12315"/>
    <n v="30394"/>
    <n v="3288"/>
    <n v="13177"/>
    <s v="No"/>
    <n v="86"/>
    <n v="3.3"/>
    <x v="2"/>
  </r>
  <r>
    <x v="382"/>
    <s v="Nisha Joshi"/>
    <n v="22"/>
    <x v="1"/>
    <s v="AB-"/>
    <s v="Bangalore"/>
    <d v="2024-10-26T00:00:00"/>
    <d v="2024-10-30T00:00:00"/>
    <n v="4"/>
    <x v="0"/>
    <s v="COVID-19"/>
    <x v="1"/>
    <s v="Chemotherapy"/>
    <x v="2"/>
    <s v="Dr. Kavita Sharma"/>
    <n v="384"/>
    <s v="Semi-Private"/>
    <x v="0"/>
    <n v="113855"/>
    <n v="66953"/>
    <n v="46902"/>
    <n v="72987"/>
    <n v="29561"/>
    <n v="7197"/>
    <s v="No"/>
    <n v="95"/>
    <n v="3.9"/>
    <x v="3"/>
  </r>
  <r>
    <x v="383"/>
    <s v="Deepa Singh"/>
    <n v="53"/>
    <x v="1"/>
    <s v="O+"/>
    <s v="Delhi"/>
    <d v="2023-12-02T00:00:00"/>
    <d v="2023-12-03T00:00:00"/>
    <n v="1"/>
    <x v="0"/>
    <s v="Obesity"/>
    <x v="12"/>
    <s v="Radiation Therapy"/>
    <x v="0"/>
    <s v="Dr. Prerna Sharma"/>
    <n v="32"/>
    <s v="Private"/>
    <x v="2"/>
    <n v="28882"/>
    <n v="24190"/>
    <n v="4692"/>
    <n v="15973"/>
    <n v="4173"/>
    <n v="3958"/>
    <s v="No"/>
    <n v="73"/>
    <n v="5"/>
    <x v="1"/>
  </r>
  <r>
    <x v="384"/>
    <s v="Sonia Bose"/>
    <n v="65"/>
    <x v="0"/>
    <s v="AB+"/>
    <s v="Pune"/>
    <d v="2024-01-30T00:00:00"/>
    <d v="2024-02-21T00:00:00"/>
    <n v="22"/>
    <x v="0"/>
    <s v="Dengue"/>
    <x v="1"/>
    <s v="Chemotherapy"/>
    <x v="3"/>
    <s v="Dr. Vivek Joshi"/>
    <n v="313"/>
    <s v="General Ward"/>
    <x v="4"/>
    <n v="121659"/>
    <n v="0"/>
    <n v="121659"/>
    <n v="91574"/>
    <n v="27419"/>
    <n v="2141"/>
    <s v="No"/>
    <n v="84"/>
    <n v="3.2"/>
    <x v="2"/>
  </r>
  <r>
    <x v="385"/>
    <s v="Aditya Menon"/>
    <n v="20"/>
    <x v="0"/>
    <s v="B-"/>
    <s v="Pune"/>
    <d v="2024-07-14T00:00:00"/>
    <d v="2024-08-03T00:00:00"/>
    <n v="20"/>
    <x v="0"/>
    <s v="Typhoid"/>
    <x v="1"/>
    <s v="Observation"/>
    <x v="2"/>
    <s v="Dr. Arun Kumar"/>
    <n v="9"/>
    <s v="Private"/>
    <x v="2"/>
    <n v="123740"/>
    <n v="96768"/>
    <n v="26972"/>
    <n v="90334"/>
    <n v="23214"/>
    <n v="7779"/>
    <s v="No"/>
    <n v="79"/>
    <n v="4.4000000000000004"/>
    <x v="1"/>
  </r>
  <r>
    <x v="386"/>
    <s v="Pooja Bose"/>
    <n v="17"/>
    <x v="0"/>
    <s v="O+"/>
    <s v="Lucknow"/>
    <d v="2023-02-04T00:00:00"/>
    <d v="2023-02-27T00:00:00"/>
    <n v="23"/>
    <x v="5"/>
    <s v="Pneumonia"/>
    <x v="8"/>
    <s v="Dietary Management"/>
    <x v="1"/>
    <s v="Dr. Sameer Gupta"/>
    <n v="408"/>
    <s v="General Ward"/>
    <x v="4"/>
    <n v="188538"/>
    <n v="0"/>
    <n v="188538"/>
    <n v="148850"/>
    <n v="29664"/>
    <n v="8148"/>
    <s v="No"/>
    <n v="47"/>
    <n v="3.4"/>
    <x v="0"/>
  </r>
  <r>
    <x v="387"/>
    <s v="Kavya Reddy"/>
    <n v="32"/>
    <x v="1"/>
    <s v="A-"/>
    <s v="Delhi"/>
    <d v="2024-06-09T00:00:00"/>
    <d v="2024-07-02T00:00:00"/>
    <n v="23"/>
    <x v="4"/>
    <s v="Hypertension"/>
    <x v="7"/>
    <s v="ICU Care"/>
    <x v="0"/>
    <s v="Dr. Rakesh Reddy"/>
    <n v="369"/>
    <s v="Private"/>
    <x v="3"/>
    <n v="67677"/>
    <n v="53469"/>
    <n v="14208"/>
    <n v="37269"/>
    <n v="22806"/>
    <n v="2724"/>
    <s v="No"/>
    <n v="90"/>
    <n v="4.0999999999999996"/>
    <x v="2"/>
  </r>
  <r>
    <x v="388"/>
    <s v="Sonia Iyer"/>
    <n v="81"/>
    <x v="1"/>
    <s v="O-"/>
    <s v="Kolkata"/>
    <d v="2024-02-21T00:00:00"/>
    <d v="2024-03-13T00:00:00"/>
    <n v="21"/>
    <x v="0"/>
    <s v="Depression"/>
    <x v="5"/>
    <s v="Chemotherapy"/>
    <x v="2"/>
    <s v="Dr. Rakesh Patel"/>
    <n v="149"/>
    <s v="General Ward"/>
    <x v="2"/>
    <n v="55189"/>
    <n v="45442"/>
    <n v="9747"/>
    <n v="28367"/>
    <n v="12148"/>
    <n v="12633"/>
    <s v="Yes"/>
    <n v="63"/>
    <n v="2.4"/>
    <x v="1"/>
  </r>
  <r>
    <x v="389"/>
    <s v="Karan Iyer"/>
    <n v="5"/>
    <x v="0"/>
    <s v="A+"/>
    <s v="Lucknow"/>
    <d v="2023-01-24T00:00:00"/>
    <d v="2023-02-21T00:00:00"/>
    <n v="28"/>
    <x v="3"/>
    <s v="Migraine"/>
    <x v="6"/>
    <s v="ICU Care"/>
    <x v="3"/>
    <s v="Dr. Sameer Nair"/>
    <n v="340"/>
    <s v="Semi-Private"/>
    <x v="2"/>
    <n v="123521"/>
    <n v="85820"/>
    <n v="37701"/>
    <n v="108628"/>
    <n v="1301"/>
    <n v="9319"/>
    <s v="No"/>
    <n v="58"/>
    <n v="4.5"/>
    <x v="4"/>
  </r>
  <r>
    <x v="390"/>
    <s v="Sunita Malhotra"/>
    <n v="23"/>
    <x v="0"/>
    <s v="B+"/>
    <s v="Mumbai"/>
    <d v="2023-10-18T00:00:00"/>
    <d v="2023-10-28T00:00:00"/>
    <n v="10"/>
    <x v="6"/>
    <s v="Arthritis"/>
    <x v="11"/>
    <s v="Dialysis"/>
    <x v="0"/>
    <s v="Dr. Kavita Gupta"/>
    <n v="150"/>
    <s v="ICU"/>
    <x v="2"/>
    <n v="114623"/>
    <n v="97936"/>
    <n v="16687"/>
    <n v="92331"/>
    <n v="6003"/>
    <n v="14064"/>
    <s v="No"/>
    <n v="54"/>
    <n v="4.0999999999999996"/>
    <x v="3"/>
  </r>
  <r>
    <x v="391"/>
    <s v="Sonia Joshi"/>
    <n v="67"/>
    <x v="0"/>
    <s v="O+"/>
    <s v="Bangalore"/>
    <d v="2022-02-14T00:00:00"/>
    <d v="2022-03-04T00:00:00"/>
    <n v="18"/>
    <x v="3"/>
    <s v="Migraine"/>
    <x v="6"/>
    <s v="Observation"/>
    <x v="0"/>
    <s v="Dr. Nisha Joshi"/>
    <n v="201"/>
    <s v="General Ward"/>
    <x v="1"/>
    <n v="103456"/>
    <n v="63143"/>
    <n v="40313"/>
    <n v="79197"/>
    <n v="10252"/>
    <n v="11909"/>
    <s v="No"/>
    <n v="46"/>
    <n v="2.4"/>
    <x v="0"/>
  </r>
  <r>
    <x v="392"/>
    <s v="Rekha Patel"/>
    <n v="43"/>
    <x v="0"/>
    <s v="B+"/>
    <s v="Lucknow"/>
    <d v="2022-10-09T00:00:00"/>
    <d v="2022-10-24T00:00:00"/>
    <n v="15"/>
    <x v="0"/>
    <s v="Typhoid"/>
    <x v="1"/>
    <s v="Physiotherapy"/>
    <x v="2"/>
    <s v="Dr. Kavita Reddy"/>
    <n v="377"/>
    <s v="General Ward"/>
    <x v="4"/>
    <n v="70030"/>
    <n v="0"/>
    <n v="70030"/>
    <n v="31725"/>
    <n v="23227"/>
    <n v="13369"/>
    <s v="No"/>
    <n v="67"/>
    <n v="4"/>
    <x v="2"/>
  </r>
  <r>
    <x v="393"/>
    <s v="Sonia Patel"/>
    <n v="17"/>
    <x v="0"/>
    <s v="AB-"/>
    <s v="Bangalore"/>
    <d v="2022-04-18T00:00:00"/>
    <d v="2022-04-22T00:00:00"/>
    <n v="4"/>
    <x v="6"/>
    <s v="Arthritis"/>
    <x v="11"/>
    <s v="Dietary Management"/>
    <x v="0"/>
    <s v="Dr. Sameer Joshi"/>
    <n v="126"/>
    <s v="General Ward"/>
    <x v="2"/>
    <n v="93619"/>
    <n v="75494"/>
    <n v="18125"/>
    <n v="68138"/>
    <n v="13997"/>
    <n v="8505"/>
    <s v="No"/>
    <n v="81"/>
    <n v="4.2"/>
    <x v="3"/>
  </r>
  <r>
    <x v="394"/>
    <s v="Vijay Malhotra"/>
    <n v="53"/>
    <x v="0"/>
    <s v="AB-"/>
    <s v="Pune"/>
    <d v="2022-01-24T00:00:00"/>
    <d v="2022-01-28T00:00:00"/>
    <n v="4"/>
    <x v="0"/>
    <s v="Appendicitis"/>
    <x v="0"/>
    <s v="Surgery"/>
    <x v="0"/>
    <s v="Dr. Deepak Reddy"/>
    <n v="12"/>
    <s v="ICU"/>
    <x v="4"/>
    <n v="69011"/>
    <n v="0"/>
    <n v="69011"/>
    <n v="29786"/>
    <n v="27029"/>
    <n v="10213"/>
    <s v="No"/>
    <n v="81"/>
    <n v="4.0999999999999996"/>
    <x v="1"/>
  </r>
  <r>
    <x v="395"/>
    <s v="Sanjay Gupta"/>
    <n v="17"/>
    <x v="0"/>
    <s v="A-"/>
    <s v="Jaipur"/>
    <d v="2023-01-14T00:00:00"/>
    <d v="2023-01-27T00:00:00"/>
    <n v="13"/>
    <x v="4"/>
    <s v="Hypertension"/>
    <x v="7"/>
    <s v="Counseling"/>
    <x v="0"/>
    <s v="Dr. Prerna Nair"/>
    <n v="429"/>
    <s v="General Ward"/>
    <x v="0"/>
    <n v="59273"/>
    <n v="23804"/>
    <n v="35469"/>
    <n v="35756"/>
    <n v="6920"/>
    <n v="14623"/>
    <s v="No"/>
    <n v="60"/>
    <n v="2.4"/>
    <x v="2"/>
  </r>
  <r>
    <x v="396"/>
    <s v="Sanjay Mehta"/>
    <n v="25"/>
    <x v="1"/>
    <s v="O+"/>
    <s v="Mumbai"/>
    <d v="2022-06-23T00:00:00"/>
    <d v="2022-06-27T00:00:00"/>
    <n v="4"/>
    <x v="6"/>
    <s v="Arthritis"/>
    <x v="11"/>
    <s v="ICU Care"/>
    <x v="2"/>
    <s v="Dr. Vivek Sharma"/>
    <n v="128"/>
    <s v="Private"/>
    <x v="2"/>
    <n v="178000"/>
    <n v="130559"/>
    <n v="47441"/>
    <n v="141168"/>
    <n v="26650"/>
    <n v="5307"/>
    <s v="No"/>
    <n v="84"/>
    <n v="2.9"/>
    <x v="1"/>
  </r>
  <r>
    <x v="397"/>
    <s v="Divya Pillai"/>
    <n v="70"/>
    <x v="1"/>
    <s v="A-"/>
    <s v="Mumbai"/>
    <d v="2023-05-01T00:00:00"/>
    <d v="2023-05-03T00:00:00"/>
    <n v="2"/>
    <x v="3"/>
    <s v="Stroke"/>
    <x v="6"/>
    <s v="Dialysis"/>
    <x v="2"/>
    <s v="Dr. Sameer Rao"/>
    <n v="283"/>
    <s v="Semi-Private"/>
    <x v="1"/>
    <n v="115777"/>
    <n v="48894"/>
    <n v="66883"/>
    <n v="99126"/>
    <n v="10089"/>
    <n v="2605"/>
    <s v="No"/>
    <n v="64"/>
    <n v="3.9"/>
    <x v="2"/>
  </r>
  <r>
    <x v="398"/>
    <s v="Karan Malhotra"/>
    <n v="15"/>
    <x v="0"/>
    <s v="AB+"/>
    <s v="Bangalore"/>
    <d v="2023-02-22T00:00:00"/>
    <d v="2023-02-25T00:00:00"/>
    <n v="3"/>
    <x v="5"/>
    <s v="Asthma"/>
    <x v="8"/>
    <s v="ICU Care"/>
    <x v="2"/>
    <s v="Dr. Vivek Mehta"/>
    <n v="162"/>
    <s v="ICU"/>
    <x v="3"/>
    <n v="38261"/>
    <n v="26057"/>
    <n v="12204"/>
    <n v="11792"/>
    <n v="20779"/>
    <n v="4555"/>
    <s v="No"/>
    <n v="83"/>
    <n v="3.6"/>
    <x v="3"/>
  </r>
  <r>
    <x v="399"/>
    <s v="Amit Singh"/>
    <n v="51"/>
    <x v="0"/>
    <s v="O+"/>
    <s v="Bangalore"/>
    <d v="2023-04-08T00:00:00"/>
    <d v="2023-04-17T00:00:00"/>
    <n v="9"/>
    <x v="4"/>
    <s v="Hypertension"/>
    <x v="7"/>
    <s v="Observation"/>
    <x v="2"/>
    <s v="Dr. Vivek Patel"/>
    <n v="401"/>
    <s v="General Ward"/>
    <x v="0"/>
    <n v="185732"/>
    <n v="107102"/>
    <n v="78630"/>
    <n v="143012"/>
    <n v="24865"/>
    <n v="14844"/>
    <s v="No"/>
    <n v="46"/>
    <n v="3.6"/>
    <x v="0"/>
  </r>
  <r>
    <x v="400"/>
    <s v="Rekha Rao"/>
    <n v="75"/>
    <x v="0"/>
    <s v="A-"/>
    <s v="Mumbai"/>
    <d v="2022-12-16T00:00:00"/>
    <d v="2022-12-27T00:00:00"/>
    <n v="11"/>
    <x v="3"/>
    <s v="Migraine"/>
    <x v="6"/>
    <s v="ICU Care"/>
    <x v="0"/>
    <s v="Dr. Anjali Rao"/>
    <n v="66"/>
    <s v="Private"/>
    <x v="2"/>
    <n v="168580"/>
    <n v="108363"/>
    <n v="60217"/>
    <n v="139628"/>
    <n v="24370"/>
    <n v="3047"/>
    <s v="No"/>
    <n v="57"/>
    <n v="2.2000000000000002"/>
    <x v="1"/>
  </r>
  <r>
    <x v="401"/>
    <s v="Manoj Reddy"/>
    <n v="82"/>
    <x v="0"/>
    <s v="AB-"/>
    <s v="Bangalore"/>
    <d v="2024-06-17T00:00:00"/>
    <d v="2024-06-29T00:00:00"/>
    <n v="12"/>
    <x v="0"/>
    <s v="COVID-19"/>
    <x v="1"/>
    <s v="Dialysis"/>
    <x v="3"/>
    <s v="Dr. Vivek Nair"/>
    <n v="483"/>
    <s v="Semi-Private"/>
    <x v="4"/>
    <n v="49027"/>
    <n v="0"/>
    <n v="49027"/>
    <n v="27791"/>
    <n v="11015"/>
    <n v="7160"/>
    <s v="No"/>
    <n v="80"/>
    <n v="2.2000000000000002"/>
    <x v="2"/>
  </r>
  <r>
    <x v="402"/>
    <s v="Rahul Joshi"/>
    <n v="78"/>
    <x v="1"/>
    <s v="A-"/>
    <s v="Hyderabad"/>
    <d v="2024-10-06T00:00:00"/>
    <d v="2024-11-01T00:00:00"/>
    <n v="26"/>
    <x v="4"/>
    <s v="Hypertension"/>
    <x v="7"/>
    <s v="Counseling"/>
    <x v="2"/>
    <s v="Dr. Anjali Gupta"/>
    <n v="264"/>
    <s v="General Ward"/>
    <x v="3"/>
    <n v="34011"/>
    <n v="27693"/>
    <n v="6318"/>
    <n v="8643"/>
    <n v="21194"/>
    <n v="3615"/>
    <s v="No"/>
    <n v="87"/>
    <n v="3"/>
    <x v="0"/>
  </r>
  <r>
    <x v="403"/>
    <s v="Sunita Menon"/>
    <n v="10"/>
    <x v="0"/>
    <s v="B+"/>
    <s v="Jaipur"/>
    <d v="2023-04-06T00:00:00"/>
    <d v="2023-04-12T00:00:00"/>
    <n v="6"/>
    <x v="6"/>
    <s v="Fracture"/>
    <x v="10"/>
    <s v="Physiotherapy"/>
    <x v="3"/>
    <s v="Dr. Arun Joshi"/>
    <n v="254"/>
    <s v="ICU"/>
    <x v="0"/>
    <n v="116147"/>
    <n v="75440"/>
    <n v="40707"/>
    <n v="102854"/>
    <n v="4710"/>
    <n v="6037"/>
    <s v="No"/>
    <n v="94"/>
    <n v="2.4"/>
    <x v="1"/>
  </r>
  <r>
    <x v="404"/>
    <s v="Meera Rao"/>
    <n v="38"/>
    <x v="1"/>
    <s v="A+"/>
    <s v="Lucknow"/>
    <d v="2024-03-17T00:00:00"/>
    <d v="2024-03-24T00:00:00"/>
    <n v="7"/>
    <x v="1"/>
    <s v="UTI"/>
    <x v="2"/>
    <s v="Medication"/>
    <x v="0"/>
    <s v="Dr. Shalini Gupta"/>
    <n v="30"/>
    <s v="Private"/>
    <x v="2"/>
    <n v="146231"/>
    <n v="92440"/>
    <n v="53791"/>
    <n v="125679"/>
    <n v="11765"/>
    <n v="5388"/>
    <s v="No"/>
    <n v="86"/>
    <n v="2.6"/>
    <x v="1"/>
  </r>
  <r>
    <x v="405"/>
    <s v="Aditya Kumar"/>
    <n v="60"/>
    <x v="0"/>
    <s v="B-"/>
    <s v="Delhi"/>
    <d v="2024-12-19T00:00:00"/>
    <d v="2024-12-31T00:00:00"/>
    <n v="12"/>
    <x v="5"/>
    <s v="Pneumonia"/>
    <x v="8"/>
    <s v="Surgery"/>
    <x v="0"/>
    <s v="Dr. Arun Mehta"/>
    <n v="394"/>
    <s v="Private"/>
    <x v="0"/>
    <n v="151928"/>
    <n v="77384"/>
    <n v="74544"/>
    <n v="128390"/>
    <n v="13955"/>
    <n v="6632"/>
    <s v="No"/>
    <n v="74"/>
    <n v="4.4000000000000004"/>
    <x v="3"/>
  </r>
  <r>
    <x v="406"/>
    <s v="Sunil Malhotra"/>
    <n v="25"/>
    <x v="1"/>
    <s v="O-"/>
    <s v="Kolkata"/>
    <d v="2022-01-12T00:00:00"/>
    <d v="2022-01-24T00:00:00"/>
    <n v="12"/>
    <x v="3"/>
    <s v="Stroke"/>
    <x v="6"/>
    <s v="Chemotherapy"/>
    <x v="3"/>
    <s v="Dr. Arun Mehta"/>
    <n v="203"/>
    <s v="ICU"/>
    <x v="4"/>
    <n v="33083"/>
    <n v="0"/>
    <n v="33083"/>
    <n v="13285"/>
    <n v="6253"/>
    <n v="11415"/>
    <s v="No"/>
    <n v="82"/>
    <n v="4.9000000000000004"/>
    <x v="3"/>
  </r>
  <r>
    <x v="407"/>
    <s v="Pooja Bose"/>
    <n v="75"/>
    <x v="0"/>
    <s v="B+"/>
    <s v="Pune"/>
    <d v="2024-03-29T00:00:00"/>
    <d v="2024-04-15T00:00:00"/>
    <n v="17"/>
    <x v="3"/>
    <s v="Migraine"/>
    <x v="6"/>
    <s v="Surgery"/>
    <x v="1"/>
    <s v="Dr. Arun Mehta"/>
    <n v="80"/>
    <s v="Private"/>
    <x v="1"/>
    <n v="48872"/>
    <n v="20312"/>
    <n v="28560"/>
    <n v="8577"/>
    <n v="26145"/>
    <n v="11713"/>
    <s v="No"/>
    <n v="67"/>
    <n v="4.9000000000000004"/>
    <x v="3"/>
  </r>
  <r>
    <x v="408"/>
    <s v="Pooja Bose"/>
    <n v="42"/>
    <x v="0"/>
    <s v="AB-"/>
    <s v="Delhi"/>
    <d v="2024-05-28T00:00:00"/>
    <d v="2024-06-05T00:00:00"/>
    <n v="8"/>
    <x v="0"/>
    <s v="Liver Disease"/>
    <x v="0"/>
    <s v="Counseling"/>
    <x v="2"/>
    <s v="Dr. Kavita Singh"/>
    <n v="393"/>
    <s v="General Ward"/>
    <x v="4"/>
    <n v="110635"/>
    <n v="0"/>
    <n v="110635"/>
    <n v="69842"/>
    <n v="22834"/>
    <n v="13944"/>
    <s v="No"/>
    <n v="85"/>
    <n v="4.3"/>
    <x v="3"/>
  </r>
  <r>
    <x v="409"/>
    <s v="Manoj Das"/>
    <n v="83"/>
    <x v="1"/>
    <s v="B-"/>
    <s v="Lucknow"/>
    <d v="2022-11-01T00:00:00"/>
    <d v="2022-11-09T00:00:00"/>
    <n v="8"/>
    <x v="0"/>
    <s v="Appendicitis"/>
    <x v="0"/>
    <s v="Observation"/>
    <x v="1"/>
    <s v="Dr. Rakesh Reddy"/>
    <n v="476"/>
    <s v="Semi-Private"/>
    <x v="3"/>
    <n v="35843"/>
    <n v="30800"/>
    <n v="5043"/>
    <n v="9629"/>
    <n v="21200"/>
    <n v="3770"/>
    <s v="No"/>
    <n v="73"/>
    <n v="2.9"/>
    <x v="2"/>
  </r>
  <r>
    <x v="410"/>
    <s v="Kavya Verma"/>
    <n v="59"/>
    <x v="0"/>
    <s v="A+"/>
    <s v="Jaipur"/>
    <d v="2024-05-24T00:00:00"/>
    <d v="2024-06-14T00:00:00"/>
    <n v="21"/>
    <x v="0"/>
    <s v="Diabetes Type 2"/>
    <x v="9"/>
    <s v="Surgery"/>
    <x v="3"/>
    <s v="Dr. Nisha Singh"/>
    <n v="483"/>
    <s v="Private"/>
    <x v="3"/>
    <n v="84488"/>
    <n v="51729"/>
    <n v="32759"/>
    <n v="69741"/>
    <n v="11480"/>
    <n v="1279"/>
    <s v="Yes"/>
    <n v="87"/>
    <n v="3"/>
    <x v="1"/>
  </r>
  <r>
    <x v="411"/>
    <s v="Meera Nair"/>
    <n v="82"/>
    <x v="1"/>
    <s v="AB+"/>
    <s v="Bangalore"/>
    <d v="2023-06-01T00:00:00"/>
    <d v="2023-06-17T00:00:00"/>
    <n v="16"/>
    <x v="1"/>
    <s v="Kidney Stone"/>
    <x v="2"/>
    <s v="Dialysis"/>
    <x v="1"/>
    <s v="Dr. Prerna Sharma"/>
    <n v="350"/>
    <s v="Semi-Private"/>
    <x v="4"/>
    <n v="142041"/>
    <n v="0"/>
    <n v="142041"/>
    <n v="99520"/>
    <n v="25290"/>
    <n v="13771"/>
    <s v="No"/>
    <n v="77"/>
    <n v="3.6"/>
    <x v="1"/>
  </r>
  <r>
    <x v="412"/>
    <s v="Kavya Nair"/>
    <n v="31"/>
    <x v="0"/>
    <s v="A-"/>
    <s v="Delhi"/>
    <d v="2022-09-25T00:00:00"/>
    <d v="2022-10-16T00:00:00"/>
    <n v="21"/>
    <x v="0"/>
    <s v="Liver Disease"/>
    <x v="0"/>
    <s v="Medication"/>
    <x v="2"/>
    <s v="Dr. Kavita Gupta"/>
    <n v="474"/>
    <s v="General Ward"/>
    <x v="2"/>
    <n v="178652"/>
    <n v="146067"/>
    <n v="32585"/>
    <n v="148282"/>
    <n v="21283"/>
    <n v="6118"/>
    <s v="No"/>
    <n v="52"/>
    <n v="3.6"/>
    <x v="2"/>
  </r>
  <r>
    <x v="413"/>
    <s v="Priya Gupta"/>
    <n v="29"/>
    <x v="0"/>
    <s v="O+"/>
    <s v="Jaipur"/>
    <d v="2023-12-13T00:00:00"/>
    <d v="2024-01-11T00:00:00"/>
    <n v="29"/>
    <x v="1"/>
    <s v="Kidney Stone"/>
    <x v="2"/>
    <s v="Surgery"/>
    <x v="0"/>
    <s v="Dr. Prerna Gupta"/>
    <n v="215"/>
    <s v="General Ward"/>
    <x v="0"/>
    <n v="106179"/>
    <n v="43919"/>
    <n v="62260"/>
    <n v="76866"/>
    <n v="23829"/>
    <n v="2612"/>
    <s v="No"/>
    <n v="90"/>
    <n v="4.9000000000000004"/>
    <x v="2"/>
  </r>
  <r>
    <x v="414"/>
    <s v="Geeta Chopra"/>
    <n v="68"/>
    <x v="1"/>
    <s v="B+"/>
    <s v="Ahmedabad"/>
    <d v="2024-11-09T00:00:00"/>
    <d v="2024-11-22T00:00:00"/>
    <n v="13"/>
    <x v="0"/>
    <s v="Depression"/>
    <x v="5"/>
    <s v="Observation"/>
    <x v="3"/>
    <s v="Dr. Kavita Mehta"/>
    <n v="2"/>
    <s v="Semi-Private"/>
    <x v="1"/>
    <n v="94985"/>
    <n v="63046"/>
    <n v="31939"/>
    <n v="62096"/>
    <n v="20402"/>
    <n v="11915"/>
    <s v="No"/>
    <n v="69"/>
    <n v="3.5"/>
    <x v="0"/>
  </r>
  <r>
    <x v="415"/>
    <s v="Rohan Rao"/>
    <n v="33"/>
    <x v="0"/>
    <s v="O+"/>
    <s v="Jaipur"/>
    <d v="2022-09-01T00:00:00"/>
    <d v="2022-09-07T00:00:00"/>
    <n v="6"/>
    <x v="2"/>
    <s v="Cancer"/>
    <x v="3"/>
    <s v="Counseling"/>
    <x v="2"/>
    <s v="Dr. Rakesh Sharma"/>
    <n v="328"/>
    <s v="Semi-Private"/>
    <x v="4"/>
    <n v="65449"/>
    <n v="0"/>
    <n v="65449"/>
    <n v="39857"/>
    <n v="9861"/>
    <n v="14809"/>
    <s v="No"/>
    <n v="55"/>
    <n v="5"/>
    <x v="2"/>
  </r>
  <r>
    <x v="416"/>
    <s v="Ritu Kumar"/>
    <n v="5"/>
    <x v="0"/>
    <s v="O-"/>
    <s v="Pune"/>
    <d v="2022-06-20T00:00:00"/>
    <d v="2022-07-13T00:00:00"/>
    <n v="23"/>
    <x v="0"/>
    <s v="Depression"/>
    <x v="5"/>
    <s v="Physiotherapy"/>
    <x v="0"/>
    <s v="Dr. Shalini Singh"/>
    <n v="167"/>
    <s v="General Ward"/>
    <x v="2"/>
    <n v="121631"/>
    <n v="79428"/>
    <n v="42203"/>
    <n v="98187"/>
    <n v="8185"/>
    <n v="12468"/>
    <s v="No"/>
    <n v="74"/>
    <n v="4"/>
    <x v="0"/>
  </r>
  <r>
    <x v="417"/>
    <s v="Sneha Chopra"/>
    <n v="37"/>
    <x v="1"/>
    <s v="AB-"/>
    <s v="Chennai"/>
    <d v="2023-10-27T00:00:00"/>
    <d v="2023-11-05T00:00:00"/>
    <n v="9"/>
    <x v="3"/>
    <s v="Stroke"/>
    <x v="6"/>
    <s v="Observation"/>
    <x v="2"/>
    <s v="Dr. Anjali Reddy"/>
    <n v="374"/>
    <s v="ICU"/>
    <x v="4"/>
    <n v="67177"/>
    <n v="0"/>
    <n v="67177"/>
    <n v="43884"/>
    <n v="16696"/>
    <n v="2035"/>
    <s v="No"/>
    <n v="51"/>
    <n v="4.4000000000000004"/>
    <x v="2"/>
  </r>
  <r>
    <x v="418"/>
    <s v="Suresh Iyer"/>
    <n v="67"/>
    <x v="1"/>
    <s v="O+"/>
    <s v="Mumbai"/>
    <d v="2023-09-28T00:00:00"/>
    <d v="2023-10-04T00:00:00"/>
    <n v="6"/>
    <x v="4"/>
    <s v="Heart Attack"/>
    <x v="7"/>
    <s v="Dietary Management"/>
    <x v="2"/>
    <s v="Dr. Prerna Mehta"/>
    <n v="37"/>
    <s v="ICU"/>
    <x v="0"/>
    <n v="154835"/>
    <n v="95578"/>
    <n v="59257"/>
    <n v="124281"/>
    <n v="22139"/>
    <n v="7094"/>
    <s v="Yes"/>
    <n v="88"/>
    <n v="4.4000000000000004"/>
    <x v="0"/>
  </r>
  <r>
    <x v="419"/>
    <s v="Sneha Chopra"/>
    <n v="54"/>
    <x v="1"/>
    <s v="A-"/>
    <s v="Mumbai"/>
    <d v="2022-03-31T00:00:00"/>
    <d v="2022-04-05T00:00:00"/>
    <n v="5"/>
    <x v="2"/>
    <s v="Cancer"/>
    <x v="3"/>
    <s v="Dialysis"/>
    <x v="2"/>
    <s v="Dr. Shalini Sharma"/>
    <n v="406"/>
    <s v="General Ward"/>
    <x v="2"/>
    <n v="189478"/>
    <n v="162158"/>
    <n v="27320"/>
    <n v="147179"/>
    <n v="25121"/>
    <n v="13906"/>
    <s v="Yes"/>
    <n v="48"/>
    <n v="3.4"/>
    <x v="0"/>
  </r>
  <r>
    <x v="420"/>
    <s v="Mukesh Malhotra"/>
    <n v="25"/>
    <x v="0"/>
    <s v="O-"/>
    <s v="Ahmedabad"/>
    <d v="2022-11-13T00:00:00"/>
    <d v="2022-11-21T00:00:00"/>
    <n v="8"/>
    <x v="0"/>
    <s v="Diabetes Type 2"/>
    <x v="9"/>
    <s v="Dialysis"/>
    <x v="1"/>
    <s v="Dr. Arun Sharma"/>
    <n v="53"/>
    <s v="Private"/>
    <x v="2"/>
    <n v="176471"/>
    <n v="105947"/>
    <n v="70524"/>
    <n v="139097"/>
    <n v="28409"/>
    <n v="7304"/>
    <s v="No"/>
    <n v="54"/>
    <n v="3.3"/>
    <x v="2"/>
  </r>
  <r>
    <x v="421"/>
    <s v="Nisha Rao"/>
    <n v="33"/>
    <x v="0"/>
    <s v="A-"/>
    <s v="Ahmedabad"/>
    <d v="2022-12-14T00:00:00"/>
    <d v="2022-12-18T00:00:00"/>
    <n v="4"/>
    <x v="2"/>
    <s v="Cancer"/>
    <x v="3"/>
    <s v="Dialysis"/>
    <x v="3"/>
    <s v="Dr. Prerna Rao"/>
    <n v="171"/>
    <s v="General Ward"/>
    <x v="4"/>
    <n v="41791"/>
    <n v="0"/>
    <n v="41791"/>
    <n v="27230"/>
    <n v="2420"/>
    <n v="10404"/>
    <s v="No"/>
    <n v="73"/>
    <n v="3"/>
    <x v="2"/>
  </r>
  <r>
    <x v="422"/>
    <s v="Sunita Khanna"/>
    <n v="24"/>
    <x v="0"/>
    <s v="O+"/>
    <s v="Pune"/>
    <d v="2022-08-01T00:00:00"/>
    <d v="2022-08-10T00:00:00"/>
    <n v="9"/>
    <x v="0"/>
    <s v="Typhoid"/>
    <x v="1"/>
    <s v="Dialysis"/>
    <x v="1"/>
    <s v="Dr. Arun Mehta"/>
    <n v="399"/>
    <s v="Semi-Private"/>
    <x v="4"/>
    <n v="69775"/>
    <n v="0"/>
    <n v="69775"/>
    <n v="43739"/>
    <n v="13799"/>
    <n v="7818"/>
    <s v="No"/>
    <n v="47"/>
    <n v="3.7"/>
    <x v="1"/>
  </r>
  <r>
    <x v="423"/>
    <s v="Vikram Singh"/>
    <n v="46"/>
    <x v="1"/>
    <s v="B+"/>
    <s v="Kolkata"/>
    <d v="2023-12-24T00:00:00"/>
    <d v="2024-01-04T00:00:00"/>
    <n v="11"/>
    <x v="0"/>
    <s v="Typhoid"/>
    <x v="1"/>
    <s v="Radiation Therapy"/>
    <x v="0"/>
    <s v="Dr. Shalini Kumar"/>
    <n v="71"/>
    <s v="Semi-Private"/>
    <x v="3"/>
    <n v="147306"/>
    <n v="111972"/>
    <n v="35334"/>
    <n v="114749"/>
    <n v="19000"/>
    <n v="8644"/>
    <s v="No"/>
    <n v="92"/>
    <n v="2.7"/>
    <x v="3"/>
  </r>
  <r>
    <x v="424"/>
    <s v="Sanjay Khanna"/>
    <n v="72"/>
    <x v="1"/>
    <s v="A-"/>
    <s v="Chennai"/>
    <d v="2024-01-11T00:00:00"/>
    <d v="2024-01-12T00:00:00"/>
    <n v="1"/>
    <x v="3"/>
    <s v="Stroke"/>
    <x v="6"/>
    <s v="ICU Care"/>
    <x v="0"/>
    <s v="Dr. Sameer Patel"/>
    <n v="31"/>
    <s v="Private"/>
    <x v="4"/>
    <n v="61908"/>
    <n v="0"/>
    <n v="61908"/>
    <n v="41529"/>
    <n v="10656"/>
    <n v="8043"/>
    <s v="No"/>
    <n v="75"/>
    <n v="4.9000000000000004"/>
    <x v="4"/>
  </r>
  <r>
    <x v="425"/>
    <s v="Kavya Mehta"/>
    <n v="33"/>
    <x v="1"/>
    <s v="B+"/>
    <s v="Delhi"/>
    <d v="2022-10-21T00:00:00"/>
    <d v="2022-11-03T00:00:00"/>
    <n v="13"/>
    <x v="4"/>
    <s v="Hypertension"/>
    <x v="7"/>
    <s v="ICU Care"/>
    <x v="1"/>
    <s v="Dr. Prerna Rao"/>
    <n v="38"/>
    <s v="ICU"/>
    <x v="1"/>
    <n v="54851"/>
    <n v="24265"/>
    <n v="30586"/>
    <n v="46464"/>
    <n v="1989"/>
    <n v="2906"/>
    <s v="No"/>
    <n v="40"/>
    <n v="3.7"/>
    <x v="4"/>
  </r>
  <r>
    <x v="426"/>
    <s v="Vikram Joshi"/>
    <n v="65"/>
    <x v="1"/>
    <s v="O+"/>
    <s v="Ahmedabad"/>
    <d v="2024-04-22T00:00:00"/>
    <d v="2024-05-16T00:00:00"/>
    <n v="24"/>
    <x v="0"/>
    <s v="Dengue"/>
    <x v="1"/>
    <s v="Medication"/>
    <x v="3"/>
    <s v="Dr. Prerna Mehta"/>
    <n v="31"/>
    <s v="General Ward"/>
    <x v="1"/>
    <n v="71710"/>
    <n v="37212"/>
    <n v="34498"/>
    <n v="50503"/>
    <n v="17491"/>
    <n v="3127"/>
    <s v="No"/>
    <n v="100"/>
    <n v="4.5999999999999996"/>
    <x v="0"/>
  </r>
  <r>
    <x v="427"/>
    <s v="Manoj Nair"/>
    <n v="78"/>
    <x v="0"/>
    <s v="B-"/>
    <s v="Kolkata"/>
    <d v="2022-11-18T00:00:00"/>
    <d v="2022-11-27T00:00:00"/>
    <n v="9"/>
    <x v="6"/>
    <s v="Fracture"/>
    <x v="10"/>
    <s v="Observation"/>
    <x v="2"/>
    <s v="Dr. Kavita Joshi"/>
    <n v="317"/>
    <s v="General Ward"/>
    <x v="0"/>
    <n v="129962"/>
    <n v="83821"/>
    <n v="46141"/>
    <n v="107836"/>
    <n v="7019"/>
    <n v="13975"/>
    <s v="No"/>
    <n v="60"/>
    <n v="4"/>
    <x v="4"/>
  </r>
  <r>
    <x v="428"/>
    <s v="Ashok Chopra"/>
    <n v="26"/>
    <x v="1"/>
    <s v="O-"/>
    <s v="Kolkata"/>
    <d v="2023-02-03T00:00:00"/>
    <d v="2023-02-12T00:00:00"/>
    <n v="9"/>
    <x v="0"/>
    <s v="Appendicitis"/>
    <x v="0"/>
    <s v="Surgery"/>
    <x v="3"/>
    <s v="Dr. Shalini Kumar"/>
    <n v="15"/>
    <s v="Semi-Private"/>
    <x v="4"/>
    <n v="69691"/>
    <n v="0"/>
    <n v="69691"/>
    <n v="47666"/>
    <n v="18746"/>
    <n v="2244"/>
    <s v="No"/>
    <n v="40"/>
    <n v="4.3"/>
    <x v="1"/>
  </r>
  <r>
    <x v="429"/>
    <s v="Suresh Pillai"/>
    <n v="30"/>
    <x v="1"/>
    <s v="B-"/>
    <s v="Hyderabad"/>
    <d v="2022-06-24T00:00:00"/>
    <d v="2022-07-13T00:00:00"/>
    <n v="19"/>
    <x v="0"/>
    <s v="Obesity"/>
    <x v="12"/>
    <s v="Dietary Management"/>
    <x v="0"/>
    <s v="Dr. Arun Sharma"/>
    <n v="162"/>
    <s v="General Ward"/>
    <x v="4"/>
    <n v="35536"/>
    <n v="0"/>
    <n v="35536"/>
    <n v="7222"/>
    <n v="12686"/>
    <n v="12815"/>
    <s v="No"/>
    <n v="72"/>
    <n v="2.6"/>
    <x v="4"/>
  </r>
  <r>
    <x v="430"/>
    <s v="Geeta Shah"/>
    <n v="21"/>
    <x v="1"/>
    <s v="O-"/>
    <s v="Kolkata"/>
    <d v="2024-10-28T00:00:00"/>
    <d v="2024-11-01T00:00:00"/>
    <n v="4"/>
    <x v="6"/>
    <s v="Arthritis"/>
    <x v="11"/>
    <s v="Medication"/>
    <x v="0"/>
    <s v="Dr. Anjali Rao"/>
    <n v="445"/>
    <s v="General Ward"/>
    <x v="4"/>
    <n v="69201"/>
    <n v="0"/>
    <n v="69201"/>
    <n v="47263"/>
    <n v="5965"/>
    <n v="11680"/>
    <s v="Yes"/>
    <n v="80"/>
    <n v="2.2999999999999998"/>
    <x v="2"/>
  </r>
  <r>
    <x v="431"/>
    <s v="Mukesh Mehta"/>
    <n v="23"/>
    <x v="1"/>
    <s v="O-"/>
    <s v="Ahmedabad"/>
    <d v="2022-09-26T00:00:00"/>
    <d v="2022-10-07T00:00:00"/>
    <n v="11"/>
    <x v="1"/>
    <s v="UTI"/>
    <x v="2"/>
    <s v="Dietary Management"/>
    <x v="0"/>
    <s v="Dr. Arun Joshi"/>
    <n v="123"/>
    <s v="Semi-Private"/>
    <x v="1"/>
    <n v="45016"/>
    <n v="19322"/>
    <n v="25694"/>
    <n v="24660"/>
    <n v="5993"/>
    <n v="9788"/>
    <s v="Yes"/>
    <n v="89"/>
    <n v="4.5999999999999996"/>
    <x v="0"/>
  </r>
  <r>
    <x v="432"/>
    <s v="Rekha Singh"/>
    <n v="68"/>
    <x v="1"/>
    <s v="AB-"/>
    <s v="Pune"/>
    <d v="2022-12-14T00:00:00"/>
    <d v="2023-01-13T00:00:00"/>
    <n v="30"/>
    <x v="1"/>
    <s v="UTI"/>
    <x v="2"/>
    <s v="Surgery"/>
    <x v="3"/>
    <s v="Dr. Shalini Kumar"/>
    <n v="181"/>
    <s v="General Ward"/>
    <x v="2"/>
    <n v="93679"/>
    <n v="63457"/>
    <n v="30222"/>
    <n v="51972"/>
    <n v="24286"/>
    <n v="13147"/>
    <s v="No"/>
    <n v="56"/>
    <n v="4.3"/>
    <x v="4"/>
  </r>
  <r>
    <x v="433"/>
    <s v="Rajesh Gupta"/>
    <n v="20"/>
    <x v="0"/>
    <s v="A+"/>
    <s v="Pune"/>
    <d v="2023-08-11T00:00:00"/>
    <d v="2023-08-24T00:00:00"/>
    <n v="13"/>
    <x v="0"/>
    <s v="Anemia"/>
    <x v="4"/>
    <s v="Physiotherapy"/>
    <x v="0"/>
    <s v="Dr. Nisha Nair"/>
    <n v="433"/>
    <s v="Private"/>
    <x v="4"/>
    <n v="62153"/>
    <n v="0"/>
    <n v="62153"/>
    <n v="26886"/>
    <n v="23354"/>
    <n v="7269"/>
    <s v="No"/>
    <n v="96"/>
    <n v="4.5999999999999996"/>
    <x v="3"/>
  </r>
  <r>
    <x v="434"/>
    <s v="Divya Patel"/>
    <n v="36"/>
    <x v="1"/>
    <s v="B+"/>
    <s v="Delhi"/>
    <d v="2023-08-19T00:00:00"/>
    <d v="2023-09-01T00:00:00"/>
    <n v="13"/>
    <x v="4"/>
    <s v="Heart Attack"/>
    <x v="7"/>
    <s v="Observation"/>
    <x v="1"/>
    <s v="Dr. Kavita Joshi"/>
    <n v="448"/>
    <s v="ICU"/>
    <x v="2"/>
    <n v="125794"/>
    <n v="109446"/>
    <n v="16348"/>
    <n v="96471"/>
    <n v="16265"/>
    <n v="8175"/>
    <s v="No"/>
    <n v="45"/>
    <n v="2.5"/>
    <x v="3"/>
  </r>
  <r>
    <x v="435"/>
    <s v="Sonia Chopra"/>
    <n v="60"/>
    <x v="1"/>
    <s v="AB+"/>
    <s v="Pune"/>
    <d v="2022-05-13T00:00:00"/>
    <d v="2022-05-24T00:00:00"/>
    <n v="11"/>
    <x v="0"/>
    <s v="Dengue"/>
    <x v="1"/>
    <s v="Radiation Therapy"/>
    <x v="2"/>
    <s v="Dr. Anjali Patel"/>
    <n v="143"/>
    <s v="ICU"/>
    <x v="2"/>
    <n v="163883"/>
    <n v="129806"/>
    <n v="34077"/>
    <n v="147889"/>
    <n v="6103"/>
    <n v="8199"/>
    <s v="No"/>
    <n v="42"/>
    <n v="5"/>
    <x v="4"/>
  </r>
  <r>
    <x v="436"/>
    <s v="Priya Shah"/>
    <n v="60"/>
    <x v="0"/>
    <s v="B-"/>
    <s v="Mumbai"/>
    <d v="2023-03-10T00:00:00"/>
    <d v="2023-04-07T00:00:00"/>
    <n v="28"/>
    <x v="4"/>
    <s v="Hypertension"/>
    <x v="7"/>
    <s v="Dialysis"/>
    <x v="3"/>
    <s v="Dr. Sameer Patel"/>
    <n v="73"/>
    <s v="General Ward"/>
    <x v="4"/>
    <n v="124448"/>
    <n v="0"/>
    <n v="124448"/>
    <n v="111186"/>
    <n v="3677"/>
    <n v="5387"/>
    <s v="No"/>
    <n v="73"/>
    <n v="2.6"/>
    <x v="1"/>
  </r>
  <r>
    <x v="437"/>
    <s v="Ananya Patel"/>
    <n v="16"/>
    <x v="0"/>
    <s v="O-"/>
    <s v="Hyderabad"/>
    <d v="2022-12-03T00:00:00"/>
    <d v="2022-12-10T00:00:00"/>
    <n v="7"/>
    <x v="1"/>
    <s v="Kidney Stone"/>
    <x v="2"/>
    <s v="Radiation Therapy"/>
    <x v="0"/>
    <s v="Dr. Deepak Mehta"/>
    <n v="495"/>
    <s v="ICU"/>
    <x v="4"/>
    <n v="137766"/>
    <n v="0"/>
    <n v="137766"/>
    <n v="107010"/>
    <n v="27968"/>
    <n v="662"/>
    <s v="Yes"/>
    <n v="82"/>
    <n v="3.7"/>
    <x v="2"/>
  </r>
  <r>
    <x v="438"/>
    <s v="Amit Verma"/>
    <n v="6"/>
    <x v="1"/>
    <s v="AB-"/>
    <s v="Bangalore"/>
    <d v="2024-10-19T00:00:00"/>
    <d v="2024-11-16T00:00:00"/>
    <n v="28"/>
    <x v="0"/>
    <s v="Dengue"/>
    <x v="1"/>
    <s v="Observation"/>
    <x v="3"/>
    <s v="Dr. Deepak Sharma"/>
    <n v="231"/>
    <s v="Semi-Private"/>
    <x v="3"/>
    <n v="38857"/>
    <n v="28212"/>
    <n v="10645"/>
    <n v="30544"/>
    <n v="2195"/>
    <n v="4081"/>
    <s v="No"/>
    <n v="50"/>
    <n v="3.8"/>
    <x v="2"/>
  </r>
  <r>
    <x v="439"/>
    <s v="Nisha Mehta"/>
    <n v="29"/>
    <x v="1"/>
    <s v="O-"/>
    <s v="Pune"/>
    <d v="2022-02-03T00:00:00"/>
    <d v="2022-02-13T00:00:00"/>
    <n v="10"/>
    <x v="1"/>
    <s v="UTI"/>
    <x v="2"/>
    <s v="Surgery"/>
    <x v="0"/>
    <s v="Dr. Anjali Joshi"/>
    <n v="211"/>
    <s v="Private"/>
    <x v="4"/>
    <n v="174480"/>
    <n v="0"/>
    <n v="174480"/>
    <n v="147204"/>
    <n v="14954"/>
    <n v="9071"/>
    <s v="Yes"/>
    <n v="51"/>
    <n v="3.4"/>
    <x v="1"/>
  </r>
  <r>
    <x v="440"/>
    <s v="Ananya Pillai"/>
    <n v="81"/>
    <x v="1"/>
    <s v="AB+"/>
    <s v="Kolkata"/>
    <d v="2023-08-07T00:00:00"/>
    <d v="2023-09-04T00:00:00"/>
    <n v="28"/>
    <x v="0"/>
    <s v="Anemia"/>
    <x v="4"/>
    <s v="Dietary Management"/>
    <x v="1"/>
    <s v="Dr. Prerna Patel"/>
    <n v="46"/>
    <s v="General Ward"/>
    <x v="1"/>
    <n v="130806"/>
    <n v="56235"/>
    <n v="74571"/>
    <n v="112814"/>
    <n v="4397"/>
    <n v="8633"/>
    <s v="No"/>
    <n v="77"/>
    <n v="4.4000000000000004"/>
    <x v="1"/>
  </r>
  <r>
    <x v="441"/>
    <s v="Rekha Khanna"/>
    <n v="32"/>
    <x v="1"/>
    <s v="AB-"/>
    <s v="Jaipur"/>
    <d v="2024-02-20T00:00:00"/>
    <d v="2024-02-24T00:00:00"/>
    <n v="4"/>
    <x v="3"/>
    <s v="Stroke"/>
    <x v="6"/>
    <s v="Surgery"/>
    <x v="3"/>
    <s v="Dr. Anjali Joshi"/>
    <n v="465"/>
    <s v="ICU"/>
    <x v="2"/>
    <n v="138666"/>
    <n v="94997"/>
    <n v="43669"/>
    <n v="103210"/>
    <n v="26631"/>
    <n v="4168"/>
    <s v="No"/>
    <n v="56"/>
    <n v="2.9"/>
    <x v="4"/>
  </r>
  <r>
    <x v="442"/>
    <s v="Sunita Reddy"/>
    <n v="5"/>
    <x v="0"/>
    <s v="A+"/>
    <s v="Mumbai"/>
    <d v="2022-02-23T00:00:00"/>
    <d v="2022-02-28T00:00:00"/>
    <n v="5"/>
    <x v="1"/>
    <s v="Kidney Stone"/>
    <x v="2"/>
    <s v="Dietary Management"/>
    <x v="3"/>
    <s v="Dr. Nisha Mehta"/>
    <n v="492"/>
    <s v="ICU"/>
    <x v="0"/>
    <n v="129224"/>
    <n v="83810"/>
    <n v="45414"/>
    <n v="107593"/>
    <n v="7313"/>
    <n v="10596"/>
    <s v="No"/>
    <n v="76"/>
    <n v="3.3"/>
    <x v="4"/>
  </r>
  <r>
    <x v="443"/>
    <s v="Geeta Joshi"/>
    <n v="56"/>
    <x v="0"/>
    <s v="B+"/>
    <s v="Kolkata"/>
    <d v="2023-04-19T00:00:00"/>
    <d v="2023-04-23T00:00:00"/>
    <n v="4"/>
    <x v="5"/>
    <s v="Pneumonia"/>
    <x v="8"/>
    <s v="Surgery"/>
    <x v="0"/>
    <s v="Dr. Rakesh Nair"/>
    <n v="82"/>
    <s v="Private"/>
    <x v="0"/>
    <n v="38505"/>
    <n v="15535"/>
    <n v="22970"/>
    <n v="29446"/>
    <n v="4056"/>
    <n v="920"/>
    <s v="No"/>
    <n v="49"/>
    <n v="2.1"/>
    <x v="0"/>
  </r>
  <r>
    <x v="444"/>
    <s v="Sonia Singh"/>
    <n v="78"/>
    <x v="0"/>
    <s v="A+"/>
    <s v="Bangalore"/>
    <d v="2024-07-18T00:00:00"/>
    <d v="2024-08-08T00:00:00"/>
    <n v="21"/>
    <x v="1"/>
    <s v="Kidney Stone"/>
    <x v="2"/>
    <s v="Chemotherapy"/>
    <x v="2"/>
    <s v="Dr. Rakesh Reddy"/>
    <n v="275"/>
    <s v="Semi-Private"/>
    <x v="3"/>
    <n v="99984"/>
    <n v="62479"/>
    <n v="37505"/>
    <n v="73283"/>
    <n v="22602"/>
    <n v="1347"/>
    <s v="Yes"/>
    <n v="41"/>
    <n v="3.9"/>
    <x v="0"/>
  </r>
  <r>
    <x v="445"/>
    <s v="Rekha Kumar"/>
    <n v="19"/>
    <x v="0"/>
    <s v="A-"/>
    <s v="Delhi"/>
    <d v="2022-10-18T00:00:00"/>
    <d v="2022-10-28T00:00:00"/>
    <n v="10"/>
    <x v="5"/>
    <s v="Asthma"/>
    <x v="8"/>
    <s v="Surgery"/>
    <x v="1"/>
    <s v="Dr. Anjali Kumar"/>
    <n v="468"/>
    <s v="Semi-Private"/>
    <x v="3"/>
    <n v="62691"/>
    <n v="45396"/>
    <n v="17295"/>
    <n v="31390"/>
    <n v="17090"/>
    <n v="13532"/>
    <s v="No"/>
    <n v="80"/>
    <n v="2.2000000000000002"/>
    <x v="4"/>
  </r>
  <r>
    <x v="446"/>
    <s v="Karan Verma"/>
    <n v="62"/>
    <x v="1"/>
    <s v="B+"/>
    <s v="Hyderabad"/>
    <d v="2022-01-21T00:00:00"/>
    <d v="2022-02-19T00:00:00"/>
    <n v="29"/>
    <x v="4"/>
    <s v="Heart Attack"/>
    <x v="7"/>
    <s v="Dietary Management"/>
    <x v="1"/>
    <s v="Dr. Prerna Kumar"/>
    <n v="178"/>
    <s v="ICU"/>
    <x v="1"/>
    <n v="157290"/>
    <n v="97914"/>
    <n v="59376"/>
    <n v="148257"/>
    <n v="1164"/>
    <n v="3095"/>
    <s v="No"/>
    <n v="52"/>
    <n v="3.8"/>
    <x v="0"/>
  </r>
  <r>
    <x v="447"/>
    <s v="Aditya Das"/>
    <n v="70"/>
    <x v="1"/>
    <s v="B-"/>
    <s v="Pune"/>
    <d v="2022-08-24T00:00:00"/>
    <d v="2022-09-22T00:00:00"/>
    <n v="29"/>
    <x v="3"/>
    <s v="Stroke"/>
    <x v="6"/>
    <s v="ICU Care"/>
    <x v="2"/>
    <s v="Dr. Kavita Patel"/>
    <n v="373"/>
    <s v="Semi-Private"/>
    <x v="4"/>
    <n v="98537"/>
    <n v="0"/>
    <n v="98537"/>
    <n v="76740"/>
    <n v="16780"/>
    <n v="3764"/>
    <s v="No"/>
    <n v="75"/>
    <n v="4"/>
    <x v="4"/>
  </r>
  <r>
    <x v="448"/>
    <s v="Geeta Bose"/>
    <n v="60"/>
    <x v="0"/>
    <s v="B-"/>
    <s v="Hyderabad"/>
    <d v="2022-12-21T00:00:00"/>
    <d v="2022-12-28T00:00:00"/>
    <n v="7"/>
    <x v="5"/>
    <s v="Asthma"/>
    <x v="8"/>
    <s v="Surgery"/>
    <x v="3"/>
    <s v="Dr. Sameer Reddy"/>
    <n v="489"/>
    <s v="ICU"/>
    <x v="3"/>
    <n v="149837"/>
    <n v="126577"/>
    <n v="23260"/>
    <n v="121957"/>
    <n v="14885"/>
    <n v="10270"/>
    <s v="No"/>
    <n v="78"/>
    <n v="3.1"/>
    <x v="2"/>
  </r>
  <r>
    <x v="449"/>
    <s v="Sanjay Shah"/>
    <n v="52"/>
    <x v="1"/>
    <s v="AB-"/>
    <s v="Bangalore"/>
    <d v="2022-03-11T00:00:00"/>
    <d v="2022-03-28T00:00:00"/>
    <n v="17"/>
    <x v="5"/>
    <s v="Asthma"/>
    <x v="8"/>
    <s v="Observation"/>
    <x v="3"/>
    <s v="Dr. Shalini Nair"/>
    <n v="181"/>
    <s v="ICU"/>
    <x v="2"/>
    <n v="58847"/>
    <n v="42889"/>
    <n v="15958"/>
    <n v="35054"/>
    <n v="6895"/>
    <n v="13755"/>
    <s v="No"/>
    <n v="55"/>
    <n v="2.2000000000000002"/>
    <x v="1"/>
  </r>
  <r>
    <x v="450"/>
    <s v="Nisha Gupta"/>
    <n v="45"/>
    <x v="1"/>
    <s v="A+"/>
    <s v="Pune"/>
    <d v="2022-01-23T00:00:00"/>
    <d v="2022-02-15T00:00:00"/>
    <n v="23"/>
    <x v="0"/>
    <s v="Dengue"/>
    <x v="1"/>
    <s v="Radiation Therapy"/>
    <x v="3"/>
    <s v="Dr. Kavita Nair"/>
    <n v="34"/>
    <s v="ICU"/>
    <x v="4"/>
    <n v="84302"/>
    <n v="0"/>
    <n v="84302"/>
    <n v="60620"/>
    <n v="18277"/>
    <n v="4062"/>
    <s v="No"/>
    <n v="85"/>
    <n v="3.8"/>
    <x v="3"/>
  </r>
  <r>
    <x v="451"/>
    <s v="Sanjay Khanna"/>
    <n v="60"/>
    <x v="0"/>
    <s v="O-"/>
    <s v="Chennai"/>
    <d v="2023-02-08T00:00:00"/>
    <d v="2023-02-10T00:00:00"/>
    <n v="2"/>
    <x v="0"/>
    <s v="Typhoid"/>
    <x v="1"/>
    <s v="Medication"/>
    <x v="3"/>
    <s v="Dr. Vivek Patel"/>
    <n v="64"/>
    <s v="ICU"/>
    <x v="0"/>
    <n v="120267"/>
    <n v="68904"/>
    <n v="51363"/>
    <n v="90688"/>
    <n v="20371"/>
    <n v="6772"/>
    <s v="No"/>
    <n v="81"/>
    <n v="4.3"/>
    <x v="0"/>
  </r>
  <r>
    <x v="452"/>
    <s v="Aditya Malhotra"/>
    <n v="41"/>
    <x v="1"/>
    <s v="AB+"/>
    <s v="Mumbai"/>
    <d v="2024-12-28T00:00:00"/>
    <d v="2024-12-31T00:00:00"/>
    <n v="3"/>
    <x v="6"/>
    <s v="Arthritis"/>
    <x v="11"/>
    <s v="ICU Care"/>
    <x v="1"/>
    <s v="Dr. Prerna Gupta"/>
    <n v="49"/>
    <s v="ICU"/>
    <x v="4"/>
    <n v="104577"/>
    <n v="0"/>
    <n v="104577"/>
    <n v="77004"/>
    <n v="11393"/>
    <n v="12848"/>
    <s v="No"/>
    <n v="75"/>
    <n v="4.3"/>
    <x v="4"/>
  </r>
  <r>
    <x v="453"/>
    <s v="Divya Patel"/>
    <n v="55"/>
    <x v="0"/>
    <s v="AB-"/>
    <s v="Ahmedabad"/>
    <d v="2022-09-06T00:00:00"/>
    <d v="2022-10-03T00:00:00"/>
    <n v="27"/>
    <x v="1"/>
    <s v="Kidney Stone"/>
    <x v="2"/>
    <s v="Surgery"/>
    <x v="1"/>
    <s v="Dr. Kavita Sharma"/>
    <n v="423"/>
    <s v="General Ward"/>
    <x v="0"/>
    <n v="62820"/>
    <n v="29394"/>
    <n v="33426"/>
    <n v="32560"/>
    <n v="11579"/>
    <n v="14612"/>
    <s v="Yes"/>
    <n v="86"/>
    <n v="4.7"/>
    <x v="1"/>
  </r>
  <r>
    <x v="454"/>
    <s v="Ashok Pillai"/>
    <n v="5"/>
    <x v="1"/>
    <s v="O+"/>
    <s v="Mumbai"/>
    <d v="2022-08-15T00:00:00"/>
    <d v="2022-08-17T00:00:00"/>
    <n v="2"/>
    <x v="1"/>
    <s v="UTI"/>
    <x v="2"/>
    <s v="Dialysis"/>
    <x v="3"/>
    <s v="Dr. Shalini Joshi"/>
    <n v="139"/>
    <s v="Semi-Private"/>
    <x v="0"/>
    <n v="136380"/>
    <n v="89816"/>
    <n v="46564"/>
    <n v="125768"/>
    <n v="4928"/>
    <n v="2569"/>
    <s v="No"/>
    <n v="96"/>
    <n v="4.5999999999999996"/>
    <x v="4"/>
  </r>
  <r>
    <x v="455"/>
    <s v="Rajesh Malhotra"/>
    <n v="20"/>
    <x v="1"/>
    <s v="AB-"/>
    <s v="Ahmedabad"/>
    <d v="2023-07-29T00:00:00"/>
    <d v="2023-08-09T00:00:00"/>
    <n v="11"/>
    <x v="0"/>
    <s v="Typhoid"/>
    <x v="1"/>
    <s v="Surgery"/>
    <x v="3"/>
    <s v="Dr. Rakesh Patel"/>
    <n v="181"/>
    <s v="Semi-Private"/>
    <x v="0"/>
    <n v="38509"/>
    <n v="17858"/>
    <n v="20651"/>
    <n v="25451"/>
    <n v="3462"/>
    <n v="8603"/>
    <s v="No"/>
    <n v="69"/>
    <n v="4.5"/>
    <x v="2"/>
  </r>
  <r>
    <x v="456"/>
    <s v="Meera Kumar"/>
    <n v="48"/>
    <x v="1"/>
    <s v="O-"/>
    <s v="Hyderabad"/>
    <d v="2024-07-18T00:00:00"/>
    <d v="2024-08-08T00:00:00"/>
    <n v="21"/>
    <x v="5"/>
    <s v="Pneumonia"/>
    <x v="8"/>
    <s v="Surgery"/>
    <x v="2"/>
    <s v="Dr. Kavita Kumar"/>
    <n v="198"/>
    <s v="ICU"/>
    <x v="1"/>
    <n v="164310"/>
    <n v="74989"/>
    <n v="89321"/>
    <n v="139601"/>
    <n v="7652"/>
    <n v="13279"/>
    <s v="No"/>
    <n v="50"/>
    <n v="4.0999999999999996"/>
    <x v="0"/>
  </r>
  <r>
    <x v="457"/>
    <s v="Rajesh Kumar"/>
    <n v="23"/>
    <x v="0"/>
    <s v="A-"/>
    <s v="Delhi"/>
    <d v="2023-05-08T00:00:00"/>
    <d v="2023-05-09T00:00:00"/>
    <n v="1"/>
    <x v="0"/>
    <s v="COVID-19"/>
    <x v="1"/>
    <s v="Dialysis"/>
    <x v="1"/>
    <s v="Dr. Anjali Nair"/>
    <n v="232"/>
    <s v="Private"/>
    <x v="4"/>
    <n v="60330"/>
    <n v="0"/>
    <n v="60330"/>
    <n v="36018"/>
    <n v="19032"/>
    <n v="1877"/>
    <s v="No"/>
    <n v="49"/>
    <n v="3.2"/>
    <x v="4"/>
  </r>
  <r>
    <x v="458"/>
    <s v="Arjun Verma"/>
    <n v="11"/>
    <x v="0"/>
    <s v="O+"/>
    <s v="Pune"/>
    <d v="2022-07-20T00:00:00"/>
    <d v="2022-07-22T00:00:00"/>
    <n v="2"/>
    <x v="3"/>
    <s v="Migraine"/>
    <x v="6"/>
    <s v="Chemotherapy"/>
    <x v="3"/>
    <s v="Dr. Kavita Joshi"/>
    <n v="91"/>
    <s v="Private"/>
    <x v="1"/>
    <n v="161389"/>
    <n v="97535"/>
    <n v="63854"/>
    <n v="134398"/>
    <n v="17994"/>
    <n v="7603"/>
    <s v="No"/>
    <n v="47"/>
    <n v="2.7"/>
    <x v="3"/>
  </r>
  <r>
    <x v="459"/>
    <s v="Mukesh Patel"/>
    <n v="78"/>
    <x v="0"/>
    <s v="B-"/>
    <s v="Delhi"/>
    <d v="2024-12-25T00:00:00"/>
    <d v="2024-12-29T00:00:00"/>
    <n v="4"/>
    <x v="5"/>
    <s v="Asthma"/>
    <x v="8"/>
    <s v="Dietary Management"/>
    <x v="0"/>
    <s v="Dr. Vivek Joshi"/>
    <n v="52"/>
    <s v="Semi-Private"/>
    <x v="4"/>
    <n v="148015"/>
    <n v="0"/>
    <n v="148015"/>
    <n v="134806"/>
    <n v="7740"/>
    <n v="3302"/>
    <s v="No"/>
    <n v="58"/>
    <n v="4.0999999999999996"/>
    <x v="1"/>
  </r>
  <r>
    <x v="460"/>
    <s v="Geeta Sharma"/>
    <n v="17"/>
    <x v="1"/>
    <s v="AB-"/>
    <s v="Hyderabad"/>
    <d v="2023-05-04T00:00:00"/>
    <d v="2023-05-10T00:00:00"/>
    <n v="6"/>
    <x v="0"/>
    <s v="Dengue"/>
    <x v="1"/>
    <s v="Physiotherapy"/>
    <x v="2"/>
    <s v="Dr. Nisha Gupta"/>
    <n v="73"/>
    <s v="General Ward"/>
    <x v="3"/>
    <n v="131918"/>
    <n v="117712"/>
    <n v="14206"/>
    <n v="117177"/>
    <n v="11946"/>
    <n v="841"/>
    <s v="No"/>
    <n v="50"/>
    <n v="4"/>
    <x v="3"/>
  </r>
  <r>
    <x v="461"/>
    <s v="Divya Shah"/>
    <n v="65"/>
    <x v="1"/>
    <s v="AB-"/>
    <s v="Chennai"/>
    <d v="2024-08-25T00:00:00"/>
    <d v="2024-08-29T00:00:00"/>
    <n v="4"/>
    <x v="0"/>
    <s v="Diabetes Type 2"/>
    <x v="9"/>
    <s v="Dietary Management"/>
    <x v="3"/>
    <s v="Dr. Kavita Nair"/>
    <n v="258"/>
    <s v="Semi-Private"/>
    <x v="0"/>
    <n v="42632"/>
    <n v="22842"/>
    <n v="19790"/>
    <n v="29617"/>
    <n v="4276"/>
    <n v="5490"/>
    <s v="No"/>
    <n v="74"/>
    <n v="2.8"/>
    <x v="4"/>
  </r>
  <r>
    <x v="462"/>
    <s v="Rohan Shah"/>
    <n v="63"/>
    <x v="1"/>
    <s v="O-"/>
    <s v="Hyderabad"/>
    <d v="2023-11-15T00:00:00"/>
    <d v="2023-12-14T00:00:00"/>
    <n v="29"/>
    <x v="6"/>
    <s v="Arthritis"/>
    <x v="11"/>
    <s v="Radiation Therapy"/>
    <x v="1"/>
    <s v="Dr. Rakesh Nair"/>
    <n v="373"/>
    <s v="General Ward"/>
    <x v="0"/>
    <n v="147388"/>
    <n v="74749"/>
    <n v="72639"/>
    <n v="112562"/>
    <n v="29058"/>
    <n v="4108"/>
    <s v="Yes"/>
    <n v="76"/>
    <n v="4.2"/>
    <x v="4"/>
  </r>
  <r>
    <x v="463"/>
    <s v="Nisha Mehta"/>
    <n v="16"/>
    <x v="1"/>
    <s v="AB+"/>
    <s v="Delhi"/>
    <d v="2023-07-15T00:00:00"/>
    <d v="2023-08-13T00:00:00"/>
    <n v="29"/>
    <x v="0"/>
    <s v="Depression"/>
    <x v="5"/>
    <s v="Counseling"/>
    <x v="2"/>
    <s v="Dr. Rakesh Kumar"/>
    <n v="455"/>
    <s v="Private"/>
    <x v="3"/>
    <n v="132071"/>
    <n v="80871"/>
    <n v="51200"/>
    <n v="114391"/>
    <n v="10052"/>
    <n v="5567"/>
    <s v="No"/>
    <n v="61"/>
    <n v="4.5"/>
    <x v="3"/>
  </r>
  <r>
    <x v="464"/>
    <s v="Pooja Malhotra"/>
    <n v="77"/>
    <x v="0"/>
    <s v="O+"/>
    <s v="Delhi"/>
    <d v="2022-01-18T00:00:00"/>
    <d v="2022-02-03T00:00:00"/>
    <n v="16"/>
    <x v="5"/>
    <s v="Pneumonia"/>
    <x v="8"/>
    <s v="Physiotherapy"/>
    <x v="3"/>
    <s v="Dr. Shalini Nair"/>
    <n v="341"/>
    <s v="Semi-Private"/>
    <x v="4"/>
    <n v="147535"/>
    <n v="0"/>
    <n v="147535"/>
    <n v="132618"/>
    <n v="10445"/>
    <n v="1558"/>
    <s v="Yes"/>
    <n v="42"/>
    <n v="2.7"/>
    <x v="0"/>
  </r>
  <r>
    <x v="465"/>
    <s v="Sneha Patel"/>
    <n v="67"/>
    <x v="0"/>
    <s v="A+"/>
    <s v="Kolkata"/>
    <d v="2023-12-23T00:00:00"/>
    <d v="2024-01-14T00:00:00"/>
    <n v="22"/>
    <x v="4"/>
    <s v="Hypertension"/>
    <x v="7"/>
    <s v="Dialysis"/>
    <x v="2"/>
    <s v="Dr. Nisha Singh"/>
    <n v="403"/>
    <s v="Semi-Private"/>
    <x v="2"/>
    <n v="96249"/>
    <n v="70225"/>
    <n v="26024"/>
    <n v="75954"/>
    <n v="5674"/>
    <n v="12510"/>
    <s v="No"/>
    <n v="58"/>
    <n v="2.7"/>
    <x v="4"/>
  </r>
  <r>
    <x v="466"/>
    <s v="Sonia Shah"/>
    <n v="36"/>
    <x v="0"/>
    <s v="AB+"/>
    <s v="Kolkata"/>
    <d v="2022-07-20T00:00:00"/>
    <d v="2022-08-18T00:00:00"/>
    <n v="29"/>
    <x v="5"/>
    <s v="Asthma"/>
    <x v="8"/>
    <s v="Dietary Management"/>
    <x v="3"/>
    <s v="Dr. Sameer Rao"/>
    <n v="224"/>
    <s v="Private"/>
    <x v="1"/>
    <n v="80086"/>
    <n v="38041"/>
    <n v="42045"/>
    <n v="41484"/>
    <n v="23391"/>
    <n v="13077"/>
    <s v="No"/>
    <n v="52"/>
    <n v="2.9"/>
    <x v="3"/>
  </r>
  <r>
    <x v="467"/>
    <s v="Deepa Iyer"/>
    <n v="85"/>
    <x v="0"/>
    <s v="B+"/>
    <s v="Kolkata"/>
    <d v="2024-06-13T00:00:00"/>
    <d v="2024-06-17T00:00:00"/>
    <n v="4"/>
    <x v="5"/>
    <s v="Pneumonia"/>
    <x v="8"/>
    <s v="Radiation Therapy"/>
    <x v="3"/>
    <s v="Dr. Deepak Kumar"/>
    <n v="240"/>
    <s v="Private"/>
    <x v="3"/>
    <n v="153581"/>
    <n v="93424"/>
    <n v="60157"/>
    <n v="127303"/>
    <n v="14779"/>
    <n v="7221"/>
    <s v="No"/>
    <n v="89"/>
    <n v="3.3"/>
    <x v="2"/>
  </r>
  <r>
    <x v="468"/>
    <s v="Divya Rao"/>
    <n v="36"/>
    <x v="0"/>
    <s v="B+"/>
    <s v="Lucknow"/>
    <d v="2023-08-24T00:00:00"/>
    <d v="2023-08-26T00:00:00"/>
    <n v="2"/>
    <x v="3"/>
    <s v="Migraine"/>
    <x v="6"/>
    <s v="Observation"/>
    <x v="1"/>
    <s v="Dr. Anjali Nair"/>
    <n v="236"/>
    <s v="General Ward"/>
    <x v="2"/>
    <n v="44662"/>
    <n v="31265"/>
    <n v="13397"/>
    <n v="19337"/>
    <n v="9853"/>
    <n v="14096"/>
    <s v="Yes"/>
    <n v="58"/>
    <n v="3.7"/>
    <x v="1"/>
  </r>
  <r>
    <x v="469"/>
    <s v="Rekha Patel"/>
    <n v="20"/>
    <x v="1"/>
    <s v="B-"/>
    <s v="Jaipur"/>
    <d v="2022-10-23T00:00:00"/>
    <d v="2022-11-10T00:00:00"/>
    <n v="18"/>
    <x v="0"/>
    <s v="Typhoid"/>
    <x v="1"/>
    <s v="Chemotherapy"/>
    <x v="2"/>
    <s v="Dr. Rakesh Singh"/>
    <n v="369"/>
    <s v="General Ward"/>
    <x v="3"/>
    <n v="64470"/>
    <n v="41642"/>
    <n v="22828"/>
    <n v="57612"/>
    <n v="4758"/>
    <n v="1600"/>
    <s v="No"/>
    <n v="73"/>
    <n v="2.2999999999999998"/>
    <x v="2"/>
  </r>
  <r>
    <x v="470"/>
    <s v="Sneha Bose"/>
    <n v="8"/>
    <x v="0"/>
    <s v="AB+"/>
    <s v="Mumbai"/>
    <d v="2022-09-07T00:00:00"/>
    <d v="2022-09-17T00:00:00"/>
    <n v="10"/>
    <x v="3"/>
    <s v="Migraine"/>
    <x v="6"/>
    <s v="Physiotherapy"/>
    <x v="2"/>
    <s v="Dr. Deepak Singh"/>
    <n v="421"/>
    <s v="ICU"/>
    <x v="1"/>
    <n v="56035"/>
    <n v="25521"/>
    <n v="30514"/>
    <n v="37295"/>
    <n v="15167"/>
    <n v="2896"/>
    <s v="No"/>
    <n v="82"/>
    <n v="2.7"/>
    <x v="0"/>
  </r>
  <r>
    <x v="471"/>
    <s v="Geeta Pillai"/>
    <n v="30"/>
    <x v="0"/>
    <s v="AB-"/>
    <s v="Hyderabad"/>
    <d v="2023-08-16T00:00:00"/>
    <d v="2023-09-07T00:00:00"/>
    <n v="22"/>
    <x v="0"/>
    <s v="Appendicitis"/>
    <x v="0"/>
    <s v="Radiation Therapy"/>
    <x v="3"/>
    <s v="Dr. Rakesh Joshi"/>
    <n v="198"/>
    <s v="General Ward"/>
    <x v="3"/>
    <n v="151115"/>
    <n v="91937"/>
    <n v="59178"/>
    <n v="114286"/>
    <n v="27656"/>
    <n v="7460"/>
    <s v="No"/>
    <n v="76"/>
    <n v="3.2"/>
    <x v="0"/>
  </r>
  <r>
    <x v="472"/>
    <s v="Deepa Patel"/>
    <n v="84"/>
    <x v="0"/>
    <s v="A+"/>
    <s v="Pune"/>
    <d v="2022-10-13T00:00:00"/>
    <d v="2022-10-28T00:00:00"/>
    <n v="15"/>
    <x v="0"/>
    <s v="COVID-19"/>
    <x v="1"/>
    <s v="Medication"/>
    <x v="2"/>
    <s v="Dr. Nisha Nair"/>
    <n v="439"/>
    <s v="Semi-Private"/>
    <x v="4"/>
    <n v="166358"/>
    <n v="0"/>
    <n v="166358"/>
    <n v="142640"/>
    <n v="13799"/>
    <n v="8905"/>
    <s v="No"/>
    <n v="49"/>
    <n v="3.1"/>
    <x v="0"/>
  </r>
  <r>
    <x v="473"/>
    <s v="Amit Malhotra"/>
    <n v="22"/>
    <x v="0"/>
    <s v="O+"/>
    <s v="Kolkata"/>
    <d v="2022-05-20T00:00:00"/>
    <d v="2022-06-19T00:00:00"/>
    <n v="30"/>
    <x v="0"/>
    <s v="Typhoid"/>
    <x v="1"/>
    <s v="Radiation Therapy"/>
    <x v="2"/>
    <s v="Dr. Shalini Nair"/>
    <n v="398"/>
    <s v="Private"/>
    <x v="0"/>
    <n v="123614"/>
    <n v="71121"/>
    <n v="52493"/>
    <n v="89954"/>
    <n v="20295"/>
    <n v="10014"/>
    <s v="No"/>
    <n v="44"/>
    <n v="2.1"/>
    <x v="2"/>
  </r>
  <r>
    <x v="474"/>
    <s v="Kavya Kumar"/>
    <n v="18"/>
    <x v="0"/>
    <s v="AB-"/>
    <s v="Pune"/>
    <d v="2023-04-20T00:00:00"/>
    <d v="2023-05-15T00:00:00"/>
    <n v="25"/>
    <x v="2"/>
    <s v="Cancer"/>
    <x v="3"/>
    <s v="Physiotherapy"/>
    <x v="0"/>
    <s v="Dr. Vivek Patel"/>
    <n v="32"/>
    <s v="Private"/>
    <x v="2"/>
    <n v="57439"/>
    <n v="42072"/>
    <n v="15367"/>
    <n v="14808"/>
    <n v="28748"/>
    <n v="12786"/>
    <s v="No"/>
    <n v="80"/>
    <n v="4.5"/>
    <x v="2"/>
  </r>
  <r>
    <x v="475"/>
    <s v="Amit Kumar"/>
    <n v="62"/>
    <x v="0"/>
    <s v="B+"/>
    <s v="Lucknow"/>
    <d v="2023-02-14T00:00:00"/>
    <d v="2023-02-21T00:00:00"/>
    <n v="7"/>
    <x v="5"/>
    <s v="Asthma"/>
    <x v="8"/>
    <s v="Radiation Therapy"/>
    <x v="3"/>
    <s v="Dr. Kavita Reddy"/>
    <n v="380"/>
    <s v="Semi-Private"/>
    <x v="3"/>
    <n v="186566"/>
    <n v="116754"/>
    <n v="69812"/>
    <n v="143550"/>
    <n v="27498"/>
    <n v="13443"/>
    <s v="Yes"/>
    <n v="82"/>
    <n v="2.2999999999999998"/>
    <x v="3"/>
  </r>
  <r>
    <x v="476"/>
    <s v="Lata Gupta"/>
    <n v="5"/>
    <x v="0"/>
    <s v="AB+"/>
    <s v="Lucknow"/>
    <d v="2022-05-28T00:00:00"/>
    <d v="2022-06-08T00:00:00"/>
    <n v="11"/>
    <x v="4"/>
    <s v="Heart Attack"/>
    <x v="7"/>
    <s v="Radiation Therapy"/>
    <x v="2"/>
    <s v="Dr. Kavita Rao"/>
    <n v="424"/>
    <s v="ICU"/>
    <x v="1"/>
    <n v="122245"/>
    <n v="78295"/>
    <n v="43950"/>
    <n v="97302"/>
    <n v="12681"/>
    <n v="10633"/>
    <s v="No"/>
    <n v="80"/>
    <n v="3.1"/>
    <x v="3"/>
  </r>
  <r>
    <x v="477"/>
    <s v="Sanjay Singh"/>
    <n v="21"/>
    <x v="0"/>
    <s v="A-"/>
    <s v="Delhi"/>
    <d v="2024-10-18T00:00:00"/>
    <d v="2024-10-26T00:00:00"/>
    <n v="8"/>
    <x v="0"/>
    <s v="Diabetes Type 2"/>
    <x v="9"/>
    <s v="Counseling"/>
    <x v="3"/>
    <s v="Dr. Arun Reddy"/>
    <n v="421"/>
    <s v="Private"/>
    <x v="4"/>
    <n v="138810"/>
    <n v="0"/>
    <n v="138810"/>
    <n v="107347"/>
    <n v="24044"/>
    <n v="6363"/>
    <s v="No"/>
    <n v="50"/>
    <n v="4.9000000000000004"/>
    <x v="3"/>
  </r>
  <r>
    <x v="478"/>
    <s v="Ritu Iyer"/>
    <n v="35"/>
    <x v="0"/>
    <s v="AB+"/>
    <s v="Lucknow"/>
    <d v="2022-04-27T00:00:00"/>
    <d v="2022-05-15T00:00:00"/>
    <n v="18"/>
    <x v="0"/>
    <s v="Appendicitis"/>
    <x v="0"/>
    <s v="Radiation Therapy"/>
    <x v="3"/>
    <s v="Dr. Arun Sharma"/>
    <n v="174"/>
    <s v="ICU"/>
    <x v="4"/>
    <n v="83539"/>
    <n v="0"/>
    <n v="83539"/>
    <n v="57562"/>
    <n v="11962"/>
    <n v="13029"/>
    <s v="Yes"/>
    <n v="75"/>
    <n v="4.5"/>
    <x v="1"/>
  </r>
  <r>
    <x v="479"/>
    <s v="Sonia Patel"/>
    <n v="35"/>
    <x v="0"/>
    <s v="A-"/>
    <s v="Lucknow"/>
    <d v="2022-03-14T00:00:00"/>
    <d v="2022-03-26T00:00:00"/>
    <n v="12"/>
    <x v="6"/>
    <s v="Fracture"/>
    <x v="10"/>
    <s v="Dietary Management"/>
    <x v="1"/>
    <s v="Dr. Deepak Gupta"/>
    <n v="485"/>
    <s v="Semi-Private"/>
    <x v="4"/>
    <n v="26002"/>
    <n v="0"/>
    <n v="26002"/>
    <n v="15942"/>
    <n v="4409"/>
    <n v="1083"/>
    <s v="No"/>
    <n v="81"/>
    <n v="3.1"/>
    <x v="4"/>
  </r>
  <r>
    <x v="480"/>
    <s v="Deepa Reddy"/>
    <n v="7"/>
    <x v="1"/>
    <s v="A+"/>
    <s v="Chennai"/>
    <d v="2024-12-30T00:00:00"/>
    <d v="2024-12-31T00:00:00"/>
    <n v="1"/>
    <x v="3"/>
    <s v="Migraine"/>
    <x v="6"/>
    <s v="Counseling"/>
    <x v="0"/>
    <s v="Dr. Arun Joshi"/>
    <n v="393"/>
    <s v="ICU"/>
    <x v="0"/>
    <n v="150750"/>
    <n v="65527"/>
    <n v="85223"/>
    <n v="117648"/>
    <n v="23981"/>
    <n v="7493"/>
    <s v="Yes"/>
    <n v="79"/>
    <n v="4.9000000000000004"/>
    <x v="1"/>
  </r>
  <r>
    <x v="481"/>
    <s v="Nisha Mehta"/>
    <n v="48"/>
    <x v="0"/>
    <s v="A+"/>
    <s v="Chennai"/>
    <d v="2023-04-21T00:00:00"/>
    <d v="2023-04-24T00:00:00"/>
    <n v="3"/>
    <x v="0"/>
    <s v="Obesity"/>
    <x v="12"/>
    <s v="Chemotherapy"/>
    <x v="0"/>
    <s v="Dr. Deepak Rao"/>
    <n v="24"/>
    <s v="General Ward"/>
    <x v="0"/>
    <n v="26387"/>
    <n v="14026"/>
    <n v="12361"/>
    <n v="19911"/>
    <n v="3510"/>
    <n v="1428"/>
    <s v="No"/>
    <n v="60"/>
    <n v="3"/>
    <x v="2"/>
  </r>
  <r>
    <x v="482"/>
    <s v="Deepa Gupta"/>
    <n v="82"/>
    <x v="0"/>
    <s v="AB-"/>
    <s v="Delhi"/>
    <d v="2022-06-07T00:00:00"/>
    <d v="2022-06-10T00:00:00"/>
    <n v="3"/>
    <x v="5"/>
    <s v="Asthma"/>
    <x v="8"/>
    <s v="Chemotherapy"/>
    <x v="0"/>
    <s v="Dr. Nisha Reddy"/>
    <n v="228"/>
    <s v="Private"/>
    <x v="4"/>
    <n v="177374"/>
    <n v="0"/>
    <n v="177374"/>
    <n v="149547"/>
    <n v="10590"/>
    <n v="14737"/>
    <s v="No"/>
    <n v="57"/>
    <n v="3"/>
    <x v="0"/>
  </r>
  <r>
    <x v="483"/>
    <s v="Arjun Kumar"/>
    <n v="11"/>
    <x v="0"/>
    <s v="AB+"/>
    <s v="Lucknow"/>
    <d v="2024-09-22T00:00:00"/>
    <d v="2024-10-01T00:00:00"/>
    <n v="9"/>
    <x v="6"/>
    <s v="Fracture"/>
    <x v="10"/>
    <s v="Physiotherapy"/>
    <x v="2"/>
    <s v="Dr. Rakesh Nair"/>
    <n v="108"/>
    <s v="General Ward"/>
    <x v="4"/>
    <n v="52846"/>
    <n v="0"/>
    <n v="52846"/>
    <n v="42214"/>
    <n v="2175"/>
    <n v="4351"/>
    <s v="No"/>
    <n v="69"/>
    <n v="4.9000000000000004"/>
    <x v="3"/>
  </r>
  <r>
    <x v="484"/>
    <s v="Meera Patel"/>
    <n v="39"/>
    <x v="0"/>
    <s v="AB+"/>
    <s v="Hyderabad"/>
    <d v="2022-06-23T00:00:00"/>
    <d v="2022-06-25T00:00:00"/>
    <n v="2"/>
    <x v="5"/>
    <s v="Asthma"/>
    <x v="8"/>
    <s v="Observation"/>
    <x v="0"/>
    <s v="Dr. Arun Joshi"/>
    <n v="197"/>
    <s v="ICU"/>
    <x v="2"/>
    <n v="80302"/>
    <n v="64079"/>
    <n v="16223"/>
    <n v="63837"/>
    <n v="7741"/>
    <n v="6714"/>
    <s v="No"/>
    <n v="82"/>
    <n v="2.9"/>
    <x v="0"/>
  </r>
  <r>
    <x v="485"/>
    <s v="Vijay Shah"/>
    <n v="8"/>
    <x v="0"/>
    <s v="O+"/>
    <s v="Lucknow"/>
    <d v="2023-03-20T00:00:00"/>
    <d v="2023-04-14T00:00:00"/>
    <n v="25"/>
    <x v="4"/>
    <s v="Hypertension"/>
    <x v="7"/>
    <s v="Dietary Management"/>
    <x v="0"/>
    <s v="Dr. Vivek Sharma"/>
    <n v="414"/>
    <s v="General Ward"/>
    <x v="1"/>
    <n v="145836"/>
    <n v="95895"/>
    <n v="49941"/>
    <n v="106740"/>
    <n v="24635"/>
    <n v="11607"/>
    <s v="No"/>
    <n v="69"/>
    <n v="3.3"/>
    <x v="0"/>
  </r>
  <r>
    <x v="486"/>
    <s v="Vijay Das"/>
    <n v="38"/>
    <x v="1"/>
    <s v="AB+"/>
    <s v="Ahmedabad"/>
    <d v="2023-05-03T00:00:00"/>
    <d v="2023-05-08T00:00:00"/>
    <n v="5"/>
    <x v="4"/>
    <s v="Hypertension"/>
    <x v="7"/>
    <s v="Dialysis"/>
    <x v="1"/>
    <s v="Dr. Kavita Nair"/>
    <n v="152"/>
    <s v="Private"/>
    <x v="1"/>
    <n v="124038"/>
    <n v="63074"/>
    <n v="60964"/>
    <n v="108442"/>
    <n v="2265"/>
    <n v="10585"/>
    <s v="No"/>
    <n v="90"/>
    <n v="4"/>
    <x v="0"/>
  </r>
  <r>
    <x v="487"/>
    <s v="Aditya Kumar"/>
    <n v="44"/>
    <x v="0"/>
    <s v="O+"/>
    <s v="Bangalore"/>
    <d v="2024-06-27T00:00:00"/>
    <d v="2024-07-12T00:00:00"/>
    <n v="15"/>
    <x v="4"/>
    <s v="Hypertension"/>
    <x v="7"/>
    <s v="Medication"/>
    <x v="0"/>
    <s v="Dr. Arun Kumar"/>
    <n v="246"/>
    <s v="Semi-Private"/>
    <x v="3"/>
    <n v="44915"/>
    <n v="39036"/>
    <n v="5879"/>
    <n v="20357"/>
    <n v="19991"/>
    <n v="1803"/>
    <s v="No"/>
    <n v="44"/>
    <n v="3.3"/>
    <x v="1"/>
  </r>
  <r>
    <x v="488"/>
    <s v="Vijay Nair"/>
    <n v="38"/>
    <x v="0"/>
    <s v="B+"/>
    <s v="Chennai"/>
    <d v="2022-12-24T00:00:00"/>
    <d v="2022-12-29T00:00:00"/>
    <n v="5"/>
    <x v="0"/>
    <s v="Liver Disease"/>
    <x v="0"/>
    <s v="Chemotherapy"/>
    <x v="1"/>
    <s v="Dr. Arun Mehta"/>
    <n v="351"/>
    <s v="ICU"/>
    <x v="1"/>
    <n v="102495"/>
    <n v="42868"/>
    <n v="59627"/>
    <n v="88187"/>
    <n v="2374"/>
    <n v="9567"/>
    <s v="No"/>
    <n v="56"/>
    <n v="4.9000000000000004"/>
    <x v="3"/>
  </r>
  <r>
    <x v="489"/>
    <s v="Sunita Shah"/>
    <n v="74"/>
    <x v="1"/>
    <s v="B-"/>
    <s v="Pune"/>
    <d v="2022-08-12T00:00:00"/>
    <d v="2022-08-15T00:00:00"/>
    <n v="3"/>
    <x v="6"/>
    <s v="Arthritis"/>
    <x v="11"/>
    <s v="Surgery"/>
    <x v="1"/>
    <s v="Dr. Kavita Reddy"/>
    <n v="167"/>
    <s v="Private"/>
    <x v="3"/>
    <n v="56054"/>
    <n v="36038"/>
    <n v="20016"/>
    <n v="23715"/>
    <n v="22033"/>
    <n v="7487"/>
    <s v="No"/>
    <n v="90"/>
    <n v="3.1"/>
    <x v="4"/>
  </r>
  <r>
    <x v="490"/>
    <s v="Mukesh Shah"/>
    <n v="65"/>
    <x v="0"/>
    <s v="A+"/>
    <s v="Bangalore"/>
    <d v="2024-01-25T00:00:00"/>
    <d v="2024-01-27T00:00:00"/>
    <n v="2"/>
    <x v="1"/>
    <s v="UTI"/>
    <x v="2"/>
    <s v="Dietary Management"/>
    <x v="1"/>
    <s v="Dr. Prerna Rao"/>
    <n v="109"/>
    <s v="Private"/>
    <x v="1"/>
    <n v="178233"/>
    <n v="121552"/>
    <n v="56681"/>
    <n v="138216"/>
    <n v="26672"/>
    <n v="10027"/>
    <s v="No"/>
    <n v="77"/>
    <n v="2.1"/>
    <x v="2"/>
  </r>
  <r>
    <x v="491"/>
    <s v="Karan Singh"/>
    <n v="14"/>
    <x v="1"/>
    <s v="AB+"/>
    <s v="Jaipur"/>
    <d v="2022-09-06T00:00:00"/>
    <d v="2022-10-04T00:00:00"/>
    <n v="28"/>
    <x v="6"/>
    <s v="Arthritis"/>
    <x v="11"/>
    <s v="Dietary Management"/>
    <x v="0"/>
    <s v="Dr. Deepak Nair"/>
    <n v="226"/>
    <s v="Private"/>
    <x v="4"/>
    <n v="97342"/>
    <n v="0"/>
    <n v="97342"/>
    <n v="56124"/>
    <n v="28394"/>
    <n v="9924"/>
    <s v="No"/>
    <n v="61"/>
    <n v="2.7"/>
    <x v="1"/>
  </r>
  <r>
    <x v="492"/>
    <s v="Kavya Malhotra"/>
    <n v="45"/>
    <x v="1"/>
    <s v="B-"/>
    <s v="Ahmedabad"/>
    <d v="2024-04-19T00:00:00"/>
    <d v="2024-05-01T00:00:00"/>
    <n v="12"/>
    <x v="6"/>
    <s v="Fracture"/>
    <x v="10"/>
    <s v="Counseling"/>
    <x v="1"/>
    <s v="Dr. Nisha Gupta"/>
    <n v="310"/>
    <s v="Semi-Private"/>
    <x v="3"/>
    <n v="134681"/>
    <n v="118212"/>
    <n v="16469"/>
    <n v="114799"/>
    <n v="8528"/>
    <n v="9828"/>
    <s v="No"/>
    <n v="98"/>
    <n v="3.2"/>
    <x v="0"/>
  </r>
  <r>
    <x v="493"/>
    <s v="Sunita Gupta"/>
    <n v="82"/>
    <x v="0"/>
    <s v="O+"/>
    <s v="Pune"/>
    <d v="2023-10-05T00:00:00"/>
    <d v="2023-10-09T00:00:00"/>
    <n v="4"/>
    <x v="6"/>
    <s v="Fracture"/>
    <x v="10"/>
    <s v="Observation"/>
    <x v="2"/>
    <s v="Dr. Shalini Gupta"/>
    <n v="324"/>
    <s v="Semi-Private"/>
    <x v="0"/>
    <n v="130260"/>
    <n v="68463"/>
    <n v="61797"/>
    <n v="124031"/>
    <n v="1508"/>
    <n v="3232"/>
    <s v="No"/>
    <n v="85"/>
    <n v="4.8"/>
    <x v="3"/>
  </r>
  <r>
    <x v="494"/>
    <s v="Vikram Patel"/>
    <n v="60"/>
    <x v="1"/>
    <s v="B+"/>
    <s v="Delhi"/>
    <d v="2022-09-29T00:00:00"/>
    <d v="2022-10-16T00:00:00"/>
    <n v="17"/>
    <x v="6"/>
    <s v="Arthritis"/>
    <x v="11"/>
    <s v="Observation"/>
    <x v="3"/>
    <s v="Dr. Sameer Joshi"/>
    <n v="357"/>
    <s v="Semi-Private"/>
    <x v="4"/>
    <n v="65507"/>
    <n v="0"/>
    <n v="65507"/>
    <n v="36202"/>
    <n v="12036"/>
    <n v="14012"/>
    <s v="No"/>
    <n v="79"/>
    <n v="2.2999999999999998"/>
    <x v="3"/>
  </r>
  <r>
    <x v="495"/>
    <s v="Rahul Shah"/>
    <n v="62"/>
    <x v="0"/>
    <s v="AB-"/>
    <s v="Kolkata"/>
    <d v="2023-08-16T00:00:00"/>
    <d v="2023-09-10T00:00:00"/>
    <n v="25"/>
    <x v="0"/>
    <s v="Typhoid"/>
    <x v="1"/>
    <s v="Physiotherapy"/>
    <x v="1"/>
    <s v="Dr. Sameer Sharma"/>
    <n v="304"/>
    <s v="Private"/>
    <x v="3"/>
    <n v="125582"/>
    <n v="94513"/>
    <n v="31069"/>
    <n v="104450"/>
    <n v="11500"/>
    <n v="7685"/>
    <s v="No"/>
    <n v="100"/>
    <n v="4.3"/>
    <x v="2"/>
  </r>
  <r>
    <x v="496"/>
    <s v="Deepa Bose"/>
    <n v="48"/>
    <x v="1"/>
    <s v="AB+"/>
    <s v="Hyderabad"/>
    <d v="2023-10-24T00:00:00"/>
    <d v="2023-11-06T00:00:00"/>
    <n v="13"/>
    <x v="0"/>
    <s v="Dengue"/>
    <x v="1"/>
    <s v="Physiotherapy"/>
    <x v="1"/>
    <s v="Dr. Kavita Joshi"/>
    <n v="266"/>
    <s v="Private"/>
    <x v="1"/>
    <n v="100691"/>
    <n v="45279"/>
    <n v="55412"/>
    <n v="87409"/>
    <n v="4259"/>
    <n v="6190"/>
    <s v="No"/>
    <n v="71"/>
    <n v="3.3"/>
    <x v="2"/>
  </r>
  <r>
    <x v="497"/>
    <s v="Deepa Nair"/>
    <n v="82"/>
    <x v="1"/>
    <s v="B-"/>
    <s v="Hyderabad"/>
    <d v="2022-10-16T00:00:00"/>
    <d v="2022-10-20T00:00:00"/>
    <n v="4"/>
    <x v="3"/>
    <s v="Stroke"/>
    <x v="6"/>
    <s v="Counseling"/>
    <x v="2"/>
    <s v="Dr. Arun Rao"/>
    <n v="463"/>
    <s v="General Ward"/>
    <x v="1"/>
    <n v="177443"/>
    <n v="96974"/>
    <n v="80469"/>
    <n v="146011"/>
    <n v="27181"/>
    <n v="3697"/>
    <s v="No"/>
    <n v="63"/>
    <n v="2.6"/>
    <x v="0"/>
  </r>
  <r>
    <x v="498"/>
    <s v="Pooja Malhotra"/>
    <n v="71"/>
    <x v="1"/>
    <s v="AB-"/>
    <s v="Hyderabad"/>
    <d v="2022-08-13T00:00:00"/>
    <d v="2022-09-05T00:00:00"/>
    <n v="23"/>
    <x v="0"/>
    <s v="Appendicitis"/>
    <x v="0"/>
    <s v="Observation"/>
    <x v="0"/>
    <s v="Dr. Rakesh Patel"/>
    <n v="443"/>
    <s v="Semi-Private"/>
    <x v="4"/>
    <n v="62932"/>
    <n v="0"/>
    <n v="62932"/>
    <n v="35529"/>
    <n v="12590"/>
    <n v="13666"/>
    <s v="No"/>
    <n v="54"/>
    <n v="4.2"/>
    <x v="1"/>
  </r>
  <r>
    <x v="499"/>
    <s v="Ananya Das"/>
    <n v="47"/>
    <x v="0"/>
    <s v="AB-"/>
    <s v="Jaipur"/>
    <d v="2022-06-01T00:00:00"/>
    <d v="2022-06-24T00:00:00"/>
    <n v="23"/>
    <x v="0"/>
    <s v="Dengue"/>
    <x v="1"/>
    <s v="Observation"/>
    <x v="1"/>
    <s v="Dr. Deepak Kumar"/>
    <n v="98"/>
    <s v="General Ward"/>
    <x v="2"/>
    <n v="88636"/>
    <n v="76372"/>
    <n v="12264"/>
    <n v="69464"/>
    <n v="5485"/>
    <n v="10106"/>
    <s v="No"/>
    <n v="52"/>
    <n v="2.8"/>
    <x v="2"/>
  </r>
  <r>
    <x v="500"/>
    <s v="Meera Joshi"/>
    <n v="68"/>
    <x v="0"/>
    <s v="B+"/>
    <s v="Chennai"/>
    <d v="2022-07-01T00:00:00"/>
    <d v="2022-07-18T00:00:00"/>
    <n v="17"/>
    <x v="3"/>
    <s v="Stroke"/>
    <x v="6"/>
    <s v="Observation"/>
    <x v="1"/>
    <s v="Dr. Anjali Nair"/>
    <n v="313"/>
    <s v="Semi-Private"/>
    <x v="0"/>
    <n v="44302"/>
    <n v="25873"/>
    <n v="18429"/>
    <n v="15174"/>
    <n v="14702"/>
    <n v="11771"/>
    <s v="No"/>
    <n v="55"/>
    <n v="3.9"/>
    <x v="4"/>
  </r>
  <r>
    <x v="501"/>
    <s v="Arjun Joshi"/>
    <n v="43"/>
    <x v="1"/>
    <s v="O+"/>
    <s v="Ahmedabad"/>
    <d v="2024-09-30T00:00:00"/>
    <d v="2024-10-26T00:00:00"/>
    <n v="26"/>
    <x v="3"/>
    <s v="Migraine"/>
    <x v="6"/>
    <s v="ICU Care"/>
    <x v="0"/>
    <s v="Dr. Rakesh Patel"/>
    <n v="113"/>
    <s v="General Ward"/>
    <x v="4"/>
    <n v="139003"/>
    <n v="0"/>
    <n v="139003"/>
    <n v="114994"/>
    <n v="15652"/>
    <n v="5831"/>
    <s v="No"/>
    <n v="47"/>
    <n v="2.5"/>
    <x v="1"/>
  </r>
  <r>
    <x v="502"/>
    <s v="Sunita Kumar"/>
    <n v="49"/>
    <x v="0"/>
    <s v="B+"/>
    <s v="Ahmedabad"/>
    <d v="2024-09-28T00:00:00"/>
    <d v="2024-10-18T00:00:00"/>
    <n v="20"/>
    <x v="0"/>
    <s v="Anemia"/>
    <x v="4"/>
    <s v="Medication"/>
    <x v="3"/>
    <s v="Dr. Rakesh Nair"/>
    <n v="111"/>
    <s v="ICU"/>
    <x v="2"/>
    <n v="113954"/>
    <n v="82431"/>
    <n v="31523"/>
    <n v="89722"/>
    <n v="9572"/>
    <n v="11559"/>
    <s v="No"/>
    <n v="67"/>
    <n v="3.2"/>
    <x v="3"/>
  </r>
  <r>
    <x v="503"/>
    <s v="Rohan Bose"/>
    <n v="33"/>
    <x v="0"/>
    <s v="A+"/>
    <s v="Hyderabad"/>
    <d v="2024-07-05T00:00:00"/>
    <d v="2024-07-19T00:00:00"/>
    <n v="14"/>
    <x v="2"/>
    <s v="Cancer"/>
    <x v="3"/>
    <s v="Physiotherapy"/>
    <x v="2"/>
    <s v="Dr. Prerna Rao"/>
    <n v="313"/>
    <s v="Private"/>
    <x v="0"/>
    <n v="161152"/>
    <n v="103254"/>
    <n v="57898"/>
    <n v="146496"/>
    <n v="1652"/>
    <n v="12332"/>
    <s v="Yes"/>
    <n v="85"/>
    <n v="3"/>
    <x v="1"/>
  </r>
  <r>
    <x v="504"/>
    <s v="Vijay Pillai"/>
    <n v="13"/>
    <x v="1"/>
    <s v="B-"/>
    <s v="Pune"/>
    <d v="2023-02-11T00:00:00"/>
    <d v="2023-02-17T00:00:00"/>
    <n v="6"/>
    <x v="0"/>
    <s v="Depression"/>
    <x v="5"/>
    <s v="Chemotherapy"/>
    <x v="3"/>
    <s v="Dr. Sameer Kumar"/>
    <n v="170"/>
    <s v="ICU"/>
    <x v="0"/>
    <n v="180166"/>
    <n v="74016"/>
    <n v="106150"/>
    <n v="149952"/>
    <n v="25029"/>
    <n v="4574"/>
    <s v="Yes"/>
    <n v="100"/>
    <n v="3.6"/>
    <x v="0"/>
  </r>
  <r>
    <x v="505"/>
    <s v="Karan Bose"/>
    <n v="10"/>
    <x v="1"/>
    <s v="O+"/>
    <s v="Hyderabad"/>
    <d v="2022-02-19T00:00:00"/>
    <d v="2022-02-27T00:00:00"/>
    <n v="8"/>
    <x v="2"/>
    <s v="Cancer"/>
    <x v="3"/>
    <s v="Dialysis"/>
    <x v="1"/>
    <s v="Dr. Vivek Joshi"/>
    <n v="68"/>
    <s v="Private"/>
    <x v="2"/>
    <n v="41149"/>
    <n v="24938"/>
    <n v="16211"/>
    <n v="25061"/>
    <n v="3421"/>
    <n v="8765"/>
    <s v="No"/>
    <n v="74"/>
    <n v="3.8"/>
    <x v="2"/>
  </r>
  <r>
    <x v="506"/>
    <s v="Sneha Iyer"/>
    <n v="55"/>
    <x v="1"/>
    <s v="O+"/>
    <s v="Pune"/>
    <d v="2024-05-20T00:00:00"/>
    <d v="2024-06-06T00:00:00"/>
    <n v="17"/>
    <x v="4"/>
    <s v="Hypertension"/>
    <x v="7"/>
    <s v="Dialysis"/>
    <x v="0"/>
    <s v="Dr. Kavita Patel"/>
    <n v="136"/>
    <s v="ICU"/>
    <x v="3"/>
    <n v="100764"/>
    <n v="89687"/>
    <n v="11077"/>
    <n v="81346"/>
    <n v="15074"/>
    <n v="2024"/>
    <s v="No"/>
    <n v="70"/>
    <n v="2.9"/>
    <x v="0"/>
  </r>
  <r>
    <x v="507"/>
    <s v="Arjun Reddy"/>
    <n v="53"/>
    <x v="1"/>
    <s v="AB-"/>
    <s v="Kolkata"/>
    <d v="2024-02-03T00:00:00"/>
    <d v="2024-02-28T00:00:00"/>
    <n v="25"/>
    <x v="0"/>
    <s v="Depression"/>
    <x v="5"/>
    <s v="Radiation Therapy"/>
    <x v="2"/>
    <s v="Dr. Shalini Sharma"/>
    <n v="204"/>
    <s v="Semi-Private"/>
    <x v="3"/>
    <n v="129687"/>
    <n v="102822"/>
    <n v="26865"/>
    <n v="101946"/>
    <n v="16623"/>
    <n v="9726"/>
    <s v="No"/>
    <n v="91"/>
    <n v="3.9"/>
    <x v="3"/>
  </r>
  <r>
    <x v="508"/>
    <s v="Sneha Pillai"/>
    <n v="26"/>
    <x v="1"/>
    <s v="AB-"/>
    <s v="Lucknow"/>
    <d v="2023-05-27T00:00:00"/>
    <d v="2023-05-30T00:00:00"/>
    <n v="3"/>
    <x v="5"/>
    <s v="Pneumonia"/>
    <x v="8"/>
    <s v="Dietary Management"/>
    <x v="0"/>
    <s v="Dr. Deepak Rao"/>
    <n v="390"/>
    <s v="Semi-Private"/>
    <x v="2"/>
    <n v="153902"/>
    <n v="126531"/>
    <n v="27371"/>
    <n v="134346"/>
    <n v="9258"/>
    <n v="7247"/>
    <s v="No"/>
    <n v="42"/>
    <n v="3"/>
    <x v="0"/>
  </r>
  <r>
    <x v="509"/>
    <s v="Divya Khanna"/>
    <n v="5"/>
    <x v="0"/>
    <s v="B-"/>
    <s v="Jaipur"/>
    <d v="2024-09-27T00:00:00"/>
    <d v="2024-10-15T00:00:00"/>
    <n v="18"/>
    <x v="0"/>
    <s v="Typhoid"/>
    <x v="1"/>
    <s v="Chemotherapy"/>
    <x v="3"/>
    <s v="Dr. Anjali Gupta"/>
    <n v="264"/>
    <s v="General Ward"/>
    <x v="2"/>
    <n v="145854"/>
    <n v="93082"/>
    <n v="52772"/>
    <n v="116595"/>
    <n v="23913"/>
    <n v="1769"/>
    <s v="Yes"/>
    <n v="73"/>
    <n v="4.2"/>
    <x v="2"/>
  </r>
  <r>
    <x v="510"/>
    <s v="Suresh Malhotra"/>
    <n v="19"/>
    <x v="1"/>
    <s v="AB+"/>
    <s v="Ahmedabad"/>
    <d v="2022-12-16T00:00:00"/>
    <d v="2023-01-06T00:00:00"/>
    <n v="21"/>
    <x v="6"/>
    <s v="Arthritis"/>
    <x v="11"/>
    <s v="Physiotherapy"/>
    <x v="0"/>
    <s v="Dr. Vivek Sharma"/>
    <n v="152"/>
    <s v="General Ward"/>
    <x v="3"/>
    <n v="124360"/>
    <n v="94109"/>
    <n v="30251"/>
    <n v="82128"/>
    <n v="24591"/>
    <n v="14921"/>
    <s v="No"/>
    <n v="63"/>
    <n v="3.7"/>
    <x v="2"/>
  </r>
  <r>
    <x v="511"/>
    <s v="Vikram Rao"/>
    <n v="71"/>
    <x v="1"/>
    <s v="O-"/>
    <s v="Jaipur"/>
    <d v="2023-05-30T00:00:00"/>
    <d v="2023-06-15T00:00:00"/>
    <n v="16"/>
    <x v="0"/>
    <s v="COVID-19"/>
    <x v="1"/>
    <s v="ICU Care"/>
    <x v="2"/>
    <s v="Dr. Sameer Nair"/>
    <n v="367"/>
    <s v="ICU"/>
    <x v="2"/>
    <n v="108088"/>
    <n v="80109"/>
    <n v="27979"/>
    <n v="88280"/>
    <n v="14641"/>
    <n v="3436"/>
    <s v="No"/>
    <n v="40"/>
    <n v="2.9"/>
    <x v="2"/>
  </r>
  <r>
    <x v="512"/>
    <s v="Suresh Kumar"/>
    <n v="73"/>
    <x v="0"/>
    <s v="O-"/>
    <s v="Delhi"/>
    <d v="2022-05-06T00:00:00"/>
    <d v="2022-05-26T00:00:00"/>
    <n v="20"/>
    <x v="0"/>
    <s v="COVID-19"/>
    <x v="1"/>
    <s v="Physiotherapy"/>
    <x v="1"/>
    <s v="Dr. Nisha Nair"/>
    <n v="453"/>
    <s v="Semi-Private"/>
    <x v="4"/>
    <n v="23841"/>
    <n v="0"/>
    <n v="23841"/>
    <n v="8703"/>
    <n v="7312"/>
    <n v="4998"/>
    <s v="No"/>
    <n v="95"/>
    <n v="3.3"/>
    <x v="1"/>
  </r>
  <r>
    <x v="513"/>
    <s v="Nisha Menon"/>
    <n v="56"/>
    <x v="0"/>
    <s v="B-"/>
    <s v="Delhi"/>
    <d v="2022-11-09T00:00:00"/>
    <d v="2022-11-13T00:00:00"/>
    <n v="4"/>
    <x v="3"/>
    <s v="Stroke"/>
    <x v="6"/>
    <s v="Physiotherapy"/>
    <x v="3"/>
    <s v="Dr. Shalini Patel"/>
    <n v="65"/>
    <s v="ICU"/>
    <x v="4"/>
    <n v="122086"/>
    <n v="0"/>
    <n v="122086"/>
    <n v="77676"/>
    <n v="27453"/>
    <n v="12579"/>
    <s v="No"/>
    <n v="40"/>
    <n v="4.4000000000000004"/>
    <x v="2"/>
  </r>
  <r>
    <x v="514"/>
    <s v="Rahul Menon"/>
    <n v="23"/>
    <x v="1"/>
    <s v="B+"/>
    <s v="Ahmedabad"/>
    <d v="2022-01-01T00:00:00"/>
    <d v="2022-01-12T00:00:00"/>
    <n v="11"/>
    <x v="6"/>
    <s v="Fracture"/>
    <x v="10"/>
    <s v="Physiotherapy"/>
    <x v="0"/>
    <s v="Dr. Vivek Gupta"/>
    <n v="168"/>
    <s v="Private"/>
    <x v="1"/>
    <n v="58035"/>
    <n v="29783"/>
    <n v="28252"/>
    <n v="35748"/>
    <n v="8889"/>
    <n v="9677"/>
    <s v="No"/>
    <n v="70"/>
    <n v="3.1"/>
    <x v="0"/>
  </r>
  <r>
    <x v="515"/>
    <s v="Amit Das"/>
    <n v="15"/>
    <x v="1"/>
    <s v="B+"/>
    <s v="Hyderabad"/>
    <d v="2022-10-20T00:00:00"/>
    <d v="2022-11-16T00:00:00"/>
    <n v="27"/>
    <x v="0"/>
    <s v="Anemia"/>
    <x v="4"/>
    <s v="Radiation Therapy"/>
    <x v="0"/>
    <s v="Dr. Rakesh Patel"/>
    <n v="286"/>
    <s v="ICU"/>
    <x v="4"/>
    <n v="71677"/>
    <n v="0"/>
    <n v="71677"/>
    <n v="51664"/>
    <n v="1828"/>
    <n v="14690"/>
    <s v="No"/>
    <n v="89"/>
    <n v="4"/>
    <x v="4"/>
  </r>
  <r>
    <x v="516"/>
    <s v="Suresh Menon"/>
    <n v="76"/>
    <x v="1"/>
    <s v="AB+"/>
    <s v="Pune"/>
    <d v="2023-01-02T00:00:00"/>
    <d v="2023-02-01T00:00:00"/>
    <n v="30"/>
    <x v="4"/>
    <s v="Hypertension"/>
    <x v="7"/>
    <s v="Radiation Therapy"/>
    <x v="3"/>
    <s v="Dr. Deepak Reddy"/>
    <n v="3"/>
    <s v="Private"/>
    <x v="4"/>
    <n v="52031"/>
    <n v="0"/>
    <n v="52031"/>
    <n v="29669"/>
    <n v="13087"/>
    <n v="4657"/>
    <s v="No"/>
    <n v="78"/>
    <n v="2.8"/>
    <x v="1"/>
  </r>
  <r>
    <x v="517"/>
    <s v="Rajesh Bose"/>
    <n v="55"/>
    <x v="1"/>
    <s v="O+"/>
    <s v="Hyderabad"/>
    <d v="2022-04-28T00:00:00"/>
    <d v="2022-05-17T00:00:00"/>
    <n v="19"/>
    <x v="4"/>
    <s v="Hypertension"/>
    <x v="7"/>
    <s v="Dietary Management"/>
    <x v="0"/>
    <s v="Dr. Anjali Mehta"/>
    <n v="243"/>
    <s v="General Ward"/>
    <x v="2"/>
    <n v="116111"/>
    <n v="94246"/>
    <n v="21865"/>
    <n v="101871"/>
    <n v="1944"/>
    <n v="10542"/>
    <s v="No"/>
    <n v="94"/>
    <n v="2.4"/>
    <x v="4"/>
  </r>
  <r>
    <x v="518"/>
    <s v="Ashok Kumar"/>
    <n v="12"/>
    <x v="0"/>
    <s v="A+"/>
    <s v="Pune"/>
    <d v="2022-07-19T00:00:00"/>
    <d v="2022-08-16T00:00:00"/>
    <n v="28"/>
    <x v="0"/>
    <s v="Depression"/>
    <x v="5"/>
    <s v="Chemotherapy"/>
    <x v="1"/>
    <s v="Dr. Nisha Kumar"/>
    <n v="460"/>
    <s v="Semi-Private"/>
    <x v="1"/>
    <n v="123464"/>
    <n v="64808"/>
    <n v="58656"/>
    <n v="101011"/>
    <n v="17919"/>
    <n v="732"/>
    <s v="No"/>
    <n v="43"/>
    <n v="2.2000000000000002"/>
    <x v="0"/>
  </r>
  <r>
    <x v="519"/>
    <s v="Vikram Nair"/>
    <n v="15"/>
    <x v="1"/>
    <s v="AB-"/>
    <s v="Mumbai"/>
    <d v="2023-07-19T00:00:00"/>
    <d v="2023-08-08T00:00:00"/>
    <n v="20"/>
    <x v="3"/>
    <s v="Stroke"/>
    <x v="6"/>
    <s v="Observation"/>
    <x v="2"/>
    <s v="Dr. Arun Singh"/>
    <n v="141"/>
    <s v="Private"/>
    <x v="2"/>
    <n v="121800"/>
    <n v="93769"/>
    <n v="28031"/>
    <n v="94509"/>
    <n v="16278"/>
    <n v="9808"/>
    <s v="No"/>
    <n v="47"/>
    <n v="4.8"/>
    <x v="2"/>
  </r>
  <r>
    <x v="520"/>
    <s v="Geeta Singh"/>
    <n v="28"/>
    <x v="0"/>
    <s v="A+"/>
    <s v="Bangalore"/>
    <d v="2022-01-22T00:00:00"/>
    <d v="2022-01-29T00:00:00"/>
    <n v="7"/>
    <x v="1"/>
    <s v="Kidney Stone"/>
    <x v="2"/>
    <s v="Surgery"/>
    <x v="2"/>
    <s v="Dr. Rakesh Reddy"/>
    <n v="383"/>
    <s v="Semi-Private"/>
    <x v="4"/>
    <n v="47326"/>
    <n v="0"/>
    <n v="47326"/>
    <n v="18981"/>
    <n v="13429"/>
    <n v="12065"/>
    <s v="No"/>
    <n v="48"/>
    <n v="3.7"/>
    <x v="4"/>
  </r>
  <r>
    <x v="521"/>
    <s v="Kavya Mehta"/>
    <n v="39"/>
    <x v="1"/>
    <s v="B+"/>
    <s v="Hyderabad"/>
    <d v="2023-06-16T00:00:00"/>
    <d v="2023-07-09T00:00:00"/>
    <n v="23"/>
    <x v="0"/>
    <s v="COVID-19"/>
    <x v="1"/>
    <s v="Surgery"/>
    <x v="0"/>
    <s v="Dr. Nisha Rao"/>
    <n v="187"/>
    <s v="Private"/>
    <x v="1"/>
    <n v="163794"/>
    <n v="67322"/>
    <n v="96472"/>
    <n v="122879"/>
    <n v="28181"/>
    <n v="10838"/>
    <s v="No"/>
    <n v="64"/>
    <n v="2.5"/>
    <x v="0"/>
  </r>
  <r>
    <x v="522"/>
    <s v="Suresh Khanna"/>
    <n v="49"/>
    <x v="0"/>
    <s v="B-"/>
    <s v="Pune"/>
    <d v="2024-10-28T00:00:00"/>
    <d v="2024-11-15T00:00:00"/>
    <n v="18"/>
    <x v="5"/>
    <s v="Asthma"/>
    <x v="8"/>
    <s v="Counseling"/>
    <x v="2"/>
    <s v="Dr. Rakesh Reddy"/>
    <n v="240"/>
    <s v="Private"/>
    <x v="2"/>
    <n v="66479"/>
    <n v="49365"/>
    <n v="17114"/>
    <n v="35224"/>
    <n v="17942"/>
    <n v="11286"/>
    <s v="No"/>
    <n v="60"/>
    <n v="3.1"/>
    <x v="4"/>
  </r>
  <r>
    <x v="523"/>
    <s v="Sunita Iyer"/>
    <n v="9"/>
    <x v="0"/>
    <s v="A-"/>
    <s v="Pune"/>
    <d v="2022-01-17T00:00:00"/>
    <d v="2022-01-23T00:00:00"/>
    <n v="6"/>
    <x v="0"/>
    <s v="Anemia"/>
    <x v="4"/>
    <s v="ICU Care"/>
    <x v="3"/>
    <s v="Dr. Prerna Mehta"/>
    <n v="468"/>
    <s v="Private"/>
    <x v="4"/>
    <n v="75442"/>
    <n v="0"/>
    <n v="75442"/>
    <n v="47662"/>
    <n v="16297"/>
    <n v="9458"/>
    <s v="No"/>
    <n v="68"/>
    <n v="4.4000000000000004"/>
    <x v="4"/>
  </r>
  <r>
    <x v="524"/>
    <s v="Sanjay Iyer"/>
    <n v="60"/>
    <x v="0"/>
    <s v="AB-"/>
    <s v="Chennai"/>
    <d v="2023-06-02T00:00:00"/>
    <d v="2023-06-26T00:00:00"/>
    <n v="24"/>
    <x v="1"/>
    <s v="Kidney Stone"/>
    <x v="2"/>
    <s v="ICU Care"/>
    <x v="0"/>
    <s v="Dr. Vivek Singh"/>
    <n v="21"/>
    <s v="Semi-Private"/>
    <x v="1"/>
    <n v="58250"/>
    <n v="39971"/>
    <n v="18279"/>
    <n v="33273"/>
    <n v="14794"/>
    <n v="7477"/>
    <s v="No"/>
    <n v="41"/>
    <n v="2.5"/>
    <x v="2"/>
  </r>
  <r>
    <x v="525"/>
    <s v="Sonia Rao"/>
    <n v="81"/>
    <x v="1"/>
    <s v="B+"/>
    <s v="Bangalore"/>
    <d v="2023-11-14T00:00:00"/>
    <d v="2023-12-10T00:00:00"/>
    <n v="26"/>
    <x v="0"/>
    <s v="Diabetes Type 2"/>
    <x v="9"/>
    <s v="Dialysis"/>
    <x v="2"/>
    <s v="Dr. Nisha Gupta"/>
    <n v="203"/>
    <s v="Semi-Private"/>
    <x v="3"/>
    <n v="32859"/>
    <n v="28419"/>
    <n v="4440"/>
    <n v="5221"/>
    <n v="22581"/>
    <n v="2916"/>
    <s v="No"/>
    <n v="45"/>
    <n v="2.6"/>
    <x v="2"/>
  </r>
  <r>
    <x v="526"/>
    <s v="Pooja Singh"/>
    <n v="36"/>
    <x v="1"/>
    <s v="O-"/>
    <s v="Mumbai"/>
    <d v="2024-09-04T00:00:00"/>
    <d v="2024-09-10T00:00:00"/>
    <n v="6"/>
    <x v="1"/>
    <s v="Kidney Stone"/>
    <x v="2"/>
    <s v="Radiation Therapy"/>
    <x v="0"/>
    <s v="Dr. Kavita Gupta"/>
    <n v="343"/>
    <s v="ICU"/>
    <x v="3"/>
    <n v="100380"/>
    <n v="64098"/>
    <n v="36282"/>
    <n v="68633"/>
    <n v="26003"/>
    <n v="2069"/>
    <s v="No"/>
    <n v="48"/>
    <n v="3.2"/>
    <x v="1"/>
  </r>
  <r>
    <x v="527"/>
    <s v="Mukesh Rao"/>
    <n v="59"/>
    <x v="0"/>
    <s v="A-"/>
    <s v="Pune"/>
    <d v="2024-09-27T00:00:00"/>
    <d v="2024-10-19T00:00:00"/>
    <n v="22"/>
    <x v="0"/>
    <s v="Obesity"/>
    <x v="12"/>
    <s v="Chemotherapy"/>
    <x v="2"/>
    <s v="Dr. Kavita Kumar"/>
    <n v="186"/>
    <s v="Private"/>
    <x v="1"/>
    <n v="40501"/>
    <n v="27313"/>
    <n v="13188"/>
    <n v="5417"/>
    <n v="21007"/>
    <n v="10316"/>
    <s v="No"/>
    <n v="48"/>
    <n v="3.5"/>
    <x v="3"/>
  </r>
  <r>
    <x v="528"/>
    <s v="Suresh Rao"/>
    <n v="60"/>
    <x v="1"/>
    <s v="O-"/>
    <s v="Kolkata"/>
    <d v="2023-01-04T00:00:00"/>
    <d v="2023-01-18T00:00:00"/>
    <n v="14"/>
    <x v="5"/>
    <s v="Pneumonia"/>
    <x v="8"/>
    <s v="Dialysis"/>
    <x v="0"/>
    <s v="Dr. Anjali Sharma"/>
    <n v="134"/>
    <s v="ICU"/>
    <x v="0"/>
    <n v="78336"/>
    <n v="50940"/>
    <n v="27396"/>
    <n v="47871"/>
    <n v="14048"/>
    <n v="11679"/>
    <s v="No"/>
    <n v="45"/>
    <n v="3"/>
    <x v="3"/>
  </r>
  <r>
    <x v="529"/>
    <s v="Rajesh Chopra"/>
    <n v="6"/>
    <x v="1"/>
    <s v="O-"/>
    <s v="Bangalore"/>
    <d v="2024-11-04T00:00:00"/>
    <d v="2024-11-17T00:00:00"/>
    <n v="13"/>
    <x v="0"/>
    <s v="COVID-19"/>
    <x v="1"/>
    <s v="Radiation Therapy"/>
    <x v="0"/>
    <s v="Dr. Vivek Sharma"/>
    <n v="156"/>
    <s v="ICU"/>
    <x v="4"/>
    <n v="74087"/>
    <n v="0"/>
    <n v="74087"/>
    <n v="35397"/>
    <n v="20779"/>
    <n v="13723"/>
    <s v="No"/>
    <n v="89"/>
    <n v="3.4"/>
    <x v="1"/>
  </r>
  <r>
    <x v="530"/>
    <s v="Rekha Pillai"/>
    <n v="51"/>
    <x v="1"/>
    <s v="B+"/>
    <s v="Kolkata"/>
    <d v="2024-12-24T00:00:00"/>
    <d v="2024-12-31T00:00:00"/>
    <n v="7"/>
    <x v="3"/>
    <s v="Migraine"/>
    <x v="6"/>
    <s v="Physiotherapy"/>
    <x v="1"/>
    <s v="Dr. Nisha Rao"/>
    <n v="133"/>
    <s v="Semi-Private"/>
    <x v="1"/>
    <n v="145124"/>
    <n v="70315"/>
    <n v="74809"/>
    <n v="124272"/>
    <n v="15250"/>
    <n v="1295"/>
    <s v="Yes"/>
    <n v="71"/>
    <n v="3.4"/>
    <x v="3"/>
  </r>
  <r>
    <x v="531"/>
    <s v="Mukesh Menon"/>
    <n v="52"/>
    <x v="0"/>
    <s v="AB+"/>
    <s v="Pune"/>
    <d v="2023-08-30T00:00:00"/>
    <d v="2023-09-24T00:00:00"/>
    <n v="25"/>
    <x v="4"/>
    <s v="Hypertension"/>
    <x v="7"/>
    <s v="Dialysis"/>
    <x v="2"/>
    <s v="Dr. Rakesh Kumar"/>
    <n v="214"/>
    <s v="General Ward"/>
    <x v="3"/>
    <n v="112564"/>
    <n v="87657"/>
    <n v="24907"/>
    <n v="90100"/>
    <n v="10754"/>
    <n v="10919"/>
    <s v="No"/>
    <n v="42"/>
    <n v="3.6"/>
    <x v="4"/>
  </r>
  <r>
    <x v="532"/>
    <s v="Kavya Joshi"/>
    <n v="15"/>
    <x v="1"/>
    <s v="B+"/>
    <s v="Bangalore"/>
    <d v="2024-10-07T00:00:00"/>
    <d v="2024-10-21T00:00:00"/>
    <n v="14"/>
    <x v="5"/>
    <s v="Asthma"/>
    <x v="8"/>
    <s v="Radiation Therapy"/>
    <x v="2"/>
    <s v="Dr. Deepak Rao"/>
    <n v="235"/>
    <s v="General Ward"/>
    <x v="2"/>
    <n v="106657"/>
    <n v="83492"/>
    <n v="23165"/>
    <n v="90613"/>
    <n v="13215"/>
    <n v="1127"/>
    <s v="No"/>
    <n v="91"/>
    <n v="4.5999999999999996"/>
    <x v="4"/>
  </r>
  <r>
    <x v="533"/>
    <s v="Arjun Singh"/>
    <n v="48"/>
    <x v="0"/>
    <s v="AB+"/>
    <s v="Kolkata"/>
    <d v="2022-02-15T00:00:00"/>
    <d v="2022-02-21T00:00:00"/>
    <n v="6"/>
    <x v="5"/>
    <s v="Asthma"/>
    <x v="8"/>
    <s v="Observation"/>
    <x v="1"/>
    <s v="Dr. Kavita Rao"/>
    <n v="134"/>
    <s v="Private"/>
    <x v="1"/>
    <n v="175410"/>
    <n v="106698"/>
    <n v="68712"/>
    <n v="139752"/>
    <n v="18667"/>
    <n v="14495"/>
    <s v="Yes"/>
    <n v="76"/>
    <n v="3.4"/>
    <x v="4"/>
  </r>
  <r>
    <x v="534"/>
    <s v="Rohan Joshi"/>
    <n v="40"/>
    <x v="1"/>
    <s v="AB+"/>
    <s v="Bangalore"/>
    <d v="2023-08-07T00:00:00"/>
    <d v="2023-08-16T00:00:00"/>
    <n v="9"/>
    <x v="4"/>
    <s v="Hypertension"/>
    <x v="7"/>
    <s v="Chemotherapy"/>
    <x v="1"/>
    <s v="Dr. Vivek Mehta"/>
    <n v="141"/>
    <s v="Private"/>
    <x v="3"/>
    <n v="99053"/>
    <n v="59969"/>
    <n v="39084"/>
    <n v="88403"/>
    <n v="4183"/>
    <n v="4126"/>
    <s v="No"/>
    <n v="44"/>
    <n v="3.8"/>
    <x v="0"/>
  </r>
  <r>
    <x v="535"/>
    <s v="Ashok Malhotra"/>
    <n v="80"/>
    <x v="0"/>
    <s v="O-"/>
    <s v="Jaipur"/>
    <d v="2024-03-07T00:00:00"/>
    <d v="2024-03-23T00:00:00"/>
    <n v="16"/>
    <x v="0"/>
    <s v="Depression"/>
    <x v="5"/>
    <s v="ICU Care"/>
    <x v="3"/>
    <s v="Dr. Nisha Kumar"/>
    <n v="422"/>
    <s v="ICU"/>
    <x v="0"/>
    <n v="172344"/>
    <n v="79828"/>
    <n v="92516"/>
    <n v="126096"/>
    <n v="28995"/>
    <n v="12666"/>
    <s v="No"/>
    <n v="83"/>
    <n v="3.2"/>
    <x v="4"/>
  </r>
  <r>
    <x v="536"/>
    <s v="Priya Iyer"/>
    <n v="15"/>
    <x v="0"/>
    <s v="O-"/>
    <s v="Delhi"/>
    <d v="2023-03-02T00:00:00"/>
    <d v="2023-03-26T00:00:00"/>
    <n v="24"/>
    <x v="6"/>
    <s v="Arthritis"/>
    <x v="11"/>
    <s v="Dialysis"/>
    <x v="3"/>
    <s v="Dr. Nisha Gupta"/>
    <n v="346"/>
    <s v="ICU"/>
    <x v="2"/>
    <n v="79291"/>
    <n v="62424"/>
    <n v="16867"/>
    <n v="45868"/>
    <n v="21475"/>
    <n v="10083"/>
    <s v="No"/>
    <n v="66"/>
    <n v="5"/>
    <x v="3"/>
  </r>
  <r>
    <x v="537"/>
    <s v="Vijay Rao"/>
    <n v="76"/>
    <x v="0"/>
    <s v="B-"/>
    <s v="Kolkata"/>
    <d v="2022-09-27T00:00:00"/>
    <d v="2022-10-10T00:00:00"/>
    <n v="13"/>
    <x v="0"/>
    <s v="Liver Disease"/>
    <x v="0"/>
    <s v="Surgery"/>
    <x v="0"/>
    <s v="Dr. Kavita Reddy"/>
    <n v="57"/>
    <s v="Private"/>
    <x v="0"/>
    <n v="89862"/>
    <n v="50774"/>
    <n v="39088"/>
    <n v="46711"/>
    <n v="26128"/>
    <n v="13238"/>
    <s v="No"/>
    <n v="53"/>
    <n v="3.3"/>
    <x v="0"/>
  </r>
  <r>
    <x v="538"/>
    <s v="Rohan Verma"/>
    <n v="51"/>
    <x v="1"/>
    <s v="O-"/>
    <s v="Jaipur"/>
    <d v="2024-12-26T00:00:00"/>
    <d v="2024-12-31T00:00:00"/>
    <n v="5"/>
    <x v="2"/>
    <s v="Cancer"/>
    <x v="3"/>
    <s v="Radiation Therapy"/>
    <x v="0"/>
    <s v="Dr. Rakesh Gupta"/>
    <n v="81"/>
    <s v="Semi-Private"/>
    <x v="3"/>
    <n v="94176"/>
    <n v="78061"/>
    <n v="16115"/>
    <n v="80604"/>
    <n v="1109"/>
    <n v="9227"/>
    <s v="No"/>
    <n v="83"/>
    <n v="4.7"/>
    <x v="4"/>
  </r>
  <r>
    <x v="539"/>
    <s v="Sanjay Khanna"/>
    <n v="58"/>
    <x v="0"/>
    <s v="B-"/>
    <s v="Mumbai"/>
    <d v="2023-04-05T00:00:00"/>
    <d v="2023-04-10T00:00:00"/>
    <n v="5"/>
    <x v="0"/>
    <s v="Liver Disease"/>
    <x v="0"/>
    <s v="Counseling"/>
    <x v="1"/>
    <s v="Dr. Shalini Rao"/>
    <n v="375"/>
    <s v="ICU"/>
    <x v="2"/>
    <n v="117642"/>
    <n v="90677"/>
    <n v="26965"/>
    <n v="90202"/>
    <n v="20982"/>
    <n v="4595"/>
    <s v="No"/>
    <n v="45"/>
    <n v="4.9000000000000004"/>
    <x v="3"/>
  </r>
  <r>
    <x v="540"/>
    <s v="Geeta Menon"/>
    <n v="54"/>
    <x v="1"/>
    <s v="B+"/>
    <s v="Ahmedabad"/>
    <d v="2024-01-26T00:00:00"/>
    <d v="2024-02-19T00:00:00"/>
    <n v="24"/>
    <x v="2"/>
    <s v="Cancer"/>
    <x v="3"/>
    <s v="Radiation Therapy"/>
    <x v="2"/>
    <s v="Dr. Nisha Mehta"/>
    <n v="151"/>
    <s v="General Ward"/>
    <x v="2"/>
    <n v="91507"/>
    <n v="61631"/>
    <n v="29876"/>
    <n v="59265"/>
    <n v="19926"/>
    <n v="8055"/>
    <s v="No"/>
    <n v="55"/>
    <n v="4.4000000000000004"/>
    <x v="4"/>
  </r>
  <r>
    <x v="541"/>
    <s v="Arjun Kumar"/>
    <n v="82"/>
    <x v="0"/>
    <s v="B+"/>
    <s v="Chennai"/>
    <d v="2024-08-04T00:00:00"/>
    <d v="2024-08-28T00:00:00"/>
    <n v="24"/>
    <x v="6"/>
    <s v="Fracture"/>
    <x v="10"/>
    <s v="Medication"/>
    <x v="0"/>
    <s v="Dr. Deepak Gupta"/>
    <n v="442"/>
    <s v="ICU"/>
    <x v="2"/>
    <n v="143730"/>
    <n v="91455"/>
    <n v="52275"/>
    <n v="114337"/>
    <n v="9520"/>
    <n v="14972"/>
    <s v="No"/>
    <n v="81"/>
    <n v="5"/>
    <x v="3"/>
  </r>
  <r>
    <x v="542"/>
    <s v="Sunil Bose"/>
    <n v="12"/>
    <x v="0"/>
    <s v="AB+"/>
    <s v="Mumbai"/>
    <d v="2024-01-15T00:00:00"/>
    <d v="2024-01-28T00:00:00"/>
    <n v="13"/>
    <x v="6"/>
    <s v="Arthritis"/>
    <x v="11"/>
    <s v="Observation"/>
    <x v="1"/>
    <s v="Dr. Prerna Mehta"/>
    <n v="434"/>
    <s v="Private"/>
    <x v="1"/>
    <n v="65731"/>
    <n v="34434"/>
    <n v="31297"/>
    <n v="34303"/>
    <n v="24658"/>
    <n v="3268"/>
    <s v="No"/>
    <n v="98"/>
    <n v="2.7"/>
    <x v="4"/>
  </r>
  <r>
    <x v="543"/>
    <s v="Suresh Nair"/>
    <n v="17"/>
    <x v="0"/>
    <s v="A-"/>
    <s v="Ahmedabad"/>
    <d v="2024-10-03T00:00:00"/>
    <d v="2024-10-28T00:00:00"/>
    <n v="25"/>
    <x v="2"/>
    <s v="Cancer"/>
    <x v="3"/>
    <s v="ICU Care"/>
    <x v="3"/>
    <s v="Dr. Anjali Kumar"/>
    <n v="404"/>
    <s v="ICU"/>
    <x v="4"/>
    <n v="100377"/>
    <n v="0"/>
    <n v="100377"/>
    <n v="77167"/>
    <n v="20478"/>
    <n v="1085"/>
    <s v="Yes"/>
    <n v="58"/>
    <n v="2.1"/>
    <x v="1"/>
  </r>
  <r>
    <x v="544"/>
    <s v="Sanjay Shah"/>
    <n v="42"/>
    <x v="0"/>
    <s v="B+"/>
    <s v="Lucknow"/>
    <d v="2023-09-17T00:00:00"/>
    <d v="2023-10-03T00:00:00"/>
    <n v="16"/>
    <x v="0"/>
    <s v="COVID-19"/>
    <x v="1"/>
    <s v="Physiotherapy"/>
    <x v="2"/>
    <s v="Dr. Sameer Rao"/>
    <n v="150"/>
    <s v="ICU"/>
    <x v="4"/>
    <n v="83338"/>
    <n v="0"/>
    <n v="83338"/>
    <n v="64747"/>
    <n v="1917"/>
    <n v="14441"/>
    <s v="No"/>
    <n v="49"/>
    <n v="3.8"/>
    <x v="1"/>
  </r>
  <r>
    <x v="545"/>
    <s v="Nisha Das"/>
    <n v="71"/>
    <x v="0"/>
    <s v="AB-"/>
    <s v="Lucknow"/>
    <d v="2022-12-15T00:00:00"/>
    <d v="2022-12-27T00:00:00"/>
    <n v="12"/>
    <x v="5"/>
    <s v="Pneumonia"/>
    <x v="8"/>
    <s v="Counseling"/>
    <x v="3"/>
    <s v="Dr. Deepak Kumar"/>
    <n v="194"/>
    <s v="ICU"/>
    <x v="0"/>
    <n v="167319"/>
    <n v="111960"/>
    <n v="55359"/>
    <n v="142687"/>
    <n v="16795"/>
    <n v="3373"/>
    <s v="Yes"/>
    <n v="100"/>
    <n v="2.2000000000000002"/>
    <x v="2"/>
  </r>
  <r>
    <x v="546"/>
    <s v="Deepa Mehta"/>
    <n v="33"/>
    <x v="1"/>
    <s v="O+"/>
    <s v="Lucknow"/>
    <d v="2022-09-02T00:00:00"/>
    <d v="2022-09-23T00:00:00"/>
    <n v="21"/>
    <x v="3"/>
    <s v="Stroke"/>
    <x v="6"/>
    <s v="Radiation Therapy"/>
    <x v="0"/>
    <s v="Dr. Shalini Sharma"/>
    <n v="431"/>
    <s v="Semi-Private"/>
    <x v="0"/>
    <n v="127872"/>
    <n v="75179"/>
    <n v="52693"/>
    <n v="100305"/>
    <n v="22765"/>
    <n v="1038"/>
    <s v="No"/>
    <n v="72"/>
    <n v="2.2000000000000002"/>
    <x v="0"/>
  </r>
  <r>
    <x v="547"/>
    <s v="Ritu Pillai"/>
    <n v="15"/>
    <x v="1"/>
    <s v="AB-"/>
    <s v="Lucknow"/>
    <d v="2024-12-06T00:00:00"/>
    <d v="2024-12-14T00:00:00"/>
    <n v="8"/>
    <x v="2"/>
    <s v="Cancer"/>
    <x v="3"/>
    <s v="Physiotherapy"/>
    <x v="2"/>
    <s v="Dr. Kavita Gupta"/>
    <n v="91"/>
    <s v="General Ward"/>
    <x v="1"/>
    <n v="100049"/>
    <n v="62324"/>
    <n v="37725"/>
    <n v="74668"/>
    <n v="19087"/>
    <n v="5046"/>
    <s v="No"/>
    <n v="98"/>
    <n v="2.2000000000000002"/>
    <x v="2"/>
  </r>
  <r>
    <x v="548"/>
    <s v="Arjun Rao"/>
    <n v="12"/>
    <x v="1"/>
    <s v="B-"/>
    <s v="Chennai"/>
    <d v="2024-09-04T00:00:00"/>
    <d v="2024-09-19T00:00:00"/>
    <n v="15"/>
    <x v="0"/>
    <s v="Appendicitis"/>
    <x v="0"/>
    <s v="Medication"/>
    <x v="3"/>
    <s v="Dr. Prerna Reddy"/>
    <n v="245"/>
    <s v="General Ward"/>
    <x v="3"/>
    <n v="48509"/>
    <n v="36998"/>
    <n v="11511"/>
    <n v="26859"/>
    <n v="16598"/>
    <n v="3734"/>
    <s v="No"/>
    <n v="71"/>
    <n v="2.9"/>
    <x v="3"/>
  </r>
  <r>
    <x v="549"/>
    <s v="Sanjay Khanna"/>
    <n v="19"/>
    <x v="0"/>
    <s v="B-"/>
    <s v="Lucknow"/>
    <d v="2024-07-23T00:00:00"/>
    <d v="2024-07-24T00:00:00"/>
    <n v="1"/>
    <x v="5"/>
    <s v="Asthma"/>
    <x v="8"/>
    <s v="Dietary Management"/>
    <x v="3"/>
    <s v="Dr. Anjali Mehta"/>
    <n v="169"/>
    <s v="ICU"/>
    <x v="1"/>
    <n v="109601"/>
    <n v="72356"/>
    <n v="37245"/>
    <n v="79384"/>
    <n v="22144"/>
    <n v="5409"/>
    <s v="No"/>
    <n v="57"/>
    <n v="4"/>
    <x v="0"/>
  </r>
  <r>
    <x v="550"/>
    <s v="Deepa Malhotra"/>
    <n v="19"/>
    <x v="1"/>
    <s v="AB-"/>
    <s v="Mumbai"/>
    <d v="2023-10-16T00:00:00"/>
    <d v="2023-11-14T00:00:00"/>
    <n v="29"/>
    <x v="6"/>
    <s v="Arthritis"/>
    <x v="11"/>
    <s v="Radiation Therapy"/>
    <x v="2"/>
    <s v="Dr. Sameer Patel"/>
    <n v="390"/>
    <s v="ICU"/>
    <x v="4"/>
    <n v="70102"/>
    <n v="0"/>
    <n v="70102"/>
    <n v="29790"/>
    <n v="29246"/>
    <n v="7761"/>
    <s v="No"/>
    <n v="74"/>
    <n v="4.5"/>
    <x v="2"/>
  </r>
  <r>
    <x v="551"/>
    <s v="Vijay Kumar"/>
    <n v="34"/>
    <x v="1"/>
    <s v="O+"/>
    <s v="Jaipur"/>
    <d v="2023-09-18T00:00:00"/>
    <d v="2023-09-29T00:00:00"/>
    <n v="11"/>
    <x v="6"/>
    <s v="Arthritis"/>
    <x v="11"/>
    <s v="Surgery"/>
    <x v="3"/>
    <s v="Dr. Shalini Reddy"/>
    <n v="293"/>
    <s v="Semi-Private"/>
    <x v="4"/>
    <n v="70085"/>
    <n v="0"/>
    <n v="70085"/>
    <n v="45996"/>
    <n v="7288"/>
    <n v="13056"/>
    <s v="No"/>
    <n v="94"/>
    <n v="2.5"/>
    <x v="2"/>
  </r>
  <r>
    <x v="552"/>
    <s v="Amit Das"/>
    <n v="65"/>
    <x v="0"/>
    <s v="O+"/>
    <s v="Chennai"/>
    <d v="2023-06-23T00:00:00"/>
    <d v="2023-07-09T00:00:00"/>
    <n v="16"/>
    <x v="1"/>
    <s v="UTI"/>
    <x v="2"/>
    <s v="Physiotherapy"/>
    <x v="3"/>
    <s v="Dr. Nisha Kumar"/>
    <n v="425"/>
    <s v="Private"/>
    <x v="3"/>
    <n v="114131"/>
    <n v="94593"/>
    <n v="19538"/>
    <n v="85744"/>
    <n v="14936"/>
    <n v="9728"/>
    <s v="Yes"/>
    <n v="100"/>
    <n v="3.2"/>
    <x v="4"/>
  </r>
  <r>
    <x v="553"/>
    <s v="Nisha Gupta"/>
    <n v="63"/>
    <x v="0"/>
    <s v="A+"/>
    <s v="Chennai"/>
    <d v="2023-03-04T00:00:00"/>
    <d v="2023-03-26T00:00:00"/>
    <n v="22"/>
    <x v="5"/>
    <s v="Asthma"/>
    <x v="8"/>
    <s v="ICU Care"/>
    <x v="1"/>
    <s v="Dr. Nisha Joshi"/>
    <n v="405"/>
    <s v="ICU"/>
    <x v="4"/>
    <n v="93058"/>
    <n v="0"/>
    <n v="93058"/>
    <n v="57285"/>
    <n v="27131"/>
    <n v="4022"/>
    <s v="No"/>
    <n v="57"/>
    <n v="2.2999999999999998"/>
    <x v="2"/>
  </r>
  <r>
    <x v="554"/>
    <s v="Ananya Verma"/>
    <n v="66"/>
    <x v="0"/>
    <s v="A+"/>
    <s v="Kolkata"/>
    <d v="2024-09-24T00:00:00"/>
    <d v="2024-10-02T00:00:00"/>
    <n v="8"/>
    <x v="5"/>
    <s v="Asthma"/>
    <x v="8"/>
    <s v="Dietary Management"/>
    <x v="0"/>
    <s v="Dr. Arun Patel"/>
    <n v="29"/>
    <s v="Private"/>
    <x v="4"/>
    <n v="169618"/>
    <n v="0"/>
    <n v="169618"/>
    <n v="146006"/>
    <n v="13106"/>
    <n v="7678"/>
    <s v="Yes"/>
    <n v="48"/>
    <n v="4.5999999999999996"/>
    <x v="3"/>
  </r>
  <r>
    <x v="555"/>
    <s v="Amit Khanna"/>
    <n v="24"/>
    <x v="1"/>
    <s v="O+"/>
    <s v="Lucknow"/>
    <d v="2023-02-14T00:00:00"/>
    <d v="2023-03-04T00:00:00"/>
    <n v="18"/>
    <x v="6"/>
    <s v="Fracture"/>
    <x v="10"/>
    <s v="Chemotherapy"/>
    <x v="3"/>
    <s v="Dr. Shalini Nair"/>
    <n v="391"/>
    <s v="Private"/>
    <x v="1"/>
    <n v="177939"/>
    <n v="78674"/>
    <n v="99265"/>
    <n v="144205"/>
    <n v="27781"/>
    <n v="5274"/>
    <s v="No"/>
    <n v="95"/>
    <n v="4.4000000000000004"/>
    <x v="1"/>
  </r>
  <r>
    <x v="556"/>
    <s v="Rekha Shah"/>
    <n v="62"/>
    <x v="1"/>
    <s v="B+"/>
    <s v="Pune"/>
    <d v="2024-08-17T00:00:00"/>
    <d v="2024-08-25T00:00:00"/>
    <n v="8"/>
    <x v="0"/>
    <s v="COVID-19"/>
    <x v="1"/>
    <s v="ICU Care"/>
    <x v="2"/>
    <s v="Dr. Rakesh Singh"/>
    <n v="310"/>
    <s v="General Ward"/>
    <x v="0"/>
    <n v="69519"/>
    <n v="36073"/>
    <n v="33446"/>
    <n v="36245"/>
    <n v="22044"/>
    <n v="7230"/>
    <s v="No"/>
    <n v="43"/>
    <n v="4.5"/>
    <x v="3"/>
  </r>
  <r>
    <x v="557"/>
    <s v="Sonia Das"/>
    <n v="52"/>
    <x v="1"/>
    <s v="AB+"/>
    <s v="Mumbai"/>
    <d v="2024-10-29T00:00:00"/>
    <d v="2024-11-26T00:00:00"/>
    <n v="28"/>
    <x v="0"/>
    <s v="Dengue"/>
    <x v="1"/>
    <s v="Radiation Therapy"/>
    <x v="3"/>
    <s v="Dr. Shalini Kumar"/>
    <n v="325"/>
    <s v="General Ward"/>
    <x v="2"/>
    <n v="63157"/>
    <n v="47970"/>
    <n v="15187"/>
    <n v="29154"/>
    <n v="19294"/>
    <n v="13289"/>
    <s v="No"/>
    <n v="94"/>
    <n v="4.5999999999999996"/>
    <x v="0"/>
  </r>
  <r>
    <x v="558"/>
    <s v="Sonia Malhotra"/>
    <n v="83"/>
    <x v="1"/>
    <s v="A-"/>
    <s v="Kolkata"/>
    <d v="2023-07-22T00:00:00"/>
    <d v="2023-08-06T00:00:00"/>
    <n v="15"/>
    <x v="0"/>
    <s v="COVID-19"/>
    <x v="1"/>
    <s v="ICU Care"/>
    <x v="1"/>
    <s v="Dr. Sameer Rao"/>
    <n v="174"/>
    <s v="ICU"/>
    <x v="1"/>
    <n v="130036"/>
    <n v="52262"/>
    <n v="77774"/>
    <n v="118350"/>
    <n v="1703"/>
    <n v="7077"/>
    <s v="No"/>
    <n v="41"/>
    <n v="2"/>
    <x v="1"/>
  </r>
  <r>
    <x v="559"/>
    <s v="Pooja Gupta"/>
    <n v="38"/>
    <x v="1"/>
    <s v="O-"/>
    <s v="Jaipur"/>
    <d v="2024-07-26T00:00:00"/>
    <d v="2024-08-16T00:00:00"/>
    <n v="21"/>
    <x v="3"/>
    <s v="Stroke"/>
    <x v="6"/>
    <s v="ICU Care"/>
    <x v="2"/>
    <s v="Dr. Kavita Mehta"/>
    <n v="106"/>
    <s v="Private"/>
    <x v="0"/>
    <n v="43370"/>
    <n v="27490"/>
    <n v="15880"/>
    <n v="31449"/>
    <n v="1859"/>
    <n v="9239"/>
    <s v="No"/>
    <n v="44"/>
    <n v="3"/>
    <x v="1"/>
  </r>
  <r>
    <x v="560"/>
    <s v="Sonia Reddy"/>
    <n v="31"/>
    <x v="1"/>
    <s v="O+"/>
    <s v="Bangalore"/>
    <d v="2024-05-18T00:00:00"/>
    <d v="2024-05-27T00:00:00"/>
    <n v="9"/>
    <x v="2"/>
    <s v="Cancer"/>
    <x v="3"/>
    <s v="ICU Care"/>
    <x v="1"/>
    <s v="Dr. Sameer Gupta"/>
    <n v="64"/>
    <s v="ICU"/>
    <x v="2"/>
    <n v="165702"/>
    <n v="118332"/>
    <n v="47370"/>
    <n v="121379"/>
    <n v="29427"/>
    <n v="12688"/>
    <s v="No"/>
    <n v="65"/>
    <n v="2.6"/>
    <x v="4"/>
  </r>
  <r>
    <x v="561"/>
    <s v="Sanjay Kumar"/>
    <n v="16"/>
    <x v="1"/>
    <s v="A-"/>
    <s v="Bangalore"/>
    <d v="2023-03-06T00:00:00"/>
    <d v="2023-03-10T00:00:00"/>
    <n v="4"/>
    <x v="0"/>
    <s v="Typhoid"/>
    <x v="1"/>
    <s v="ICU Care"/>
    <x v="3"/>
    <s v="Dr. Vivek Reddy"/>
    <n v="108"/>
    <s v="General Ward"/>
    <x v="1"/>
    <n v="125345"/>
    <n v="54349"/>
    <n v="70996"/>
    <n v="99334"/>
    <n v="16662"/>
    <n v="4682"/>
    <s v="No"/>
    <n v="40"/>
    <n v="3.1"/>
    <x v="4"/>
  </r>
  <r>
    <x v="562"/>
    <s v="Karan Kumar"/>
    <n v="50"/>
    <x v="0"/>
    <s v="O+"/>
    <s v="Delhi"/>
    <d v="2024-06-08T00:00:00"/>
    <d v="2024-07-06T00:00:00"/>
    <n v="28"/>
    <x v="1"/>
    <s v="UTI"/>
    <x v="2"/>
    <s v="Surgery"/>
    <x v="0"/>
    <s v="Dr. Anjali Sharma"/>
    <n v="488"/>
    <s v="Private"/>
    <x v="4"/>
    <n v="39427"/>
    <n v="0"/>
    <n v="39427"/>
    <n v="16893"/>
    <n v="5611"/>
    <n v="14384"/>
    <s v="No"/>
    <n v="40"/>
    <n v="2.4"/>
    <x v="2"/>
  </r>
  <r>
    <x v="563"/>
    <s v="Vikram Bose"/>
    <n v="9"/>
    <x v="1"/>
    <s v="B-"/>
    <s v="Hyderabad"/>
    <d v="2024-02-01T00:00:00"/>
    <d v="2024-02-21T00:00:00"/>
    <n v="20"/>
    <x v="0"/>
    <s v="Anemia"/>
    <x v="4"/>
    <s v="Observation"/>
    <x v="2"/>
    <s v="Dr. Sameer Nair"/>
    <n v="495"/>
    <s v="Semi-Private"/>
    <x v="0"/>
    <n v="134627"/>
    <n v="55062"/>
    <n v="79565"/>
    <n v="100700"/>
    <n v="29805"/>
    <n v="2292"/>
    <s v="No"/>
    <n v="65"/>
    <n v="3.9"/>
    <x v="1"/>
  </r>
  <r>
    <x v="564"/>
    <s v="Divya Verma"/>
    <n v="8"/>
    <x v="1"/>
    <s v="O-"/>
    <s v="Mumbai"/>
    <d v="2024-08-21T00:00:00"/>
    <d v="2024-08-23T00:00:00"/>
    <n v="2"/>
    <x v="5"/>
    <s v="Pneumonia"/>
    <x v="8"/>
    <s v="Medication"/>
    <x v="0"/>
    <s v="Dr. Shalini Nair"/>
    <n v="87"/>
    <s v="Semi-Private"/>
    <x v="2"/>
    <n v="26743"/>
    <n v="19414"/>
    <n v="7329"/>
    <n v="8916"/>
    <n v="12425"/>
    <n v="4148"/>
    <s v="Yes"/>
    <n v="70"/>
    <n v="3.4"/>
    <x v="4"/>
  </r>
  <r>
    <x v="565"/>
    <s v="Rekha Pillai"/>
    <n v="61"/>
    <x v="1"/>
    <s v="A+"/>
    <s v="Hyderabad"/>
    <d v="2024-09-02T00:00:00"/>
    <d v="2024-09-18T00:00:00"/>
    <n v="16"/>
    <x v="5"/>
    <s v="Asthma"/>
    <x v="8"/>
    <s v="ICU Care"/>
    <x v="3"/>
    <s v="Dr. Shalini Patel"/>
    <n v="245"/>
    <s v="ICU"/>
    <x v="1"/>
    <n v="70387"/>
    <n v="30896"/>
    <n v="39491"/>
    <n v="56455"/>
    <n v="5123"/>
    <n v="4093"/>
    <s v="No"/>
    <n v="54"/>
    <n v="4"/>
    <x v="3"/>
  </r>
  <r>
    <x v="566"/>
    <s v="Manoj Chopra"/>
    <n v="41"/>
    <x v="1"/>
    <s v="B-"/>
    <s v="Chennai"/>
    <d v="2023-05-29T00:00:00"/>
    <d v="2023-06-04T00:00:00"/>
    <n v="6"/>
    <x v="1"/>
    <s v="UTI"/>
    <x v="2"/>
    <s v="Radiation Therapy"/>
    <x v="3"/>
    <s v="Dr. Sameer Kumar"/>
    <n v="217"/>
    <s v="Private"/>
    <x v="0"/>
    <n v="56736"/>
    <n v="33450"/>
    <n v="23286"/>
    <n v="13971"/>
    <n v="25508"/>
    <n v="13603"/>
    <s v="No"/>
    <n v="51"/>
    <n v="2"/>
    <x v="3"/>
  </r>
  <r>
    <x v="567"/>
    <s v="Ashok Reddy"/>
    <n v="25"/>
    <x v="0"/>
    <s v="O-"/>
    <s v="Mumbai"/>
    <d v="2024-09-11T00:00:00"/>
    <d v="2024-09-27T00:00:00"/>
    <n v="16"/>
    <x v="1"/>
    <s v="Kidney Stone"/>
    <x v="2"/>
    <s v="Dietary Management"/>
    <x v="0"/>
    <s v="Dr. Anjali Reddy"/>
    <n v="233"/>
    <s v="Private"/>
    <x v="1"/>
    <n v="140660"/>
    <n v="83923"/>
    <n v="56737"/>
    <n v="120307"/>
    <n v="4860"/>
    <n v="12705"/>
    <s v="No"/>
    <n v="61"/>
    <n v="3"/>
    <x v="2"/>
  </r>
  <r>
    <x v="568"/>
    <s v="Rohan Verma"/>
    <n v="67"/>
    <x v="0"/>
    <s v="A-"/>
    <s v="Pune"/>
    <d v="2024-11-29T00:00:00"/>
    <d v="2024-12-08T00:00:00"/>
    <n v="9"/>
    <x v="6"/>
    <s v="Fracture"/>
    <x v="10"/>
    <s v="Observation"/>
    <x v="1"/>
    <s v="Dr. Deepak Mehta"/>
    <n v="49"/>
    <s v="Semi-Private"/>
    <x v="3"/>
    <n v="51514"/>
    <n v="32860"/>
    <n v="18654"/>
    <n v="34133"/>
    <n v="4941"/>
    <n v="9518"/>
    <s v="No"/>
    <n v="68"/>
    <n v="3.3"/>
    <x v="3"/>
  </r>
  <r>
    <x v="569"/>
    <s v="Rekha Das"/>
    <n v="28"/>
    <x v="0"/>
    <s v="B-"/>
    <s v="Bangalore"/>
    <d v="2023-03-31T00:00:00"/>
    <d v="2023-04-25T00:00:00"/>
    <n v="25"/>
    <x v="4"/>
    <s v="Hypertension"/>
    <x v="7"/>
    <s v="ICU Care"/>
    <x v="2"/>
    <s v="Dr. Shalini Nair"/>
    <n v="269"/>
    <s v="General Ward"/>
    <x v="1"/>
    <n v="127867"/>
    <n v="57543"/>
    <n v="70324"/>
    <n v="100068"/>
    <n v="18676"/>
    <n v="4275"/>
    <s v="No"/>
    <n v="83"/>
    <n v="2.5"/>
    <x v="0"/>
  </r>
  <r>
    <x v="570"/>
    <s v="Kavya Gupta"/>
    <n v="74"/>
    <x v="0"/>
    <s v="B-"/>
    <s v="Hyderabad"/>
    <d v="2022-04-11T00:00:00"/>
    <d v="2022-04-24T00:00:00"/>
    <n v="13"/>
    <x v="1"/>
    <s v="UTI"/>
    <x v="2"/>
    <s v="Counseling"/>
    <x v="0"/>
    <s v="Dr. Anjali Gupta"/>
    <n v="165"/>
    <s v="Semi-Private"/>
    <x v="4"/>
    <n v="16214"/>
    <n v="0"/>
    <n v="16214"/>
    <n v="5092"/>
    <n v="3453"/>
    <n v="4617"/>
    <s v="No"/>
    <n v="86"/>
    <n v="3.8"/>
    <x v="3"/>
  </r>
  <r>
    <x v="571"/>
    <s v="Priya Khanna"/>
    <n v="22"/>
    <x v="1"/>
    <s v="AB-"/>
    <s v="Bangalore"/>
    <d v="2023-05-12T00:00:00"/>
    <d v="2023-05-25T00:00:00"/>
    <n v="13"/>
    <x v="4"/>
    <s v="Heart Attack"/>
    <x v="7"/>
    <s v="Observation"/>
    <x v="2"/>
    <s v="Dr. Kavita Kumar"/>
    <n v="37"/>
    <s v="Semi-Private"/>
    <x v="4"/>
    <n v="60234"/>
    <n v="0"/>
    <n v="60234"/>
    <n v="41815"/>
    <n v="14154"/>
    <n v="2522"/>
    <s v="No"/>
    <n v="49"/>
    <n v="4"/>
    <x v="1"/>
  </r>
  <r>
    <x v="572"/>
    <s v="Aditya Kumar"/>
    <n v="71"/>
    <x v="0"/>
    <s v="A-"/>
    <s v="Lucknow"/>
    <d v="2024-08-22T00:00:00"/>
    <d v="2024-08-30T00:00:00"/>
    <n v="8"/>
    <x v="0"/>
    <s v="COVID-19"/>
    <x v="1"/>
    <s v="Surgery"/>
    <x v="0"/>
    <s v="Dr. Sameer Patel"/>
    <n v="451"/>
    <s v="Private"/>
    <x v="4"/>
    <n v="46062"/>
    <n v="0"/>
    <n v="46062"/>
    <n v="15740"/>
    <n v="13501"/>
    <n v="14229"/>
    <s v="Yes"/>
    <n v="69"/>
    <n v="3.3"/>
    <x v="2"/>
  </r>
  <r>
    <x v="573"/>
    <s v="Mukesh Bose"/>
    <n v="42"/>
    <x v="1"/>
    <s v="A-"/>
    <s v="Delhi"/>
    <d v="2024-01-13T00:00:00"/>
    <d v="2024-01-21T00:00:00"/>
    <n v="8"/>
    <x v="0"/>
    <s v="Typhoid"/>
    <x v="1"/>
    <s v="Observation"/>
    <x v="1"/>
    <s v="Dr. Prerna Singh"/>
    <n v="432"/>
    <s v="Private"/>
    <x v="4"/>
    <n v="159830"/>
    <n v="0"/>
    <n v="159830"/>
    <n v="138122"/>
    <n v="11775"/>
    <n v="7375"/>
    <s v="No"/>
    <n v="45"/>
    <n v="2"/>
    <x v="4"/>
  </r>
  <r>
    <x v="574"/>
    <s v="Kavya Iyer"/>
    <n v="68"/>
    <x v="1"/>
    <s v="AB+"/>
    <s v="Hyderabad"/>
    <d v="2022-08-01T00:00:00"/>
    <d v="2022-08-26T00:00:00"/>
    <n v="25"/>
    <x v="0"/>
    <s v="Typhoid"/>
    <x v="1"/>
    <s v="Dietary Management"/>
    <x v="0"/>
    <s v="Dr. Shalini Nair"/>
    <n v="446"/>
    <s v="ICU"/>
    <x v="2"/>
    <n v="69142"/>
    <n v="53425"/>
    <n v="15717"/>
    <n v="33258"/>
    <n v="20344"/>
    <n v="14233"/>
    <s v="Yes"/>
    <n v="88"/>
    <n v="2.7"/>
    <x v="0"/>
  </r>
  <r>
    <x v="575"/>
    <s v="Sunita Menon"/>
    <n v="58"/>
    <x v="0"/>
    <s v="A+"/>
    <s v="Pune"/>
    <d v="2024-06-20T00:00:00"/>
    <d v="2024-07-18T00:00:00"/>
    <n v="28"/>
    <x v="0"/>
    <s v="COVID-19"/>
    <x v="1"/>
    <s v="Counseling"/>
    <x v="1"/>
    <s v="Dr. Vivek Joshi"/>
    <n v="343"/>
    <s v="General Ward"/>
    <x v="0"/>
    <n v="68194"/>
    <n v="29299"/>
    <n v="38895"/>
    <n v="52379"/>
    <n v="1791"/>
    <n v="10830"/>
    <s v="No"/>
    <n v="91"/>
    <n v="2.1"/>
    <x v="4"/>
  </r>
  <r>
    <x v="576"/>
    <s v="Rekha Nair"/>
    <n v="50"/>
    <x v="0"/>
    <s v="O-"/>
    <s v="Chennai"/>
    <d v="2023-07-21T00:00:00"/>
    <d v="2023-08-05T00:00:00"/>
    <n v="15"/>
    <x v="0"/>
    <s v="Diabetes Type 2"/>
    <x v="9"/>
    <s v="Radiation Therapy"/>
    <x v="3"/>
    <s v="Dr. Sameer Reddy"/>
    <n v="286"/>
    <s v="Private"/>
    <x v="3"/>
    <n v="138726"/>
    <n v="118391"/>
    <n v="20335"/>
    <n v="96367"/>
    <n v="26590"/>
    <n v="13860"/>
    <s v="No"/>
    <n v="61"/>
    <n v="3.1"/>
    <x v="0"/>
  </r>
  <r>
    <x v="577"/>
    <s v="Geeta Reddy"/>
    <n v="45"/>
    <x v="0"/>
    <s v="A-"/>
    <s v="Delhi"/>
    <d v="2024-04-11T00:00:00"/>
    <d v="2024-04-22T00:00:00"/>
    <n v="11"/>
    <x v="0"/>
    <s v="Liver Disease"/>
    <x v="0"/>
    <s v="Physiotherapy"/>
    <x v="0"/>
    <s v="Dr. Kavita Singh"/>
    <n v="439"/>
    <s v="ICU"/>
    <x v="4"/>
    <n v="131882"/>
    <n v="0"/>
    <n v="131882"/>
    <n v="93342"/>
    <n v="27407"/>
    <n v="7672"/>
    <s v="No"/>
    <n v="50"/>
    <n v="3"/>
    <x v="3"/>
  </r>
  <r>
    <x v="578"/>
    <s v="Suresh Iyer"/>
    <n v="44"/>
    <x v="0"/>
    <s v="B+"/>
    <s v="Kolkata"/>
    <d v="2022-06-05T00:00:00"/>
    <d v="2022-06-12T00:00:00"/>
    <n v="7"/>
    <x v="6"/>
    <s v="Fracture"/>
    <x v="10"/>
    <s v="Dietary Management"/>
    <x v="0"/>
    <s v="Dr. Rakesh Mehta"/>
    <n v="367"/>
    <s v="Private"/>
    <x v="1"/>
    <n v="118080"/>
    <n v="50903"/>
    <n v="67177"/>
    <n v="97746"/>
    <n v="14000"/>
    <n v="2679"/>
    <s v="No"/>
    <n v="92"/>
    <n v="4.5999999999999996"/>
    <x v="1"/>
  </r>
  <r>
    <x v="579"/>
    <s v="Divya Iyer"/>
    <n v="15"/>
    <x v="0"/>
    <s v="B-"/>
    <s v="Ahmedabad"/>
    <d v="2022-03-25T00:00:00"/>
    <d v="2022-04-02T00:00:00"/>
    <n v="8"/>
    <x v="0"/>
    <s v="Depression"/>
    <x v="5"/>
    <s v="Dialysis"/>
    <x v="1"/>
    <s v="Dr. Anjali Reddy"/>
    <n v="427"/>
    <s v="Semi-Private"/>
    <x v="0"/>
    <n v="93013"/>
    <n v="41262"/>
    <n v="51751"/>
    <n v="64200"/>
    <n v="15429"/>
    <n v="11115"/>
    <s v="No"/>
    <n v="41"/>
    <n v="4.5999999999999996"/>
    <x v="4"/>
  </r>
  <r>
    <x v="580"/>
    <s v="Ashok Malhotra"/>
    <n v="58"/>
    <x v="1"/>
    <s v="AB+"/>
    <s v="Bangalore"/>
    <d v="2024-11-28T00:00:00"/>
    <d v="2024-12-17T00:00:00"/>
    <n v="19"/>
    <x v="3"/>
    <s v="Migraine"/>
    <x v="6"/>
    <s v="Observation"/>
    <x v="3"/>
    <s v="Dr. Nisha Singh"/>
    <n v="221"/>
    <s v="Private"/>
    <x v="4"/>
    <n v="90794"/>
    <n v="0"/>
    <n v="90794"/>
    <n v="66526"/>
    <n v="11490"/>
    <n v="9353"/>
    <s v="Yes"/>
    <n v="84"/>
    <n v="2.4"/>
    <x v="2"/>
  </r>
  <r>
    <x v="581"/>
    <s v="Lata Pillai"/>
    <n v="79"/>
    <x v="1"/>
    <s v="A-"/>
    <s v="Jaipur"/>
    <d v="2024-09-01T00:00:00"/>
    <d v="2024-09-19T00:00:00"/>
    <n v="18"/>
    <x v="0"/>
    <s v="Dengue"/>
    <x v="1"/>
    <s v="Dietary Management"/>
    <x v="2"/>
    <s v="Dr. Nisha Nair"/>
    <n v="421"/>
    <s v="Semi-Private"/>
    <x v="3"/>
    <n v="110510"/>
    <n v="81564"/>
    <n v="28946"/>
    <n v="75551"/>
    <n v="19817"/>
    <n v="14207"/>
    <s v="No"/>
    <n v="77"/>
    <n v="3.3"/>
    <x v="2"/>
  </r>
  <r>
    <x v="582"/>
    <s v="Aditya Pillai"/>
    <n v="62"/>
    <x v="1"/>
    <s v="O-"/>
    <s v="Ahmedabad"/>
    <d v="2022-10-30T00:00:00"/>
    <d v="2022-11-02T00:00:00"/>
    <n v="3"/>
    <x v="1"/>
    <s v="Kidney Stone"/>
    <x v="2"/>
    <s v="Dialysis"/>
    <x v="3"/>
    <s v="Dr. Arun Rao"/>
    <n v="252"/>
    <s v="ICU"/>
    <x v="0"/>
    <n v="132469"/>
    <n v="65300"/>
    <n v="67169"/>
    <n v="108873"/>
    <n v="8051"/>
    <n v="11342"/>
    <s v="No"/>
    <n v="59"/>
    <n v="3"/>
    <x v="0"/>
  </r>
  <r>
    <x v="583"/>
    <s v="Lata Das"/>
    <n v="57"/>
    <x v="1"/>
    <s v="O-"/>
    <s v="Mumbai"/>
    <d v="2022-04-19T00:00:00"/>
    <d v="2022-05-12T00:00:00"/>
    <n v="23"/>
    <x v="1"/>
    <s v="Kidney Stone"/>
    <x v="2"/>
    <s v="Surgery"/>
    <x v="1"/>
    <s v="Dr. Shalini Patel"/>
    <n v="272"/>
    <s v="ICU"/>
    <x v="0"/>
    <n v="77494"/>
    <n v="50427"/>
    <n v="27067"/>
    <n v="56018"/>
    <n v="9152"/>
    <n v="10355"/>
    <s v="Yes"/>
    <n v="99"/>
    <n v="3.5"/>
    <x v="3"/>
  </r>
  <r>
    <x v="584"/>
    <s v="Amit Singh"/>
    <n v="17"/>
    <x v="0"/>
    <s v="AB+"/>
    <s v="Kolkata"/>
    <d v="2024-02-20T00:00:00"/>
    <d v="2024-03-14T00:00:00"/>
    <n v="23"/>
    <x v="0"/>
    <s v="Typhoid"/>
    <x v="1"/>
    <s v="ICU Care"/>
    <x v="2"/>
    <s v="Dr. Prerna Singh"/>
    <n v="182"/>
    <s v="Semi-Private"/>
    <x v="3"/>
    <n v="92433"/>
    <n v="62684"/>
    <n v="29749"/>
    <n v="71063"/>
    <n v="17373"/>
    <n v="1986"/>
    <s v="No"/>
    <n v="62"/>
    <n v="5"/>
    <x v="3"/>
  </r>
  <r>
    <x v="585"/>
    <s v="Amit Malhotra"/>
    <n v="17"/>
    <x v="0"/>
    <s v="A+"/>
    <s v="Lucknow"/>
    <d v="2022-05-05T00:00:00"/>
    <d v="2022-05-23T00:00:00"/>
    <n v="18"/>
    <x v="0"/>
    <s v="Diabetes Type 2"/>
    <x v="9"/>
    <s v="Surgery"/>
    <x v="2"/>
    <s v="Dr. Arun Nair"/>
    <n v="7"/>
    <s v="General Ward"/>
    <x v="4"/>
    <n v="121418"/>
    <n v="0"/>
    <n v="121418"/>
    <n v="105860"/>
    <n v="11035"/>
    <n v="953"/>
    <s v="No"/>
    <n v="51"/>
    <n v="2.6"/>
    <x v="0"/>
  </r>
  <r>
    <x v="586"/>
    <s v="Meera Joshi"/>
    <n v="73"/>
    <x v="1"/>
    <s v="O-"/>
    <s v="Delhi"/>
    <d v="2022-11-13T00:00:00"/>
    <d v="2022-12-03T00:00:00"/>
    <n v="20"/>
    <x v="1"/>
    <s v="Kidney Stone"/>
    <x v="2"/>
    <s v="Physiotherapy"/>
    <x v="0"/>
    <s v="Dr. Sameer Nair"/>
    <n v="77"/>
    <s v="ICU"/>
    <x v="2"/>
    <n v="48767"/>
    <n v="41070"/>
    <n v="7697"/>
    <n v="15164"/>
    <n v="18615"/>
    <n v="13503"/>
    <s v="No"/>
    <n v="58"/>
    <n v="2.2999999999999998"/>
    <x v="2"/>
  </r>
  <r>
    <x v="587"/>
    <s v="Sanjay Das"/>
    <n v="26"/>
    <x v="1"/>
    <s v="AB-"/>
    <s v="Chennai"/>
    <d v="2022-11-14T00:00:00"/>
    <d v="2022-12-04T00:00:00"/>
    <n v="20"/>
    <x v="0"/>
    <s v="Dengue"/>
    <x v="1"/>
    <s v="Counseling"/>
    <x v="0"/>
    <s v="Dr. Anjali Patel"/>
    <n v="343"/>
    <s v="General Ward"/>
    <x v="4"/>
    <n v="87805"/>
    <n v="0"/>
    <n v="87805"/>
    <n v="69545"/>
    <n v="12983"/>
    <n v="2816"/>
    <s v="No"/>
    <n v="71"/>
    <n v="2.6"/>
    <x v="4"/>
  </r>
  <r>
    <x v="588"/>
    <s v="Priya Shah"/>
    <n v="12"/>
    <x v="0"/>
    <s v="A-"/>
    <s v="Jaipur"/>
    <d v="2022-07-06T00:00:00"/>
    <d v="2022-07-28T00:00:00"/>
    <n v="22"/>
    <x v="0"/>
    <s v="Dengue"/>
    <x v="1"/>
    <s v="Dietary Management"/>
    <x v="0"/>
    <s v="Dr. Deepak Reddy"/>
    <n v="145"/>
    <s v="Private"/>
    <x v="0"/>
    <n v="155077"/>
    <n v="105960"/>
    <n v="49117"/>
    <n v="122415"/>
    <n v="26019"/>
    <n v="3744"/>
    <s v="No"/>
    <n v="67"/>
    <n v="3.1"/>
    <x v="4"/>
  </r>
  <r>
    <x v="589"/>
    <s v="Aditya Bose"/>
    <n v="18"/>
    <x v="0"/>
    <s v="AB-"/>
    <s v="Lucknow"/>
    <d v="2024-03-07T00:00:00"/>
    <d v="2024-03-17T00:00:00"/>
    <n v="10"/>
    <x v="0"/>
    <s v="Typhoid"/>
    <x v="1"/>
    <s v="Medication"/>
    <x v="1"/>
    <s v="Dr. Kavita Patel"/>
    <n v="158"/>
    <s v="Semi-Private"/>
    <x v="4"/>
    <n v="37922"/>
    <n v="0"/>
    <n v="37922"/>
    <n v="17571"/>
    <n v="18507"/>
    <n v="958"/>
    <s v="No"/>
    <n v="64"/>
    <n v="2.6"/>
    <x v="0"/>
  </r>
  <r>
    <x v="590"/>
    <s v="Priya Khanna"/>
    <n v="70"/>
    <x v="1"/>
    <s v="O-"/>
    <s v="Mumbai"/>
    <d v="2023-03-16T00:00:00"/>
    <d v="2023-03-20T00:00:00"/>
    <n v="4"/>
    <x v="0"/>
    <s v="COVID-19"/>
    <x v="1"/>
    <s v="Chemotherapy"/>
    <x v="3"/>
    <s v="Dr. Prerna Reddy"/>
    <n v="254"/>
    <s v="Semi-Private"/>
    <x v="1"/>
    <n v="20506"/>
    <n v="13741"/>
    <n v="6765"/>
    <n v="9087"/>
    <n v="2482"/>
    <n v="6750"/>
    <s v="Yes"/>
    <n v="58"/>
    <n v="2"/>
    <x v="2"/>
  </r>
  <r>
    <x v="591"/>
    <s v="Sunita Verma"/>
    <n v="27"/>
    <x v="0"/>
    <s v="B-"/>
    <s v="Pune"/>
    <d v="2024-04-03T00:00:00"/>
    <d v="2024-04-05T00:00:00"/>
    <n v="2"/>
    <x v="5"/>
    <s v="Pneumonia"/>
    <x v="8"/>
    <s v="Dietary Management"/>
    <x v="2"/>
    <s v="Dr. Shalini Singh"/>
    <n v="452"/>
    <s v="ICU"/>
    <x v="1"/>
    <n v="111538"/>
    <n v="58308"/>
    <n v="53230"/>
    <n v="86196"/>
    <n v="7713"/>
    <n v="14896"/>
    <s v="Yes"/>
    <n v="92"/>
    <n v="3.2"/>
    <x v="1"/>
  </r>
  <r>
    <x v="592"/>
    <s v="Ashok Mehta"/>
    <n v="67"/>
    <x v="0"/>
    <s v="A+"/>
    <s v="Kolkata"/>
    <d v="2022-03-27T00:00:00"/>
    <d v="2022-04-19T00:00:00"/>
    <n v="23"/>
    <x v="0"/>
    <s v="COVID-19"/>
    <x v="1"/>
    <s v="Chemotherapy"/>
    <x v="1"/>
    <s v="Dr. Prerna Patel"/>
    <n v="82"/>
    <s v="ICU"/>
    <x v="2"/>
    <n v="79394"/>
    <n v="70109"/>
    <n v="9285"/>
    <n v="53066"/>
    <n v="18594"/>
    <n v="5863"/>
    <s v="No"/>
    <n v="83"/>
    <n v="4.0999999999999996"/>
    <x v="4"/>
  </r>
  <r>
    <x v="593"/>
    <s v="Deepa Pillai"/>
    <n v="41"/>
    <x v="0"/>
    <s v="O+"/>
    <s v="Delhi"/>
    <d v="2022-09-02T00:00:00"/>
    <d v="2022-09-15T00:00:00"/>
    <n v="13"/>
    <x v="3"/>
    <s v="Stroke"/>
    <x v="6"/>
    <s v="Counseling"/>
    <x v="0"/>
    <s v="Dr. Kavita Mehta"/>
    <n v="266"/>
    <s v="General Ward"/>
    <x v="3"/>
    <n v="139799"/>
    <n v="85474"/>
    <n v="54325"/>
    <n v="130519"/>
    <n v="4582"/>
    <n v="2325"/>
    <s v="No"/>
    <n v="45"/>
    <n v="4.3"/>
    <x v="3"/>
  </r>
  <r>
    <x v="594"/>
    <s v="Kavya Khanna"/>
    <n v="83"/>
    <x v="0"/>
    <s v="AB-"/>
    <s v="Bangalore"/>
    <d v="2024-06-24T00:00:00"/>
    <d v="2024-07-14T00:00:00"/>
    <n v="20"/>
    <x v="0"/>
    <s v="Diabetes Type 2"/>
    <x v="9"/>
    <s v="Chemotherapy"/>
    <x v="2"/>
    <s v="Dr. Nisha Sharma"/>
    <n v="292"/>
    <s v="General Ward"/>
    <x v="0"/>
    <n v="130191"/>
    <n v="65751"/>
    <n v="64440"/>
    <n v="94482"/>
    <n v="29163"/>
    <n v="4609"/>
    <s v="No"/>
    <n v="81"/>
    <n v="2.2000000000000002"/>
    <x v="4"/>
  </r>
  <r>
    <x v="595"/>
    <s v="Vikram Rao"/>
    <n v="69"/>
    <x v="1"/>
    <s v="B-"/>
    <s v="Bangalore"/>
    <d v="2023-02-03T00:00:00"/>
    <d v="2023-02-14T00:00:00"/>
    <n v="11"/>
    <x v="0"/>
    <s v="COVID-19"/>
    <x v="1"/>
    <s v="Radiation Therapy"/>
    <x v="1"/>
    <s v="Dr. Kavita Rao"/>
    <n v="271"/>
    <s v="Private"/>
    <x v="1"/>
    <n v="65492"/>
    <n v="27311"/>
    <n v="38181"/>
    <n v="47230"/>
    <n v="5697"/>
    <n v="9464"/>
    <s v="No"/>
    <n v="66"/>
    <n v="3.6"/>
    <x v="3"/>
  </r>
  <r>
    <x v="596"/>
    <s v="Divya Joshi"/>
    <n v="46"/>
    <x v="0"/>
    <s v="A+"/>
    <s v="Bangalore"/>
    <d v="2022-08-01T00:00:00"/>
    <d v="2022-08-23T00:00:00"/>
    <n v="22"/>
    <x v="2"/>
    <s v="Cancer"/>
    <x v="3"/>
    <s v="Observation"/>
    <x v="1"/>
    <s v="Dr. Shalini Sharma"/>
    <n v="417"/>
    <s v="ICU"/>
    <x v="1"/>
    <n v="70411"/>
    <n v="40070"/>
    <n v="30341"/>
    <n v="36363"/>
    <n v="29082"/>
    <n v="4178"/>
    <s v="Yes"/>
    <n v="81"/>
    <n v="4.5"/>
    <x v="4"/>
  </r>
  <r>
    <x v="597"/>
    <s v="Sonia Iyer"/>
    <n v="54"/>
    <x v="0"/>
    <s v="AB+"/>
    <s v="Ahmedabad"/>
    <d v="2023-05-02T00:00:00"/>
    <d v="2023-05-24T00:00:00"/>
    <n v="22"/>
    <x v="0"/>
    <s v="Typhoid"/>
    <x v="1"/>
    <s v="Dialysis"/>
    <x v="3"/>
    <s v="Dr. Anjali Gupta"/>
    <n v="471"/>
    <s v="Semi-Private"/>
    <x v="3"/>
    <n v="184178"/>
    <n v="118486"/>
    <n v="65692"/>
    <n v="145628"/>
    <n v="29817"/>
    <n v="6400"/>
    <s v="No"/>
    <n v="51"/>
    <n v="4.9000000000000004"/>
    <x v="4"/>
  </r>
  <r>
    <x v="598"/>
    <s v="Rohan Joshi"/>
    <n v="52"/>
    <x v="1"/>
    <s v="AB+"/>
    <s v="Hyderabad"/>
    <d v="2022-10-22T00:00:00"/>
    <d v="2022-10-24T00:00:00"/>
    <n v="2"/>
    <x v="0"/>
    <s v="COVID-19"/>
    <x v="1"/>
    <s v="Counseling"/>
    <x v="2"/>
    <s v="Dr. Vivek Mehta"/>
    <n v="431"/>
    <s v="Private"/>
    <x v="0"/>
    <n v="145074"/>
    <n v="78075"/>
    <n v="66999"/>
    <n v="111376"/>
    <n v="14799"/>
    <n v="14977"/>
    <s v="No"/>
    <n v="100"/>
    <n v="3.2"/>
    <x v="1"/>
  </r>
  <r>
    <x v="599"/>
    <s v="Amit Verma"/>
    <n v="56"/>
    <x v="1"/>
    <s v="B-"/>
    <s v="Chennai"/>
    <d v="2023-03-21T00:00:00"/>
    <d v="2023-04-13T00:00:00"/>
    <n v="23"/>
    <x v="3"/>
    <s v="Stroke"/>
    <x v="6"/>
    <s v="Chemotherapy"/>
    <x v="3"/>
    <s v="Dr. Anjali Nair"/>
    <n v="442"/>
    <s v="ICU"/>
    <x v="4"/>
    <n v="102040"/>
    <n v="0"/>
    <n v="102040"/>
    <n v="85451"/>
    <n v="7996"/>
    <n v="6936"/>
    <s v="No"/>
    <n v="74"/>
    <n v="4"/>
    <x v="1"/>
  </r>
  <r>
    <x v="600"/>
    <s v="Mukesh Menon"/>
    <n v="57"/>
    <x v="1"/>
    <s v="B-"/>
    <s v="Chennai"/>
    <d v="2023-11-23T00:00:00"/>
    <d v="2023-12-11T00:00:00"/>
    <n v="18"/>
    <x v="4"/>
    <s v="Heart Attack"/>
    <x v="7"/>
    <s v="Counseling"/>
    <x v="0"/>
    <s v="Dr. Sameer Gupta"/>
    <n v="13"/>
    <s v="Semi-Private"/>
    <x v="3"/>
    <n v="74632"/>
    <n v="59136"/>
    <n v="15496"/>
    <n v="50178"/>
    <n v="9956"/>
    <n v="12722"/>
    <s v="No"/>
    <n v="91"/>
    <n v="2.6"/>
    <x v="4"/>
  </r>
  <r>
    <x v="601"/>
    <s v="Amit Malhotra"/>
    <n v="36"/>
    <x v="1"/>
    <s v="AB-"/>
    <s v="Pune"/>
    <d v="2024-12-22T00:00:00"/>
    <d v="2024-12-31T00:00:00"/>
    <n v="9"/>
    <x v="0"/>
    <s v="Diabetes Type 2"/>
    <x v="9"/>
    <s v="Surgery"/>
    <x v="1"/>
    <s v="Dr. Arun Sharma"/>
    <n v="472"/>
    <s v="General Ward"/>
    <x v="4"/>
    <n v="48352"/>
    <n v="0"/>
    <n v="48352"/>
    <n v="28579"/>
    <n v="11266"/>
    <n v="6344"/>
    <s v="No"/>
    <n v="53"/>
    <n v="2.9"/>
    <x v="3"/>
  </r>
  <r>
    <x v="602"/>
    <s v="Nisha Menon"/>
    <n v="45"/>
    <x v="0"/>
    <s v="AB-"/>
    <s v="Pune"/>
    <d v="2022-12-25T00:00:00"/>
    <d v="2023-01-04T00:00:00"/>
    <n v="10"/>
    <x v="1"/>
    <s v="UTI"/>
    <x v="2"/>
    <s v="Counseling"/>
    <x v="2"/>
    <s v="Dr. Sameer Mehta"/>
    <n v="213"/>
    <s v="General Ward"/>
    <x v="1"/>
    <n v="132629"/>
    <n v="80898"/>
    <n v="51731"/>
    <n v="112395"/>
    <n v="6186"/>
    <n v="9702"/>
    <s v="No"/>
    <n v="94"/>
    <n v="4.7"/>
    <x v="3"/>
  </r>
  <r>
    <x v="603"/>
    <s v="Sunita Gupta"/>
    <n v="61"/>
    <x v="1"/>
    <s v="A+"/>
    <s v="Bangalore"/>
    <d v="2024-02-20T00:00:00"/>
    <d v="2024-03-07T00:00:00"/>
    <n v="16"/>
    <x v="3"/>
    <s v="Migraine"/>
    <x v="6"/>
    <s v="Physiotherapy"/>
    <x v="1"/>
    <s v="Dr. Shalini Kumar"/>
    <n v="477"/>
    <s v="ICU"/>
    <x v="1"/>
    <n v="73677"/>
    <n v="50394"/>
    <n v="23283"/>
    <n v="52666"/>
    <n v="15658"/>
    <n v="825"/>
    <s v="No"/>
    <n v="96"/>
    <n v="3"/>
    <x v="3"/>
  </r>
  <r>
    <x v="604"/>
    <s v="Mukesh Shah"/>
    <n v="13"/>
    <x v="1"/>
    <s v="B+"/>
    <s v="Lucknow"/>
    <d v="2023-09-07T00:00:00"/>
    <d v="2023-09-29T00:00:00"/>
    <n v="22"/>
    <x v="3"/>
    <s v="Migraine"/>
    <x v="6"/>
    <s v="Surgery"/>
    <x v="2"/>
    <s v="Dr. Nisha Singh"/>
    <n v="365"/>
    <s v="General Ward"/>
    <x v="4"/>
    <n v="150827"/>
    <n v="0"/>
    <n v="150827"/>
    <n v="134695"/>
    <n v="1522"/>
    <n v="10688"/>
    <s v="No"/>
    <n v="63"/>
    <n v="4.5999999999999996"/>
    <x v="2"/>
  </r>
  <r>
    <x v="605"/>
    <s v="Arjun Nair"/>
    <n v="71"/>
    <x v="1"/>
    <s v="AB-"/>
    <s v="Pune"/>
    <d v="2022-12-08T00:00:00"/>
    <d v="2022-12-10T00:00:00"/>
    <n v="2"/>
    <x v="2"/>
    <s v="Cancer"/>
    <x v="3"/>
    <s v="Dialysis"/>
    <x v="0"/>
    <s v="Dr. Vivek Kumar"/>
    <n v="21"/>
    <s v="Private"/>
    <x v="3"/>
    <n v="48233"/>
    <n v="30830"/>
    <n v="17403"/>
    <n v="26035"/>
    <n v="11909"/>
    <n v="9532"/>
    <s v="No"/>
    <n v="79"/>
    <n v="2"/>
    <x v="0"/>
  </r>
  <r>
    <x v="606"/>
    <s v="Aditya Rao"/>
    <n v="53"/>
    <x v="1"/>
    <s v="AB-"/>
    <s v="Kolkata"/>
    <d v="2024-03-06T00:00:00"/>
    <d v="2024-03-08T00:00:00"/>
    <n v="2"/>
    <x v="5"/>
    <s v="Asthma"/>
    <x v="8"/>
    <s v="ICU Care"/>
    <x v="3"/>
    <s v="Dr. Deepak Joshi"/>
    <n v="209"/>
    <s v="Private"/>
    <x v="0"/>
    <n v="127193"/>
    <n v="69530"/>
    <n v="57663"/>
    <n v="95764"/>
    <n v="24564"/>
    <n v="4785"/>
    <s v="No"/>
    <n v="98"/>
    <n v="3.3"/>
    <x v="3"/>
  </r>
  <r>
    <x v="607"/>
    <s v="Lata Verma"/>
    <n v="70"/>
    <x v="1"/>
    <s v="A+"/>
    <s v="Bangalore"/>
    <d v="2022-08-08T00:00:00"/>
    <d v="2022-08-16T00:00:00"/>
    <n v="8"/>
    <x v="6"/>
    <s v="Fracture"/>
    <x v="10"/>
    <s v="ICU Care"/>
    <x v="1"/>
    <s v="Dr. Sameer Rao"/>
    <n v="411"/>
    <s v="Semi-Private"/>
    <x v="2"/>
    <n v="39041"/>
    <n v="32051"/>
    <n v="6990"/>
    <n v="24768"/>
    <n v="1316"/>
    <n v="12347"/>
    <s v="No"/>
    <n v="98"/>
    <n v="3.9"/>
    <x v="2"/>
  </r>
  <r>
    <x v="608"/>
    <s v="Sanjay Malhotra"/>
    <n v="85"/>
    <x v="0"/>
    <s v="A-"/>
    <s v="Lucknow"/>
    <d v="2022-09-07T00:00:00"/>
    <d v="2022-09-09T00:00:00"/>
    <n v="2"/>
    <x v="5"/>
    <s v="Pneumonia"/>
    <x v="8"/>
    <s v="Surgery"/>
    <x v="2"/>
    <s v="Dr. Prerna Patel"/>
    <n v="2"/>
    <s v="ICU"/>
    <x v="0"/>
    <n v="76141"/>
    <n v="39294"/>
    <n v="36847"/>
    <n v="60107"/>
    <n v="2638"/>
    <n v="12246"/>
    <s v="No"/>
    <n v="52"/>
    <n v="3.4"/>
    <x v="2"/>
  </r>
  <r>
    <x v="609"/>
    <s v="Manoj Bose"/>
    <n v="82"/>
    <x v="1"/>
    <s v="AB-"/>
    <s v="Hyderabad"/>
    <d v="2022-05-06T00:00:00"/>
    <d v="2022-05-21T00:00:00"/>
    <n v="15"/>
    <x v="4"/>
    <s v="Heart Attack"/>
    <x v="7"/>
    <s v="Medication"/>
    <x v="1"/>
    <s v="Dr. Sameer Reddy"/>
    <n v="135"/>
    <s v="Semi-Private"/>
    <x v="1"/>
    <n v="82222"/>
    <n v="37531"/>
    <n v="44691"/>
    <n v="54635"/>
    <n v="23936"/>
    <n v="2531"/>
    <s v="No"/>
    <n v="88"/>
    <n v="5"/>
    <x v="2"/>
  </r>
  <r>
    <x v="610"/>
    <s v="Karan Iyer"/>
    <n v="42"/>
    <x v="0"/>
    <s v="O+"/>
    <s v="Chennai"/>
    <d v="2024-05-23T00:00:00"/>
    <d v="2024-06-01T00:00:00"/>
    <n v="9"/>
    <x v="1"/>
    <s v="Kidney Stone"/>
    <x v="2"/>
    <s v="Counseling"/>
    <x v="1"/>
    <s v="Dr. Rakesh Singh"/>
    <n v="387"/>
    <s v="Semi-Private"/>
    <x v="2"/>
    <n v="36121"/>
    <n v="31454"/>
    <n v="4667"/>
    <n v="21153"/>
    <n v="3057"/>
    <n v="8592"/>
    <s v="Yes"/>
    <n v="88"/>
    <n v="4.5"/>
    <x v="3"/>
  </r>
  <r>
    <x v="611"/>
    <s v="Sunita Malhotra"/>
    <n v="6"/>
    <x v="1"/>
    <s v="O-"/>
    <s v="Lucknow"/>
    <d v="2024-01-11T00:00:00"/>
    <d v="2024-02-03T00:00:00"/>
    <n v="23"/>
    <x v="0"/>
    <s v="Liver Disease"/>
    <x v="0"/>
    <s v="Dietary Management"/>
    <x v="3"/>
    <s v="Dr. Nisha Gupta"/>
    <n v="184"/>
    <s v="ICU"/>
    <x v="4"/>
    <n v="164343"/>
    <n v="0"/>
    <n v="164343"/>
    <n v="135992"/>
    <n v="10838"/>
    <n v="13007"/>
    <s v="No"/>
    <n v="87"/>
    <n v="2.6"/>
    <x v="0"/>
  </r>
  <r>
    <x v="612"/>
    <s v="Ananya Patel"/>
    <n v="50"/>
    <x v="0"/>
    <s v="AB-"/>
    <s v="Ahmedabad"/>
    <d v="2023-10-27T00:00:00"/>
    <d v="2023-11-26T00:00:00"/>
    <n v="30"/>
    <x v="3"/>
    <s v="Migraine"/>
    <x v="6"/>
    <s v="Radiation Therapy"/>
    <x v="0"/>
    <s v="Dr. Sameer Mehta"/>
    <n v="378"/>
    <s v="ICU"/>
    <x v="3"/>
    <n v="46913"/>
    <n v="33516"/>
    <n v="13397"/>
    <n v="11417"/>
    <n v="29618"/>
    <n v="2784"/>
    <s v="No"/>
    <n v="49"/>
    <n v="3.2"/>
    <x v="3"/>
  </r>
  <r>
    <x v="613"/>
    <s v="Pooja Joshi"/>
    <n v="24"/>
    <x v="1"/>
    <s v="B-"/>
    <s v="Delhi"/>
    <d v="2022-02-03T00:00:00"/>
    <d v="2022-02-16T00:00:00"/>
    <n v="13"/>
    <x v="0"/>
    <s v="Typhoid"/>
    <x v="1"/>
    <s v="Dialysis"/>
    <x v="3"/>
    <s v="Dr. Kavita Sharma"/>
    <n v="255"/>
    <s v="ICU"/>
    <x v="0"/>
    <n v="132244"/>
    <n v="63914"/>
    <n v="68330"/>
    <n v="84566"/>
    <n v="28190"/>
    <n v="14488"/>
    <s v="No"/>
    <n v="78"/>
    <n v="4.2"/>
    <x v="4"/>
  </r>
  <r>
    <x v="614"/>
    <s v="Pooja Joshi"/>
    <n v="67"/>
    <x v="1"/>
    <s v="O-"/>
    <s v="Delhi"/>
    <d v="2022-05-18T00:00:00"/>
    <d v="2022-05-29T00:00:00"/>
    <n v="11"/>
    <x v="0"/>
    <s v="Typhoid"/>
    <x v="1"/>
    <s v="Dialysis"/>
    <x v="2"/>
    <s v="Dr. Kavita Nair"/>
    <n v="483"/>
    <s v="ICU"/>
    <x v="0"/>
    <n v="134949"/>
    <n v="79546"/>
    <n v="55403"/>
    <n v="114142"/>
    <n v="17072"/>
    <n v="712"/>
    <s v="No"/>
    <n v="59"/>
    <n v="4.0999999999999996"/>
    <x v="4"/>
  </r>
  <r>
    <x v="615"/>
    <s v="Divya Kumar"/>
    <n v="81"/>
    <x v="1"/>
    <s v="O+"/>
    <s v="Pune"/>
    <d v="2024-02-04T00:00:00"/>
    <d v="2024-03-01T00:00:00"/>
    <n v="26"/>
    <x v="5"/>
    <s v="Pneumonia"/>
    <x v="8"/>
    <s v="Dietary Management"/>
    <x v="0"/>
    <s v="Dr. Prerna Sharma"/>
    <n v="229"/>
    <s v="Private"/>
    <x v="3"/>
    <n v="85635"/>
    <n v="74763"/>
    <n v="10872"/>
    <n v="69516"/>
    <n v="7863"/>
    <n v="5844"/>
    <s v="No"/>
    <n v="80"/>
    <n v="4.7"/>
    <x v="4"/>
  </r>
  <r>
    <x v="616"/>
    <s v="Lata Nair"/>
    <n v="76"/>
    <x v="0"/>
    <s v="O-"/>
    <s v="Chennai"/>
    <d v="2022-09-18T00:00:00"/>
    <d v="2022-09-29T00:00:00"/>
    <n v="11"/>
    <x v="0"/>
    <s v="Obesity"/>
    <x v="12"/>
    <s v="Dietary Management"/>
    <x v="2"/>
    <s v="Dr. Kavita Gupta"/>
    <n v="289"/>
    <s v="ICU"/>
    <x v="2"/>
    <n v="121126"/>
    <n v="86635"/>
    <n v="34491"/>
    <n v="87171"/>
    <n v="17743"/>
    <n v="14929"/>
    <s v="Yes"/>
    <n v="60"/>
    <n v="2.2000000000000002"/>
    <x v="4"/>
  </r>
  <r>
    <x v="617"/>
    <s v="Sunil Menon"/>
    <n v="39"/>
    <x v="1"/>
    <s v="AB-"/>
    <s v="Kolkata"/>
    <d v="2023-01-31T00:00:00"/>
    <d v="2023-02-26T00:00:00"/>
    <n v="26"/>
    <x v="5"/>
    <s v="Asthma"/>
    <x v="8"/>
    <s v="ICU Care"/>
    <x v="1"/>
    <s v="Dr. Anjali Reddy"/>
    <n v="115"/>
    <s v="General Ward"/>
    <x v="4"/>
    <n v="141516"/>
    <n v="0"/>
    <n v="141516"/>
    <n v="98367"/>
    <n v="28028"/>
    <n v="10668"/>
    <s v="No"/>
    <n v="90"/>
    <n v="2.8"/>
    <x v="1"/>
  </r>
  <r>
    <x v="618"/>
    <s v="Meera Verma"/>
    <n v="82"/>
    <x v="1"/>
    <s v="B-"/>
    <s v="Lucknow"/>
    <d v="2022-09-04T00:00:00"/>
    <d v="2022-09-14T00:00:00"/>
    <n v="10"/>
    <x v="0"/>
    <s v="Diabetes Type 2"/>
    <x v="9"/>
    <s v="Counseling"/>
    <x v="3"/>
    <s v="Dr. Kavita Joshi"/>
    <n v="217"/>
    <s v="General Ward"/>
    <x v="4"/>
    <n v="86893"/>
    <n v="0"/>
    <n v="86893"/>
    <n v="73416"/>
    <n v="7692"/>
    <n v="2860"/>
    <s v="Yes"/>
    <n v="81"/>
    <n v="3.9"/>
    <x v="4"/>
  </r>
  <r>
    <x v="619"/>
    <s v="Rahul Shah"/>
    <n v="64"/>
    <x v="1"/>
    <s v="AB-"/>
    <s v="Kolkata"/>
    <d v="2022-11-18T00:00:00"/>
    <d v="2022-12-08T00:00:00"/>
    <n v="20"/>
    <x v="0"/>
    <s v="COVID-19"/>
    <x v="1"/>
    <s v="Surgery"/>
    <x v="3"/>
    <s v="Dr. Anjali Singh"/>
    <n v="102"/>
    <s v="ICU"/>
    <x v="4"/>
    <n v="73669"/>
    <n v="0"/>
    <n v="73669"/>
    <n v="47703"/>
    <n v="20217"/>
    <n v="2605"/>
    <s v="No"/>
    <n v="47"/>
    <n v="2.2000000000000002"/>
    <x v="1"/>
  </r>
  <r>
    <x v="620"/>
    <s v="Ritu Bose"/>
    <n v="52"/>
    <x v="1"/>
    <s v="O-"/>
    <s v="Kolkata"/>
    <d v="2022-02-22T00:00:00"/>
    <d v="2022-03-15T00:00:00"/>
    <n v="21"/>
    <x v="0"/>
    <s v="Anemia"/>
    <x v="4"/>
    <s v="Observation"/>
    <x v="2"/>
    <s v="Dr. Nisha Rao"/>
    <n v="429"/>
    <s v="General Ward"/>
    <x v="4"/>
    <n v="123188"/>
    <n v="0"/>
    <n v="123188"/>
    <n v="89938"/>
    <n v="19534"/>
    <n v="12894"/>
    <s v="No"/>
    <n v="43"/>
    <n v="4.2"/>
    <x v="2"/>
  </r>
  <r>
    <x v="621"/>
    <s v="Meera Singh"/>
    <n v="13"/>
    <x v="1"/>
    <s v="B+"/>
    <s v="Delhi"/>
    <d v="2024-12-06T00:00:00"/>
    <d v="2024-12-12T00:00:00"/>
    <n v="6"/>
    <x v="2"/>
    <s v="Cancer"/>
    <x v="3"/>
    <s v="ICU Care"/>
    <x v="3"/>
    <s v="Dr. Nisha Patel"/>
    <n v="212"/>
    <s v="Private"/>
    <x v="2"/>
    <n v="158659"/>
    <n v="120169"/>
    <n v="38490"/>
    <n v="134094"/>
    <n v="14125"/>
    <n v="9431"/>
    <s v="No"/>
    <n v="65"/>
    <n v="4.0999999999999996"/>
    <x v="0"/>
  </r>
  <r>
    <x v="622"/>
    <s v="Ashok Singh"/>
    <n v="31"/>
    <x v="0"/>
    <s v="B+"/>
    <s v="Delhi"/>
    <d v="2023-06-19T00:00:00"/>
    <d v="2023-06-27T00:00:00"/>
    <n v="8"/>
    <x v="2"/>
    <s v="Cancer"/>
    <x v="3"/>
    <s v="Counseling"/>
    <x v="1"/>
    <s v="Dr. Arun Reddy"/>
    <n v="246"/>
    <s v="General Ward"/>
    <x v="2"/>
    <n v="94325"/>
    <n v="83603"/>
    <n v="10722"/>
    <n v="62409"/>
    <n v="25855"/>
    <n v="4311"/>
    <s v="Yes"/>
    <n v="60"/>
    <n v="3"/>
    <x v="4"/>
  </r>
  <r>
    <x v="623"/>
    <s v="Aditya Das"/>
    <n v="42"/>
    <x v="0"/>
    <s v="A+"/>
    <s v="Kolkata"/>
    <d v="2022-05-20T00:00:00"/>
    <d v="2022-05-22T00:00:00"/>
    <n v="2"/>
    <x v="3"/>
    <s v="Stroke"/>
    <x v="6"/>
    <s v="Medication"/>
    <x v="2"/>
    <s v="Dr. Kavita Rao"/>
    <n v="252"/>
    <s v="General Ward"/>
    <x v="4"/>
    <n v="64651"/>
    <n v="0"/>
    <n v="64651"/>
    <n v="26135"/>
    <n v="20057"/>
    <n v="14944"/>
    <s v="No"/>
    <n v="93"/>
    <n v="2.5"/>
    <x v="2"/>
  </r>
  <r>
    <x v="624"/>
    <s v="Vikram Pillai"/>
    <n v="5"/>
    <x v="0"/>
    <s v="O+"/>
    <s v="Jaipur"/>
    <d v="2024-02-06T00:00:00"/>
    <d v="2024-02-23T00:00:00"/>
    <n v="17"/>
    <x v="3"/>
    <s v="Migraine"/>
    <x v="6"/>
    <s v="Chemotherapy"/>
    <x v="3"/>
    <s v="Dr. Nisha Reddy"/>
    <n v="168"/>
    <s v="Private"/>
    <x v="3"/>
    <n v="67927"/>
    <n v="41343"/>
    <n v="26584"/>
    <n v="36239"/>
    <n v="22314"/>
    <n v="5175"/>
    <s v="No"/>
    <n v="81"/>
    <n v="4"/>
    <x v="4"/>
  </r>
  <r>
    <x v="625"/>
    <s v="Suresh Joshi"/>
    <n v="19"/>
    <x v="1"/>
    <s v="AB+"/>
    <s v="Delhi"/>
    <d v="2023-02-26T00:00:00"/>
    <d v="2023-03-05T00:00:00"/>
    <n v="7"/>
    <x v="0"/>
    <s v="Obesity"/>
    <x v="12"/>
    <s v="Chemotherapy"/>
    <x v="3"/>
    <s v="Dr. Nisha Gupta"/>
    <n v="28"/>
    <s v="Semi-Private"/>
    <x v="1"/>
    <n v="88819"/>
    <n v="43785"/>
    <n v="45034"/>
    <n v="71147"/>
    <n v="8104"/>
    <n v="8873"/>
    <s v="No"/>
    <n v="51"/>
    <n v="4.5999999999999996"/>
    <x v="2"/>
  </r>
  <r>
    <x v="626"/>
    <s v="Meera Chopra"/>
    <n v="46"/>
    <x v="0"/>
    <s v="AB+"/>
    <s v="Lucknow"/>
    <d v="2022-12-05T00:00:00"/>
    <d v="2023-01-04T00:00:00"/>
    <n v="30"/>
    <x v="0"/>
    <s v="Typhoid"/>
    <x v="1"/>
    <s v="Counseling"/>
    <x v="3"/>
    <s v="Dr. Kavita Patel"/>
    <n v="316"/>
    <s v="General Ward"/>
    <x v="2"/>
    <n v="36380"/>
    <n v="32161"/>
    <n v="4219"/>
    <n v="13178"/>
    <n v="21292"/>
    <n v="1319"/>
    <s v="No"/>
    <n v="59"/>
    <n v="3.3"/>
    <x v="0"/>
  </r>
  <r>
    <x v="627"/>
    <s v="Ananya Kumar"/>
    <n v="11"/>
    <x v="0"/>
    <s v="B-"/>
    <s v="Chennai"/>
    <d v="2024-05-16T00:00:00"/>
    <d v="2024-06-09T00:00:00"/>
    <n v="24"/>
    <x v="1"/>
    <s v="Kidney Stone"/>
    <x v="2"/>
    <s v="Dialysis"/>
    <x v="0"/>
    <s v="Dr. Arun Singh"/>
    <n v="395"/>
    <s v="General Ward"/>
    <x v="2"/>
    <n v="98874"/>
    <n v="86914"/>
    <n v="11960"/>
    <n v="84180"/>
    <n v="5647"/>
    <n v="4804"/>
    <s v="No"/>
    <n v="91"/>
    <n v="4.7"/>
    <x v="3"/>
  </r>
  <r>
    <x v="628"/>
    <s v="Sonia Sharma"/>
    <n v="65"/>
    <x v="1"/>
    <s v="A+"/>
    <s v="Delhi"/>
    <d v="2022-06-26T00:00:00"/>
    <d v="2022-07-20T00:00:00"/>
    <n v="24"/>
    <x v="2"/>
    <s v="Cancer"/>
    <x v="3"/>
    <s v="Dietary Management"/>
    <x v="3"/>
    <s v="Dr. Rakesh Sharma"/>
    <n v="360"/>
    <s v="ICU"/>
    <x v="2"/>
    <n v="58568"/>
    <n v="47054"/>
    <n v="11514"/>
    <n v="45185"/>
    <n v="8060"/>
    <n v="1567"/>
    <s v="Yes"/>
    <n v="71"/>
    <n v="3.3"/>
    <x v="4"/>
  </r>
  <r>
    <x v="629"/>
    <s v="Pooja Joshi"/>
    <n v="6"/>
    <x v="1"/>
    <s v="A-"/>
    <s v="Hyderabad"/>
    <d v="2023-07-31T00:00:00"/>
    <d v="2023-08-24T00:00:00"/>
    <n v="24"/>
    <x v="0"/>
    <s v="Typhoid"/>
    <x v="1"/>
    <s v="Dialysis"/>
    <x v="1"/>
    <s v="Dr. Rakesh Reddy"/>
    <n v="121"/>
    <s v="ICU"/>
    <x v="2"/>
    <n v="59982"/>
    <n v="46047"/>
    <n v="13935"/>
    <n v="16566"/>
    <n v="29623"/>
    <n v="9727"/>
    <s v="No"/>
    <n v="90"/>
    <n v="2.7"/>
    <x v="3"/>
  </r>
  <r>
    <x v="630"/>
    <s v="Deepa Shah"/>
    <n v="16"/>
    <x v="0"/>
    <s v="AB-"/>
    <s v="Ahmedabad"/>
    <d v="2022-12-02T00:00:00"/>
    <d v="2022-12-14T00:00:00"/>
    <n v="12"/>
    <x v="1"/>
    <s v="Kidney Stone"/>
    <x v="2"/>
    <s v="Counseling"/>
    <x v="2"/>
    <s v="Dr. Nisha Kumar"/>
    <n v="209"/>
    <s v="Semi-Private"/>
    <x v="1"/>
    <n v="135022"/>
    <n v="85090"/>
    <n v="49932"/>
    <n v="110324"/>
    <n v="13193"/>
    <n v="8159"/>
    <s v="Yes"/>
    <n v="83"/>
    <n v="4.3"/>
    <x v="4"/>
  </r>
  <r>
    <x v="631"/>
    <s v="Sunita Pillai"/>
    <n v="57"/>
    <x v="0"/>
    <s v="AB+"/>
    <s v="Delhi"/>
    <d v="2023-06-03T00:00:00"/>
    <d v="2023-07-02T00:00:00"/>
    <n v="29"/>
    <x v="5"/>
    <s v="Pneumonia"/>
    <x v="8"/>
    <s v="ICU Care"/>
    <x v="0"/>
    <s v="Dr. Anjali Nair"/>
    <n v="442"/>
    <s v="Semi-Private"/>
    <x v="2"/>
    <n v="128899"/>
    <n v="100495"/>
    <n v="28404"/>
    <n v="95034"/>
    <n v="17592"/>
    <n v="14585"/>
    <s v="No"/>
    <n v="93"/>
    <n v="4.2"/>
    <x v="0"/>
  </r>
  <r>
    <x v="632"/>
    <s v="Vikram Mehta"/>
    <n v="55"/>
    <x v="1"/>
    <s v="AB+"/>
    <s v="Delhi"/>
    <d v="2024-10-23T00:00:00"/>
    <d v="2024-11-10T00:00:00"/>
    <n v="18"/>
    <x v="0"/>
    <s v="Diabetes Type 2"/>
    <x v="9"/>
    <s v="Surgery"/>
    <x v="1"/>
    <s v="Dr. Rakesh Nair"/>
    <n v="341"/>
    <s v="Semi-Private"/>
    <x v="0"/>
    <n v="115401"/>
    <n v="71497"/>
    <n v="43904"/>
    <n v="92791"/>
    <n v="17029"/>
    <n v="2415"/>
    <s v="No"/>
    <n v="75"/>
    <n v="4.8"/>
    <x v="0"/>
  </r>
  <r>
    <x v="633"/>
    <s v="Sunita Chopra"/>
    <n v="33"/>
    <x v="0"/>
    <s v="AB+"/>
    <s v="Delhi"/>
    <d v="2023-04-08T00:00:00"/>
    <d v="2023-04-29T00:00:00"/>
    <n v="21"/>
    <x v="0"/>
    <s v="COVID-19"/>
    <x v="1"/>
    <s v="Chemotherapy"/>
    <x v="1"/>
    <s v="Dr. Deepak Patel"/>
    <n v="254"/>
    <s v="Semi-Private"/>
    <x v="2"/>
    <n v="110994"/>
    <n v="76681"/>
    <n v="34313"/>
    <n v="85361"/>
    <n v="8924"/>
    <n v="12883"/>
    <s v="No"/>
    <n v="80"/>
    <n v="2.2999999999999998"/>
    <x v="2"/>
  </r>
  <r>
    <x v="634"/>
    <s v="Aditya Sharma"/>
    <n v="8"/>
    <x v="0"/>
    <s v="A-"/>
    <s v="Chennai"/>
    <d v="2023-01-16T00:00:00"/>
    <d v="2023-02-12T00:00:00"/>
    <n v="27"/>
    <x v="6"/>
    <s v="Fracture"/>
    <x v="10"/>
    <s v="Dialysis"/>
    <x v="0"/>
    <s v="Dr. Prerna Joshi"/>
    <n v="484"/>
    <s v="Private"/>
    <x v="3"/>
    <n v="44885"/>
    <n v="31552"/>
    <n v="13333"/>
    <n v="7770"/>
    <n v="23866"/>
    <n v="10290"/>
    <s v="No"/>
    <n v="59"/>
    <n v="3.3"/>
    <x v="0"/>
  </r>
  <r>
    <x v="635"/>
    <s v="Sonia Bose"/>
    <n v="83"/>
    <x v="1"/>
    <s v="AB-"/>
    <s v="Mumbai"/>
    <d v="2024-10-20T00:00:00"/>
    <d v="2024-10-31T00:00:00"/>
    <n v="11"/>
    <x v="1"/>
    <s v="Kidney Stone"/>
    <x v="2"/>
    <s v="Dialysis"/>
    <x v="0"/>
    <s v="Dr. Vivek Nair"/>
    <n v="395"/>
    <s v="General Ward"/>
    <x v="3"/>
    <n v="129723"/>
    <n v="92621"/>
    <n v="37102"/>
    <n v="97026"/>
    <n v="23441"/>
    <n v="8533"/>
    <s v="No"/>
    <n v="88"/>
    <n v="4.7"/>
    <x v="4"/>
  </r>
  <r>
    <x v="636"/>
    <s v="Rohan Pillai"/>
    <n v="16"/>
    <x v="1"/>
    <s v="B-"/>
    <s v="Delhi"/>
    <d v="2024-07-20T00:00:00"/>
    <d v="2024-08-02T00:00:00"/>
    <n v="13"/>
    <x v="0"/>
    <s v="Dengue"/>
    <x v="1"/>
    <s v="Dietary Management"/>
    <x v="0"/>
    <s v="Dr. Arun Kumar"/>
    <n v="159"/>
    <s v="ICU"/>
    <x v="0"/>
    <n v="118968"/>
    <n v="68767"/>
    <n v="50201"/>
    <n v="112638"/>
    <n v="4111"/>
    <n v="668"/>
    <s v="No"/>
    <n v="41"/>
    <n v="4.8"/>
    <x v="4"/>
  </r>
  <r>
    <x v="637"/>
    <s v="Rahul Das"/>
    <n v="28"/>
    <x v="0"/>
    <s v="O+"/>
    <s v="Lucknow"/>
    <d v="2024-03-05T00:00:00"/>
    <d v="2024-03-31T00:00:00"/>
    <n v="26"/>
    <x v="0"/>
    <s v="Depression"/>
    <x v="5"/>
    <s v="Dialysis"/>
    <x v="1"/>
    <s v="Dr. Deepak Gupta"/>
    <n v="90"/>
    <s v="ICU"/>
    <x v="4"/>
    <n v="58436"/>
    <n v="0"/>
    <n v="58436"/>
    <n v="47662"/>
    <n v="2304"/>
    <n v="5256"/>
    <s v="No"/>
    <n v="83"/>
    <n v="2.5"/>
    <x v="3"/>
  </r>
  <r>
    <x v="638"/>
    <s v="Suresh Bose"/>
    <n v="67"/>
    <x v="1"/>
    <s v="A+"/>
    <s v="Kolkata"/>
    <d v="2022-12-28T00:00:00"/>
    <d v="2023-01-22T00:00:00"/>
    <n v="25"/>
    <x v="3"/>
    <s v="Migraine"/>
    <x v="6"/>
    <s v="Dialysis"/>
    <x v="2"/>
    <s v="Dr. Kavita Kumar"/>
    <n v="444"/>
    <s v="ICU"/>
    <x v="0"/>
    <n v="162488"/>
    <n v="69945"/>
    <n v="92543"/>
    <n v="121566"/>
    <n v="27490"/>
    <n v="11981"/>
    <s v="Yes"/>
    <n v="87"/>
    <n v="4.9000000000000004"/>
    <x v="0"/>
  </r>
  <r>
    <x v="639"/>
    <s v="Sanjay Sharma"/>
    <n v="61"/>
    <x v="0"/>
    <s v="O-"/>
    <s v="Kolkata"/>
    <d v="2022-02-12T00:00:00"/>
    <d v="2022-03-07T00:00:00"/>
    <n v="23"/>
    <x v="6"/>
    <s v="Arthritis"/>
    <x v="11"/>
    <s v="Counseling"/>
    <x v="1"/>
    <s v="Dr. Vivek Gupta"/>
    <n v="18"/>
    <s v="Private"/>
    <x v="3"/>
    <n v="121665"/>
    <n v="82590"/>
    <n v="39075"/>
    <n v="115691"/>
    <n v="3193"/>
    <n v="1567"/>
    <s v="No"/>
    <n v="62"/>
    <n v="3.4"/>
    <x v="0"/>
  </r>
  <r>
    <x v="640"/>
    <s v="Sonia Reddy"/>
    <n v="22"/>
    <x v="1"/>
    <s v="A+"/>
    <s v="Bangalore"/>
    <d v="2022-06-26T00:00:00"/>
    <d v="2022-07-15T00:00:00"/>
    <n v="19"/>
    <x v="4"/>
    <s v="Heart Attack"/>
    <x v="7"/>
    <s v="Radiation Therapy"/>
    <x v="3"/>
    <s v="Dr. Deepak Singh"/>
    <n v="245"/>
    <s v="General Ward"/>
    <x v="0"/>
    <n v="128622"/>
    <n v="60410"/>
    <n v="68212"/>
    <n v="113332"/>
    <n v="4796"/>
    <n v="9669"/>
    <s v="Yes"/>
    <n v="48"/>
    <n v="4.2"/>
    <x v="4"/>
  </r>
  <r>
    <x v="641"/>
    <s v="Aditya Shah"/>
    <n v="12"/>
    <x v="1"/>
    <s v="A-"/>
    <s v="Jaipur"/>
    <d v="2023-06-29T00:00:00"/>
    <d v="2023-07-18T00:00:00"/>
    <n v="19"/>
    <x v="6"/>
    <s v="Arthritis"/>
    <x v="11"/>
    <s v="Dialysis"/>
    <x v="2"/>
    <s v="Dr. Nisha Reddy"/>
    <n v="441"/>
    <s v="ICU"/>
    <x v="0"/>
    <n v="89912"/>
    <n v="48878"/>
    <n v="41034"/>
    <n v="54457"/>
    <n v="22759"/>
    <n v="8278"/>
    <s v="Yes"/>
    <n v="64"/>
    <n v="3.7"/>
    <x v="0"/>
  </r>
  <r>
    <x v="642"/>
    <s v="Rekha Singh"/>
    <n v="23"/>
    <x v="1"/>
    <s v="B+"/>
    <s v="Delhi"/>
    <d v="2024-09-05T00:00:00"/>
    <d v="2024-09-22T00:00:00"/>
    <n v="17"/>
    <x v="6"/>
    <s v="Fracture"/>
    <x v="10"/>
    <s v="Physiotherapy"/>
    <x v="2"/>
    <s v="Dr. Vivek Kumar"/>
    <n v="481"/>
    <s v="Semi-Private"/>
    <x v="4"/>
    <n v="131351"/>
    <n v="0"/>
    <n v="131351"/>
    <n v="111533"/>
    <n v="2955"/>
    <n v="12826"/>
    <s v="Yes"/>
    <n v="60"/>
    <n v="4.3"/>
    <x v="3"/>
  </r>
  <r>
    <x v="643"/>
    <s v="Suresh Shah"/>
    <n v="55"/>
    <x v="0"/>
    <s v="B-"/>
    <s v="Bangalore"/>
    <d v="2024-09-08T00:00:00"/>
    <d v="2024-09-28T00:00:00"/>
    <n v="20"/>
    <x v="6"/>
    <s v="Arthritis"/>
    <x v="11"/>
    <s v="Physiotherapy"/>
    <x v="2"/>
    <s v="Dr. Shalini Nair"/>
    <n v="148"/>
    <s v="ICU"/>
    <x v="2"/>
    <n v="144018"/>
    <n v="89277"/>
    <n v="54741"/>
    <n v="118440"/>
    <n v="20654"/>
    <n v="1006"/>
    <s v="Yes"/>
    <n v="97"/>
    <n v="4.3"/>
    <x v="3"/>
  </r>
  <r>
    <x v="644"/>
    <s v="Nisha Nair"/>
    <n v="55"/>
    <x v="0"/>
    <s v="AB-"/>
    <s v="Pune"/>
    <d v="2023-09-14T00:00:00"/>
    <d v="2023-10-11T00:00:00"/>
    <n v="27"/>
    <x v="0"/>
    <s v="Depression"/>
    <x v="5"/>
    <s v="ICU Care"/>
    <x v="3"/>
    <s v="Dr. Anjali Nair"/>
    <n v="250"/>
    <s v="ICU"/>
    <x v="1"/>
    <n v="64628"/>
    <n v="39257"/>
    <n v="25371"/>
    <n v="40983"/>
    <n v="16378"/>
    <n v="6022"/>
    <s v="No"/>
    <n v="74"/>
    <n v="3.6"/>
    <x v="3"/>
  </r>
  <r>
    <x v="645"/>
    <s v="Rohan Nair"/>
    <n v="39"/>
    <x v="0"/>
    <s v="B-"/>
    <s v="Pune"/>
    <d v="2023-10-26T00:00:00"/>
    <d v="2023-11-25T00:00:00"/>
    <n v="30"/>
    <x v="2"/>
    <s v="Cancer"/>
    <x v="3"/>
    <s v="Chemotherapy"/>
    <x v="3"/>
    <s v="Dr. Rakesh Reddy"/>
    <n v="423"/>
    <s v="Private"/>
    <x v="1"/>
    <n v="131803"/>
    <n v="79201"/>
    <n v="52602"/>
    <n v="112882"/>
    <n v="10126"/>
    <n v="4823"/>
    <s v="No"/>
    <n v="79"/>
    <n v="4.7"/>
    <x v="2"/>
  </r>
  <r>
    <x v="646"/>
    <s v="Lata Rao"/>
    <n v="29"/>
    <x v="0"/>
    <s v="O-"/>
    <s v="Chennai"/>
    <d v="2024-08-05T00:00:00"/>
    <d v="2024-08-24T00:00:00"/>
    <n v="19"/>
    <x v="6"/>
    <s v="Arthritis"/>
    <x v="11"/>
    <s v="Surgery"/>
    <x v="3"/>
    <s v="Dr. Kavita Reddy"/>
    <n v="307"/>
    <s v="Private"/>
    <x v="0"/>
    <n v="156792"/>
    <n v="85499"/>
    <n v="71293"/>
    <n v="135273"/>
    <n v="13287"/>
    <n v="4524"/>
    <s v="No"/>
    <n v="76"/>
    <n v="3.4"/>
    <x v="1"/>
  </r>
  <r>
    <x v="647"/>
    <s v="Vikram Nair"/>
    <n v="82"/>
    <x v="1"/>
    <s v="O+"/>
    <s v="Delhi"/>
    <d v="2024-02-11T00:00:00"/>
    <d v="2024-03-09T00:00:00"/>
    <n v="27"/>
    <x v="0"/>
    <s v="Depression"/>
    <x v="5"/>
    <s v="Medication"/>
    <x v="1"/>
    <s v="Dr. Kavita Singh"/>
    <n v="476"/>
    <s v="ICU"/>
    <x v="3"/>
    <n v="186192"/>
    <n v="140265"/>
    <n v="45927"/>
    <n v="149348"/>
    <n v="20122"/>
    <n v="13953"/>
    <s v="No"/>
    <n v="57"/>
    <n v="2.2000000000000002"/>
    <x v="4"/>
  </r>
  <r>
    <x v="648"/>
    <s v="Rajesh Bose"/>
    <n v="81"/>
    <x v="1"/>
    <s v="AB-"/>
    <s v="Kolkata"/>
    <d v="2024-03-03T00:00:00"/>
    <d v="2024-03-14T00:00:00"/>
    <n v="11"/>
    <x v="0"/>
    <s v="Appendicitis"/>
    <x v="0"/>
    <s v="Physiotherapy"/>
    <x v="1"/>
    <s v="Dr. Nisha Sharma"/>
    <n v="22"/>
    <s v="General Ward"/>
    <x v="4"/>
    <n v="64109"/>
    <n v="0"/>
    <n v="64109"/>
    <n v="33170"/>
    <n v="18972"/>
    <n v="9269"/>
    <s v="Yes"/>
    <n v="46"/>
    <n v="4.8"/>
    <x v="4"/>
  </r>
  <r>
    <x v="649"/>
    <s v="Suresh Patel"/>
    <n v="77"/>
    <x v="1"/>
    <s v="A+"/>
    <s v="Delhi"/>
    <d v="2023-11-23T00:00:00"/>
    <d v="2023-12-13T00:00:00"/>
    <n v="20"/>
    <x v="5"/>
    <s v="Asthma"/>
    <x v="8"/>
    <s v="Observation"/>
    <x v="2"/>
    <s v="Dr. Kavita Reddy"/>
    <n v="317"/>
    <s v="Private"/>
    <x v="1"/>
    <n v="132345"/>
    <n v="53849"/>
    <n v="78496"/>
    <n v="97681"/>
    <n v="28550"/>
    <n v="4372"/>
    <s v="No"/>
    <n v="88"/>
    <n v="2.7"/>
    <x v="4"/>
  </r>
  <r>
    <x v="650"/>
    <s v="Suresh Pillai"/>
    <n v="83"/>
    <x v="1"/>
    <s v="B+"/>
    <s v="Delhi"/>
    <d v="2023-07-07T00:00:00"/>
    <d v="2023-08-02T00:00:00"/>
    <n v="26"/>
    <x v="0"/>
    <s v="Typhoid"/>
    <x v="1"/>
    <s v="Surgery"/>
    <x v="2"/>
    <s v="Dr. Vivek Reddy"/>
    <n v="124"/>
    <s v="ICU"/>
    <x v="1"/>
    <n v="62007"/>
    <n v="26800"/>
    <n v="35207"/>
    <n v="48422"/>
    <n v="6686"/>
    <n v="4110"/>
    <s v="No"/>
    <n v="59"/>
    <n v="3.3"/>
    <x v="0"/>
  </r>
  <r>
    <x v="651"/>
    <s v="Rekha Chopra"/>
    <n v="62"/>
    <x v="1"/>
    <s v="B-"/>
    <s v="Delhi"/>
    <d v="2022-06-17T00:00:00"/>
    <d v="2022-07-01T00:00:00"/>
    <n v="14"/>
    <x v="0"/>
    <s v="COVID-19"/>
    <x v="1"/>
    <s v="Physiotherapy"/>
    <x v="0"/>
    <s v="Dr. Shalini Joshi"/>
    <n v="12"/>
    <s v="Private"/>
    <x v="0"/>
    <n v="167384"/>
    <n v="84142"/>
    <n v="83242"/>
    <n v="133848"/>
    <n v="15308"/>
    <n v="13436"/>
    <s v="Yes"/>
    <n v="72"/>
    <n v="3.8"/>
    <x v="4"/>
  </r>
  <r>
    <x v="652"/>
    <s v="Divya Mehta"/>
    <n v="52"/>
    <x v="1"/>
    <s v="A-"/>
    <s v="Lucknow"/>
    <d v="2024-02-13T00:00:00"/>
    <d v="2024-02-19T00:00:00"/>
    <n v="6"/>
    <x v="3"/>
    <s v="Migraine"/>
    <x v="6"/>
    <s v="Chemotherapy"/>
    <x v="3"/>
    <s v="Dr. Nisha Joshi"/>
    <n v="141"/>
    <s v="Semi-Private"/>
    <x v="4"/>
    <n v="93644"/>
    <n v="0"/>
    <n v="93644"/>
    <n v="65527"/>
    <n v="13433"/>
    <n v="10337"/>
    <s v="No"/>
    <n v="83"/>
    <n v="4.8"/>
    <x v="2"/>
  </r>
  <r>
    <x v="653"/>
    <s v="Rajesh Singh"/>
    <n v="62"/>
    <x v="1"/>
    <s v="AB+"/>
    <s v="Lucknow"/>
    <d v="2023-12-08T00:00:00"/>
    <d v="2023-12-20T00:00:00"/>
    <n v="12"/>
    <x v="3"/>
    <s v="Migraine"/>
    <x v="6"/>
    <s v="Radiation Therapy"/>
    <x v="0"/>
    <s v="Dr. Anjali Joshi"/>
    <n v="46"/>
    <s v="ICU"/>
    <x v="4"/>
    <n v="113187"/>
    <n v="0"/>
    <n v="113187"/>
    <n v="96286"/>
    <n v="8489"/>
    <n v="4909"/>
    <s v="No"/>
    <n v="56"/>
    <n v="3.4"/>
    <x v="2"/>
  </r>
  <r>
    <x v="654"/>
    <s v="Kavya Iyer"/>
    <n v="71"/>
    <x v="1"/>
    <s v="A+"/>
    <s v="Kolkata"/>
    <d v="2024-01-17T00:00:00"/>
    <d v="2024-01-19T00:00:00"/>
    <n v="2"/>
    <x v="2"/>
    <s v="Cancer"/>
    <x v="3"/>
    <s v="Physiotherapy"/>
    <x v="1"/>
    <s v="Dr. Shalini Nair"/>
    <n v="26"/>
    <s v="Private"/>
    <x v="2"/>
    <n v="161695"/>
    <n v="111237"/>
    <n v="50458"/>
    <n v="142692"/>
    <n v="9360"/>
    <n v="7923"/>
    <s v="No"/>
    <n v="57"/>
    <n v="4.5999999999999996"/>
    <x v="2"/>
  </r>
  <r>
    <x v="655"/>
    <s v="Kavya Khanna"/>
    <n v="44"/>
    <x v="1"/>
    <s v="A-"/>
    <s v="Chennai"/>
    <d v="2022-07-08T00:00:00"/>
    <d v="2022-07-28T00:00:00"/>
    <n v="20"/>
    <x v="0"/>
    <s v="Diabetes Type 2"/>
    <x v="9"/>
    <s v="Physiotherapy"/>
    <x v="3"/>
    <s v="Dr. Deepak Gupta"/>
    <n v="483"/>
    <s v="ICU"/>
    <x v="0"/>
    <n v="84326"/>
    <n v="48976"/>
    <n v="35350"/>
    <n v="66930"/>
    <n v="1563"/>
    <n v="13733"/>
    <s v="Yes"/>
    <n v="89"/>
    <n v="2.2999999999999998"/>
    <x v="2"/>
  </r>
  <r>
    <x v="656"/>
    <s v="Ritu Kumar"/>
    <n v="64"/>
    <x v="0"/>
    <s v="B+"/>
    <s v="Bangalore"/>
    <d v="2024-12-28T00:00:00"/>
    <d v="2024-12-31T00:00:00"/>
    <n v="3"/>
    <x v="4"/>
    <s v="Heart Attack"/>
    <x v="7"/>
    <s v="Medication"/>
    <x v="3"/>
    <s v="Dr. Sameer Singh"/>
    <n v="263"/>
    <s v="General Ward"/>
    <x v="1"/>
    <n v="148673"/>
    <n v="66918"/>
    <n v="81755"/>
    <n v="137254"/>
    <n v="2862"/>
    <n v="6952"/>
    <s v="No"/>
    <n v="94"/>
    <n v="2.4"/>
    <x v="0"/>
  </r>
  <r>
    <x v="657"/>
    <s v="Ashok Shah"/>
    <n v="78"/>
    <x v="0"/>
    <s v="AB-"/>
    <s v="Chennai"/>
    <d v="2024-07-20T00:00:00"/>
    <d v="2024-07-26T00:00:00"/>
    <n v="6"/>
    <x v="0"/>
    <s v="Appendicitis"/>
    <x v="0"/>
    <s v="Physiotherapy"/>
    <x v="1"/>
    <s v="Dr. Prerna Joshi"/>
    <n v="70"/>
    <s v="General Ward"/>
    <x v="4"/>
    <n v="162219"/>
    <n v="0"/>
    <n v="162219"/>
    <n v="125788"/>
    <n v="18330"/>
    <n v="13588"/>
    <s v="No"/>
    <n v="65"/>
    <n v="3.7"/>
    <x v="4"/>
  </r>
  <r>
    <x v="658"/>
    <s v="Mukesh Das"/>
    <n v="64"/>
    <x v="0"/>
    <s v="AB+"/>
    <s v="Hyderabad"/>
    <d v="2024-12-08T00:00:00"/>
    <d v="2024-12-31T00:00:00"/>
    <n v="23"/>
    <x v="0"/>
    <s v="Anemia"/>
    <x v="4"/>
    <s v="Counseling"/>
    <x v="0"/>
    <s v="Dr. Sameer Sharma"/>
    <n v="106"/>
    <s v="General Ward"/>
    <x v="1"/>
    <n v="136761"/>
    <n v="79502"/>
    <n v="57259"/>
    <n v="101338"/>
    <n v="28588"/>
    <n v="5389"/>
    <s v="No"/>
    <n v="64"/>
    <n v="2.9"/>
    <x v="3"/>
  </r>
  <r>
    <x v="659"/>
    <s v="Amit Bose"/>
    <n v="30"/>
    <x v="1"/>
    <s v="B-"/>
    <s v="Kolkata"/>
    <d v="2022-10-29T00:00:00"/>
    <d v="2022-11-13T00:00:00"/>
    <n v="15"/>
    <x v="0"/>
    <s v="Obesity"/>
    <x v="12"/>
    <s v="Dialysis"/>
    <x v="0"/>
    <s v="Dr. Kavita Mehta"/>
    <n v="9"/>
    <s v="Semi-Private"/>
    <x v="3"/>
    <n v="99612"/>
    <n v="81071"/>
    <n v="18541"/>
    <n v="71301"/>
    <n v="16950"/>
    <n v="7041"/>
    <s v="No"/>
    <n v="53"/>
    <n v="3.4"/>
    <x v="4"/>
  </r>
  <r>
    <x v="660"/>
    <s v="Priya Reddy"/>
    <n v="23"/>
    <x v="1"/>
    <s v="O+"/>
    <s v="Pune"/>
    <d v="2022-04-19T00:00:00"/>
    <d v="2022-05-01T00:00:00"/>
    <n v="12"/>
    <x v="0"/>
    <s v="COVID-19"/>
    <x v="1"/>
    <s v="Observation"/>
    <x v="1"/>
    <s v="Dr. Shalini Singh"/>
    <n v="182"/>
    <s v="ICU"/>
    <x v="2"/>
    <n v="143397"/>
    <n v="94362"/>
    <n v="49035"/>
    <n v="130687"/>
    <n v="3220"/>
    <n v="6275"/>
    <s v="No"/>
    <n v="50"/>
    <n v="2"/>
    <x v="3"/>
  </r>
  <r>
    <x v="661"/>
    <s v="Vikram Pillai"/>
    <n v="39"/>
    <x v="1"/>
    <s v="A+"/>
    <s v="Jaipur"/>
    <d v="2023-03-24T00:00:00"/>
    <d v="2023-04-14T00:00:00"/>
    <n v="21"/>
    <x v="6"/>
    <s v="Arthritis"/>
    <x v="11"/>
    <s v="Medication"/>
    <x v="0"/>
    <s v="Dr. Vivek Kumar"/>
    <n v="409"/>
    <s v="ICU"/>
    <x v="4"/>
    <n v="108382"/>
    <n v="0"/>
    <n v="108382"/>
    <n v="90601"/>
    <n v="10336"/>
    <n v="6528"/>
    <s v="No"/>
    <n v="77"/>
    <n v="2.4"/>
    <x v="4"/>
  </r>
  <r>
    <x v="662"/>
    <s v="Vijay Bose"/>
    <n v="60"/>
    <x v="1"/>
    <s v="A-"/>
    <s v="Bangalore"/>
    <d v="2024-02-13T00:00:00"/>
    <d v="2024-02-24T00:00:00"/>
    <n v="11"/>
    <x v="0"/>
    <s v="COVID-19"/>
    <x v="1"/>
    <s v="Physiotherapy"/>
    <x v="2"/>
    <s v="Dr. Kavita Patel"/>
    <n v="316"/>
    <s v="ICU"/>
    <x v="4"/>
    <n v="118651"/>
    <n v="0"/>
    <n v="118651"/>
    <n v="108389"/>
    <n v="8216"/>
    <n v="1186"/>
    <s v="No"/>
    <n v="48"/>
    <n v="2.6"/>
    <x v="0"/>
  </r>
  <r>
    <x v="663"/>
    <s v="Suresh Khanna"/>
    <n v="24"/>
    <x v="0"/>
    <s v="O+"/>
    <s v="Chennai"/>
    <d v="2022-01-02T00:00:00"/>
    <d v="2022-01-05T00:00:00"/>
    <n v="3"/>
    <x v="4"/>
    <s v="Heart Attack"/>
    <x v="7"/>
    <s v="Dialysis"/>
    <x v="0"/>
    <s v="Dr. Prerna Reddy"/>
    <n v="240"/>
    <s v="Semi-Private"/>
    <x v="3"/>
    <n v="54298"/>
    <n v="45801"/>
    <n v="8497"/>
    <n v="34946"/>
    <n v="3620"/>
    <n v="11467"/>
    <s v="No"/>
    <n v="86"/>
    <n v="4.9000000000000004"/>
    <x v="4"/>
  </r>
  <r>
    <x v="664"/>
    <s v="Rohan Iyer"/>
    <n v="76"/>
    <x v="0"/>
    <s v="O-"/>
    <s v="Jaipur"/>
    <d v="2022-11-15T00:00:00"/>
    <d v="2022-12-07T00:00:00"/>
    <n v="22"/>
    <x v="0"/>
    <s v="Obesity"/>
    <x v="12"/>
    <s v="Dialysis"/>
    <x v="2"/>
    <s v="Dr. Kavita Sharma"/>
    <n v="223"/>
    <s v="ICU"/>
    <x v="4"/>
    <n v="118706"/>
    <n v="0"/>
    <n v="118706"/>
    <n v="91023"/>
    <n v="17673"/>
    <n v="5424"/>
    <s v="No"/>
    <n v="65"/>
    <n v="2.2000000000000002"/>
    <x v="0"/>
  </r>
  <r>
    <x v="665"/>
    <s v="Deepa Nair"/>
    <n v="18"/>
    <x v="1"/>
    <s v="B-"/>
    <s v="Chennai"/>
    <d v="2023-05-25T00:00:00"/>
    <d v="2023-06-09T00:00:00"/>
    <n v="15"/>
    <x v="5"/>
    <s v="Pneumonia"/>
    <x v="8"/>
    <s v="Counseling"/>
    <x v="3"/>
    <s v="Dr. Vivek Joshi"/>
    <n v="215"/>
    <s v="Private"/>
    <x v="4"/>
    <n v="42815"/>
    <n v="0"/>
    <n v="42815"/>
    <n v="26267"/>
    <n v="8946"/>
    <n v="3161"/>
    <s v="No"/>
    <n v="82"/>
    <n v="2.2000000000000002"/>
    <x v="1"/>
  </r>
  <r>
    <x v="666"/>
    <s v="Sonia Patel"/>
    <n v="60"/>
    <x v="0"/>
    <s v="AB+"/>
    <s v="Bangalore"/>
    <d v="2024-04-28T00:00:00"/>
    <d v="2024-05-14T00:00:00"/>
    <n v="16"/>
    <x v="4"/>
    <s v="Hypertension"/>
    <x v="7"/>
    <s v="ICU Care"/>
    <x v="1"/>
    <s v="Dr. Rakesh Reddy"/>
    <n v="250"/>
    <s v="ICU"/>
    <x v="3"/>
    <n v="85359"/>
    <n v="58551"/>
    <n v="26808"/>
    <n v="61106"/>
    <n v="14281"/>
    <n v="7546"/>
    <s v="No"/>
    <n v="50"/>
    <n v="3"/>
    <x v="0"/>
  </r>
  <r>
    <x v="667"/>
    <s v="Amit Iyer"/>
    <n v="53"/>
    <x v="1"/>
    <s v="A-"/>
    <s v="Delhi"/>
    <d v="2022-06-18T00:00:00"/>
    <d v="2022-07-14T00:00:00"/>
    <n v="26"/>
    <x v="4"/>
    <s v="Hypertension"/>
    <x v="7"/>
    <s v="Counseling"/>
    <x v="0"/>
    <s v="Dr. Anjali Patel"/>
    <n v="479"/>
    <s v="Semi-Private"/>
    <x v="2"/>
    <n v="26163"/>
    <n v="16745"/>
    <n v="9418"/>
    <n v="5547"/>
    <n v="16440"/>
    <n v="3409"/>
    <s v="No"/>
    <n v="63"/>
    <n v="4"/>
    <x v="1"/>
  </r>
  <r>
    <x v="668"/>
    <s v="Sunita Iyer"/>
    <n v="16"/>
    <x v="1"/>
    <s v="B+"/>
    <s v="Hyderabad"/>
    <d v="2023-11-08T00:00:00"/>
    <d v="2023-11-12T00:00:00"/>
    <n v="4"/>
    <x v="0"/>
    <s v="Diabetes Type 2"/>
    <x v="9"/>
    <s v="Surgery"/>
    <x v="1"/>
    <s v="Dr. Shalini Sharma"/>
    <n v="421"/>
    <s v="Semi-Private"/>
    <x v="0"/>
    <n v="145383"/>
    <n v="69813"/>
    <n v="75570"/>
    <n v="107462"/>
    <n v="28007"/>
    <n v="8534"/>
    <s v="No"/>
    <n v="93"/>
    <n v="3.6"/>
    <x v="0"/>
  </r>
  <r>
    <x v="669"/>
    <s v="Deepa Gupta"/>
    <n v="13"/>
    <x v="0"/>
    <s v="O+"/>
    <s v="Bangalore"/>
    <d v="2024-11-20T00:00:00"/>
    <d v="2024-11-24T00:00:00"/>
    <n v="4"/>
    <x v="0"/>
    <s v="Typhoid"/>
    <x v="1"/>
    <s v="Chemotherapy"/>
    <x v="3"/>
    <s v="Dr. Arun Joshi"/>
    <n v="437"/>
    <s v="Private"/>
    <x v="0"/>
    <n v="167806"/>
    <n v="115033"/>
    <n v="52773"/>
    <n v="128905"/>
    <n v="27550"/>
    <n v="7913"/>
    <s v="No"/>
    <n v="81"/>
    <n v="4.0999999999999996"/>
    <x v="4"/>
  </r>
  <r>
    <x v="670"/>
    <s v="Pooja Reddy"/>
    <n v="44"/>
    <x v="0"/>
    <s v="B-"/>
    <s v="Chennai"/>
    <d v="2024-08-02T00:00:00"/>
    <d v="2024-08-07T00:00:00"/>
    <n v="5"/>
    <x v="5"/>
    <s v="Pneumonia"/>
    <x v="8"/>
    <s v="Surgery"/>
    <x v="1"/>
    <s v="Dr. Shalini Patel"/>
    <n v="76"/>
    <s v="General Ward"/>
    <x v="3"/>
    <n v="57393"/>
    <n v="39299"/>
    <n v="18094"/>
    <n v="38058"/>
    <n v="5893"/>
    <n v="12341"/>
    <s v="No"/>
    <n v="60"/>
    <n v="3.7"/>
    <x v="4"/>
  </r>
  <r>
    <x v="671"/>
    <s v="Pooja Khanna"/>
    <n v="20"/>
    <x v="0"/>
    <s v="B-"/>
    <s v="Ahmedabad"/>
    <d v="2022-03-11T00:00:00"/>
    <d v="2022-03-23T00:00:00"/>
    <n v="12"/>
    <x v="4"/>
    <s v="Heart Attack"/>
    <x v="7"/>
    <s v="Chemotherapy"/>
    <x v="3"/>
    <s v="Dr. Prerna Sharma"/>
    <n v="17"/>
    <s v="Private"/>
    <x v="3"/>
    <n v="94479"/>
    <n v="75347"/>
    <n v="19132"/>
    <n v="53906"/>
    <n v="27624"/>
    <n v="8652"/>
    <s v="No"/>
    <n v="85"/>
    <n v="4.5999999999999996"/>
    <x v="4"/>
  </r>
  <r>
    <x v="672"/>
    <s v="Vikram Verma"/>
    <n v="59"/>
    <x v="0"/>
    <s v="B+"/>
    <s v="Mumbai"/>
    <d v="2022-12-03T00:00:00"/>
    <d v="2022-12-12T00:00:00"/>
    <n v="9"/>
    <x v="0"/>
    <s v="Anemia"/>
    <x v="4"/>
    <s v="Radiation Therapy"/>
    <x v="3"/>
    <s v="Dr. Sameer Sharma"/>
    <n v="453"/>
    <s v="Semi-Private"/>
    <x v="0"/>
    <n v="171603"/>
    <n v="115350"/>
    <n v="56253"/>
    <n v="139423"/>
    <n v="20789"/>
    <n v="8615"/>
    <s v="No"/>
    <n v="66"/>
    <n v="2.1"/>
    <x v="3"/>
  </r>
  <r>
    <x v="673"/>
    <s v="Rajesh Shah"/>
    <n v="48"/>
    <x v="0"/>
    <s v="O-"/>
    <s v="Mumbai"/>
    <d v="2022-08-03T00:00:00"/>
    <d v="2022-08-19T00:00:00"/>
    <n v="16"/>
    <x v="6"/>
    <s v="Arthritis"/>
    <x v="11"/>
    <s v="Chemotherapy"/>
    <x v="2"/>
    <s v="Dr. Nisha Nair"/>
    <n v="141"/>
    <s v="ICU"/>
    <x v="1"/>
    <n v="85737"/>
    <n v="45997"/>
    <n v="39740"/>
    <n v="56553"/>
    <n v="15252"/>
    <n v="13110"/>
    <s v="No"/>
    <n v="75"/>
    <n v="2.9"/>
    <x v="4"/>
  </r>
  <r>
    <x v="674"/>
    <s v="Priya Rao"/>
    <n v="47"/>
    <x v="1"/>
    <s v="AB+"/>
    <s v="Lucknow"/>
    <d v="2022-05-09T00:00:00"/>
    <d v="2022-05-25T00:00:00"/>
    <n v="16"/>
    <x v="0"/>
    <s v="Anemia"/>
    <x v="4"/>
    <s v="Dietary Management"/>
    <x v="2"/>
    <s v="Dr. Nisha Rao"/>
    <n v="115"/>
    <s v="ICU"/>
    <x v="4"/>
    <n v="121361"/>
    <n v="0"/>
    <n v="121361"/>
    <n v="83717"/>
    <n v="22366"/>
    <n v="14461"/>
    <s v="No"/>
    <n v="82"/>
    <n v="4.7"/>
    <x v="1"/>
  </r>
  <r>
    <x v="675"/>
    <s v="Karan Nair"/>
    <n v="5"/>
    <x v="1"/>
    <s v="A+"/>
    <s v="Chennai"/>
    <d v="2024-07-09T00:00:00"/>
    <d v="2024-07-17T00:00:00"/>
    <n v="8"/>
    <x v="3"/>
    <s v="Migraine"/>
    <x v="6"/>
    <s v="Observation"/>
    <x v="1"/>
    <s v="Dr. Prerna Singh"/>
    <n v="275"/>
    <s v="ICU"/>
    <x v="2"/>
    <n v="181504"/>
    <n v="150770"/>
    <n v="30734"/>
    <n v="136531"/>
    <n v="29460"/>
    <n v="12505"/>
    <s v="No"/>
    <n v="71"/>
    <n v="5"/>
    <x v="2"/>
  </r>
  <r>
    <x v="676"/>
    <s v="Ritu Pillai"/>
    <n v="41"/>
    <x v="1"/>
    <s v="B-"/>
    <s v="Kolkata"/>
    <d v="2023-11-04T00:00:00"/>
    <d v="2023-11-10T00:00:00"/>
    <n v="6"/>
    <x v="0"/>
    <s v="Depression"/>
    <x v="5"/>
    <s v="Medication"/>
    <x v="0"/>
    <s v="Dr. Prerna Kumar"/>
    <n v="332"/>
    <s v="Semi-Private"/>
    <x v="3"/>
    <n v="19924"/>
    <n v="12965"/>
    <n v="6959"/>
    <n v="10423"/>
    <n v="4259"/>
    <n v="2627"/>
    <s v="No"/>
    <n v="56"/>
    <n v="3.2"/>
    <x v="4"/>
  </r>
  <r>
    <x v="677"/>
    <s v="Suresh Joshi"/>
    <n v="51"/>
    <x v="1"/>
    <s v="O+"/>
    <s v="Hyderabad"/>
    <d v="2022-05-21T00:00:00"/>
    <d v="2022-05-24T00:00:00"/>
    <n v="3"/>
    <x v="5"/>
    <s v="Pneumonia"/>
    <x v="8"/>
    <s v="Medication"/>
    <x v="2"/>
    <s v="Dr. Prerna Singh"/>
    <n v="495"/>
    <s v="Semi-Private"/>
    <x v="2"/>
    <n v="142451"/>
    <n v="118206"/>
    <n v="24245"/>
    <n v="123303"/>
    <n v="12060"/>
    <n v="2489"/>
    <s v="No"/>
    <n v="69"/>
    <n v="3.5"/>
    <x v="4"/>
  </r>
  <r>
    <x v="678"/>
    <s v="Sunita Menon"/>
    <n v="40"/>
    <x v="1"/>
    <s v="O-"/>
    <s v="Delhi"/>
    <d v="2023-12-25T00:00:00"/>
    <d v="2023-12-31T00:00:00"/>
    <n v="6"/>
    <x v="3"/>
    <s v="Migraine"/>
    <x v="6"/>
    <s v="Counseling"/>
    <x v="3"/>
    <s v="Dr. Arun Rao"/>
    <n v="412"/>
    <s v="General Ward"/>
    <x v="2"/>
    <n v="61237"/>
    <n v="46334"/>
    <n v="14903"/>
    <n v="47543"/>
    <n v="5777"/>
    <n v="6104"/>
    <s v="No"/>
    <n v="52"/>
    <n v="3.4"/>
    <x v="1"/>
  </r>
  <r>
    <x v="679"/>
    <s v="Aditya Verma"/>
    <n v="54"/>
    <x v="0"/>
    <s v="A-"/>
    <s v="Jaipur"/>
    <d v="2024-04-04T00:00:00"/>
    <d v="2024-04-11T00:00:00"/>
    <n v="7"/>
    <x v="4"/>
    <s v="Heart Attack"/>
    <x v="7"/>
    <s v="Dietary Management"/>
    <x v="0"/>
    <s v="Dr. Shalini Patel"/>
    <n v="500"/>
    <s v="Semi-Private"/>
    <x v="3"/>
    <n v="148013"/>
    <n v="97649"/>
    <n v="50364"/>
    <n v="125023"/>
    <n v="13690"/>
    <n v="5779"/>
    <s v="Yes"/>
    <n v="68"/>
    <n v="2.6"/>
    <x v="0"/>
  </r>
  <r>
    <x v="680"/>
    <s v="Nisha Sharma"/>
    <n v="52"/>
    <x v="0"/>
    <s v="AB+"/>
    <s v="Mumbai"/>
    <d v="2023-10-08T00:00:00"/>
    <d v="2023-11-05T00:00:00"/>
    <n v="28"/>
    <x v="0"/>
    <s v="COVID-19"/>
    <x v="1"/>
    <s v="Physiotherapy"/>
    <x v="1"/>
    <s v="Dr. Shalini Nair"/>
    <n v="288"/>
    <s v="General Ward"/>
    <x v="1"/>
    <n v="68994"/>
    <n v="30076"/>
    <n v="38918"/>
    <n v="40591"/>
    <n v="16513"/>
    <n v="8599"/>
    <s v="No"/>
    <n v="90"/>
    <n v="4.5"/>
    <x v="1"/>
  </r>
  <r>
    <x v="681"/>
    <s v="Kavya Rao"/>
    <n v="73"/>
    <x v="0"/>
    <s v="O+"/>
    <s v="Mumbai"/>
    <d v="2022-08-07T00:00:00"/>
    <d v="2022-08-09T00:00:00"/>
    <n v="2"/>
    <x v="1"/>
    <s v="UTI"/>
    <x v="2"/>
    <s v="Dialysis"/>
    <x v="0"/>
    <s v="Dr. Sameer Singh"/>
    <n v="175"/>
    <s v="ICU"/>
    <x v="2"/>
    <n v="163419"/>
    <n v="113170"/>
    <n v="50249"/>
    <n v="144188"/>
    <n v="12920"/>
    <n v="1730"/>
    <s v="No"/>
    <n v="41"/>
    <n v="2.1"/>
    <x v="1"/>
  </r>
  <r>
    <x v="682"/>
    <s v="Amit Joshi"/>
    <n v="16"/>
    <x v="1"/>
    <s v="A-"/>
    <s v="Pune"/>
    <d v="2022-08-21T00:00:00"/>
    <d v="2022-08-25T00:00:00"/>
    <n v="4"/>
    <x v="5"/>
    <s v="Asthma"/>
    <x v="8"/>
    <s v="ICU Care"/>
    <x v="1"/>
    <s v="Dr. Sameer Rao"/>
    <n v="109"/>
    <s v="General Ward"/>
    <x v="0"/>
    <n v="38462"/>
    <n v="25919"/>
    <n v="12543"/>
    <n v="17865"/>
    <n v="10060"/>
    <n v="5603"/>
    <s v="Yes"/>
    <n v="85"/>
    <n v="3.6"/>
    <x v="0"/>
  </r>
  <r>
    <x v="683"/>
    <s v="Rekha Pillai"/>
    <n v="43"/>
    <x v="0"/>
    <s v="A-"/>
    <s v="Kolkata"/>
    <d v="2022-03-25T00:00:00"/>
    <d v="2022-04-04T00:00:00"/>
    <n v="10"/>
    <x v="0"/>
    <s v="Anemia"/>
    <x v="4"/>
    <s v="ICU Care"/>
    <x v="3"/>
    <s v="Dr. Arun Mehta"/>
    <n v="36"/>
    <s v="General Ward"/>
    <x v="1"/>
    <n v="19713"/>
    <n v="10660"/>
    <n v="9053"/>
    <n v="6051"/>
    <n v="4500"/>
    <n v="8314"/>
    <s v="No"/>
    <n v="74"/>
    <n v="2.2999999999999998"/>
    <x v="2"/>
  </r>
  <r>
    <x v="684"/>
    <s v="Sanjay Pillai"/>
    <n v="36"/>
    <x v="1"/>
    <s v="O-"/>
    <s v="Bangalore"/>
    <d v="2023-01-15T00:00:00"/>
    <d v="2023-02-05T00:00:00"/>
    <n v="21"/>
    <x v="0"/>
    <s v="Obesity"/>
    <x v="12"/>
    <s v="Medication"/>
    <x v="0"/>
    <s v="Dr. Kavita Mehta"/>
    <n v="87"/>
    <s v="Semi-Private"/>
    <x v="3"/>
    <n v="41519"/>
    <n v="32094"/>
    <n v="9425"/>
    <n v="6385"/>
    <n v="23328"/>
    <n v="9068"/>
    <s v="No"/>
    <n v="93"/>
    <n v="2.6"/>
    <x v="0"/>
  </r>
  <r>
    <x v="685"/>
    <s v="Kavya Patel"/>
    <n v="60"/>
    <x v="1"/>
    <s v="AB+"/>
    <s v="Chennai"/>
    <d v="2024-12-16T00:00:00"/>
    <d v="2024-12-26T00:00:00"/>
    <n v="10"/>
    <x v="1"/>
    <s v="Kidney Stone"/>
    <x v="2"/>
    <s v="Observation"/>
    <x v="0"/>
    <s v="Dr. Shalini Singh"/>
    <n v="138"/>
    <s v="Semi-Private"/>
    <x v="1"/>
    <n v="71810"/>
    <n v="42691"/>
    <n v="29119"/>
    <n v="37675"/>
    <n v="24163"/>
    <n v="7384"/>
    <s v="No"/>
    <n v="47"/>
    <n v="3.2"/>
    <x v="2"/>
  </r>
  <r>
    <x v="686"/>
    <s v="Geeta Nair"/>
    <n v="21"/>
    <x v="1"/>
    <s v="A-"/>
    <s v="Chennai"/>
    <d v="2022-09-29T00:00:00"/>
    <d v="2022-10-22T00:00:00"/>
    <n v="23"/>
    <x v="0"/>
    <s v="Diabetes Type 2"/>
    <x v="9"/>
    <s v="Chemotherapy"/>
    <x v="1"/>
    <s v="Dr. Prerna Joshi"/>
    <n v="69"/>
    <s v="Semi-Private"/>
    <x v="4"/>
    <n v="57114"/>
    <n v="0"/>
    <n v="57114"/>
    <n v="34520"/>
    <n v="19827"/>
    <n v="546"/>
    <s v="No"/>
    <n v="93"/>
    <n v="4.0999999999999996"/>
    <x v="4"/>
  </r>
  <r>
    <x v="687"/>
    <s v="Sneha Verma"/>
    <n v="31"/>
    <x v="0"/>
    <s v="B+"/>
    <s v="Bangalore"/>
    <d v="2022-09-10T00:00:00"/>
    <d v="2022-10-08T00:00:00"/>
    <n v="28"/>
    <x v="1"/>
    <s v="Kidney Stone"/>
    <x v="2"/>
    <s v="Observation"/>
    <x v="0"/>
    <s v="Dr. Deepak Singh"/>
    <n v="228"/>
    <s v="Semi-Private"/>
    <x v="0"/>
    <n v="81285"/>
    <n v="53728"/>
    <n v="27557"/>
    <n v="59206"/>
    <n v="13753"/>
    <n v="6286"/>
    <s v="No"/>
    <n v="82"/>
    <n v="2.7"/>
    <x v="4"/>
  </r>
  <r>
    <x v="688"/>
    <s v="Rohan Khanna"/>
    <n v="11"/>
    <x v="0"/>
    <s v="A+"/>
    <s v="Kolkata"/>
    <d v="2024-08-07T00:00:00"/>
    <d v="2024-08-13T00:00:00"/>
    <n v="6"/>
    <x v="0"/>
    <s v="Diabetes Type 2"/>
    <x v="9"/>
    <s v="Radiation Therapy"/>
    <x v="3"/>
    <s v="Dr. Kavita Joshi"/>
    <n v="57"/>
    <s v="Private"/>
    <x v="0"/>
    <n v="96847"/>
    <n v="61083"/>
    <n v="35764"/>
    <n v="79303"/>
    <n v="10153"/>
    <n v="3400"/>
    <s v="No"/>
    <n v="88"/>
    <n v="3.6"/>
    <x v="0"/>
  </r>
  <r>
    <x v="689"/>
    <s v="Sunil Shah"/>
    <n v="43"/>
    <x v="1"/>
    <s v="AB-"/>
    <s v="Chennai"/>
    <d v="2023-07-19T00:00:00"/>
    <d v="2023-08-15T00:00:00"/>
    <n v="27"/>
    <x v="0"/>
    <s v="Typhoid"/>
    <x v="1"/>
    <s v="Dialysis"/>
    <x v="2"/>
    <s v="Dr. Anjali Reddy"/>
    <n v="225"/>
    <s v="Semi-Private"/>
    <x v="2"/>
    <n v="100705"/>
    <n v="67035"/>
    <n v="33670"/>
    <n v="66452"/>
    <n v="22142"/>
    <n v="8461"/>
    <s v="No"/>
    <n v="72"/>
    <n v="3.9"/>
    <x v="2"/>
  </r>
  <r>
    <x v="690"/>
    <s v="Sneha Nair"/>
    <n v="52"/>
    <x v="0"/>
    <s v="A-"/>
    <s v="Hyderabad"/>
    <d v="2024-11-23T00:00:00"/>
    <d v="2024-12-19T00:00:00"/>
    <n v="26"/>
    <x v="1"/>
    <s v="UTI"/>
    <x v="2"/>
    <s v="Medication"/>
    <x v="1"/>
    <s v="Dr. Shalini Patel"/>
    <n v="124"/>
    <s v="Private"/>
    <x v="4"/>
    <n v="111161"/>
    <n v="0"/>
    <n v="111161"/>
    <n v="69040"/>
    <n v="25829"/>
    <n v="11451"/>
    <s v="No"/>
    <n v="80"/>
    <n v="3.5"/>
    <x v="0"/>
  </r>
  <r>
    <x v="691"/>
    <s v="Aditya Gupta"/>
    <n v="7"/>
    <x v="0"/>
    <s v="AB+"/>
    <s v="Lucknow"/>
    <d v="2023-11-30T00:00:00"/>
    <d v="2023-12-01T00:00:00"/>
    <n v="1"/>
    <x v="0"/>
    <s v="Typhoid"/>
    <x v="1"/>
    <s v="Physiotherapy"/>
    <x v="1"/>
    <s v="Dr. Rakesh Joshi"/>
    <n v="129"/>
    <s v="Private"/>
    <x v="1"/>
    <n v="89403"/>
    <n v="38338"/>
    <n v="51065"/>
    <n v="57289"/>
    <n v="21606"/>
    <n v="7085"/>
    <s v="No"/>
    <n v="52"/>
    <n v="4.7"/>
    <x v="1"/>
  </r>
  <r>
    <x v="692"/>
    <s v="Priya Verma"/>
    <n v="50"/>
    <x v="0"/>
    <s v="B-"/>
    <s v="Jaipur"/>
    <d v="2023-11-14T00:00:00"/>
    <d v="2023-11-30T00:00:00"/>
    <n v="16"/>
    <x v="2"/>
    <s v="Cancer"/>
    <x v="3"/>
    <s v="Counseling"/>
    <x v="1"/>
    <s v="Dr. Prerna Patel"/>
    <n v="290"/>
    <s v="Semi-Private"/>
    <x v="0"/>
    <n v="145463"/>
    <n v="78568"/>
    <n v="66895"/>
    <n v="112671"/>
    <n v="29395"/>
    <n v="1218"/>
    <s v="No"/>
    <n v="87"/>
    <n v="2.2000000000000002"/>
    <x v="0"/>
  </r>
  <r>
    <x v="693"/>
    <s v="Sunil Gupta"/>
    <n v="33"/>
    <x v="1"/>
    <s v="B-"/>
    <s v="Pune"/>
    <d v="2022-07-18T00:00:00"/>
    <d v="2022-07-20T00:00:00"/>
    <n v="2"/>
    <x v="5"/>
    <s v="Asthma"/>
    <x v="8"/>
    <s v="Dietary Management"/>
    <x v="0"/>
    <s v="Dr. Prerna Singh"/>
    <n v="330"/>
    <s v="ICU"/>
    <x v="0"/>
    <n v="47523"/>
    <n v="20342"/>
    <n v="27181"/>
    <n v="29505"/>
    <n v="12167"/>
    <n v="4378"/>
    <s v="No"/>
    <n v="78"/>
    <n v="3.6"/>
    <x v="2"/>
  </r>
  <r>
    <x v="694"/>
    <s v="Priya Bose"/>
    <n v="40"/>
    <x v="1"/>
    <s v="A+"/>
    <s v="Ahmedabad"/>
    <d v="2023-03-20T00:00:00"/>
    <d v="2023-04-15T00:00:00"/>
    <n v="26"/>
    <x v="0"/>
    <s v="Anemia"/>
    <x v="4"/>
    <s v="Surgery"/>
    <x v="1"/>
    <s v="Dr. Deepak Rao"/>
    <n v="118"/>
    <s v="Private"/>
    <x v="2"/>
    <n v="150421"/>
    <n v="124247"/>
    <n v="26174"/>
    <n v="116963"/>
    <n v="23818"/>
    <n v="6217"/>
    <s v="No"/>
    <n v="50"/>
    <n v="2.1"/>
    <x v="3"/>
  </r>
  <r>
    <x v="695"/>
    <s v="Rajesh Iyer"/>
    <n v="7"/>
    <x v="0"/>
    <s v="B-"/>
    <s v="Bangalore"/>
    <d v="2022-11-18T00:00:00"/>
    <d v="2022-11-26T00:00:00"/>
    <n v="8"/>
    <x v="0"/>
    <s v="Diabetes Type 2"/>
    <x v="9"/>
    <s v="Chemotherapy"/>
    <x v="2"/>
    <s v="Dr. Kavita Mehta"/>
    <n v="152"/>
    <s v="ICU"/>
    <x v="2"/>
    <n v="143454"/>
    <n v="87428"/>
    <n v="56026"/>
    <n v="122825"/>
    <n v="8393"/>
    <n v="10635"/>
    <s v="No"/>
    <n v="86"/>
    <n v="2.6"/>
    <x v="1"/>
  </r>
  <r>
    <x v="696"/>
    <s v="Ashok Khanna"/>
    <n v="24"/>
    <x v="1"/>
    <s v="B+"/>
    <s v="Ahmedabad"/>
    <d v="2024-02-14T00:00:00"/>
    <d v="2024-02-15T00:00:00"/>
    <n v="1"/>
    <x v="4"/>
    <s v="Heart Attack"/>
    <x v="7"/>
    <s v="Medication"/>
    <x v="2"/>
    <s v="Dr. Vivek Patel"/>
    <n v="44"/>
    <s v="Semi-Private"/>
    <x v="0"/>
    <n v="38917"/>
    <n v="20641"/>
    <n v="18276"/>
    <n v="24192"/>
    <n v="6037"/>
    <n v="7300"/>
    <s v="No"/>
    <n v="50"/>
    <n v="2.8"/>
    <x v="0"/>
  </r>
  <r>
    <x v="697"/>
    <s v="Manoj Pillai"/>
    <n v="72"/>
    <x v="0"/>
    <s v="AB-"/>
    <s v="Bangalore"/>
    <d v="2024-12-27T00:00:00"/>
    <d v="2024-12-31T00:00:00"/>
    <n v="4"/>
    <x v="0"/>
    <s v="Obesity"/>
    <x v="12"/>
    <s v="Radiation Therapy"/>
    <x v="0"/>
    <s v="Dr. Sameer Rao"/>
    <n v="429"/>
    <s v="ICU"/>
    <x v="4"/>
    <n v="109980"/>
    <n v="0"/>
    <n v="109980"/>
    <n v="87766"/>
    <n v="9527"/>
    <n v="10433"/>
    <s v="No"/>
    <n v="91"/>
    <n v="4.3"/>
    <x v="3"/>
  </r>
  <r>
    <x v="698"/>
    <s v="Suresh Chopra"/>
    <n v="42"/>
    <x v="0"/>
    <s v="AB-"/>
    <s v="Delhi"/>
    <d v="2022-08-25T00:00:00"/>
    <d v="2022-09-20T00:00:00"/>
    <n v="26"/>
    <x v="5"/>
    <s v="Pneumonia"/>
    <x v="8"/>
    <s v="Chemotherapy"/>
    <x v="1"/>
    <s v="Dr. Deepak Gupta"/>
    <n v="203"/>
    <s v="Semi-Private"/>
    <x v="2"/>
    <n v="159398"/>
    <n v="133844"/>
    <n v="25554"/>
    <n v="140778"/>
    <n v="6891"/>
    <n v="9331"/>
    <s v="No"/>
    <n v="43"/>
    <n v="3.5"/>
    <x v="0"/>
  </r>
  <r>
    <x v="699"/>
    <s v="Ritu Singh"/>
    <n v="35"/>
    <x v="1"/>
    <s v="O-"/>
    <s v="Jaipur"/>
    <d v="2022-07-11T00:00:00"/>
    <d v="2022-07-20T00:00:00"/>
    <n v="9"/>
    <x v="5"/>
    <s v="Asthma"/>
    <x v="8"/>
    <s v="Counseling"/>
    <x v="2"/>
    <s v="Dr. Sameer Sharma"/>
    <n v="219"/>
    <s v="ICU"/>
    <x v="0"/>
    <n v="84681"/>
    <n v="51624"/>
    <n v="33057"/>
    <n v="41624"/>
    <n v="27308"/>
    <n v="13443"/>
    <s v="Yes"/>
    <n v="49"/>
    <n v="3.9"/>
    <x v="3"/>
  </r>
  <r>
    <x v="700"/>
    <s v="Pooja Pillai"/>
    <n v="15"/>
    <x v="0"/>
    <s v="AB-"/>
    <s v="Bangalore"/>
    <d v="2023-07-20T00:00:00"/>
    <d v="2023-08-17T00:00:00"/>
    <n v="28"/>
    <x v="0"/>
    <s v="Dengue"/>
    <x v="1"/>
    <s v="Medication"/>
    <x v="1"/>
    <s v="Dr. Arun Sharma"/>
    <n v="442"/>
    <s v="General Ward"/>
    <x v="2"/>
    <n v="110019"/>
    <n v="68739"/>
    <n v="41280"/>
    <n v="89540"/>
    <n v="6404"/>
    <n v="12911"/>
    <s v="No"/>
    <n v="100"/>
    <n v="4.4000000000000004"/>
    <x v="4"/>
  </r>
  <r>
    <x v="701"/>
    <s v="Lata Pillai"/>
    <n v="52"/>
    <x v="1"/>
    <s v="A+"/>
    <s v="Bangalore"/>
    <d v="2023-12-25T00:00:00"/>
    <d v="2024-01-05T00:00:00"/>
    <n v="11"/>
    <x v="3"/>
    <s v="Migraine"/>
    <x v="6"/>
    <s v="Counseling"/>
    <x v="3"/>
    <s v="Dr. Rakesh Singh"/>
    <n v="82"/>
    <s v="General Ward"/>
    <x v="1"/>
    <n v="80823"/>
    <n v="43890"/>
    <n v="36933"/>
    <n v="43782"/>
    <n v="20672"/>
    <n v="11446"/>
    <s v="No"/>
    <n v="98"/>
    <n v="4.3"/>
    <x v="2"/>
  </r>
  <r>
    <x v="702"/>
    <s v="Ananya Rao"/>
    <n v="69"/>
    <x v="1"/>
    <s v="O-"/>
    <s v="Kolkata"/>
    <d v="2024-08-18T00:00:00"/>
    <d v="2024-08-20T00:00:00"/>
    <n v="2"/>
    <x v="6"/>
    <s v="Arthritis"/>
    <x v="11"/>
    <s v="Radiation Therapy"/>
    <x v="1"/>
    <s v="Dr. Arun Rao"/>
    <n v="26"/>
    <s v="General Ward"/>
    <x v="4"/>
    <n v="92222"/>
    <n v="0"/>
    <n v="92222"/>
    <n v="69385"/>
    <n v="13382"/>
    <n v="6158"/>
    <s v="Yes"/>
    <n v="86"/>
    <n v="3.5"/>
    <x v="0"/>
  </r>
  <r>
    <x v="703"/>
    <s v="Vikram Chopra"/>
    <n v="53"/>
    <x v="1"/>
    <s v="B-"/>
    <s v="Kolkata"/>
    <d v="2022-11-02T00:00:00"/>
    <d v="2022-11-28T00:00:00"/>
    <n v="26"/>
    <x v="5"/>
    <s v="Asthma"/>
    <x v="8"/>
    <s v="Chemotherapy"/>
    <x v="3"/>
    <s v="Dr. Nisha Sharma"/>
    <n v="188"/>
    <s v="Private"/>
    <x v="0"/>
    <n v="130304"/>
    <n v="76554"/>
    <n v="53750"/>
    <n v="103389"/>
    <n v="24907"/>
    <n v="1186"/>
    <s v="Yes"/>
    <n v="53"/>
    <n v="2.7"/>
    <x v="0"/>
  </r>
  <r>
    <x v="704"/>
    <s v="Rekha Menon"/>
    <n v="76"/>
    <x v="0"/>
    <s v="O-"/>
    <s v="Mumbai"/>
    <d v="2024-12-12T00:00:00"/>
    <d v="2024-12-18T00:00:00"/>
    <n v="6"/>
    <x v="5"/>
    <s v="Pneumonia"/>
    <x v="8"/>
    <s v="Medication"/>
    <x v="3"/>
    <s v="Dr. Arun Patel"/>
    <n v="444"/>
    <s v="ICU"/>
    <x v="4"/>
    <n v="163074"/>
    <n v="0"/>
    <n v="163074"/>
    <n v="143562"/>
    <n v="5071"/>
    <n v="9606"/>
    <s v="No"/>
    <n v="56"/>
    <n v="3.9"/>
    <x v="1"/>
  </r>
  <r>
    <x v="705"/>
    <s v="Rekha Joshi"/>
    <n v="75"/>
    <x v="0"/>
    <s v="AB-"/>
    <s v="Chennai"/>
    <d v="2024-11-22T00:00:00"/>
    <d v="2024-11-29T00:00:00"/>
    <n v="7"/>
    <x v="3"/>
    <s v="Migraine"/>
    <x v="6"/>
    <s v="Counseling"/>
    <x v="1"/>
    <s v="Dr. Vivek Singh"/>
    <n v="125"/>
    <s v="Semi-Private"/>
    <x v="2"/>
    <n v="75891"/>
    <n v="62063"/>
    <n v="13828"/>
    <n v="42093"/>
    <n v="23827"/>
    <n v="7054"/>
    <s v="No"/>
    <n v="81"/>
    <n v="4"/>
    <x v="1"/>
  </r>
  <r>
    <x v="706"/>
    <s v="Pooja Rao"/>
    <n v="25"/>
    <x v="1"/>
    <s v="B-"/>
    <s v="Kolkata"/>
    <d v="2022-09-25T00:00:00"/>
    <d v="2022-10-07T00:00:00"/>
    <n v="12"/>
    <x v="6"/>
    <s v="Arthritis"/>
    <x v="11"/>
    <s v="Chemotherapy"/>
    <x v="1"/>
    <s v="Dr. Rakesh Singh"/>
    <n v="43"/>
    <s v="ICU"/>
    <x v="2"/>
    <n v="132380"/>
    <n v="85650"/>
    <n v="46730"/>
    <n v="107284"/>
    <n v="10555"/>
    <n v="10848"/>
    <s v="No"/>
    <n v="63"/>
    <n v="4.3"/>
    <x v="3"/>
  </r>
  <r>
    <x v="707"/>
    <s v="Ananya Chopra"/>
    <n v="34"/>
    <x v="0"/>
    <s v="O-"/>
    <s v="Jaipur"/>
    <d v="2023-01-18T00:00:00"/>
    <d v="2023-01-28T00:00:00"/>
    <n v="10"/>
    <x v="3"/>
    <s v="Stroke"/>
    <x v="6"/>
    <s v="Surgery"/>
    <x v="0"/>
    <s v="Dr. Vivek Singh"/>
    <n v="211"/>
    <s v="Private"/>
    <x v="4"/>
    <n v="178030"/>
    <n v="0"/>
    <n v="178030"/>
    <n v="139474"/>
    <n v="19864"/>
    <n v="13848"/>
    <s v="No"/>
    <n v="98"/>
    <n v="2.1"/>
    <x v="2"/>
  </r>
  <r>
    <x v="708"/>
    <s v="Geeta Kumar"/>
    <n v="52"/>
    <x v="1"/>
    <s v="B+"/>
    <s v="Hyderabad"/>
    <d v="2023-11-11T00:00:00"/>
    <d v="2023-12-05T00:00:00"/>
    <n v="24"/>
    <x v="5"/>
    <s v="Pneumonia"/>
    <x v="8"/>
    <s v="Dietary Management"/>
    <x v="1"/>
    <s v="Dr. Nisha Sharma"/>
    <n v="149"/>
    <s v="General Ward"/>
    <x v="4"/>
    <n v="81561"/>
    <n v="0"/>
    <n v="81561"/>
    <n v="67604"/>
    <n v="7705"/>
    <n v="4041"/>
    <s v="No"/>
    <n v="92"/>
    <n v="3.1"/>
    <x v="0"/>
  </r>
  <r>
    <x v="709"/>
    <s v="Rohan Iyer"/>
    <n v="45"/>
    <x v="1"/>
    <s v="AB+"/>
    <s v="Chennai"/>
    <d v="2022-10-17T00:00:00"/>
    <d v="2022-11-12T00:00:00"/>
    <n v="26"/>
    <x v="0"/>
    <s v="Appendicitis"/>
    <x v="0"/>
    <s v="Surgery"/>
    <x v="0"/>
    <s v="Dr. Deepak Gupta"/>
    <n v="370"/>
    <s v="General Ward"/>
    <x v="1"/>
    <n v="44770"/>
    <n v="25877"/>
    <n v="18893"/>
    <n v="17669"/>
    <n v="20872"/>
    <n v="3754"/>
    <s v="No"/>
    <n v="52"/>
    <n v="3.5"/>
    <x v="2"/>
  </r>
  <r>
    <x v="710"/>
    <s v="Karan Verma"/>
    <n v="33"/>
    <x v="1"/>
    <s v="AB+"/>
    <s v="Mumbai"/>
    <d v="2022-06-07T00:00:00"/>
    <d v="2022-06-10T00:00:00"/>
    <n v="3"/>
    <x v="0"/>
    <s v="Liver Disease"/>
    <x v="0"/>
    <s v="Radiation Therapy"/>
    <x v="3"/>
    <s v="Dr. Vivek Patel"/>
    <n v="237"/>
    <s v="ICU"/>
    <x v="1"/>
    <n v="146449"/>
    <n v="67749"/>
    <n v="78700"/>
    <n v="142487"/>
    <n v="1274"/>
    <n v="674"/>
    <s v="Yes"/>
    <n v="91"/>
    <n v="2.1"/>
    <x v="3"/>
  </r>
  <r>
    <x v="711"/>
    <s v="Amit Khanna"/>
    <n v="19"/>
    <x v="1"/>
    <s v="A+"/>
    <s v="Chennai"/>
    <d v="2024-02-12T00:00:00"/>
    <d v="2024-02-23T00:00:00"/>
    <n v="11"/>
    <x v="0"/>
    <s v="Typhoid"/>
    <x v="1"/>
    <s v="Dialysis"/>
    <x v="3"/>
    <s v="Dr. Shalini Patel"/>
    <n v="492"/>
    <s v="ICU"/>
    <x v="2"/>
    <n v="84716"/>
    <n v="54233"/>
    <n v="30483"/>
    <n v="61020"/>
    <n v="13837"/>
    <n v="6527"/>
    <s v="Yes"/>
    <n v="59"/>
    <n v="3.8"/>
    <x v="3"/>
  </r>
  <r>
    <x v="712"/>
    <s v="Rekha Das"/>
    <n v="78"/>
    <x v="0"/>
    <s v="A-"/>
    <s v="Jaipur"/>
    <d v="2023-08-22T00:00:00"/>
    <d v="2023-08-30T00:00:00"/>
    <n v="8"/>
    <x v="2"/>
    <s v="Cancer"/>
    <x v="3"/>
    <s v="Counseling"/>
    <x v="0"/>
    <s v="Dr. Nisha Sharma"/>
    <n v="301"/>
    <s v="Semi-Private"/>
    <x v="3"/>
    <n v="78273"/>
    <n v="69074"/>
    <n v="9199"/>
    <n v="56040"/>
    <n v="6590"/>
    <n v="13852"/>
    <s v="No"/>
    <n v="72"/>
    <n v="2.4"/>
    <x v="2"/>
  </r>
  <r>
    <x v="713"/>
    <s v="Sunil Nair"/>
    <n v="47"/>
    <x v="0"/>
    <s v="AB+"/>
    <s v="Delhi"/>
    <d v="2022-07-08T00:00:00"/>
    <d v="2022-07-17T00:00:00"/>
    <n v="9"/>
    <x v="0"/>
    <s v="Diabetes Type 2"/>
    <x v="9"/>
    <s v="Physiotherapy"/>
    <x v="0"/>
    <s v="Dr. Arun Kumar"/>
    <n v="323"/>
    <s v="General Ward"/>
    <x v="4"/>
    <n v="95422"/>
    <n v="0"/>
    <n v="95422"/>
    <n v="67298"/>
    <n v="17134"/>
    <n v="6979"/>
    <s v="No"/>
    <n v="90"/>
    <n v="4.2"/>
    <x v="0"/>
  </r>
  <r>
    <x v="714"/>
    <s v="Manoj Kumar"/>
    <n v="19"/>
    <x v="1"/>
    <s v="AB+"/>
    <s v="Mumbai"/>
    <d v="2022-03-28T00:00:00"/>
    <d v="2022-04-04T00:00:00"/>
    <n v="7"/>
    <x v="0"/>
    <s v="Diabetes Type 2"/>
    <x v="9"/>
    <s v="Chemotherapy"/>
    <x v="3"/>
    <s v="Dr. Vivek Joshi"/>
    <n v="453"/>
    <s v="General Ward"/>
    <x v="2"/>
    <n v="128261"/>
    <n v="79753"/>
    <n v="48508"/>
    <n v="106262"/>
    <n v="6046"/>
    <n v="11721"/>
    <s v="No"/>
    <n v="53"/>
    <n v="2.2999999999999998"/>
    <x v="2"/>
  </r>
  <r>
    <x v="715"/>
    <s v="Vijay Mehta"/>
    <n v="37"/>
    <x v="0"/>
    <s v="O-"/>
    <s v="Mumbai"/>
    <d v="2024-05-30T00:00:00"/>
    <d v="2024-06-16T00:00:00"/>
    <n v="17"/>
    <x v="0"/>
    <s v="Depression"/>
    <x v="5"/>
    <s v="Observation"/>
    <x v="1"/>
    <s v="Dr. Anjali Gupta"/>
    <n v="218"/>
    <s v="Semi-Private"/>
    <x v="1"/>
    <n v="95242"/>
    <n v="46394"/>
    <n v="48848"/>
    <n v="60275"/>
    <n v="18186"/>
    <n v="14121"/>
    <s v="No"/>
    <n v="47"/>
    <n v="2.7"/>
    <x v="0"/>
  </r>
  <r>
    <x v="716"/>
    <s v="Aditya Das"/>
    <n v="62"/>
    <x v="1"/>
    <s v="O-"/>
    <s v="Hyderabad"/>
    <d v="2023-05-02T00:00:00"/>
    <d v="2023-05-18T00:00:00"/>
    <n v="16"/>
    <x v="0"/>
    <s v="Depression"/>
    <x v="5"/>
    <s v="Physiotherapy"/>
    <x v="0"/>
    <s v="Dr. Arun Reddy"/>
    <n v="120"/>
    <s v="Private"/>
    <x v="1"/>
    <n v="46003"/>
    <n v="24633"/>
    <n v="21370"/>
    <n v="37541"/>
    <n v="2749"/>
    <n v="2178"/>
    <s v="No"/>
    <n v="78"/>
    <n v="4.5"/>
    <x v="0"/>
  </r>
  <r>
    <x v="717"/>
    <s v="Nisha Iyer"/>
    <n v="79"/>
    <x v="1"/>
    <s v="O+"/>
    <s v="Hyderabad"/>
    <d v="2023-01-08T00:00:00"/>
    <d v="2023-02-07T00:00:00"/>
    <n v="30"/>
    <x v="4"/>
    <s v="Hypertension"/>
    <x v="7"/>
    <s v="Dialysis"/>
    <x v="2"/>
    <s v="Dr. Vivek Rao"/>
    <n v="362"/>
    <s v="ICU"/>
    <x v="1"/>
    <n v="149241"/>
    <n v="96870"/>
    <n v="52371"/>
    <n v="103531"/>
    <n v="29494"/>
    <n v="13288"/>
    <s v="No"/>
    <n v="88"/>
    <n v="3.8"/>
    <x v="4"/>
  </r>
  <r>
    <x v="718"/>
    <s v="Rahul Das"/>
    <n v="42"/>
    <x v="1"/>
    <s v="O-"/>
    <s v="Lucknow"/>
    <d v="2024-02-26T00:00:00"/>
    <d v="2024-03-18T00:00:00"/>
    <n v="21"/>
    <x v="0"/>
    <s v="Obesity"/>
    <x v="12"/>
    <s v="Physiotherapy"/>
    <x v="3"/>
    <s v="Dr. Shalini Patel"/>
    <n v="151"/>
    <s v="General Ward"/>
    <x v="1"/>
    <n v="118548"/>
    <n v="81322"/>
    <n v="37226"/>
    <n v="86158"/>
    <n v="19660"/>
    <n v="10638"/>
    <s v="No"/>
    <n v="46"/>
    <n v="2.6"/>
    <x v="2"/>
  </r>
  <r>
    <x v="719"/>
    <s v="Deepa Gupta"/>
    <n v="60"/>
    <x v="0"/>
    <s v="A+"/>
    <s v="Kolkata"/>
    <d v="2022-02-17T00:00:00"/>
    <d v="2022-03-07T00:00:00"/>
    <n v="18"/>
    <x v="0"/>
    <s v="Typhoid"/>
    <x v="1"/>
    <s v="Observation"/>
    <x v="1"/>
    <s v="Dr. Anjali Joshi"/>
    <n v="498"/>
    <s v="General Ward"/>
    <x v="3"/>
    <n v="83214"/>
    <n v="63950"/>
    <n v="19264"/>
    <n v="50590"/>
    <n v="25552"/>
    <n v="4037"/>
    <s v="No"/>
    <n v="54"/>
    <n v="3.6"/>
    <x v="2"/>
  </r>
  <r>
    <x v="720"/>
    <s v="Amit Menon"/>
    <n v="51"/>
    <x v="1"/>
    <s v="B+"/>
    <s v="Jaipur"/>
    <d v="2022-02-05T00:00:00"/>
    <d v="2022-03-04T00:00:00"/>
    <n v="27"/>
    <x v="1"/>
    <s v="UTI"/>
    <x v="2"/>
    <s v="ICU Care"/>
    <x v="0"/>
    <s v="Dr. Prerna Mehta"/>
    <n v="462"/>
    <s v="ICU"/>
    <x v="4"/>
    <n v="47233"/>
    <n v="0"/>
    <n v="47233"/>
    <n v="12848"/>
    <n v="18997"/>
    <n v="13682"/>
    <s v="No"/>
    <n v="88"/>
    <n v="3.1"/>
    <x v="2"/>
  </r>
  <r>
    <x v="721"/>
    <s v="Pooja Nair"/>
    <n v="16"/>
    <x v="0"/>
    <s v="AB+"/>
    <s v="Pune"/>
    <d v="2024-04-13T00:00:00"/>
    <d v="2024-05-04T00:00:00"/>
    <n v="21"/>
    <x v="6"/>
    <s v="Fracture"/>
    <x v="10"/>
    <s v="Medication"/>
    <x v="0"/>
    <s v="Dr. Vivek Patel"/>
    <n v="345"/>
    <s v="Semi-Private"/>
    <x v="0"/>
    <n v="167945"/>
    <n v="116578"/>
    <n v="51367"/>
    <n v="143544"/>
    <n v="11279"/>
    <n v="9863"/>
    <s v="No"/>
    <n v="56"/>
    <n v="4.5"/>
    <x v="1"/>
  </r>
  <r>
    <x v="722"/>
    <s v="Karan Pillai"/>
    <n v="24"/>
    <x v="1"/>
    <s v="O+"/>
    <s v="Jaipur"/>
    <d v="2023-07-11T00:00:00"/>
    <d v="2023-08-01T00:00:00"/>
    <n v="21"/>
    <x v="0"/>
    <s v="Diabetes Type 2"/>
    <x v="9"/>
    <s v="Physiotherapy"/>
    <x v="0"/>
    <s v="Dr. Kavita Sharma"/>
    <n v="4"/>
    <s v="ICU"/>
    <x v="1"/>
    <n v="123644"/>
    <n v="53789"/>
    <n v="69855"/>
    <n v="107412"/>
    <n v="13756"/>
    <n v="1525"/>
    <s v="No"/>
    <n v="64"/>
    <n v="3.5"/>
    <x v="3"/>
  </r>
  <r>
    <x v="723"/>
    <s v="Rahul Mehta"/>
    <n v="83"/>
    <x v="0"/>
    <s v="A+"/>
    <s v="Mumbai"/>
    <d v="2022-05-16T00:00:00"/>
    <d v="2022-05-29T00:00:00"/>
    <n v="13"/>
    <x v="6"/>
    <s v="Arthritis"/>
    <x v="11"/>
    <s v="Dietary Management"/>
    <x v="3"/>
    <s v="Dr. Prerna Singh"/>
    <n v="323"/>
    <s v="General Ward"/>
    <x v="4"/>
    <n v="44220"/>
    <n v="0"/>
    <n v="44220"/>
    <n v="19240"/>
    <n v="15848"/>
    <n v="7181"/>
    <s v="No"/>
    <n v="73"/>
    <n v="2.6"/>
    <x v="0"/>
  </r>
  <r>
    <x v="724"/>
    <s v="Sunil Khanna"/>
    <n v="85"/>
    <x v="1"/>
    <s v="A+"/>
    <s v="Pune"/>
    <d v="2023-03-28T00:00:00"/>
    <d v="2023-04-18T00:00:00"/>
    <n v="21"/>
    <x v="5"/>
    <s v="Asthma"/>
    <x v="8"/>
    <s v="Medication"/>
    <x v="0"/>
    <s v="Dr. Anjali Gupta"/>
    <n v="307"/>
    <s v="Private"/>
    <x v="3"/>
    <n v="66836"/>
    <n v="57855"/>
    <n v="8981"/>
    <n v="47549"/>
    <n v="2906"/>
    <n v="12203"/>
    <s v="No"/>
    <n v="88"/>
    <n v="4.5999999999999996"/>
    <x v="2"/>
  </r>
  <r>
    <x v="725"/>
    <s v="Divya Gupta"/>
    <n v="49"/>
    <x v="1"/>
    <s v="A-"/>
    <s v="Ahmedabad"/>
    <d v="2024-08-29T00:00:00"/>
    <d v="2024-09-28T00:00:00"/>
    <n v="30"/>
    <x v="3"/>
    <s v="Migraine"/>
    <x v="6"/>
    <s v="Physiotherapy"/>
    <x v="1"/>
    <s v="Dr. Rakesh Sharma"/>
    <n v="204"/>
    <s v="Private"/>
    <x v="2"/>
    <n v="71728"/>
    <n v="48032"/>
    <n v="23696"/>
    <n v="56188"/>
    <n v="7502"/>
    <n v="3820"/>
    <s v="No"/>
    <n v="99"/>
    <n v="2.9"/>
    <x v="2"/>
  </r>
  <r>
    <x v="726"/>
    <s v="Suresh Shah"/>
    <n v="56"/>
    <x v="1"/>
    <s v="AB-"/>
    <s v="Jaipur"/>
    <d v="2022-06-12T00:00:00"/>
    <d v="2022-06-27T00:00:00"/>
    <n v="15"/>
    <x v="4"/>
    <s v="Hypertension"/>
    <x v="7"/>
    <s v="Physiotherapy"/>
    <x v="1"/>
    <s v="Dr. Prerna Rao"/>
    <n v="84"/>
    <s v="General Ward"/>
    <x v="3"/>
    <n v="59442"/>
    <n v="39909"/>
    <n v="19533"/>
    <n v="34522"/>
    <n v="8171"/>
    <n v="12793"/>
    <s v="No"/>
    <n v="82"/>
    <n v="3"/>
    <x v="4"/>
  </r>
  <r>
    <x v="727"/>
    <s v="Meera Pillai"/>
    <n v="78"/>
    <x v="0"/>
    <s v="AB+"/>
    <s v="Delhi"/>
    <d v="2023-01-25T00:00:00"/>
    <d v="2023-02-01T00:00:00"/>
    <n v="7"/>
    <x v="0"/>
    <s v="COVID-19"/>
    <x v="1"/>
    <s v="Counseling"/>
    <x v="3"/>
    <s v="Dr. Rakesh Singh"/>
    <n v="304"/>
    <s v="General Ward"/>
    <x v="0"/>
    <n v="98790"/>
    <n v="48230"/>
    <n v="50560"/>
    <n v="89678"/>
    <n v="2565"/>
    <n v="2807"/>
    <s v="Yes"/>
    <n v="92"/>
    <n v="2.2999999999999998"/>
    <x v="1"/>
  </r>
  <r>
    <x v="728"/>
    <s v="Deepa Patel"/>
    <n v="35"/>
    <x v="0"/>
    <s v="B-"/>
    <s v="Hyderabad"/>
    <d v="2022-07-28T00:00:00"/>
    <d v="2022-08-10T00:00:00"/>
    <n v="13"/>
    <x v="0"/>
    <s v="Typhoid"/>
    <x v="1"/>
    <s v="Surgery"/>
    <x v="2"/>
    <s v="Dr. Anjali Gupta"/>
    <n v="342"/>
    <s v="Semi-Private"/>
    <x v="0"/>
    <n v="42151"/>
    <n v="24942"/>
    <n v="17209"/>
    <n v="24707"/>
    <n v="1459"/>
    <n v="14163"/>
    <s v="No"/>
    <n v="97"/>
    <n v="4.5"/>
    <x v="0"/>
  </r>
  <r>
    <x v="729"/>
    <s v="Ashok Joshi"/>
    <n v="18"/>
    <x v="1"/>
    <s v="O+"/>
    <s v="Jaipur"/>
    <d v="2024-05-09T00:00:00"/>
    <d v="2024-05-15T00:00:00"/>
    <n v="6"/>
    <x v="0"/>
    <s v="Obesity"/>
    <x v="12"/>
    <s v="ICU Care"/>
    <x v="0"/>
    <s v="Dr. Shalini Gupta"/>
    <n v="120"/>
    <s v="ICU"/>
    <x v="0"/>
    <n v="171655"/>
    <n v="112335"/>
    <n v="59320"/>
    <n v="146389"/>
    <n v="8963"/>
    <n v="14862"/>
    <s v="No"/>
    <n v="83"/>
    <n v="5"/>
    <x v="4"/>
  </r>
  <r>
    <x v="730"/>
    <s v="Aditya Verma"/>
    <n v="34"/>
    <x v="0"/>
    <s v="A+"/>
    <s v="Ahmedabad"/>
    <d v="2024-05-27T00:00:00"/>
    <d v="2024-06-09T00:00:00"/>
    <n v="13"/>
    <x v="0"/>
    <s v="Appendicitis"/>
    <x v="0"/>
    <s v="Radiation Therapy"/>
    <x v="1"/>
    <s v="Dr. Vivek Gupta"/>
    <n v="121"/>
    <s v="ICU"/>
    <x v="1"/>
    <n v="86706"/>
    <n v="44179"/>
    <n v="42527"/>
    <n v="43415"/>
    <n v="29183"/>
    <n v="13482"/>
    <s v="Yes"/>
    <n v="74"/>
    <n v="2.4"/>
    <x v="2"/>
  </r>
  <r>
    <x v="731"/>
    <s v="Ananya Reddy"/>
    <n v="85"/>
    <x v="0"/>
    <s v="O-"/>
    <s v="Bangalore"/>
    <d v="2022-06-26T00:00:00"/>
    <d v="2022-07-09T00:00:00"/>
    <n v="13"/>
    <x v="1"/>
    <s v="Kidney Stone"/>
    <x v="2"/>
    <s v="ICU Care"/>
    <x v="0"/>
    <s v="Dr. Prerna Singh"/>
    <n v="208"/>
    <s v="Semi-Private"/>
    <x v="2"/>
    <n v="179443"/>
    <n v="111582"/>
    <n v="67861"/>
    <n v="142058"/>
    <n v="22341"/>
    <n v="13117"/>
    <s v="No"/>
    <n v="60"/>
    <n v="3.7"/>
    <x v="4"/>
  </r>
  <r>
    <x v="732"/>
    <s v="Vijay Menon"/>
    <n v="10"/>
    <x v="0"/>
    <s v="B-"/>
    <s v="Kolkata"/>
    <d v="2023-08-15T00:00:00"/>
    <d v="2023-09-10T00:00:00"/>
    <n v="26"/>
    <x v="0"/>
    <s v="Depression"/>
    <x v="5"/>
    <s v="Physiotherapy"/>
    <x v="2"/>
    <s v="Dr. Arun Kumar"/>
    <n v="409"/>
    <s v="General Ward"/>
    <x v="1"/>
    <n v="107175"/>
    <n v="56797"/>
    <n v="50378"/>
    <n v="65240"/>
    <n v="22702"/>
    <n v="14291"/>
    <s v="No"/>
    <n v="85"/>
    <n v="4.0999999999999996"/>
    <x v="0"/>
  </r>
  <r>
    <x v="733"/>
    <s v="Deepa Gupta"/>
    <n v="43"/>
    <x v="0"/>
    <s v="A-"/>
    <s v="Delhi"/>
    <d v="2023-08-04T00:00:00"/>
    <d v="2023-08-16T00:00:00"/>
    <n v="12"/>
    <x v="0"/>
    <s v="COVID-19"/>
    <x v="1"/>
    <s v="Counseling"/>
    <x v="0"/>
    <s v="Dr. Arun Gupta"/>
    <n v="47"/>
    <s v="Private"/>
    <x v="0"/>
    <n v="96747"/>
    <n v="50033"/>
    <n v="46714"/>
    <n v="66677"/>
    <n v="18824"/>
    <n v="7080"/>
    <s v="No"/>
    <n v="89"/>
    <n v="4.9000000000000004"/>
    <x v="2"/>
  </r>
  <r>
    <x v="734"/>
    <s v="Aditya Menon"/>
    <n v="62"/>
    <x v="0"/>
    <s v="AB+"/>
    <s v="Delhi"/>
    <d v="2022-05-11T00:00:00"/>
    <d v="2022-06-04T00:00:00"/>
    <n v="24"/>
    <x v="0"/>
    <s v="COVID-19"/>
    <x v="1"/>
    <s v="Dietary Management"/>
    <x v="0"/>
    <s v="Dr. Vivek Nair"/>
    <n v="77"/>
    <s v="ICU"/>
    <x v="1"/>
    <n v="176001"/>
    <n v="114597"/>
    <n v="61404"/>
    <n v="135344"/>
    <n v="24545"/>
    <n v="14352"/>
    <s v="Yes"/>
    <n v="73"/>
    <n v="3.7"/>
    <x v="4"/>
  </r>
  <r>
    <x v="735"/>
    <s v="Geeta Patel"/>
    <n v="73"/>
    <x v="0"/>
    <s v="A+"/>
    <s v="Kolkata"/>
    <d v="2023-01-17T00:00:00"/>
    <d v="2023-02-08T00:00:00"/>
    <n v="22"/>
    <x v="2"/>
    <s v="Cancer"/>
    <x v="3"/>
    <s v="Medication"/>
    <x v="3"/>
    <s v="Dr. Arun Kumar"/>
    <n v="387"/>
    <s v="ICU"/>
    <x v="3"/>
    <n v="124259"/>
    <n v="75697"/>
    <n v="48562"/>
    <n v="91999"/>
    <n v="23466"/>
    <n v="7981"/>
    <s v="Yes"/>
    <n v="57"/>
    <n v="4.7"/>
    <x v="2"/>
  </r>
  <r>
    <x v="736"/>
    <s v="Vijay Verma"/>
    <n v="52"/>
    <x v="0"/>
    <s v="O+"/>
    <s v="Bangalore"/>
    <d v="2024-12-08T00:00:00"/>
    <d v="2024-12-21T00:00:00"/>
    <n v="13"/>
    <x v="0"/>
    <s v="COVID-19"/>
    <x v="1"/>
    <s v="Observation"/>
    <x v="2"/>
    <s v="Dr. Sameer Kumar"/>
    <n v="424"/>
    <s v="Private"/>
    <x v="0"/>
    <n v="98967"/>
    <n v="61538"/>
    <n v="37429"/>
    <n v="69651"/>
    <n v="21773"/>
    <n v="2680"/>
    <s v="No"/>
    <n v="90"/>
    <n v="3.2"/>
    <x v="2"/>
  </r>
  <r>
    <x v="737"/>
    <s v="Rekha Mehta"/>
    <n v="74"/>
    <x v="1"/>
    <s v="O-"/>
    <s v="Kolkata"/>
    <d v="2022-12-03T00:00:00"/>
    <d v="2022-12-12T00:00:00"/>
    <n v="9"/>
    <x v="6"/>
    <s v="Fracture"/>
    <x v="10"/>
    <s v="Physiotherapy"/>
    <x v="3"/>
    <s v="Dr. Anjali Mehta"/>
    <n v="468"/>
    <s v="Private"/>
    <x v="3"/>
    <n v="75933"/>
    <n v="67111"/>
    <n v="8822"/>
    <n v="48956"/>
    <n v="19856"/>
    <n v="3315"/>
    <s v="No"/>
    <n v="84"/>
    <n v="2.7"/>
    <x v="0"/>
  </r>
  <r>
    <x v="738"/>
    <s v="Divya Shah"/>
    <n v="18"/>
    <x v="1"/>
    <s v="A-"/>
    <s v="Jaipur"/>
    <d v="2024-03-12T00:00:00"/>
    <d v="2024-03-24T00:00:00"/>
    <n v="12"/>
    <x v="1"/>
    <s v="Kidney Stone"/>
    <x v="2"/>
    <s v="Radiation Therapy"/>
    <x v="3"/>
    <s v="Dr. Vivek Nair"/>
    <n v="167"/>
    <s v="General Ward"/>
    <x v="1"/>
    <n v="126117"/>
    <n v="81656"/>
    <n v="44461"/>
    <n v="89001"/>
    <n v="25772"/>
    <n v="8491"/>
    <s v="No"/>
    <n v="52"/>
    <n v="2.9"/>
    <x v="0"/>
  </r>
  <r>
    <x v="739"/>
    <s v="Sneha Das"/>
    <n v="78"/>
    <x v="1"/>
    <s v="A-"/>
    <s v="Ahmedabad"/>
    <d v="2024-09-18T00:00:00"/>
    <d v="2024-09-24T00:00:00"/>
    <n v="6"/>
    <x v="0"/>
    <s v="Diabetes Type 2"/>
    <x v="9"/>
    <s v="Counseling"/>
    <x v="3"/>
    <s v="Dr. Shalini Reddy"/>
    <n v="138"/>
    <s v="General Ward"/>
    <x v="2"/>
    <n v="118348"/>
    <n v="74141"/>
    <n v="44207"/>
    <n v="100479"/>
    <n v="7887"/>
    <n v="6963"/>
    <s v="No"/>
    <n v="46"/>
    <n v="3"/>
    <x v="1"/>
  </r>
  <r>
    <x v="740"/>
    <s v="Suresh Kumar"/>
    <n v="32"/>
    <x v="1"/>
    <s v="O-"/>
    <s v="Lucknow"/>
    <d v="2023-03-16T00:00:00"/>
    <d v="2023-04-12T00:00:00"/>
    <n v="27"/>
    <x v="0"/>
    <s v="Anemia"/>
    <x v="4"/>
    <s v="Counseling"/>
    <x v="1"/>
    <s v="Dr. Kavita Joshi"/>
    <n v="230"/>
    <s v="Private"/>
    <x v="2"/>
    <n v="37130"/>
    <n v="30043"/>
    <n v="7087"/>
    <n v="9209"/>
    <n v="21341"/>
    <n v="4854"/>
    <s v="No"/>
    <n v="46"/>
    <n v="2.9"/>
    <x v="3"/>
  </r>
  <r>
    <x v="741"/>
    <s v="Priya Shah"/>
    <n v="27"/>
    <x v="0"/>
    <s v="AB+"/>
    <s v="Lucknow"/>
    <d v="2024-12-19T00:00:00"/>
    <d v="2024-12-23T00:00:00"/>
    <n v="4"/>
    <x v="0"/>
    <s v="Obesity"/>
    <x v="12"/>
    <s v="Radiation Therapy"/>
    <x v="1"/>
    <s v="Dr. Shalini Mehta"/>
    <n v="388"/>
    <s v="ICU"/>
    <x v="2"/>
    <n v="94098"/>
    <n v="80304"/>
    <n v="13794"/>
    <n v="76219"/>
    <n v="12828"/>
    <n v="2626"/>
    <s v="No"/>
    <n v="94"/>
    <n v="4.3"/>
    <x v="4"/>
  </r>
  <r>
    <x v="742"/>
    <s v="Ananya Gupta"/>
    <n v="47"/>
    <x v="0"/>
    <s v="AB+"/>
    <s v="Mumbai"/>
    <d v="2023-10-27T00:00:00"/>
    <d v="2023-11-24T00:00:00"/>
    <n v="28"/>
    <x v="0"/>
    <s v="Obesity"/>
    <x v="12"/>
    <s v="Observation"/>
    <x v="0"/>
    <s v="Dr. Deepak Gupta"/>
    <n v="144"/>
    <s v="Private"/>
    <x v="0"/>
    <n v="73713"/>
    <n v="40768"/>
    <n v="32945"/>
    <n v="41233"/>
    <n v="17145"/>
    <n v="12068"/>
    <s v="No"/>
    <n v="97"/>
    <n v="4"/>
    <x v="0"/>
  </r>
  <r>
    <x v="743"/>
    <s v="Rajesh Verma"/>
    <n v="80"/>
    <x v="0"/>
    <s v="O-"/>
    <s v="Pune"/>
    <d v="2023-08-13T00:00:00"/>
    <d v="2023-08-19T00:00:00"/>
    <n v="6"/>
    <x v="6"/>
    <s v="Arthritis"/>
    <x v="11"/>
    <s v="Dialysis"/>
    <x v="1"/>
    <s v="Dr. Prerna Joshi"/>
    <n v="171"/>
    <s v="General Ward"/>
    <x v="0"/>
    <n v="38553"/>
    <n v="17225"/>
    <n v="21328"/>
    <n v="6640"/>
    <n v="29917"/>
    <n v="1145"/>
    <s v="No"/>
    <n v="80"/>
    <n v="2.7"/>
    <x v="2"/>
  </r>
  <r>
    <x v="744"/>
    <s v="Rahul Reddy"/>
    <n v="21"/>
    <x v="1"/>
    <s v="O-"/>
    <s v="Pune"/>
    <d v="2022-05-22T00:00:00"/>
    <d v="2022-05-29T00:00:00"/>
    <n v="7"/>
    <x v="4"/>
    <s v="Hypertension"/>
    <x v="7"/>
    <s v="ICU Care"/>
    <x v="0"/>
    <s v="Dr. Arun Nair"/>
    <n v="105"/>
    <s v="ICU"/>
    <x v="1"/>
    <n v="81065"/>
    <n v="39801"/>
    <n v="41264"/>
    <n v="52749"/>
    <n v="23347"/>
    <n v="2144"/>
    <s v="No"/>
    <n v="73"/>
    <n v="3.9"/>
    <x v="4"/>
  </r>
  <r>
    <x v="745"/>
    <s v="Sanjay Menon"/>
    <n v="67"/>
    <x v="1"/>
    <s v="AB-"/>
    <s v="Chennai"/>
    <d v="2024-05-16T00:00:00"/>
    <d v="2024-05-31T00:00:00"/>
    <n v="15"/>
    <x v="0"/>
    <s v="COVID-19"/>
    <x v="1"/>
    <s v="Observation"/>
    <x v="2"/>
    <s v="Dr. Arun Mehta"/>
    <n v="188"/>
    <s v="Semi-Private"/>
    <x v="4"/>
    <n v="94774"/>
    <n v="0"/>
    <n v="94774"/>
    <n v="80474"/>
    <n v="7853"/>
    <n v="1640"/>
    <s v="No"/>
    <n v="92"/>
    <n v="2.5"/>
    <x v="0"/>
  </r>
  <r>
    <x v="746"/>
    <s v="Lata Kumar"/>
    <n v="22"/>
    <x v="1"/>
    <s v="A-"/>
    <s v="Bangalore"/>
    <d v="2023-02-14T00:00:00"/>
    <d v="2023-03-06T00:00:00"/>
    <n v="20"/>
    <x v="5"/>
    <s v="Pneumonia"/>
    <x v="8"/>
    <s v="Dialysis"/>
    <x v="1"/>
    <s v="Dr. Arun Joshi"/>
    <n v="379"/>
    <s v="General Ward"/>
    <x v="2"/>
    <n v="160180"/>
    <n v="119632"/>
    <n v="40548"/>
    <n v="141207"/>
    <n v="9019"/>
    <n v="7305"/>
    <s v="No"/>
    <n v="75"/>
    <n v="3.4"/>
    <x v="3"/>
  </r>
  <r>
    <x v="747"/>
    <s v="Ritu Joshi"/>
    <n v="65"/>
    <x v="0"/>
    <s v="A-"/>
    <s v="Ahmedabad"/>
    <d v="2022-12-29T00:00:00"/>
    <d v="2023-01-24T00:00:00"/>
    <n v="26"/>
    <x v="4"/>
    <s v="Heart Attack"/>
    <x v="7"/>
    <s v="Radiation Therapy"/>
    <x v="0"/>
    <s v="Dr. Nisha Singh"/>
    <n v="383"/>
    <s v="Private"/>
    <x v="1"/>
    <n v="97813"/>
    <n v="43666"/>
    <n v="54147"/>
    <n v="74633"/>
    <n v="16854"/>
    <n v="2722"/>
    <s v="No"/>
    <n v="42"/>
    <n v="3"/>
    <x v="0"/>
  </r>
  <r>
    <x v="748"/>
    <s v="Rahul Das"/>
    <n v="63"/>
    <x v="0"/>
    <s v="B-"/>
    <s v="Delhi"/>
    <d v="2024-03-14T00:00:00"/>
    <d v="2024-03-16T00:00:00"/>
    <n v="2"/>
    <x v="0"/>
    <s v="Depression"/>
    <x v="5"/>
    <s v="Radiation Therapy"/>
    <x v="1"/>
    <s v="Dr. Anjali Mehta"/>
    <n v="33"/>
    <s v="ICU"/>
    <x v="0"/>
    <n v="88176"/>
    <n v="59760"/>
    <n v="28416"/>
    <n v="56988"/>
    <n v="15512"/>
    <n v="13397"/>
    <s v="No"/>
    <n v="51"/>
    <n v="4.9000000000000004"/>
    <x v="3"/>
  </r>
  <r>
    <x v="749"/>
    <s v="Amit Joshi"/>
    <n v="27"/>
    <x v="1"/>
    <s v="B-"/>
    <s v="Kolkata"/>
    <d v="2022-12-17T00:00:00"/>
    <d v="2022-12-21T00:00:00"/>
    <n v="4"/>
    <x v="0"/>
    <s v="Anemia"/>
    <x v="4"/>
    <s v="Dietary Management"/>
    <x v="1"/>
    <s v="Dr. Rakesh Reddy"/>
    <n v="284"/>
    <s v="Semi-Private"/>
    <x v="0"/>
    <n v="74997"/>
    <n v="45804"/>
    <n v="29193"/>
    <n v="48663"/>
    <n v="11652"/>
    <n v="11203"/>
    <s v="No"/>
    <n v="76"/>
    <n v="4.5999999999999996"/>
    <x v="0"/>
  </r>
  <r>
    <x v="750"/>
    <s v="Suresh Verma"/>
    <n v="76"/>
    <x v="0"/>
    <s v="O+"/>
    <s v="Kolkata"/>
    <d v="2022-09-08T00:00:00"/>
    <d v="2022-09-24T00:00:00"/>
    <n v="16"/>
    <x v="0"/>
    <s v="COVID-19"/>
    <x v="1"/>
    <s v="Chemotherapy"/>
    <x v="2"/>
    <s v="Dr. Vivek Singh"/>
    <n v="127"/>
    <s v="General Ward"/>
    <x v="1"/>
    <n v="119006"/>
    <n v="68224"/>
    <n v="50782"/>
    <n v="92195"/>
    <n v="9553"/>
    <n v="14679"/>
    <s v="No"/>
    <n v="71"/>
    <n v="3.8"/>
    <x v="3"/>
  </r>
  <r>
    <x v="751"/>
    <s v="Ananya Malhotra"/>
    <n v="82"/>
    <x v="0"/>
    <s v="A+"/>
    <s v="Bangalore"/>
    <d v="2022-12-24T00:00:00"/>
    <d v="2023-01-08T00:00:00"/>
    <n v="15"/>
    <x v="6"/>
    <s v="Fracture"/>
    <x v="10"/>
    <s v="Medication"/>
    <x v="3"/>
    <s v="Dr. Kavita Rao"/>
    <n v="240"/>
    <s v="ICU"/>
    <x v="2"/>
    <n v="93502"/>
    <n v="59980"/>
    <n v="33522"/>
    <n v="61160"/>
    <n v="17067"/>
    <n v="12098"/>
    <s v="No"/>
    <n v="100"/>
    <n v="4.7"/>
    <x v="2"/>
  </r>
  <r>
    <x v="752"/>
    <s v="Vikram Gupta"/>
    <n v="8"/>
    <x v="1"/>
    <s v="B+"/>
    <s v="Pune"/>
    <d v="2024-03-24T00:00:00"/>
    <d v="2024-04-17T00:00:00"/>
    <n v="24"/>
    <x v="0"/>
    <s v="Diabetes Type 2"/>
    <x v="9"/>
    <s v="Chemotherapy"/>
    <x v="2"/>
    <s v="Dr. Arun Sharma"/>
    <n v="136"/>
    <s v="ICU"/>
    <x v="1"/>
    <n v="158440"/>
    <n v="104426"/>
    <n v="54014"/>
    <n v="127054"/>
    <n v="17994"/>
    <n v="8748"/>
    <s v="No"/>
    <n v="83"/>
    <n v="2.6"/>
    <x v="1"/>
  </r>
  <r>
    <x v="753"/>
    <s v="Sunita Das"/>
    <n v="50"/>
    <x v="1"/>
    <s v="B-"/>
    <s v="Jaipur"/>
    <d v="2024-03-18T00:00:00"/>
    <d v="2024-04-17T00:00:00"/>
    <n v="30"/>
    <x v="0"/>
    <s v="Diabetes Type 2"/>
    <x v="9"/>
    <s v="Chemotherapy"/>
    <x v="1"/>
    <s v="Dr. Rakesh Singh"/>
    <n v="121"/>
    <s v="ICU"/>
    <x v="2"/>
    <n v="102749"/>
    <n v="72342"/>
    <n v="30407"/>
    <n v="89078"/>
    <n v="4587"/>
    <n v="8040"/>
    <s v="No"/>
    <n v="53"/>
    <n v="4.5999999999999996"/>
    <x v="0"/>
  </r>
  <r>
    <x v="754"/>
    <s v="Mukesh Singh"/>
    <n v="7"/>
    <x v="1"/>
    <s v="B+"/>
    <s v="Lucknow"/>
    <d v="2023-12-15T00:00:00"/>
    <d v="2024-01-06T00:00:00"/>
    <n v="22"/>
    <x v="4"/>
    <s v="Hypertension"/>
    <x v="7"/>
    <s v="Dialysis"/>
    <x v="2"/>
    <s v="Dr. Anjali Singh"/>
    <n v="335"/>
    <s v="Semi-Private"/>
    <x v="2"/>
    <n v="71477"/>
    <n v="64162"/>
    <n v="7315"/>
    <n v="56467"/>
    <n v="1160"/>
    <n v="9946"/>
    <s v="Yes"/>
    <n v="83"/>
    <n v="3.8"/>
    <x v="3"/>
  </r>
  <r>
    <x v="755"/>
    <s v="Divya Kumar"/>
    <n v="23"/>
    <x v="0"/>
    <s v="A+"/>
    <s v="Bangalore"/>
    <d v="2022-11-07T00:00:00"/>
    <d v="2022-11-11T00:00:00"/>
    <n v="4"/>
    <x v="3"/>
    <s v="Stroke"/>
    <x v="6"/>
    <s v="Surgery"/>
    <x v="0"/>
    <s v="Dr. Vivek Gupta"/>
    <n v="386"/>
    <s v="Semi-Private"/>
    <x v="2"/>
    <n v="70411"/>
    <n v="44696"/>
    <n v="25715"/>
    <n v="35190"/>
    <n v="20852"/>
    <n v="13138"/>
    <s v="No"/>
    <n v="46"/>
    <n v="2.4"/>
    <x v="2"/>
  </r>
  <r>
    <x v="756"/>
    <s v="Priya Kumar"/>
    <n v="84"/>
    <x v="1"/>
    <s v="AB-"/>
    <s v="Bangalore"/>
    <d v="2023-12-04T00:00:00"/>
    <d v="2023-12-26T00:00:00"/>
    <n v="22"/>
    <x v="6"/>
    <s v="Arthritis"/>
    <x v="11"/>
    <s v="Chemotherapy"/>
    <x v="2"/>
    <s v="Dr. Shalini Reddy"/>
    <n v="19"/>
    <s v="Private"/>
    <x v="1"/>
    <n v="80578"/>
    <n v="37269"/>
    <n v="43309"/>
    <n v="55448"/>
    <n v="15137"/>
    <n v="6730"/>
    <s v="Yes"/>
    <n v="51"/>
    <n v="3.4"/>
    <x v="1"/>
  </r>
  <r>
    <x v="757"/>
    <s v="Vijay Das"/>
    <n v="18"/>
    <x v="1"/>
    <s v="O+"/>
    <s v="Bangalore"/>
    <d v="2022-07-25T00:00:00"/>
    <d v="2022-07-28T00:00:00"/>
    <n v="3"/>
    <x v="1"/>
    <s v="UTI"/>
    <x v="2"/>
    <s v="Counseling"/>
    <x v="0"/>
    <s v="Dr. Deepak Mehta"/>
    <n v="473"/>
    <s v="Private"/>
    <x v="2"/>
    <n v="101844"/>
    <n v="72581"/>
    <n v="29263"/>
    <n v="90626"/>
    <n v="5411"/>
    <n v="2959"/>
    <s v="Yes"/>
    <n v="92"/>
    <n v="3.8"/>
    <x v="1"/>
  </r>
  <r>
    <x v="758"/>
    <s v="Nisha Chopra"/>
    <n v="13"/>
    <x v="1"/>
    <s v="B-"/>
    <s v="Lucknow"/>
    <d v="2023-12-09T00:00:00"/>
    <d v="2023-12-14T00:00:00"/>
    <n v="5"/>
    <x v="0"/>
    <s v="Obesity"/>
    <x v="12"/>
    <s v="Medication"/>
    <x v="1"/>
    <s v="Dr. Kavita Gupta"/>
    <n v="61"/>
    <s v="Semi-Private"/>
    <x v="4"/>
    <n v="79451"/>
    <n v="0"/>
    <n v="79451"/>
    <n v="55005"/>
    <n v="14889"/>
    <n v="6382"/>
    <s v="No"/>
    <n v="64"/>
    <n v="2.9"/>
    <x v="2"/>
  </r>
  <r>
    <x v="759"/>
    <s v="Suresh Sharma"/>
    <n v="38"/>
    <x v="1"/>
    <s v="B+"/>
    <s v="Mumbai"/>
    <d v="2022-10-16T00:00:00"/>
    <d v="2022-11-01T00:00:00"/>
    <n v="16"/>
    <x v="0"/>
    <s v="Diabetes Type 2"/>
    <x v="9"/>
    <s v="Surgery"/>
    <x v="3"/>
    <s v="Dr. Shalini Mehta"/>
    <n v="246"/>
    <s v="Semi-Private"/>
    <x v="1"/>
    <n v="148180"/>
    <n v="85903"/>
    <n v="62277"/>
    <n v="134723"/>
    <n v="10107"/>
    <n v="1488"/>
    <s v="Yes"/>
    <n v="86"/>
    <n v="4.2"/>
    <x v="3"/>
  </r>
  <r>
    <x v="760"/>
    <s v="Pooja Khanna"/>
    <n v="80"/>
    <x v="1"/>
    <s v="AB+"/>
    <s v="Chennai"/>
    <d v="2022-09-24T00:00:00"/>
    <d v="2022-09-29T00:00:00"/>
    <n v="5"/>
    <x v="1"/>
    <s v="UTI"/>
    <x v="2"/>
    <s v="Surgery"/>
    <x v="3"/>
    <s v="Dr. Nisha Singh"/>
    <n v="488"/>
    <s v="Semi-Private"/>
    <x v="2"/>
    <n v="102105"/>
    <n v="62255"/>
    <n v="39850"/>
    <n v="63153"/>
    <n v="23976"/>
    <n v="12138"/>
    <s v="Yes"/>
    <n v="41"/>
    <n v="3.8"/>
    <x v="4"/>
  </r>
  <r>
    <x v="761"/>
    <s v="Meera Iyer"/>
    <n v="62"/>
    <x v="0"/>
    <s v="AB+"/>
    <s v="Hyderabad"/>
    <d v="2022-05-13T00:00:00"/>
    <d v="2022-05-25T00:00:00"/>
    <n v="12"/>
    <x v="0"/>
    <s v="COVID-19"/>
    <x v="1"/>
    <s v="ICU Care"/>
    <x v="3"/>
    <s v="Dr. Rakesh Joshi"/>
    <n v="432"/>
    <s v="Semi-Private"/>
    <x v="0"/>
    <n v="103244"/>
    <n v="45537"/>
    <n v="57707"/>
    <n v="70871"/>
    <n v="16714"/>
    <n v="14288"/>
    <s v="No"/>
    <n v="69"/>
    <n v="3.3"/>
    <x v="3"/>
  </r>
  <r>
    <x v="762"/>
    <s v="Priya Pillai"/>
    <n v="12"/>
    <x v="1"/>
    <s v="A-"/>
    <s v="Mumbai"/>
    <d v="2023-03-01T00:00:00"/>
    <d v="2023-03-02T00:00:00"/>
    <n v="1"/>
    <x v="0"/>
    <s v="Anemia"/>
    <x v="4"/>
    <s v="Chemotherapy"/>
    <x v="1"/>
    <s v="Dr. Anjali Joshi"/>
    <n v="142"/>
    <s v="General Ward"/>
    <x v="3"/>
    <n v="72128"/>
    <n v="55056"/>
    <n v="17072"/>
    <n v="47434"/>
    <n v="14887"/>
    <n v="8958"/>
    <s v="No"/>
    <n v="91"/>
    <n v="4.2"/>
    <x v="1"/>
  </r>
  <r>
    <x v="763"/>
    <s v="Sunil Kumar"/>
    <n v="23"/>
    <x v="1"/>
    <s v="A-"/>
    <s v="Pune"/>
    <d v="2022-05-05T00:00:00"/>
    <d v="2022-05-20T00:00:00"/>
    <n v="15"/>
    <x v="6"/>
    <s v="Fracture"/>
    <x v="10"/>
    <s v="Counseling"/>
    <x v="1"/>
    <s v="Dr. Vivek Gupta"/>
    <n v="53"/>
    <s v="Semi-Private"/>
    <x v="2"/>
    <n v="157922"/>
    <n v="98529"/>
    <n v="59393"/>
    <n v="126096"/>
    <n v="24351"/>
    <n v="4255"/>
    <s v="Yes"/>
    <n v="95"/>
    <n v="2.9"/>
    <x v="0"/>
  </r>
  <r>
    <x v="764"/>
    <s v="Rohan Bose"/>
    <n v="43"/>
    <x v="1"/>
    <s v="AB+"/>
    <s v="Bangalore"/>
    <d v="2022-08-22T00:00:00"/>
    <d v="2022-09-14T00:00:00"/>
    <n v="23"/>
    <x v="3"/>
    <s v="Stroke"/>
    <x v="6"/>
    <s v="Medication"/>
    <x v="0"/>
    <s v="Dr. Sameer Kumar"/>
    <n v="273"/>
    <s v="Private"/>
    <x v="3"/>
    <n v="150812"/>
    <n v="112936"/>
    <n v="37876"/>
    <n v="116649"/>
    <n v="24049"/>
    <n v="7536"/>
    <s v="No"/>
    <n v="75"/>
    <n v="2"/>
    <x v="2"/>
  </r>
  <r>
    <x v="765"/>
    <s v="Sunita Mehta"/>
    <n v="82"/>
    <x v="0"/>
    <s v="B+"/>
    <s v="Ahmedabad"/>
    <d v="2023-06-05T00:00:00"/>
    <d v="2023-07-02T00:00:00"/>
    <n v="27"/>
    <x v="0"/>
    <s v="Anemia"/>
    <x v="4"/>
    <s v="Observation"/>
    <x v="2"/>
    <s v="Dr. Prerna Kumar"/>
    <n v="300"/>
    <s v="General Ward"/>
    <x v="1"/>
    <n v="103433"/>
    <n v="41962"/>
    <n v="61471"/>
    <n v="68058"/>
    <n v="28220"/>
    <n v="2764"/>
    <s v="Yes"/>
    <n v="57"/>
    <n v="3.2"/>
    <x v="4"/>
  </r>
  <r>
    <x v="766"/>
    <s v="Sneha Rao"/>
    <n v="47"/>
    <x v="1"/>
    <s v="A-"/>
    <s v="Delhi"/>
    <d v="2022-04-14T00:00:00"/>
    <d v="2022-04-29T00:00:00"/>
    <n v="15"/>
    <x v="0"/>
    <s v="Obesity"/>
    <x v="12"/>
    <s v="Radiation Therapy"/>
    <x v="1"/>
    <s v="Dr. Rakesh Sharma"/>
    <n v="11"/>
    <s v="Private"/>
    <x v="1"/>
    <n v="99817"/>
    <n v="64498"/>
    <n v="35319"/>
    <n v="66853"/>
    <n v="18821"/>
    <n v="13087"/>
    <s v="No"/>
    <n v="84"/>
    <n v="4.5999999999999996"/>
    <x v="1"/>
  </r>
  <r>
    <x v="767"/>
    <s v="Sanjay Sharma"/>
    <n v="45"/>
    <x v="1"/>
    <s v="A-"/>
    <s v="Pune"/>
    <d v="2022-12-19T00:00:00"/>
    <d v="2022-12-21T00:00:00"/>
    <n v="2"/>
    <x v="5"/>
    <s v="Asthma"/>
    <x v="8"/>
    <s v="Dietary Management"/>
    <x v="1"/>
    <s v="Dr. Shalini Singh"/>
    <n v="332"/>
    <s v="ICU"/>
    <x v="3"/>
    <n v="174170"/>
    <n v="138362"/>
    <n v="35808"/>
    <n v="143723"/>
    <n v="17148"/>
    <n v="10967"/>
    <s v="No"/>
    <n v="77"/>
    <n v="3.3"/>
    <x v="3"/>
  </r>
  <r>
    <x v="768"/>
    <s v="Ashok Khanna"/>
    <n v="53"/>
    <x v="0"/>
    <s v="A-"/>
    <s v="Kolkata"/>
    <d v="2024-02-22T00:00:00"/>
    <d v="2024-02-26T00:00:00"/>
    <n v="4"/>
    <x v="5"/>
    <s v="Pneumonia"/>
    <x v="8"/>
    <s v="Radiation Therapy"/>
    <x v="3"/>
    <s v="Dr. Arun Gupta"/>
    <n v="246"/>
    <s v="Private"/>
    <x v="0"/>
    <n v="100878"/>
    <n v="53573"/>
    <n v="47305"/>
    <n v="66157"/>
    <n v="28227"/>
    <n v="3354"/>
    <s v="No"/>
    <n v="84"/>
    <n v="4.9000000000000004"/>
    <x v="0"/>
  </r>
  <r>
    <x v="769"/>
    <s v="Divya Rao"/>
    <n v="79"/>
    <x v="1"/>
    <s v="AB-"/>
    <s v="Mumbai"/>
    <d v="2022-05-18T00:00:00"/>
    <d v="2022-06-10T00:00:00"/>
    <n v="23"/>
    <x v="5"/>
    <s v="Asthma"/>
    <x v="8"/>
    <s v="Observation"/>
    <x v="2"/>
    <s v="Dr. Arun Reddy"/>
    <n v="240"/>
    <s v="General Ward"/>
    <x v="1"/>
    <n v="164904"/>
    <n v="71190"/>
    <n v="93714"/>
    <n v="125780"/>
    <n v="27863"/>
    <n v="9356"/>
    <s v="No"/>
    <n v="93"/>
    <n v="2.5"/>
    <x v="3"/>
  </r>
  <r>
    <x v="770"/>
    <s v="Rajesh Nair"/>
    <n v="17"/>
    <x v="1"/>
    <s v="B-"/>
    <s v="Pune"/>
    <d v="2024-11-16T00:00:00"/>
    <d v="2024-12-06T00:00:00"/>
    <n v="20"/>
    <x v="6"/>
    <s v="Arthritis"/>
    <x v="11"/>
    <s v="Radiation Therapy"/>
    <x v="2"/>
    <s v="Dr. Prerna Patel"/>
    <n v="500"/>
    <s v="ICU"/>
    <x v="2"/>
    <n v="177033"/>
    <n v="155495"/>
    <n v="21538"/>
    <n v="145902"/>
    <n v="17503"/>
    <n v="10755"/>
    <s v="No"/>
    <n v="92"/>
    <n v="4.5"/>
    <x v="3"/>
  </r>
  <r>
    <x v="771"/>
    <s v="Ritu Chopra"/>
    <n v="38"/>
    <x v="0"/>
    <s v="B+"/>
    <s v="Bangalore"/>
    <d v="2022-09-04T00:00:00"/>
    <d v="2022-09-19T00:00:00"/>
    <n v="15"/>
    <x v="1"/>
    <s v="Kidney Stone"/>
    <x v="2"/>
    <s v="Counseling"/>
    <x v="2"/>
    <s v="Dr. Shalini Gupta"/>
    <n v="498"/>
    <s v="Private"/>
    <x v="3"/>
    <n v="31020"/>
    <n v="26167"/>
    <n v="4853"/>
    <n v="8023"/>
    <n v="18665"/>
    <n v="3327"/>
    <s v="No"/>
    <n v="42"/>
    <n v="3.3"/>
    <x v="1"/>
  </r>
  <r>
    <x v="772"/>
    <s v="Meera Singh"/>
    <n v="28"/>
    <x v="1"/>
    <s v="AB+"/>
    <s v="Lucknow"/>
    <d v="2022-06-24T00:00:00"/>
    <d v="2022-07-04T00:00:00"/>
    <n v="10"/>
    <x v="0"/>
    <s v="Liver Disease"/>
    <x v="0"/>
    <s v="Surgery"/>
    <x v="1"/>
    <s v="Dr. Sameer Nair"/>
    <n v="457"/>
    <s v="ICU"/>
    <x v="1"/>
    <n v="109999"/>
    <n v="62469"/>
    <n v="47530"/>
    <n v="75887"/>
    <n v="26934"/>
    <n v="3209"/>
    <s v="No"/>
    <n v="69"/>
    <n v="4.2"/>
    <x v="4"/>
  </r>
  <r>
    <x v="773"/>
    <s v="Sanjay Bose"/>
    <n v="11"/>
    <x v="0"/>
    <s v="A+"/>
    <s v="Lucknow"/>
    <d v="2023-12-28T00:00:00"/>
    <d v="2024-01-05T00:00:00"/>
    <n v="8"/>
    <x v="0"/>
    <s v="Appendicitis"/>
    <x v="0"/>
    <s v="Surgery"/>
    <x v="0"/>
    <s v="Dr. Prerna Kumar"/>
    <n v="219"/>
    <s v="General Ward"/>
    <x v="3"/>
    <n v="178225"/>
    <n v="133001"/>
    <n v="45224"/>
    <n v="149663"/>
    <n v="22047"/>
    <n v="4565"/>
    <s v="No"/>
    <n v="91"/>
    <n v="4.0999999999999996"/>
    <x v="0"/>
  </r>
  <r>
    <x v="774"/>
    <s v="Kavya Verma"/>
    <n v="53"/>
    <x v="0"/>
    <s v="A-"/>
    <s v="Ahmedabad"/>
    <d v="2024-03-26T00:00:00"/>
    <d v="2024-04-01T00:00:00"/>
    <n v="6"/>
    <x v="1"/>
    <s v="UTI"/>
    <x v="2"/>
    <s v="Dietary Management"/>
    <x v="0"/>
    <s v="Dr. Rakesh Rao"/>
    <n v="193"/>
    <s v="ICU"/>
    <x v="1"/>
    <n v="103641"/>
    <n v="42253"/>
    <n v="61388"/>
    <n v="70183"/>
    <n v="24604"/>
    <n v="4838"/>
    <s v="No"/>
    <n v="59"/>
    <n v="2.5"/>
    <x v="4"/>
  </r>
  <r>
    <x v="775"/>
    <s v="Aditya Gupta"/>
    <n v="76"/>
    <x v="0"/>
    <s v="A-"/>
    <s v="Kolkata"/>
    <d v="2022-10-19T00:00:00"/>
    <d v="2022-10-25T00:00:00"/>
    <n v="6"/>
    <x v="1"/>
    <s v="Kidney Stone"/>
    <x v="2"/>
    <s v="Chemotherapy"/>
    <x v="0"/>
    <s v="Dr. Rakesh Nair"/>
    <n v="280"/>
    <s v="Semi-Private"/>
    <x v="2"/>
    <n v="172289"/>
    <n v="117118"/>
    <n v="55171"/>
    <n v="136735"/>
    <n v="19804"/>
    <n v="13432"/>
    <s v="No"/>
    <n v="84"/>
    <n v="3.5"/>
    <x v="0"/>
  </r>
  <r>
    <x v="776"/>
    <s v="Priya Khanna"/>
    <n v="22"/>
    <x v="0"/>
    <s v="AB+"/>
    <s v="Ahmedabad"/>
    <d v="2022-11-06T00:00:00"/>
    <d v="2022-12-01T00:00:00"/>
    <n v="25"/>
    <x v="6"/>
    <s v="Arthritis"/>
    <x v="11"/>
    <s v="Dietary Management"/>
    <x v="1"/>
    <s v="Dr. Vivek Sharma"/>
    <n v="320"/>
    <s v="General Ward"/>
    <x v="2"/>
    <n v="92474"/>
    <n v="71755"/>
    <n v="20719"/>
    <n v="83616"/>
    <n v="3420"/>
    <n v="4013"/>
    <s v="No"/>
    <n v="86"/>
    <n v="2.7"/>
    <x v="0"/>
  </r>
  <r>
    <x v="777"/>
    <s v="Rajesh Joshi"/>
    <n v="31"/>
    <x v="0"/>
    <s v="A-"/>
    <s v="Chennai"/>
    <d v="2023-03-13T00:00:00"/>
    <d v="2023-03-29T00:00:00"/>
    <n v="16"/>
    <x v="0"/>
    <s v="Anemia"/>
    <x v="4"/>
    <s v="ICU Care"/>
    <x v="2"/>
    <s v="Dr. Kavita Sharma"/>
    <n v="471"/>
    <s v="Private"/>
    <x v="4"/>
    <n v="153346"/>
    <n v="0"/>
    <n v="153346"/>
    <n v="138967"/>
    <n v="4093"/>
    <n v="7063"/>
    <s v="No"/>
    <n v="84"/>
    <n v="2.1"/>
    <x v="2"/>
  </r>
  <r>
    <x v="778"/>
    <s v="Nisha Nair"/>
    <n v="43"/>
    <x v="0"/>
    <s v="B+"/>
    <s v="Hyderabad"/>
    <d v="2022-09-13T00:00:00"/>
    <d v="2022-10-03T00:00:00"/>
    <n v="20"/>
    <x v="0"/>
    <s v="Appendicitis"/>
    <x v="0"/>
    <s v="ICU Care"/>
    <x v="1"/>
    <s v="Dr. Kavita Singh"/>
    <n v="141"/>
    <s v="General Ward"/>
    <x v="1"/>
    <n v="143691"/>
    <n v="77739"/>
    <n v="65952"/>
    <n v="114154"/>
    <n v="14174"/>
    <n v="14346"/>
    <s v="No"/>
    <n v="97"/>
    <n v="4.7"/>
    <x v="3"/>
  </r>
  <r>
    <x v="779"/>
    <s v="Vijay Das"/>
    <n v="21"/>
    <x v="0"/>
    <s v="A+"/>
    <s v="Jaipur"/>
    <d v="2022-01-06T00:00:00"/>
    <d v="2022-02-03T00:00:00"/>
    <n v="28"/>
    <x v="3"/>
    <s v="Migraine"/>
    <x v="6"/>
    <s v="Counseling"/>
    <x v="2"/>
    <s v="Dr. Prerna Singh"/>
    <n v="41"/>
    <s v="ICU"/>
    <x v="4"/>
    <n v="147134"/>
    <n v="0"/>
    <n v="147134"/>
    <n v="113448"/>
    <n v="17940"/>
    <n v="14390"/>
    <s v="No"/>
    <n v="93"/>
    <n v="3"/>
    <x v="2"/>
  </r>
  <r>
    <x v="780"/>
    <s v="Sonia Chopra"/>
    <n v="85"/>
    <x v="0"/>
    <s v="O+"/>
    <s v="Jaipur"/>
    <d v="2024-05-14T00:00:00"/>
    <d v="2024-06-03T00:00:00"/>
    <n v="20"/>
    <x v="0"/>
    <s v="Depression"/>
    <x v="5"/>
    <s v="Chemotherapy"/>
    <x v="0"/>
    <s v="Dr. Shalini Nair"/>
    <n v="226"/>
    <s v="Private"/>
    <x v="1"/>
    <n v="131361"/>
    <n v="65444"/>
    <n v="65917"/>
    <n v="104919"/>
    <n v="19586"/>
    <n v="5617"/>
    <s v="No"/>
    <n v="60"/>
    <n v="4.4000000000000004"/>
    <x v="3"/>
  </r>
  <r>
    <x v="781"/>
    <s v="Sneha Kumar"/>
    <n v="83"/>
    <x v="1"/>
    <s v="B+"/>
    <s v="Mumbai"/>
    <d v="2024-09-05T00:00:00"/>
    <d v="2024-09-17T00:00:00"/>
    <n v="12"/>
    <x v="2"/>
    <s v="Cancer"/>
    <x v="3"/>
    <s v="Medication"/>
    <x v="3"/>
    <s v="Dr. Prerna Patel"/>
    <n v="243"/>
    <s v="General Ward"/>
    <x v="3"/>
    <n v="48703"/>
    <n v="40220"/>
    <n v="8483"/>
    <n v="21218"/>
    <n v="8440"/>
    <n v="14140"/>
    <s v="No"/>
    <n v="65"/>
    <n v="2.6"/>
    <x v="1"/>
  </r>
  <r>
    <x v="782"/>
    <s v="Kavya Khanna"/>
    <n v="21"/>
    <x v="1"/>
    <s v="O+"/>
    <s v="Pune"/>
    <d v="2024-02-02T00:00:00"/>
    <d v="2024-02-22T00:00:00"/>
    <n v="20"/>
    <x v="0"/>
    <s v="Diabetes Type 2"/>
    <x v="9"/>
    <s v="Radiation Therapy"/>
    <x v="1"/>
    <s v="Dr. Arun Sharma"/>
    <n v="305"/>
    <s v="Private"/>
    <x v="0"/>
    <n v="114240"/>
    <n v="51828"/>
    <n v="62412"/>
    <n v="83305"/>
    <n v="18378"/>
    <n v="10008"/>
    <s v="No"/>
    <n v="64"/>
    <n v="5"/>
    <x v="1"/>
  </r>
  <r>
    <x v="783"/>
    <s v="Lata Pillai"/>
    <n v="83"/>
    <x v="0"/>
    <s v="AB+"/>
    <s v="Ahmedabad"/>
    <d v="2024-04-20T00:00:00"/>
    <d v="2024-04-22T00:00:00"/>
    <n v="2"/>
    <x v="0"/>
    <s v="Dengue"/>
    <x v="1"/>
    <s v="Dialysis"/>
    <x v="2"/>
    <s v="Dr. Arun Singh"/>
    <n v="162"/>
    <s v="ICU"/>
    <x v="4"/>
    <n v="170282"/>
    <n v="0"/>
    <n v="170282"/>
    <n v="133458"/>
    <n v="25781"/>
    <n v="7759"/>
    <s v="No"/>
    <n v="41"/>
    <n v="3.7"/>
    <x v="1"/>
  </r>
  <r>
    <x v="784"/>
    <s v="Vijay Verma"/>
    <n v="33"/>
    <x v="1"/>
    <s v="A+"/>
    <s v="Kolkata"/>
    <d v="2022-09-25T00:00:00"/>
    <d v="2022-10-03T00:00:00"/>
    <n v="8"/>
    <x v="1"/>
    <s v="Kidney Stone"/>
    <x v="2"/>
    <s v="Observation"/>
    <x v="0"/>
    <s v="Dr. Sameer Mehta"/>
    <n v="395"/>
    <s v="ICU"/>
    <x v="4"/>
    <n v="89608"/>
    <n v="0"/>
    <n v="89608"/>
    <n v="80809"/>
    <n v="2775"/>
    <n v="2276"/>
    <s v="No"/>
    <n v="78"/>
    <n v="3.8"/>
    <x v="2"/>
  </r>
  <r>
    <x v="785"/>
    <s v="Sonia Patel"/>
    <n v="6"/>
    <x v="0"/>
    <s v="B+"/>
    <s v="Bangalore"/>
    <d v="2022-08-31T00:00:00"/>
    <d v="2022-09-06T00:00:00"/>
    <n v="6"/>
    <x v="5"/>
    <s v="Pneumonia"/>
    <x v="8"/>
    <s v="Physiotherapy"/>
    <x v="0"/>
    <s v="Dr. Vivek Gupta"/>
    <n v="356"/>
    <s v="ICU"/>
    <x v="4"/>
    <n v="131684"/>
    <n v="0"/>
    <n v="131684"/>
    <n v="110181"/>
    <n v="5401"/>
    <n v="13014"/>
    <s v="No"/>
    <n v="64"/>
    <n v="2.1"/>
    <x v="3"/>
  </r>
  <r>
    <x v="786"/>
    <s v="Ananya Nair"/>
    <n v="17"/>
    <x v="1"/>
    <s v="O-"/>
    <s v="Jaipur"/>
    <d v="2023-05-30T00:00:00"/>
    <d v="2023-06-17T00:00:00"/>
    <n v="18"/>
    <x v="6"/>
    <s v="Arthritis"/>
    <x v="11"/>
    <s v="Medication"/>
    <x v="1"/>
    <s v="Dr. Deepak Sharma"/>
    <n v="56"/>
    <s v="ICU"/>
    <x v="1"/>
    <n v="167249"/>
    <n v="116655"/>
    <n v="50594"/>
    <n v="140337"/>
    <n v="13978"/>
    <n v="8383"/>
    <s v="Yes"/>
    <n v="95"/>
    <n v="2.2000000000000002"/>
    <x v="0"/>
  </r>
  <r>
    <x v="787"/>
    <s v="Divya Shah"/>
    <n v="61"/>
    <x v="1"/>
    <s v="O+"/>
    <s v="Ahmedabad"/>
    <d v="2022-10-04T00:00:00"/>
    <d v="2022-10-27T00:00:00"/>
    <n v="23"/>
    <x v="0"/>
    <s v="Anemia"/>
    <x v="4"/>
    <s v="Physiotherapy"/>
    <x v="0"/>
    <s v="Dr. Prerna Mehta"/>
    <n v="374"/>
    <s v="General Ward"/>
    <x v="0"/>
    <n v="38419"/>
    <n v="18005"/>
    <n v="20414"/>
    <n v="19017"/>
    <n v="7681"/>
    <n v="9163"/>
    <s v="No"/>
    <n v="70"/>
    <n v="3"/>
    <x v="4"/>
  </r>
  <r>
    <x v="788"/>
    <s v="Nisha Iyer"/>
    <n v="54"/>
    <x v="1"/>
    <s v="AB-"/>
    <s v="Jaipur"/>
    <d v="2023-12-19T00:00:00"/>
    <d v="2024-01-15T00:00:00"/>
    <n v="27"/>
    <x v="4"/>
    <s v="Heart Attack"/>
    <x v="7"/>
    <s v="Dialysis"/>
    <x v="2"/>
    <s v="Dr. Rakesh Mehta"/>
    <n v="64"/>
    <s v="Semi-Private"/>
    <x v="1"/>
    <n v="127917"/>
    <n v="81749"/>
    <n v="46168"/>
    <n v="90013"/>
    <n v="29791"/>
    <n v="4648"/>
    <s v="No"/>
    <n v="57"/>
    <n v="2.1"/>
    <x v="4"/>
  </r>
  <r>
    <x v="789"/>
    <s v="Rohan Rao"/>
    <n v="52"/>
    <x v="0"/>
    <s v="AB-"/>
    <s v="Pune"/>
    <d v="2022-10-26T00:00:00"/>
    <d v="2022-11-23T00:00:00"/>
    <n v="28"/>
    <x v="3"/>
    <s v="Stroke"/>
    <x v="6"/>
    <s v="Surgery"/>
    <x v="2"/>
    <s v="Dr. Kavita Mehta"/>
    <n v="479"/>
    <s v="ICU"/>
    <x v="4"/>
    <n v="184549"/>
    <n v="0"/>
    <n v="184549"/>
    <n v="145841"/>
    <n v="21145"/>
    <n v="13039"/>
    <s v="No"/>
    <n v="79"/>
    <n v="4.2"/>
    <x v="3"/>
  </r>
  <r>
    <x v="790"/>
    <s v="Sunil Malhotra"/>
    <n v="55"/>
    <x v="1"/>
    <s v="B-"/>
    <s v="Hyderabad"/>
    <d v="2022-12-07T00:00:00"/>
    <d v="2022-12-23T00:00:00"/>
    <n v="16"/>
    <x v="4"/>
    <s v="Heart Attack"/>
    <x v="7"/>
    <s v="Chemotherapy"/>
    <x v="0"/>
    <s v="Dr. Sameer Patel"/>
    <n v="460"/>
    <s v="ICU"/>
    <x v="4"/>
    <n v="41162"/>
    <n v="0"/>
    <n v="41162"/>
    <n v="8307"/>
    <n v="22464"/>
    <n v="9394"/>
    <s v="No"/>
    <n v="44"/>
    <n v="3.8"/>
    <x v="4"/>
  </r>
  <r>
    <x v="791"/>
    <s v="Kavya Patel"/>
    <n v="37"/>
    <x v="0"/>
    <s v="B-"/>
    <s v="Mumbai"/>
    <d v="2024-03-02T00:00:00"/>
    <d v="2024-03-22T00:00:00"/>
    <n v="20"/>
    <x v="2"/>
    <s v="Cancer"/>
    <x v="3"/>
    <s v="Counseling"/>
    <x v="2"/>
    <s v="Dr. Rakesh Rao"/>
    <n v="458"/>
    <s v="Semi-Private"/>
    <x v="4"/>
    <n v="101139"/>
    <n v="0"/>
    <n v="101139"/>
    <n v="65166"/>
    <n v="29871"/>
    <n v="5506"/>
    <s v="Yes"/>
    <n v="98"/>
    <n v="4.5999999999999996"/>
    <x v="3"/>
  </r>
  <r>
    <x v="792"/>
    <s v="Arjun Singh"/>
    <n v="55"/>
    <x v="0"/>
    <s v="AB-"/>
    <s v="Jaipur"/>
    <d v="2023-08-10T00:00:00"/>
    <d v="2023-08-27T00:00:00"/>
    <n v="17"/>
    <x v="6"/>
    <s v="Fracture"/>
    <x v="10"/>
    <s v="ICU Care"/>
    <x v="2"/>
    <s v="Dr. Rakesh Singh"/>
    <n v="131"/>
    <s v="Private"/>
    <x v="4"/>
    <n v="94891"/>
    <n v="0"/>
    <n v="94891"/>
    <n v="73652"/>
    <n v="15008"/>
    <n v="1376"/>
    <s v="No"/>
    <n v="74"/>
    <n v="4.5999999999999996"/>
    <x v="3"/>
  </r>
  <r>
    <x v="793"/>
    <s v="Meera Menon"/>
    <n v="84"/>
    <x v="1"/>
    <s v="AB-"/>
    <s v="Jaipur"/>
    <d v="2022-08-08T00:00:00"/>
    <d v="2022-08-09T00:00:00"/>
    <n v="1"/>
    <x v="0"/>
    <s v="Dengue"/>
    <x v="1"/>
    <s v="Dietary Management"/>
    <x v="1"/>
    <s v="Dr. Sameer Nair"/>
    <n v="234"/>
    <s v="Private"/>
    <x v="1"/>
    <n v="148206"/>
    <n v="103218"/>
    <n v="44988"/>
    <n v="106186"/>
    <n v="27342"/>
    <n v="10692"/>
    <s v="No"/>
    <n v="89"/>
    <n v="2.5"/>
    <x v="0"/>
  </r>
  <r>
    <x v="794"/>
    <s v="Priya Rao"/>
    <n v="45"/>
    <x v="0"/>
    <s v="B+"/>
    <s v="Ahmedabad"/>
    <d v="2022-08-03T00:00:00"/>
    <d v="2022-08-12T00:00:00"/>
    <n v="9"/>
    <x v="0"/>
    <s v="COVID-19"/>
    <x v="1"/>
    <s v="Dialysis"/>
    <x v="0"/>
    <s v="Dr. Kavita Sharma"/>
    <n v="415"/>
    <s v="General Ward"/>
    <x v="1"/>
    <n v="181490"/>
    <n v="82126"/>
    <n v="99364"/>
    <n v="146674"/>
    <n v="25500"/>
    <n v="6747"/>
    <s v="Yes"/>
    <n v="53"/>
    <n v="4.5"/>
    <x v="2"/>
  </r>
  <r>
    <x v="795"/>
    <s v="Sanjay Malhotra"/>
    <n v="25"/>
    <x v="1"/>
    <s v="B-"/>
    <s v="Lucknow"/>
    <d v="2022-07-31T00:00:00"/>
    <d v="2022-08-05T00:00:00"/>
    <n v="5"/>
    <x v="0"/>
    <s v="Appendicitis"/>
    <x v="0"/>
    <s v="Radiation Therapy"/>
    <x v="1"/>
    <s v="Dr. Vivek Mehta"/>
    <n v="484"/>
    <s v="Semi-Private"/>
    <x v="0"/>
    <n v="179792"/>
    <n v="110304"/>
    <n v="69488"/>
    <n v="140549"/>
    <n v="29407"/>
    <n v="8932"/>
    <s v="No"/>
    <n v="53"/>
    <n v="2.5"/>
    <x v="3"/>
  </r>
  <r>
    <x v="796"/>
    <s v="Priya Kumar"/>
    <n v="6"/>
    <x v="1"/>
    <s v="B-"/>
    <s v="Bangalore"/>
    <d v="2022-01-05T00:00:00"/>
    <d v="2022-01-06T00:00:00"/>
    <n v="1"/>
    <x v="6"/>
    <s v="Fracture"/>
    <x v="10"/>
    <s v="Observation"/>
    <x v="0"/>
    <s v="Dr. Vivek Joshi"/>
    <n v="59"/>
    <s v="General Ward"/>
    <x v="2"/>
    <n v="181998"/>
    <n v="148230"/>
    <n v="33768"/>
    <n v="138149"/>
    <n v="28566"/>
    <n v="10844"/>
    <s v="Yes"/>
    <n v="75"/>
    <n v="2.2999999999999998"/>
    <x v="1"/>
  </r>
  <r>
    <x v="797"/>
    <s v="Suresh Shah"/>
    <n v="54"/>
    <x v="1"/>
    <s v="O+"/>
    <s v="Mumbai"/>
    <d v="2023-04-27T00:00:00"/>
    <d v="2023-05-26T00:00:00"/>
    <n v="29"/>
    <x v="0"/>
    <s v="Depression"/>
    <x v="5"/>
    <s v="ICU Care"/>
    <x v="2"/>
    <s v="Dr. Prerna Rao"/>
    <n v="262"/>
    <s v="General Ward"/>
    <x v="3"/>
    <n v="107207"/>
    <n v="70595"/>
    <n v="36612"/>
    <n v="77447"/>
    <n v="14799"/>
    <n v="13329"/>
    <s v="No"/>
    <n v="95"/>
    <n v="4.9000000000000004"/>
    <x v="1"/>
  </r>
  <r>
    <x v="798"/>
    <s v="Ashok Kumar"/>
    <n v="9"/>
    <x v="1"/>
    <s v="B-"/>
    <s v="Mumbai"/>
    <d v="2024-07-25T00:00:00"/>
    <d v="2024-08-21T00:00:00"/>
    <n v="27"/>
    <x v="3"/>
    <s v="Migraine"/>
    <x v="6"/>
    <s v="Medication"/>
    <x v="3"/>
    <s v="Dr. Rakesh Kumar"/>
    <n v="488"/>
    <s v="ICU"/>
    <x v="3"/>
    <n v="38094"/>
    <n v="27838"/>
    <n v="10256"/>
    <n v="24538"/>
    <n v="11859"/>
    <n v="820"/>
    <s v="No"/>
    <n v="82"/>
    <n v="3.2"/>
    <x v="1"/>
  </r>
  <r>
    <x v="799"/>
    <s v="Rahul Singh"/>
    <n v="6"/>
    <x v="0"/>
    <s v="O-"/>
    <s v="Hyderabad"/>
    <d v="2022-06-27T00:00:00"/>
    <d v="2022-07-20T00:00:00"/>
    <n v="23"/>
    <x v="6"/>
    <s v="Fracture"/>
    <x v="10"/>
    <s v="Dialysis"/>
    <x v="1"/>
    <s v="Dr. Anjali Nair"/>
    <n v="166"/>
    <s v="General Ward"/>
    <x v="3"/>
    <n v="116771"/>
    <n v="71532"/>
    <n v="45239"/>
    <n v="75481"/>
    <n v="26310"/>
    <n v="10635"/>
    <s v="No"/>
    <n v="63"/>
    <n v="4.3"/>
    <x v="2"/>
  </r>
  <r>
    <x v="800"/>
    <s v="Pooja Khanna"/>
    <n v="75"/>
    <x v="1"/>
    <s v="O+"/>
    <s v="Jaipur"/>
    <d v="2022-10-16T00:00:00"/>
    <d v="2022-10-29T00:00:00"/>
    <n v="13"/>
    <x v="0"/>
    <s v="Depression"/>
    <x v="5"/>
    <s v="Dietary Management"/>
    <x v="0"/>
    <s v="Dr. Sameer Joshi"/>
    <n v="311"/>
    <s v="ICU"/>
    <x v="2"/>
    <n v="165466"/>
    <n v="126980"/>
    <n v="38486"/>
    <n v="143400"/>
    <n v="8670"/>
    <n v="9346"/>
    <s v="No"/>
    <n v="80"/>
    <n v="3.7"/>
    <x v="4"/>
  </r>
  <r>
    <x v="801"/>
    <s v="Arjun Bose"/>
    <n v="83"/>
    <x v="1"/>
    <s v="O-"/>
    <s v="Mumbai"/>
    <d v="2024-01-30T00:00:00"/>
    <d v="2024-02-25T00:00:00"/>
    <n v="26"/>
    <x v="0"/>
    <s v="Obesity"/>
    <x v="12"/>
    <s v="Physiotherapy"/>
    <x v="3"/>
    <s v="Dr. Anjali Patel"/>
    <n v="292"/>
    <s v="ICU"/>
    <x v="3"/>
    <n v="47524"/>
    <n v="30318"/>
    <n v="17206"/>
    <n v="11127"/>
    <n v="23715"/>
    <n v="10243"/>
    <s v="No"/>
    <n v="48"/>
    <n v="3.3"/>
    <x v="1"/>
  </r>
  <r>
    <x v="802"/>
    <s v="Sunil Das"/>
    <n v="78"/>
    <x v="1"/>
    <s v="AB+"/>
    <s v="Mumbai"/>
    <d v="2023-09-12T00:00:00"/>
    <d v="2023-09-15T00:00:00"/>
    <n v="3"/>
    <x v="0"/>
    <s v="Depression"/>
    <x v="5"/>
    <s v="Dietary Management"/>
    <x v="3"/>
    <s v="Dr. Sameer Patel"/>
    <n v="402"/>
    <s v="ICU"/>
    <x v="4"/>
    <n v="117820"/>
    <n v="0"/>
    <n v="117820"/>
    <n v="92979"/>
    <n v="17727"/>
    <n v="5650"/>
    <s v="No"/>
    <n v="69"/>
    <n v="2.9"/>
    <x v="3"/>
  </r>
  <r>
    <x v="803"/>
    <s v="Sunita Gupta"/>
    <n v="67"/>
    <x v="0"/>
    <s v="AB+"/>
    <s v="Lucknow"/>
    <d v="2023-01-14T00:00:00"/>
    <d v="2023-02-09T00:00:00"/>
    <n v="26"/>
    <x v="6"/>
    <s v="Fracture"/>
    <x v="10"/>
    <s v="Counseling"/>
    <x v="2"/>
    <s v="Dr. Rakesh Patel"/>
    <n v="312"/>
    <s v="ICU"/>
    <x v="0"/>
    <n v="134184"/>
    <n v="59346"/>
    <n v="74838"/>
    <n v="119227"/>
    <n v="9725"/>
    <n v="3400"/>
    <s v="No"/>
    <n v="61"/>
    <n v="3.5"/>
    <x v="3"/>
  </r>
  <r>
    <x v="804"/>
    <s v="Sunil Patel"/>
    <n v="38"/>
    <x v="0"/>
    <s v="O+"/>
    <s v="Bangalore"/>
    <d v="2022-08-04T00:00:00"/>
    <d v="2022-08-31T00:00:00"/>
    <n v="27"/>
    <x v="0"/>
    <s v="Depression"/>
    <x v="5"/>
    <s v="Dialysis"/>
    <x v="3"/>
    <s v="Dr. Anjali Sharma"/>
    <n v="164"/>
    <s v="ICU"/>
    <x v="1"/>
    <n v="55235"/>
    <n v="24187"/>
    <n v="31048"/>
    <n v="38139"/>
    <n v="1094"/>
    <n v="14343"/>
    <s v="No"/>
    <n v="71"/>
    <n v="4.5"/>
    <x v="0"/>
  </r>
  <r>
    <x v="805"/>
    <s v="Aditya Patel"/>
    <n v="13"/>
    <x v="0"/>
    <s v="B-"/>
    <s v="Pune"/>
    <d v="2024-04-19T00:00:00"/>
    <d v="2024-04-28T00:00:00"/>
    <n v="9"/>
    <x v="0"/>
    <s v="Diabetes Type 2"/>
    <x v="9"/>
    <s v="Physiotherapy"/>
    <x v="2"/>
    <s v="Dr. Sameer Singh"/>
    <n v="434"/>
    <s v="ICU"/>
    <x v="0"/>
    <n v="156084"/>
    <n v="103987"/>
    <n v="52097"/>
    <n v="136884"/>
    <n v="6339"/>
    <n v="9674"/>
    <s v="No"/>
    <n v="57"/>
    <n v="2"/>
    <x v="3"/>
  </r>
  <r>
    <x v="806"/>
    <s v="Meera Das"/>
    <n v="71"/>
    <x v="1"/>
    <s v="B+"/>
    <s v="Hyderabad"/>
    <d v="2024-07-15T00:00:00"/>
    <d v="2024-07-23T00:00:00"/>
    <n v="8"/>
    <x v="6"/>
    <s v="Fracture"/>
    <x v="10"/>
    <s v="Observation"/>
    <x v="1"/>
    <s v="Dr. Vivek Nair"/>
    <n v="474"/>
    <s v="Private"/>
    <x v="2"/>
    <n v="139216"/>
    <n v="122913"/>
    <n v="16303"/>
    <n v="131214"/>
    <n v="3159"/>
    <n v="1465"/>
    <s v="No"/>
    <n v="88"/>
    <n v="4.8"/>
    <x v="3"/>
  </r>
  <r>
    <x v="807"/>
    <s v="Sneha Iyer"/>
    <n v="52"/>
    <x v="1"/>
    <s v="B+"/>
    <s v="Ahmedabad"/>
    <d v="2022-08-12T00:00:00"/>
    <d v="2022-09-08T00:00:00"/>
    <n v="27"/>
    <x v="6"/>
    <s v="Fracture"/>
    <x v="10"/>
    <s v="Physiotherapy"/>
    <x v="0"/>
    <s v="Dr. Prerna Sharma"/>
    <n v="381"/>
    <s v="Private"/>
    <x v="0"/>
    <n v="138804"/>
    <n v="63834"/>
    <n v="74970"/>
    <n v="120497"/>
    <n v="2744"/>
    <n v="13948"/>
    <s v="Yes"/>
    <n v="44"/>
    <n v="4.4000000000000004"/>
    <x v="0"/>
  </r>
  <r>
    <x v="808"/>
    <s v="Amit Sharma"/>
    <n v="5"/>
    <x v="0"/>
    <s v="O+"/>
    <s v="Delhi"/>
    <d v="2024-10-29T00:00:00"/>
    <d v="2024-11-17T00:00:00"/>
    <n v="19"/>
    <x v="1"/>
    <s v="UTI"/>
    <x v="2"/>
    <s v="ICU Care"/>
    <x v="3"/>
    <s v="Dr. Kavita Mehta"/>
    <n v="409"/>
    <s v="ICU"/>
    <x v="3"/>
    <n v="108700"/>
    <n v="76458"/>
    <n v="32242"/>
    <n v="60925"/>
    <n v="29351"/>
    <n v="14548"/>
    <s v="No"/>
    <n v="57"/>
    <n v="4.9000000000000004"/>
    <x v="3"/>
  </r>
  <r>
    <x v="809"/>
    <s v="Pooja Singh"/>
    <n v="84"/>
    <x v="1"/>
    <s v="AB-"/>
    <s v="Chennai"/>
    <d v="2023-09-29T00:00:00"/>
    <d v="2023-10-25T00:00:00"/>
    <n v="26"/>
    <x v="0"/>
    <s v="Depression"/>
    <x v="5"/>
    <s v="Chemotherapy"/>
    <x v="1"/>
    <s v="Dr. Arun Singh"/>
    <n v="171"/>
    <s v="General Ward"/>
    <x v="0"/>
    <n v="137106"/>
    <n v="63965"/>
    <n v="73141"/>
    <n v="97220"/>
    <n v="26384"/>
    <n v="9699"/>
    <s v="No"/>
    <n v="69"/>
    <n v="4.7"/>
    <x v="2"/>
  </r>
  <r>
    <x v="810"/>
    <s v="Mukesh Shah"/>
    <n v="61"/>
    <x v="0"/>
    <s v="B-"/>
    <s v="Pune"/>
    <d v="2022-11-07T00:00:00"/>
    <d v="2022-11-21T00:00:00"/>
    <n v="14"/>
    <x v="6"/>
    <s v="Arthritis"/>
    <x v="11"/>
    <s v="Observation"/>
    <x v="3"/>
    <s v="Dr. Deepak Joshi"/>
    <n v="20"/>
    <s v="ICU"/>
    <x v="3"/>
    <n v="87839"/>
    <n v="78784"/>
    <n v="9055"/>
    <n v="55792"/>
    <n v="20276"/>
    <n v="9477"/>
    <s v="No"/>
    <n v="97"/>
    <n v="2.9"/>
    <x v="0"/>
  </r>
  <r>
    <x v="811"/>
    <s v="Arjun Mehta"/>
    <n v="75"/>
    <x v="0"/>
    <s v="B+"/>
    <s v="Pune"/>
    <d v="2023-04-12T00:00:00"/>
    <d v="2023-04-25T00:00:00"/>
    <n v="13"/>
    <x v="1"/>
    <s v="UTI"/>
    <x v="2"/>
    <s v="Physiotherapy"/>
    <x v="1"/>
    <s v="Dr. Nisha Kumar"/>
    <n v="28"/>
    <s v="ICU"/>
    <x v="3"/>
    <n v="106670"/>
    <n v="75526"/>
    <n v="31144"/>
    <n v="77535"/>
    <n v="24091"/>
    <n v="1321"/>
    <s v="No"/>
    <n v="62"/>
    <n v="2.2000000000000002"/>
    <x v="4"/>
  </r>
  <r>
    <x v="812"/>
    <s v="Ananya Mehta"/>
    <n v="77"/>
    <x v="1"/>
    <s v="A+"/>
    <s v="Lucknow"/>
    <d v="2022-03-11T00:00:00"/>
    <d v="2022-03-29T00:00:00"/>
    <n v="18"/>
    <x v="0"/>
    <s v="Dengue"/>
    <x v="1"/>
    <s v="Surgery"/>
    <x v="1"/>
    <s v="Dr. Anjali Singh"/>
    <n v="375"/>
    <s v="General Ward"/>
    <x v="1"/>
    <n v="43632"/>
    <n v="30500"/>
    <n v="13132"/>
    <n v="31664"/>
    <n v="8653"/>
    <n v="2133"/>
    <s v="No"/>
    <n v="72"/>
    <n v="4.8"/>
    <x v="3"/>
  </r>
  <r>
    <x v="813"/>
    <s v="Divya Sharma"/>
    <n v="23"/>
    <x v="0"/>
    <s v="O+"/>
    <s v="Ahmedabad"/>
    <d v="2024-03-07T00:00:00"/>
    <d v="2024-03-09T00:00:00"/>
    <n v="2"/>
    <x v="4"/>
    <s v="Heart Attack"/>
    <x v="7"/>
    <s v="Medication"/>
    <x v="0"/>
    <s v="Dr. Shalini Kumar"/>
    <n v="471"/>
    <s v="Semi-Private"/>
    <x v="4"/>
    <n v="102972"/>
    <n v="0"/>
    <n v="102972"/>
    <n v="75267"/>
    <n v="23892"/>
    <n v="1862"/>
    <s v="No"/>
    <n v="97"/>
    <n v="2.2000000000000002"/>
    <x v="2"/>
  </r>
  <r>
    <x v="814"/>
    <s v="Ananya Malhotra"/>
    <n v="45"/>
    <x v="0"/>
    <s v="A+"/>
    <s v="Mumbai"/>
    <d v="2022-11-20T00:00:00"/>
    <d v="2022-12-18T00:00:00"/>
    <n v="28"/>
    <x v="0"/>
    <s v="Anemia"/>
    <x v="4"/>
    <s v="Surgery"/>
    <x v="3"/>
    <s v="Dr. Prerna Kumar"/>
    <n v="110"/>
    <s v="Semi-Private"/>
    <x v="4"/>
    <n v="102647"/>
    <n v="0"/>
    <n v="102647"/>
    <n v="73060"/>
    <n v="15422"/>
    <n v="10882"/>
    <s v="Yes"/>
    <n v="58"/>
    <n v="2.1"/>
    <x v="4"/>
  </r>
  <r>
    <x v="815"/>
    <s v="Sneha Malhotra"/>
    <n v="29"/>
    <x v="1"/>
    <s v="AB-"/>
    <s v="Lucknow"/>
    <d v="2022-04-12T00:00:00"/>
    <d v="2022-05-12T00:00:00"/>
    <n v="30"/>
    <x v="1"/>
    <s v="Kidney Stone"/>
    <x v="2"/>
    <s v="ICU Care"/>
    <x v="1"/>
    <s v="Dr. Kavita Patel"/>
    <n v="25"/>
    <s v="General Ward"/>
    <x v="3"/>
    <n v="116620"/>
    <n v="103903"/>
    <n v="12717"/>
    <n v="80457"/>
    <n v="23201"/>
    <n v="10691"/>
    <s v="No"/>
    <n v="40"/>
    <n v="2.6"/>
    <x v="0"/>
  </r>
  <r>
    <x v="816"/>
    <s v="Sneha Sharma"/>
    <n v="40"/>
    <x v="0"/>
    <s v="B+"/>
    <s v="Mumbai"/>
    <d v="2023-03-16T00:00:00"/>
    <d v="2023-03-30T00:00:00"/>
    <n v="14"/>
    <x v="0"/>
    <s v="Diabetes Type 2"/>
    <x v="9"/>
    <s v="Dietary Management"/>
    <x v="3"/>
    <s v="Dr. Prerna Patel"/>
    <n v="278"/>
    <s v="Private"/>
    <x v="1"/>
    <n v="52314"/>
    <n v="34744"/>
    <n v="17570"/>
    <n v="29587"/>
    <n v="8254"/>
    <n v="11214"/>
    <s v="No"/>
    <n v="51"/>
    <n v="4.9000000000000004"/>
    <x v="1"/>
  </r>
  <r>
    <x v="817"/>
    <s v="Nisha Reddy"/>
    <n v="52"/>
    <x v="0"/>
    <s v="B+"/>
    <s v="Mumbai"/>
    <d v="2024-01-11T00:00:00"/>
    <d v="2024-01-24T00:00:00"/>
    <n v="13"/>
    <x v="6"/>
    <s v="Fracture"/>
    <x v="10"/>
    <s v="Medication"/>
    <x v="0"/>
    <s v="Dr. Anjali Rao"/>
    <n v="482"/>
    <s v="General Ward"/>
    <x v="2"/>
    <n v="141497"/>
    <n v="87394"/>
    <n v="54103"/>
    <n v="109276"/>
    <n v="19716"/>
    <n v="7520"/>
    <s v="No"/>
    <n v="85"/>
    <n v="3.3"/>
    <x v="1"/>
  </r>
  <r>
    <x v="818"/>
    <s v="Priya Reddy"/>
    <n v="66"/>
    <x v="0"/>
    <s v="B+"/>
    <s v="Chennai"/>
    <d v="2023-02-01T00:00:00"/>
    <d v="2023-02-20T00:00:00"/>
    <n v="19"/>
    <x v="1"/>
    <s v="UTI"/>
    <x v="2"/>
    <s v="Dietary Management"/>
    <x v="3"/>
    <s v="Dr. Kavita Sharma"/>
    <n v="2"/>
    <s v="ICU"/>
    <x v="3"/>
    <n v="153256"/>
    <n v="107318"/>
    <n v="45938"/>
    <n v="125186"/>
    <n v="13352"/>
    <n v="12931"/>
    <s v="Yes"/>
    <n v="50"/>
    <n v="3.9"/>
    <x v="3"/>
  </r>
  <r>
    <x v="819"/>
    <s v="Rahul Bose"/>
    <n v="32"/>
    <x v="0"/>
    <s v="O-"/>
    <s v="Hyderabad"/>
    <d v="2022-09-24T00:00:00"/>
    <d v="2022-10-23T00:00:00"/>
    <n v="29"/>
    <x v="3"/>
    <s v="Migraine"/>
    <x v="6"/>
    <s v="Dialysis"/>
    <x v="1"/>
    <s v="Dr. Anjali Nair"/>
    <n v="131"/>
    <s v="Semi-Private"/>
    <x v="1"/>
    <n v="47882"/>
    <n v="22296"/>
    <n v="25586"/>
    <n v="21029"/>
    <n v="21569"/>
    <n v="3560"/>
    <s v="No"/>
    <n v="61"/>
    <n v="4.5999999999999996"/>
    <x v="3"/>
  </r>
  <r>
    <x v="820"/>
    <s v="Aditya Patel"/>
    <n v="78"/>
    <x v="1"/>
    <s v="AB+"/>
    <s v="Mumbai"/>
    <d v="2023-12-31T00:00:00"/>
    <d v="2024-01-08T00:00:00"/>
    <n v="8"/>
    <x v="4"/>
    <s v="Hypertension"/>
    <x v="7"/>
    <s v="Counseling"/>
    <x v="0"/>
    <s v="Dr. Deepak Singh"/>
    <n v="125"/>
    <s v="General Ward"/>
    <x v="0"/>
    <n v="49981"/>
    <n v="26651"/>
    <n v="23330"/>
    <n v="35578"/>
    <n v="3896"/>
    <n v="6791"/>
    <s v="No"/>
    <n v="79"/>
    <n v="4.8"/>
    <x v="1"/>
  </r>
  <r>
    <x v="821"/>
    <s v="Mukesh Verma"/>
    <n v="63"/>
    <x v="0"/>
    <s v="AB-"/>
    <s v="Pune"/>
    <d v="2023-01-17T00:00:00"/>
    <d v="2023-01-20T00:00:00"/>
    <n v="3"/>
    <x v="4"/>
    <s v="Heart Attack"/>
    <x v="7"/>
    <s v="Dietary Management"/>
    <x v="0"/>
    <s v="Dr. Rakesh Mehta"/>
    <n v="203"/>
    <s v="General Ward"/>
    <x v="0"/>
    <n v="96178"/>
    <n v="61477"/>
    <n v="34701"/>
    <n v="67985"/>
    <n v="14732"/>
    <n v="11494"/>
    <s v="No"/>
    <n v="49"/>
    <n v="3.4"/>
    <x v="1"/>
  </r>
  <r>
    <x v="822"/>
    <s v="Arjun Joshi"/>
    <n v="14"/>
    <x v="0"/>
    <s v="AB-"/>
    <s v="Ahmedabad"/>
    <d v="2022-02-20T00:00:00"/>
    <d v="2022-03-15T00:00:00"/>
    <n v="23"/>
    <x v="0"/>
    <s v="Liver Disease"/>
    <x v="0"/>
    <s v="Medication"/>
    <x v="0"/>
    <s v="Dr. Prerna Patel"/>
    <n v="411"/>
    <s v="Private"/>
    <x v="0"/>
    <n v="101907"/>
    <n v="46294"/>
    <n v="55613"/>
    <n v="64152"/>
    <n v="24386"/>
    <n v="12819"/>
    <s v="No"/>
    <n v="50"/>
    <n v="2.2999999999999998"/>
    <x v="0"/>
  </r>
  <r>
    <x v="823"/>
    <s v="Geeta Joshi"/>
    <n v="13"/>
    <x v="0"/>
    <s v="A-"/>
    <s v="Jaipur"/>
    <d v="2024-09-28T00:00:00"/>
    <d v="2024-10-22T00:00:00"/>
    <n v="24"/>
    <x v="4"/>
    <s v="Hypertension"/>
    <x v="7"/>
    <s v="Dietary Management"/>
    <x v="1"/>
    <s v="Dr. Vivek Patel"/>
    <n v="396"/>
    <s v="General Ward"/>
    <x v="1"/>
    <n v="140177"/>
    <n v="70046"/>
    <n v="70131"/>
    <n v="119433"/>
    <n v="7928"/>
    <n v="9274"/>
    <s v="No"/>
    <n v="86"/>
    <n v="3.8"/>
    <x v="1"/>
  </r>
  <r>
    <x v="824"/>
    <s v="Sanjay Malhotra"/>
    <n v="65"/>
    <x v="1"/>
    <s v="A-"/>
    <s v="Kolkata"/>
    <d v="2024-11-24T00:00:00"/>
    <d v="2024-11-26T00:00:00"/>
    <n v="2"/>
    <x v="0"/>
    <s v="Diabetes Type 2"/>
    <x v="9"/>
    <s v="Chemotherapy"/>
    <x v="0"/>
    <s v="Dr. Deepak Rao"/>
    <n v="440"/>
    <s v="Semi-Private"/>
    <x v="2"/>
    <n v="174060"/>
    <n v="130990"/>
    <n v="43070"/>
    <n v="148520"/>
    <n v="13302"/>
    <n v="10472"/>
    <s v="No"/>
    <n v="97"/>
    <n v="2.5"/>
    <x v="0"/>
  </r>
  <r>
    <x v="825"/>
    <s v="Rohan Verma"/>
    <n v="44"/>
    <x v="1"/>
    <s v="A-"/>
    <s v="Jaipur"/>
    <d v="2022-10-10T00:00:00"/>
    <d v="2022-10-16T00:00:00"/>
    <n v="6"/>
    <x v="0"/>
    <s v="Typhoid"/>
    <x v="1"/>
    <s v="Medication"/>
    <x v="1"/>
    <s v="Dr. Sameer Nair"/>
    <n v="110"/>
    <s v="Private"/>
    <x v="1"/>
    <n v="76514"/>
    <n v="33711"/>
    <n v="42803"/>
    <n v="38413"/>
    <n v="21488"/>
    <n v="14240"/>
    <s v="No"/>
    <n v="43"/>
    <n v="2.8"/>
    <x v="1"/>
  </r>
  <r>
    <x v="826"/>
    <s v="Rohan Bose"/>
    <n v="40"/>
    <x v="1"/>
    <s v="B+"/>
    <s v="Jaipur"/>
    <d v="2022-08-13T00:00:00"/>
    <d v="2022-08-16T00:00:00"/>
    <n v="3"/>
    <x v="0"/>
    <s v="Anemia"/>
    <x v="4"/>
    <s v="Dietary Management"/>
    <x v="2"/>
    <s v="Dr. Arun Mehta"/>
    <n v="377"/>
    <s v="General Ward"/>
    <x v="0"/>
    <n v="41063"/>
    <n v="19838"/>
    <n v="21225"/>
    <n v="14467"/>
    <n v="21776"/>
    <n v="3905"/>
    <s v="No"/>
    <n v="49"/>
    <n v="2.7"/>
    <x v="2"/>
  </r>
  <r>
    <x v="827"/>
    <s v="Vikram Malhotra"/>
    <n v="68"/>
    <x v="0"/>
    <s v="B+"/>
    <s v="Delhi"/>
    <d v="2023-05-15T00:00:00"/>
    <d v="2023-05-27T00:00:00"/>
    <n v="12"/>
    <x v="3"/>
    <s v="Stroke"/>
    <x v="6"/>
    <s v="Physiotherapy"/>
    <x v="1"/>
    <s v="Dr. Vivek Kumar"/>
    <n v="454"/>
    <s v="General Ward"/>
    <x v="3"/>
    <n v="89666"/>
    <n v="72150"/>
    <n v="17516"/>
    <n v="71444"/>
    <n v="13971"/>
    <n v="3728"/>
    <s v="No"/>
    <n v="62"/>
    <n v="4.0999999999999996"/>
    <x v="0"/>
  </r>
  <r>
    <x v="828"/>
    <s v="Kavya Malhotra"/>
    <n v="63"/>
    <x v="0"/>
    <s v="O-"/>
    <s v="Kolkata"/>
    <d v="2022-07-16T00:00:00"/>
    <d v="2022-08-05T00:00:00"/>
    <n v="20"/>
    <x v="0"/>
    <s v="Depression"/>
    <x v="5"/>
    <s v="Physiotherapy"/>
    <x v="1"/>
    <s v="Dr. Arun Mehta"/>
    <n v="307"/>
    <s v="General Ward"/>
    <x v="3"/>
    <n v="49783"/>
    <n v="42791"/>
    <n v="6992"/>
    <n v="24405"/>
    <n v="16390"/>
    <n v="5391"/>
    <s v="Yes"/>
    <n v="100"/>
    <n v="2.5"/>
    <x v="0"/>
  </r>
  <r>
    <x v="829"/>
    <s v="Suresh Kumar"/>
    <n v="8"/>
    <x v="0"/>
    <s v="B-"/>
    <s v="Jaipur"/>
    <d v="2023-07-20T00:00:00"/>
    <d v="2023-07-23T00:00:00"/>
    <n v="3"/>
    <x v="0"/>
    <s v="Liver Disease"/>
    <x v="0"/>
    <s v="Observation"/>
    <x v="2"/>
    <s v="Dr. Sameer Rao"/>
    <n v="42"/>
    <s v="Semi-Private"/>
    <x v="2"/>
    <n v="137333"/>
    <n v="84702"/>
    <n v="52631"/>
    <n v="115047"/>
    <n v="16953"/>
    <n v="729"/>
    <s v="No"/>
    <n v="96"/>
    <n v="3.1"/>
    <x v="4"/>
  </r>
  <r>
    <x v="830"/>
    <s v="Ashok Chopra"/>
    <n v="63"/>
    <x v="1"/>
    <s v="AB+"/>
    <s v="Chennai"/>
    <d v="2024-03-17T00:00:00"/>
    <d v="2024-04-16T00:00:00"/>
    <n v="30"/>
    <x v="5"/>
    <s v="Pneumonia"/>
    <x v="8"/>
    <s v="Dietary Management"/>
    <x v="0"/>
    <s v="Dr. Nisha Kumar"/>
    <n v="31"/>
    <s v="Private"/>
    <x v="1"/>
    <n v="122326"/>
    <n v="59958"/>
    <n v="62368"/>
    <n v="80219"/>
    <n v="26519"/>
    <n v="13002"/>
    <s v="Yes"/>
    <n v="67"/>
    <n v="3.2"/>
    <x v="2"/>
  </r>
  <r>
    <x v="831"/>
    <s v="Sunita Rao"/>
    <n v="82"/>
    <x v="1"/>
    <s v="B-"/>
    <s v="Lucknow"/>
    <d v="2024-05-03T00:00:00"/>
    <d v="2024-05-15T00:00:00"/>
    <n v="12"/>
    <x v="4"/>
    <s v="Hypertension"/>
    <x v="7"/>
    <s v="Dietary Management"/>
    <x v="0"/>
    <s v="Dr. Sameer Gupta"/>
    <n v="98"/>
    <s v="Semi-Private"/>
    <x v="0"/>
    <n v="120497"/>
    <n v="51397"/>
    <n v="69100"/>
    <n v="106014"/>
    <n v="5413"/>
    <n v="7608"/>
    <s v="No"/>
    <n v="56"/>
    <n v="2.6"/>
    <x v="4"/>
  </r>
  <r>
    <x v="832"/>
    <s v="Sunita Gupta"/>
    <n v="48"/>
    <x v="0"/>
    <s v="O+"/>
    <s v="Bangalore"/>
    <d v="2022-07-27T00:00:00"/>
    <d v="2022-08-18T00:00:00"/>
    <n v="22"/>
    <x v="6"/>
    <s v="Arthritis"/>
    <x v="11"/>
    <s v="Medication"/>
    <x v="0"/>
    <s v="Dr. Shalini Rao"/>
    <n v="51"/>
    <s v="ICU"/>
    <x v="0"/>
    <n v="99466"/>
    <n v="59421"/>
    <n v="40045"/>
    <n v="67941"/>
    <n v="24735"/>
    <n v="5597"/>
    <s v="No"/>
    <n v="64"/>
    <n v="2.8"/>
    <x v="2"/>
  </r>
  <r>
    <x v="833"/>
    <s v="Ritu Verma"/>
    <n v="35"/>
    <x v="1"/>
    <s v="O+"/>
    <s v="Ahmedabad"/>
    <d v="2023-01-18T00:00:00"/>
    <d v="2023-02-16T00:00:00"/>
    <n v="29"/>
    <x v="1"/>
    <s v="Kidney Stone"/>
    <x v="2"/>
    <s v="ICU Care"/>
    <x v="2"/>
    <s v="Dr. Kavita Reddy"/>
    <n v="134"/>
    <s v="Semi-Private"/>
    <x v="2"/>
    <n v="76972"/>
    <n v="65773"/>
    <n v="11199"/>
    <n v="68146"/>
    <n v="3541"/>
    <n v="1789"/>
    <s v="No"/>
    <n v="65"/>
    <n v="2.1"/>
    <x v="1"/>
  </r>
  <r>
    <x v="834"/>
    <s v="Nisha Malhotra"/>
    <n v="54"/>
    <x v="0"/>
    <s v="AB-"/>
    <s v="Pune"/>
    <d v="2024-07-17T00:00:00"/>
    <d v="2024-07-30T00:00:00"/>
    <n v="13"/>
    <x v="0"/>
    <s v="Obesity"/>
    <x v="12"/>
    <s v="ICU Care"/>
    <x v="2"/>
    <s v="Dr. Nisha Reddy"/>
    <n v="224"/>
    <s v="Private"/>
    <x v="1"/>
    <n v="166527"/>
    <n v="85928"/>
    <n v="80599"/>
    <n v="128781"/>
    <n v="29090"/>
    <n v="4937"/>
    <s v="No"/>
    <n v="89"/>
    <n v="3.5"/>
    <x v="3"/>
  </r>
  <r>
    <x v="835"/>
    <s v="Pooja Mehta"/>
    <n v="40"/>
    <x v="1"/>
    <s v="A-"/>
    <s v="Bangalore"/>
    <d v="2023-12-04T00:00:00"/>
    <d v="2023-12-14T00:00:00"/>
    <n v="10"/>
    <x v="1"/>
    <s v="Kidney Stone"/>
    <x v="2"/>
    <s v="Counseling"/>
    <x v="1"/>
    <s v="Dr. Shalini Kumar"/>
    <n v="474"/>
    <s v="Private"/>
    <x v="1"/>
    <n v="63761"/>
    <n v="40050"/>
    <n v="23711"/>
    <n v="27947"/>
    <n v="27698"/>
    <n v="6098"/>
    <s v="No"/>
    <n v="60"/>
    <n v="4.4000000000000004"/>
    <x v="1"/>
  </r>
  <r>
    <x v="836"/>
    <s v="Sanjay Chopra"/>
    <n v="55"/>
    <x v="0"/>
    <s v="AB-"/>
    <s v="Bangalore"/>
    <d v="2022-08-20T00:00:00"/>
    <d v="2022-09-17T00:00:00"/>
    <n v="28"/>
    <x v="2"/>
    <s v="Cancer"/>
    <x v="3"/>
    <s v="Radiation Therapy"/>
    <x v="3"/>
    <s v="Dr. Sameer Reddy"/>
    <n v="189"/>
    <s v="General Ward"/>
    <x v="4"/>
    <n v="71561"/>
    <n v="0"/>
    <n v="71561"/>
    <n v="52603"/>
    <n v="13609"/>
    <n v="2507"/>
    <s v="Yes"/>
    <n v="82"/>
    <n v="4.9000000000000004"/>
    <x v="0"/>
  </r>
  <r>
    <x v="837"/>
    <s v="Sanjay Mehta"/>
    <n v="36"/>
    <x v="1"/>
    <s v="AB+"/>
    <s v="Delhi"/>
    <d v="2023-09-09T00:00:00"/>
    <d v="2023-10-04T00:00:00"/>
    <n v="25"/>
    <x v="0"/>
    <s v="Dengue"/>
    <x v="1"/>
    <s v="Chemotherapy"/>
    <x v="1"/>
    <s v="Dr. Anjali Rao"/>
    <n v="212"/>
    <s v="Semi-Private"/>
    <x v="3"/>
    <n v="80961"/>
    <n v="49305"/>
    <n v="31656"/>
    <n v="64245"/>
    <n v="4416"/>
    <n v="11652"/>
    <s v="No"/>
    <n v="86"/>
    <n v="2.4"/>
    <x v="0"/>
  </r>
  <r>
    <x v="838"/>
    <s v="Ashok Shah"/>
    <n v="26"/>
    <x v="1"/>
    <s v="A-"/>
    <s v="Delhi"/>
    <d v="2024-01-25T00:00:00"/>
    <d v="2024-02-18T00:00:00"/>
    <n v="24"/>
    <x v="0"/>
    <s v="Depression"/>
    <x v="5"/>
    <s v="Surgery"/>
    <x v="3"/>
    <s v="Dr. Nisha Mehta"/>
    <n v="108"/>
    <s v="Private"/>
    <x v="4"/>
    <n v="79434"/>
    <n v="0"/>
    <n v="79434"/>
    <n v="51194"/>
    <n v="15186"/>
    <n v="8781"/>
    <s v="No"/>
    <n v="94"/>
    <n v="4"/>
    <x v="4"/>
  </r>
  <r>
    <x v="839"/>
    <s v="Priya Kumar"/>
    <n v="68"/>
    <x v="1"/>
    <s v="B+"/>
    <s v="Mumbai"/>
    <d v="2024-12-19T00:00:00"/>
    <d v="2024-12-31T00:00:00"/>
    <n v="12"/>
    <x v="0"/>
    <s v="Dengue"/>
    <x v="1"/>
    <s v="Chemotherapy"/>
    <x v="0"/>
    <s v="Dr. Anjali Gupta"/>
    <n v="68"/>
    <s v="ICU"/>
    <x v="3"/>
    <n v="109921"/>
    <n v="81387"/>
    <n v="28534"/>
    <n v="89912"/>
    <n v="14327"/>
    <n v="3585"/>
    <s v="Yes"/>
    <n v="98"/>
    <n v="2.2000000000000002"/>
    <x v="3"/>
  </r>
  <r>
    <x v="840"/>
    <s v="Sonia Shah"/>
    <n v="24"/>
    <x v="0"/>
    <s v="A-"/>
    <s v="Mumbai"/>
    <d v="2024-01-23T00:00:00"/>
    <d v="2024-02-03T00:00:00"/>
    <n v="11"/>
    <x v="6"/>
    <s v="Arthritis"/>
    <x v="11"/>
    <s v="Medication"/>
    <x v="1"/>
    <s v="Dr. Sameer Gupta"/>
    <n v="439"/>
    <s v="Semi-Private"/>
    <x v="0"/>
    <n v="40028"/>
    <n v="21572"/>
    <n v="18456"/>
    <n v="22226"/>
    <n v="11131"/>
    <n v="3552"/>
    <s v="No"/>
    <n v="52"/>
    <n v="2.4"/>
    <x v="3"/>
  </r>
  <r>
    <x v="841"/>
    <s v="Divya Rao"/>
    <n v="34"/>
    <x v="1"/>
    <s v="B-"/>
    <s v="Kolkata"/>
    <d v="2024-12-19T00:00:00"/>
    <d v="2024-12-31T00:00:00"/>
    <n v="12"/>
    <x v="6"/>
    <s v="Fracture"/>
    <x v="10"/>
    <s v="Physiotherapy"/>
    <x v="1"/>
    <s v="Dr. Kavita Patel"/>
    <n v="102"/>
    <s v="ICU"/>
    <x v="1"/>
    <n v="122049"/>
    <n v="67790"/>
    <n v="54259"/>
    <n v="95665"/>
    <n v="12503"/>
    <n v="12119"/>
    <s v="No"/>
    <n v="98"/>
    <n v="4.2"/>
    <x v="0"/>
  </r>
  <r>
    <x v="842"/>
    <s v="Rajesh Joshi"/>
    <n v="78"/>
    <x v="0"/>
    <s v="B-"/>
    <s v="Pune"/>
    <d v="2022-09-19T00:00:00"/>
    <d v="2022-10-13T00:00:00"/>
    <n v="24"/>
    <x v="1"/>
    <s v="Kidney Stone"/>
    <x v="2"/>
    <s v="ICU Care"/>
    <x v="2"/>
    <s v="Dr. Kavita Mehta"/>
    <n v="87"/>
    <s v="Semi-Private"/>
    <x v="3"/>
    <n v="101027"/>
    <n v="87700"/>
    <n v="13327"/>
    <n v="64464"/>
    <n v="23915"/>
    <n v="10591"/>
    <s v="No"/>
    <n v="51"/>
    <n v="2"/>
    <x v="1"/>
  </r>
  <r>
    <x v="843"/>
    <s v="Rekha Bose"/>
    <n v="33"/>
    <x v="0"/>
    <s v="B-"/>
    <s v="Bangalore"/>
    <d v="2023-04-10T00:00:00"/>
    <d v="2023-04-24T00:00:00"/>
    <n v="14"/>
    <x v="0"/>
    <s v="Anemia"/>
    <x v="4"/>
    <s v="Counseling"/>
    <x v="3"/>
    <s v="Dr. Arun Gupta"/>
    <n v="204"/>
    <s v="General Ward"/>
    <x v="2"/>
    <n v="171479"/>
    <n v="112530"/>
    <n v="58949"/>
    <n v="149500"/>
    <n v="16044"/>
    <n v="1246"/>
    <s v="No"/>
    <n v="90"/>
    <n v="4.9000000000000004"/>
    <x v="0"/>
  </r>
  <r>
    <x v="844"/>
    <s v="Lata Joshi"/>
    <n v="30"/>
    <x v="0"/>
    <s v="A+"/>
    <s v="Delhi"/>
    <d v="2022-01-29T00:00:00"/>
    <d v="2022-02-14T00:00:00"/>
    <n v="16"/>
    <x v="0"/>
    <s v="Appendicitis"/>
    <x v="0"/>
    <s v="Observation"/>
    <x v="1"/>
    <s v="Dr. Nisha Nair"/>
    <n v="114"/>
    <s v="Semi-Private"/>
    <x v="2"/>
    <n v="174630"/>
    <n v="153135"/>
    <n v="21495"/>
    <n v="134235"/>
    <n v="22830"/>
    <n v="13504"/>
    <s v="No"/>
    <n v="74"/>
    <n v="4.5999999999999996"/>
    <x v="4"/>
  </r>
  <r>
    <x v="845"/>
    <s v="Meera Mehta"/>
    <n v="46"/>
    <x v="0"/>
    <s v="O+"/>
    <s v="Bangalore"/>
    <d v="2022-10-25T00:00:00"/>
    <d v="2022-11-01T00:00:00"/>
    <n v="7"/>
    <x v="3"/>
    <s v="Stroke"/>
    <x v="6"/>
    <s v="Physiotherapy"/>
    <x v="2"/>
    <s v="Dr. Deepak Sharma"/>
    <n v="325"/>
    <s v="General Ward"/>
    <x v="1"/>
    <n v="97227"/>
    <n v="55231"/>
    <n v="41996"/>
    <n v="81555"/>
    <n v="9315"/>
    <n v="3022"/>
    <s v="No"/>
    <n v="87"/>
    <n v="3.7"/>
    <x v="2"/>
  </r>
  <r>
    <x v="846"/>
    <s v="Ananya Shah"/>
    <n v="56"/>
    <x v="1"/>
    <s v="AB+"/>
    <s v="Bangalore"/>
    <d v="2023-11-23T00:00:00"/>
    <d v="2023-11-30T00:00:00"/>
    <n v="7"/>
    <x v="1"/>
    <s v="Kidney Stone"/>
    <x v="2"/>
    <s v="Observation"/>
    <x v="2"/>
    <s v="Dr. Anjali Reddy"/>
    <n v="35"/>
    <s v="General Ward"/>
    <x v="1"/>
    <n v="40955"/>
    <n v="19770"/>
    <n v="21185"/>
    <n v="19528"/>
    <n v="9898"/>
    <n v="7001"/>
    <s v="No"/>
    <n v="40"/>
    <n v="3.5"/>
    <x v="1"/>
  </r>
  <r>
    <x v="847"/>
    <s v="Kavya Pillai"/>
    <n v="44"/>
    <x v="1"/>
    <s v="O-"/>
    <s v="Bangalore"/>
    <d v="2022-01-28T00:00:00"/>
    <d v="2022-02-26T00:00:00"/>
    <n v="29"/>
    <x v="6"/>
    <s v="Fracture"/>
    <x v="10"/>
    <s v="Observation"/>
    <x v="2"/>
    <s v="Dr. Vivek Sharma"/>
    <n v="261"/>
    <s v="Private"/>
    <x v="3"/>
    <n v="103247"/>
    <n v="82294"/>
    <n v="20953"/>
    <n v="65093"/>
    <n v="19707"/>
    <n v="14068"/>
    <s v="No"/>
    <n v="60"/>
    <n v="4.2"/>
    <x v="4"/>
  </r>
  <r>
    <x v="848"/>
    <s v="Priya Shah"/>
    <n v="45"/>
    <x v="0"/>
    <s v="A-"/>
    <s v="Bangalore"/>
    <d v="2022-05-18T00:00:00"/>
    <d v="2022-05-30T00:00:00"/>
    <n v="12"/>
    <x v="6"/>
    <s v="Fracture"/>
    <x v="10"/>
    <s v="Dialysis"/>
    <x v="1"/>
    <s v="Dr. Prerna Rao"/>
    <n v="393"/>
    <s v="Private"/>
    <x v="4"/>
    <n v="129192"/>
    <n v="0"/>
    <n v="129192"/>
    <n v="117267"/>
    <n v="9900"/>
    <n v="777"/>
    <s v="No"/>
    <n v="64"/>
    <n v="3.8"/>
    <x v="2"/>
  </r>
  <r>
    <x v="849"/>
    <s v="Sanjay Verma"/>
    <n v="62"/>
    <x v="0"/>
    <s v="O-"/>
    <s v="Bangalore"/>
    <d v="2022-05-04T00:00:00"/>
    <d v="2022-05-20T00:00:00"/>
    <n v="16"/>
    <x v="4"/>
    <s v="Hypertension"/>
    <x v="7"/>
    <s v="Medication"/>
    <x v="3"/>
    <s v="Dr. Sameer Joshi"/>
    <n v="500"/>
    <s v="Semi-Private"/>
    <x v="2"/>
    <n v="64315"/>
    <n v="40443"/>
    <n v="23872"/>
    <n v="23643"/>
    <n v="21406"/>
    <n v="14702"/>
    <s v="No"/>
    <n v="45"/>
    <n v="2.4"/>
    <x v="3"/>
  </r>
  <r>
    <x v="850"/>
    <s v="Suresh Iyer"/>
    <n v="36"/>
    <x v="0"/>
    <s v="AB+"/>
    <s v="Ahmedabad"/>
    <d v="2024-12-25T00:00:00"/>
    <d v="2024-12-31T00:00:00"/>
    <n v="6"/>
    <x v="0"/>
    <s v="COVID-19"/>
    <x v="1"/>
    <s v="Medication"/>
    <x v="0"/>
    <s v="Dr. Kavita Patel"/>
    <n v="85"/>
    <s v="ICU"/>
    <x v="3"/>
    <n v="144251"/>
    <n v="92257"/>
    <n v="51994"/>
    <n v="131844"/>
    <n v="8580"/>
    <n v="1809"/>
    <s v="No"/>
    <n v="83"/>
    <n v="4.3"/>
    <x v="4"/>
  </r>
  <r>
    <x v="851"/>
    <s v="Amit Iyer"/>
    <n v="72"/>
    <x v="0"/>
    <s v="AB+"/>
    <s v="Pune"/>
    <d v="2023-05-01T00:00:00"/>
    <d v="2023-05-28T00:00:00"/>
    <n v="27"/>
    <x v="3"/>
    <s v="Stroke"/>
    <x v="6"/>
    <s v="Dialysis"/>
    <x v="2"/>
    <s v="Dr. Prerna Rao"/>
    <n v="47"/>
    <s v="ICU"/>
    <x v="4"/>
    <n v="98816"/>
    <n v="0"/>
    <n v="98816"/>
    <n v="85941"/>
    <n v="7172"/>
    <n v="1005"/>
    <s v="No"/>
    <n v="90"/>
    <n v="3.7"/>
    <x v="1"/>
  </r>
  <r>
    <x v="852"/>
    <s v="Ananya Reddy"/>
    <n v="20"/>
    <x v="1"/>
    <s v="A+"/>
    <s v="Bangalore"/>
    <d v="2022-09-05T00:00:00"/>
    <d v="2022-09-24T00:00:00"/>
    <n v="19"/>
    <x v="6"/>
    <s v="Fracture"/>
    <x v="10"/>
    <s v="Medication"/>
    <x v="3"/>
    <s v="Dr. Anjali Joshi"/>
    <n v="140"/>
    <s v="Private"/>
    <x v="1"/>
    <n v="161346"/>
    <n v="64872"/>
    <n v="96474"/>
    <n v="124562"/>
    <n v="27199"/>
    <n v="5154"/>
    <s v="Yes"/>
    <n v="48"/>
    <n v="3.3"/>
    <x v="0"/>
  </r>
  <r>
    <x v="853"/>
    <s v="Sunil Chopra"/>
    <n v="44"/>
    <x v="0"/>
    <s v="AB+"/>
    <s v="Ahmedabad"/>
    <d v="2024-04-01T00:00:00"/>
    <d v="2024-04-11T00:00:00"/>
    <n v="10"/>
    <x v="0"/>
    <s v="Obesity"/>
    <x v="12"/>
    <s v="Dietary Management"/>
    <x v="0"/>
    <s v="Dr. Rakesh Patel"/>
    <n v="215"/>
    <s v="Semi-Private"/>
    <x v="3"/>
    <n v="123680"/>
    <n v="83741"/>
    <n v="39939"/>
    <n v="96110"/>
    <n v="14979"/>
    <n v="11815"/>
    <s v="No"/>
    <n v="41"/>
    <n v="3.2"/>
    <x v="1"/>
  </r>
  <r>
    <x v="854"/>
    <s v="Amit Reddy"/>
    <n v="65"/>
    <x v="1"/>
    <s v="A+"/>
    <s v="Lucknow"/>
    <d v="2024-03-01T00:00:00"/>
    <d v="2024-03-10T00:00:00"/>
    <n v="9"/>
    <x v="0"/>
    <s v="Obesity"/>
    <x v="12"/>
    <s v="Dietary Management"/>
    <x v="2"/>
    <s v="Dr. Anjali Gupta"/>
    <n v="41"/>
    <s v="General Ward"/>
    <x v="1"/>
    <n v="117813"/>
    <n v="54998"/>
    <n v="62815"/>
    <n v="98872"/>
    <n v="5500"/>
    <n v="9827"/>
    <s v="No"/>
    <n v="84"/>
    <n v="3.1"/>
    <x v="4"/>
  </r>
  <r>
    <x v="855"/>
    <s v="Geeta Sharma"/>
    <n v="27"/>
    <x v="0"/>
    <s v="O-"/>
    <s v="Delhi"/>
    <d v="2022-11-27T00:00:00"/>
    <d v="2022-12-14T00:00:00"/>
    <n v="17"/>
    <x v="4"/>
    <s v="Heart Attack"/>
    <x v="7"/>
    <s v="Observation"/>
    <x v="2"/>
    <s v="Dr. Vivek Singh"/>
    <n v="121"/>
    <s v="General Ward"/>
    <x v="4"/>
    <n v="113120"/>
    <n v="0"/>
    <n v="113120"/>
    <n v="81016"/>
    <n v="18187"/>
    <n v="10670"/>
    <s v="No"/>
    <n v="62"/>
    <n v="4.8"/>
    <x v="4"/>
  </r>
  <r>
    <x v="856"/>
    <s v="Sunita Khanna"/>
    <n v="36"/>
    <x v="0"/>
    <s v="O-"/>
    <s v="Hyderabad"/>
    <d v="2023-08-22T00:00:00"/>
    <d v="2023-09-15T00:00:00"/>
    <n v="24"/>
    <x v="2"/>
    <s v="Cancer"/>
    <x v="3"/>
    <s v="Dialysis"/>
    <x v="1"/>
    <s v="Dr. Rakesh Rao"/>
    <n v="63"/>
    <s v="ICU"/>
    <x v="1"/>
    <n v="107728"/>
    <n v="70038"/>
    <n v="37690"/>
    <n v="69117"/>
    <n v="25673"/>
    <n v="10452"/>
    <s v="No"/>
    <n v="56"/>
    <n v="2.8"/>
    <x v="4"/>
  </r>
  <r>
    <x v="857"/>
    <s v="Deepa Reddy"/>
    <n v="78"/>
    <x v="0"/>
    <s v="AB+"/>
    <s v="Hyderabad"/>
    <d v="2022-02-05T00:00:00"/>
    <d v="2022-02-22T00:00:00"/>
    <n v="17"/>
    <x v="0"/>
    <s v="Depression"/>
    <x v="5"/>
    <s v="Physiotherapy"/>
    <x v="2"/>
    <s v="Dr. Arun Rao"/>
    <n v="169"/>
    <s v="ICU"/>
    <x v="0"/>
    <n v="163706"/>
    <n v="97039"/>
    <n v="66667"/>
    <n v="130050"/>
    <n v="24709"/>
    <n v="4080"/>
    <s v="No"/>
    <n v="77"/>
    <n v="4.5999999999999996"/>
    <x v="1"/>
  </r>
  <r>
    <x v="858"/>
    <s v="Sneha Reddy"/>
    <n v="25"/>
    <x v="1"/>
    <s v="A+"/>
    <s v="Lucknow"/>
    <d v="2024-07-01T00:00:00"/>
    <d v="2024-07-06T00:00:00"/>
    <n v="5"/>
    <x v="0"/>
    <s v="Diabetes Type 2"/>
    <x v="9"/>
    <s v="Surgery"/>
    <x v="0"/>
    <s v="Dr. Arun Gupta"/>
    <n v="168"/>
    <s v="Private"/>
    <x v="1"/>
    <n v="112557"/>
    <n v="57535"/>
    <n v="55022"/>
    <n v="96159"/>
    <n v="7314"/>
    <n v="5203"/>
    <s v="No"/>
    <n v="77"/>
    <n v="2.4"/>
    <x v="2"/>
  </r>
  <r>
    <x v="859"/>
    <s v="Priya Reddy"/>
    <n v="6"/>
    <x v="1"/>
    <s v="O+"/>
    <s v="Hyderabad"/>
    <d v="2024-06-05T00:00:00"/>
    <d v="2024-07-03T00:00:00"/>
    <n v="28"/>
    <x v="1"/>
    <s v="UTI"/>
    <x v="2"/>
    <s v="Surgery"/>
    <x v="2"/>
    <s v="Dr. Shalini Reddy"/>
    <n v="291"/>
    <s v="General Ward"/>
    <x v="2"/>
    <n v="85479"/>
    <n v="54022"/>
    <n v="31457"/>
    <n v="42076"/>
    <n v="25159"/>
    <n v="14830"/>
    <s v="No"/>
    <n v="53"/>
    <n v="4.2"/>
    <x v="4"/>
  </r>
  <r>
    <x v="860"/>
    <s v="Amit Chopra"/>
    <n v="50"/>
    <x v="0"/>
    <s v="B-"/>
    <s v="Pune"/>
    <d v="2023-11-22T00:00:00"/>
    <d v="2023-12-13T00:00:00"/>
    <n v="21"/>
    <x v="0"/>
    <s v="Typhoid"/>
    <x v="1"/>
    <s v="Counseling"/>
    <x v="0"/>
    <s v="Dr. Prerna Rao"/>
    <n v="313"/>
    <s v="Semi-Private"/>
    <x v="2"/>
    <n v="106921"/>
    <n v="70220"/>
    <n v="36701"/>
    <n v="73443"/>
    <n v="24128"/>
    <n v="6406"/>
    <s v="No"/>
    <n v="65"/>
    <n v="3.2"/>
    <x v="3"/>
  </r>
  <r>
    <x v="861"/>
    <s v="Rahul Reddy"/>
    <n v="74"/>
    <x v="0"/>
    <s v="A+"/>
    <s v="Chennai"/>
    <d v="2023-08-31T00:00:00"/>
    <d v="2023-09-29T00:00:00"/>
    <n v="29"/>
    <x v="4"/>
    <s v="Heart Attack"/>
    <x v="7"/>
    <s v="Observation"/>
    <x v="2"/>
    <s v="Dr. Sameer Sharma"/>
    <n v="440"/>
    <s v="Semi-Private"/>
    <x v="0"/>
    <n v="109558"/>
    <n v="52537"/>
    <n v="57021"/>
    <n v="86271"/>
    <n v="15991"/>
    <n v="5296"/>
    <s v="No"/>
    <n v="46"/>
    <n v="2.1"/>
    <x v="2"/>
  </r>
  <r>
    <x v="862"/>
    <s v="Sunita Malhotra"/>
    <n v="79"/>
    <x v="0"/>
    <s v="AB+"/>
    <s v="Jaipur"/>
    <d v="2022-02-27T00:00:00"/>
    <d v="2022-03-01T00:00:00"/>
    <n v="2"/>
    <x v="0"/>
    <s v="Depression"/>
    <x v="5"/>
    <s v="Physiotherapy"/>
    <x v="3"/>
    <s v="Dr. Vivek Rao"/>
    <n v="492"/>
    <s v="General Ward"/>
    <x v="0"/>
    <n v="66542"/>
    <n v="35363"/>
    <n v="31179"/>
    <n v="28506"/>
    <n v="22188"/>
    <n v="11357"/>
    <s v="No"/>
    <n v="69"/>
    <n v="2.8"/>
    <x v="3"/>
  </r>
  <r>
    <x v="863"/>
    <s v="Deepa Mehta"/>
    <n v="45"/>
    <x v="1"/>
    <s v="B+"/>
    <s v="Chennai"/>
    <d v="2024-01-21T00:00:00"/>
    <d v="2024-01-23T00:00:00"/>
    <n v="2"/>
    <x v="4"/>
    <s v="Heart Attack"/>
    <x v="7"/>
    <s v="Counseling"/>
    <x v="3"/>
    <s v="Dr. Vivek Joshi"/>
    <n v="174"/>
    <s v="Semi-Private"/>
    <x v="3"/>
    <n v="134793"/>
    <n v="88922"/>
    <n v="45871"/>
    <n v="93283"/>
    <n v="24915"/>
    <n v="14789"/>
    <s v="Yes"/>
    <n v="49"/>
    <n v="3.9"/>
    <x v="2"/>
  </r>
  <r>
    <x v="864"/>
    <s v="Aditya Gupta"/>
    <n v="7"/>
    <x v="1"/>
    <s v="O-"/>
    <s v="Kolkata"/>
    <d v="2022-08-09T00:00:00"/>
    <d v="2022-08-16T00:00:00"/>
    <n v="7"/>
    <x v="3"/>
    <s v="Stroke"/>
    <x v="6"/>
    <s v="Chemotherapy"/>
    <x v="1"/>
    <s v="Dr. Kavita Reddy"/>
    <n v="130"/>
    <s v="ICU"/>
    <x v="3"/>
    <n v="137849"/>
    <n v="110431"/>
    <n v="27418"/>
    <n v="120598"/>
    <n v="3219"/>
    <n v="12526"/>
    <s v="No"/>
    <n v="69"/>
    <n v="3.1"/>
    <x v="3"/>
  </r>
  <r>
    <x v="865"/>
    <s v="Sunil Khanna"/>
    <n v="23"/>
    <x v="0"/>
    <s v="O-"/>
    <s v="Pune"/>
    <d v="2023-05-26T00:00:00"/>
    <d v="2023-06-24T00:00:00"/>
    <n v="29"/>
    <x v="0"/>
    <s v="Diabetes Type 2"/>
    <x v="9"/>
    <s v="Dialysis"/>
    <x v="3"/>
    <s v="Dr. Kavita Sharma"/>
    <n v="41"/>
    <s v="Semi-Private"/>
    <x v="0"/>
    <n v="110841"/>
    <n v="52150"/>
    <n v="58691"/>
    <n v="72715"/>
    <n v="27740"/>
    <n v="8489"/>
    <s v="No"/>
    <n v="85"/>
    <n v="4.8"/>
    <x v="2"/>
  </r>
  <r>
    <x v="866"/>
    <s v="Priya Gupta"/>
    <n v="74"/>
    <x v="0"/>
    <s v="AB-"/>
    <s v="Delhi"/>
    <d v="2022-02-03T00:00:00"/>
    <d v="2022-02-06T00:00:00"/>
    <n v="3"/>
    <x v="0"/>
    <s v="COVID-19"/>
    <x v="1"/>
    <s v="Physiotherapy"/>
    <x v="2"/>
    <s v="Dr. Rakesh Sharma"/>
    <n v="452"/>
    <s v="Private"/>
    <x v="2"/>
    <n v="166639"/>
    <n v="145790"/>
    <n v="20849"/>
    <n v="120172"/>
    <n v="27683"/>
    <n v="14896"/>
    <s v="No"/>
    <n v="96"/>
    <n v="3.6"/>
    <x v="3"/>
  </r>
  <r>
    <x v="867"/>
    <s v="Ashok Bose"/>
    <n v="68"/>
    <x v="0"/>
    <s v="O+"/>
    <s v="Kolkata"/>
    <d v="2022-08-05T00:00:00"/>
    <d v="2022-08-25T00:00:00"/>
    <n v="20"/>
    <x v="0"/>
    <s v="Liver Disease"/>
    <x v="0"/>
    <s v="Dialysis"/>
    <x v="1"/>
    <s v="Dr. Vivek Kumar"/>
    <n v="328"/>
    <s v="Semi-Private"/>
    <x v="1"/>
    <n v="144340"/>
    <n v="84970"/>
    <n v="59370"/>
    <n v="120528"/>
    <n v="6049"/>
    <n v="13420"/>
    <s v="No"/>
    <n v="95"/>
    <n v="4.8"/>
    <x v="2"/>
  </r>
  <r>
    <x v="868"/>
    <s v="Vikram Verma"/>
    <n v="81"/>
    <x v="1"/>
    <s v="O-"/>
    <s v="Kolkata"/>
    <d v="2024-03-18T00:00:00"/>
    <d v="2024-04-12T00:00:00"/>
    <n v="25"/>
    <x v="0"/>
    <s v="Depression"/>
    <x v="5"/>
    <s v="Dialysis"/>
    <x v="2"/>
    <s v="Dr. Kavita Gupta"/>
    <n v="128"/>
    <s v="Semi-Private"/>
    <x v="3"/>
    <n v="56902"/>
    <n v="36360"/>
    <n v="20542"/>
    <n v="25003"/>
    <n v="27031"/>
    <n v="3552"/>
    <s v="Yes"/>
    <n v="43"/>
    <n v="2.4"/>
    <x v="4"/>
  </r>
  <r>
    <x v="869"/>
    <s v="Arjun Patel"/>
    <n v="35"/>
    <x v="0"/>
    <s v="AB+"/>
    <s v="Lucknow"/>
    <d v="2022-04-13T00:00:00"/>
    <d v="2022-05-05T00:00:00"/>
    <n v="22"/>
    <x v="6"/>
    <s v="Fracture"/>
    <x v="10"/>
    <s v="Medication"/>
    <x v="0"/>
    <s v="Dr. Rakesh Sharma"/>
    <n v="409"/>
    <s v="Semi-Private"/>
    <x v="1"/>
    <n v="61906"/>
    <n v="37659"/>
    <n v="24247"/>
    <n v="44597"/>
    <n v="12551"/>
    <n v="2196"/>
    <s v="No"/>
    <n v="60"/>
    <n v="4.2"/>
    <x v="3"/>
  </r>
  <r>
    <x v="870"/>
    <s v="Meera Kumar"/>
    <n v="27"/>
    <x v="1"/>
    <s v="B+"/>
    <s v="Ahmedabad"/>
    <d v="2024-03-05T00:00:00"/>
    <d v="2024-03-29T00:00:00"/>
    <n v="24"/>
    <x v="5"/>
    <s v="Asthma"/>
    <x v="8"/>
    <s v="Chemotherapy"/>
    <x v="0"/>
    <s v="Dr. Sameer Mehta"/>
    <n v="11"/>
    <s v="Private"/>
    <x v="4"/>
    <n v="55887"/>
    <n v="0"/>
    <n v="55887"/>
    <n v="44230"/>
    <n v="5729"/>
    <n v="2351"/>
    <s v="No"/>
    <n v="83"/>
    <n v="3"/>
    <x v="1"/>
  </r>
  <r>
    <x v="871"/>
    <s v="Sanjay Chopra"/>
    <n v="29"/>
    <x v="1"/>
    <s v="A+"/>
    <s v="Jaipur"/>
    <d v="2023-02-05T00:00:00"/>
    <d v="2023-02-12T00:00:00"/>
    <n v="7"/>
    <x v="1"/>
    <s v="UTI"/>
    <x v="2"/>
    <s v="Dialysis"/>
    <x v="0"/>
    <s v="Dr. Arun Singh"/>
    <n v="258"/>
    <s v="ICU"/>
    <x v="1"/>
    <n v="102292"/>
    <n v="41555"/>
    <n v="60737"/>
    <n v="91663"/>
    <n v="1384"/>
    <n v="4939"/>
    <s v="No"/>
    <n v="95"/>
    <n v="3.1"/>
    <x v="4"/>
  </r>
  <r>
    <x v="872"/>
    <s v="Vijay Das"/>
    <n v="49"/>
    <x v="1"/>
    <s v="O-"/>
    <s v="Chennai"/>
    <d v="2024-07-06T00:00:00"/>
    <d v="2024-07-22T00:00:00"/>
    <n v="16"/>
    <x v="5"/>
    <s v="Asthma"/>
    <x v="8"/>
    <s v="Physiotherapy"/>
    <x v="0"/>
    <s v="Dr. Vivek Reddy"/>
    <n v="82"/>
    <s v="Private"/>
    <x v="3"/>
    <n v="83641"/>
    <n v="73302"/>
    <n v="10339"/>
    <n v="66124"/>
    <n v="9782"/>
    <n v="3530"/>
    <s v="No"/>
    <n v="90"/>
    <n v="2.5"/>
    <x v="1"/>
  </r>
  <r>
    <x v="873"/>
    <s v="Sanjay Gupta"/>
    <n v="7"/>
    <x v="0"/>
    <s v="A-"/>
    <s v="Kolkata"/>
    <d v="2023-12-17T00:00:00"/>
    <d v="2024-01-04T00:00:00"/>
    <n v="18"/>
    <x v="6"/>
    <s v="Fracture"/>
    <x v="10"/>
    <s v="Dietary Management"/>
    <x v="2"/>
    <s v="Dr. Arun Kumar"/>
    <n v="294"/>
    <s v="Semi-Private"/>
    <x v="0"/>
    <n v="89574"/>
    <n v="60661"/>
    <n v="28913"/>
    <n v="79930"/>
    <n v="4834"/>
    <n v="1668"/>
    <s v="No"/>
    <n v="89"/>
    <n v="3.2"/>
    <x v="3"/>
  </r>
  <r>
    <x v="874"/>
    <s v="Vikram Iyer"/>
    <n v="45"/>
    <x v="0"/>
    <s v="AB+"/>
    <s v="Chennai"/>
    <d v="2024-06-11T00:00:00"/>
    <d v="2024-06-19T00:00:00"/>
    <n v="8"/>
    <x v="0"/>
    <s v="COVID-19"/>
    <x v="1"/>
    <s v="Observation"/>
    <x v="2"/>
    <s v="Dr. Shalini Singh"/>
    <n v="341"/>
    <s v="Semi-Private"/>
    <x v="2"/>
    <n v="136448"/>
    <n v="109018"/>
    <n v="27430"/>
    <n v="118105"/>
    <n v="13352"/>
    <n v="1745"/>
    <s v="No"/>
    <n v="41"/>
    <n v="3.9"/>
    <x v="0"/>
  </r>
  <r>
    <x v="875"/>
    <s v="Amit Kumar"/>
    <n v="29"/>
    <x v="1"/>
    <s v="A-"/>
    <s v="Chennai"/>
    <d v="2022-03-24T00:00:00"/>
    <d v="2022-03-26T00:00:00"/>
    <n v="2"/>
    <x v="5"/>
    <s v="Asthma"/>
    <x v="8"/>
    <s v="Counseling"/>
    <x v="2"/>
    <s v="Dr. Sameer Patel"/>
    <n v="420"/>
    <s v="General Ward"/>
    <x v="0"/>
    <n v="64890"/>
    <n v="41181"/>
    <n v="23709"/>
    <n v="44803"/>
    <n v="4092"/>
    <n v="14079"/>
    <s v="No"/>
    <n v="58"/>
    <n v="3.5"/>
    <x v="3"/>
  </r>
  <r>
    <x v="876"/>
    <s v="Manoj Shah"/>
    <n v="73"/>
    <x v="1"/>
    <s v="AB+"/>
    <s v="Jaipur"/>
    <d v="2024-05-04T00:00:00"/>
    <d v="2024-05-22T00:00:00"/>
    <n v="18"/>
    <x v="0"/>
    <s v="Typhoid"/>
    <x v="1"/>
    <s v="Dialysis"/>
    <x v="1"/>
    <s v="Dr. Prerna Rao"/>
    <n v="57"/>
    <s v="Private"/>
    <x v="4"/>
    <n v="158661"/>
    <n v="0"/>
    <n v="158661"/>
    <n v="145832"/>
    <n v="2916"/>
    <n v="6880"/>
    <s v="No"/>
    <n v="88"/>
    <n v="2.4"/>
    <x v="3"/>
  </r>
  <r>
    <x v="877"/>
    <s v="Priya Chopra"/>
    <n v="27"/>
    <x v="0"/>
    <s v="AB-"/>
    <s v="Jaipur"/>
    <d v="2024-09-10T00:00:00"/>
    <d v="2024-09-18T00:00:00"/>
    <n v="8"/>
    <x v="0"/>
    <s v="Dengue"/>
    <x v="1"/>
    <s v="ICU Care"/>
    <x v="0"/>
    <s v="Dr. Vivek Singh"/>
    <n v="485"/>
    <s v="ICU"/>
    <x v="4"/>
    <n v="65843"/>
    <n v="0"/>
    <n v="65843"/>
    <n v="36130"/>
    <n v="20522"/>
    <n v="7632"/>
    <s v="No"/>
    <n v="82"/>
    <n v="2.5"/>
    <x v="0"/>
  </r>
  <r>
    <x v="878"/>
    <s v="Vikram Khanna"/>
    <n v="23"/>
    <x v="1"/>
    <s v="A-"/>
    <s v="Chennai"/>
    <d v="2023-01-10T00:00:00"/>
    <d v="2023-01-11T00:00:00"/>
    <n v="1"/>
    <x v="1"/>
    <s v="UTI"/>
    <x v="2"/>
    <s v="Medication"/>
    <x v="3"/>
    <s v="Dr. Sameer Rao"/>
    <n v="130"/>
    <s v="Semi-Private"/>
    <x v="2"/>
    <n v="116920"/>
    <n v="102318"/>
    <n v="14602"/>
    <n v="78768"/>
    <n v="25010"/>
    <n v="8456"/>
    <s v="No"/>
    <n v="95"/>
    <n v="4.0999999999999996"/>
    <x v="3"/>
  </r>
  <r>
    <x v="879"/>
    <s v="Rahul Bose"/>
    <n v="83"/>
    <x v="0"/>
    <s v="B+"/>
    <s v="Kolkata"/>
    <d v="2023-07-23T00:00:00"/>
    <d v="2023-08-11T00:00:00"/>
    <n v="19"/>
    <x v="6"/>
    <s v="Arthritis"/>
    <x v="11"/>
    <s v="Physiotherapy"/>
    <x v="2"/>
    <s v="Dr. Prerna Nair"/>
    <n v="11"/>
    <s v="General Ward"/>
    <x v="0"/>
    <n v="140964"/>
    <n v="87574"/>
    <n v="53390"/>
    <n v="118243"/>
    <n v="14836"/>
    <n v="7214"/>
    <s v="No"/>
    <n v="85"/>
    <n v="2"/>
    <x v="3"/>
  </r>
  <r>
    <x v="880"/>
    <s v="Nisha Mehta"/>
    <n v="25"/>
    <x v="0"/>
    <s v="B-"/>
    <s v="Jaipur"/>
    <d v="2024-03-22T00:00:00"/>
    <d v="2024-03-29T00:00:00"/>
    <n v="7"/>
    <x v="0"/>
    <s v="Appendicitis"/>
    <x v="0"/>
    <s v="ICU Care"/>
    <x v="1"/>
    <s v="Dr. Nisha Mehta"/>
    <n v="139"/>
    <s v="Semi-Private"/>
    <x v="1"/>
    <n v="98248"/>
    <n v="66867"/>
    <n v="31381"/>
    <n v="66588"/>
    <n v="19016"/>
    <n v="12129"/>
    <s v="No"/>
    <n v="50"/>
    <n v="4.8"/>
    <x v="0"/>
  </r>
  <r>
    <x v="881"/>
    <s v="Ananya Iyer"/>
    <n v="83"/>
    <x v="1"/>
    <s v="A+"/>
    <s v="Ahmedabad"/>
    <d v="2024-03-26T00:00:00"/>
    <d v="2024-04-13T00:00:00"/>
    <n v="18"/>
    <x v="0"/>
    <s v="Anemia"/>
    <x v="4"/>
    <s v="Radiation Therapy"/>
    <x v="0"/>
    <s v="Dr. Kavita Reddy"/>
    <n v="91"/>
    <s v="Semi-Private"/>
    <x v="1"/>
    <n v="144683"/>
    <n v="67183"/>
    <n v="77500"/>
    <n v="106020"/>
    <n v="23058"/>
    <n v="13436"/>
    <s v="No"/>
    <n v="97"/>
    <n v="4.2"/>
    <x v="0"/>
  </r>
  <r>
    <x v="882"/>
    <s v="Amit Kumar"/>
    <n v="85"/>
    <x v="0"/>
    <s v="B+"/>
    <s v="Kolkata"/>
    <d v="2024-07-20T00:00:00"/>
    <d v="2024-07-24T00:00:00"/>
    <n v="4"/>
    <x v="2"/>
    <s v="Cancer"/>
    <x v="3"/>
    <s v="Counseling"/>
    <x v="3"/>
    <s v="Dr. Prerna Sharma"/>
    <n v="499"/>
    <s v="General Ward"/>
    <x v="0"/>
    <n v="78969"/>
    <n v="36352"/>
    <n v="42617"/>
    <n v="45646"/>
    <n v="22752"/>
    <n v="8787"/>
    <s v="No"/>
    <n v="78"/>
    <n v="2.5"/>
    <x v="0"/>
  </r>
  <r>
    <x v="883"/>
    <s v="Rekha Das"/>
    <n v="33"/>
    <x v="0"/>
    <s v="B+"/>
    <s v="Ahmedabad"/>
    <d v="2022-05-10T00:00:00"/>
    <d v="2022-05-27T00:00:00"/>
    <n v="17"/>
    <x v="0"/>
    <s v="Typhoid"/>
    <x v="1"/>
    <s v="Medication"/>
    <x v="0"/>
    <s v="Dr. Anjali Gupta"/>
    <n v="198"/>
    <s v="General Ward"/>
    <x v="2"/>
    <n v="155848"/>
    <n v="132106"/>
    <n v="23742"/>
    <n v="115753"/>
    <n v="25756"/>
    <n v="10807"/>
    <s v="No"/>
    <n v="80"/>
    <n v="4.7"/>
    <x v="0"/>
  </r>
  <r>
    <x v="884"/>
    <s v="Arjun Kumar"/>
    <n v="39"/>
    <x v="1"/>
    <s v="A-"/>
    <s v="Lucknow"/>
    <d v="2022-09-18T00:00:00"/>
    <d v="2022-10-03T00:00:00"/>
    <n v="15"/>
    <x v="0"/>
    <s v="Liver Disease"/>
    <x v="0"/>
    <s v="Observation"/>
    <x v="1"/>
    <s v="Dr. Anjali Nair"/>
    <n v="356"/>
    <s v="General Ward"/>
    <x v="4"/>
    <n v="154175"/>
    <n v="0"/>
    <n v="154175"/>
    <n v="114838"/>
    <n v="19990"/>
    <n v="14479"/>
    <s v="No"/>
    <n v="74"/>
    <n v="4.0999999999999996"/>
    <x v="1"/>
  </r>
  <r>
    <x v="885"/>
    <s v="Sunita Bose"/>
    <n v="27"/>
    <x v="1"/>
    <s v="B+"/>
    <s v="Kolkata"/>
    <d v="2024-02-11T00:00:00"/>
    <d v="2024-02-23T00:00:00"/>
    <n v="12"/>
    <x v="3"/>
    <s v="Migraine"/>
    <x v="6"/>
    <s v="Observation"/>
    <x v="2"/>
    <s v="Dr. Shalini Kumar"/>
    <n v="295"/>
    <s v="General Ward"/>
    <x v="0"/>
    <n v="112402"/>
    <n v="65758"/>
    <n v="46644"/>
    <n v="89848"/>
    <n v="15687"/>
    <n v="3844"/>
    <s v="No"/>
    <n v="97"/>
    <n v="4.9000000000000004"/>
    <x v="1"/>
  </r>
  <r>
    <x v="886"/>
    <s v="Amit Reddy"/>
    <n v="82"/>
    <x v="0"/>
    <s v="AB+"/>
    <s v="Mumbai"/>
    <d v="2024-06-29T00:00:00"/>
    <d v="2024-07-23T00:00:00"/>
    <n v="24"/>
    <x v="1"/>
    <s v="UTI"/>
    <x v="2"/>
    <s v="Dietary Management"/>
    <x v="1"/>
    <s v="Dr. Anjali Singh"/>
    <n v="322"/>
    <s v="ICU"/>
    <x v="0"/>
    <n v="141030"/>
    <n v="59074"/>
    <n v="81956"/>
    <n v="113004"/>
    <n v="14862"/>
    <n v="10170"/>
    <s v="No"/>
    <n v="79"/>
    <n v="3.2"/>
    <x v="3"/>
  </r>
  <r>
    <x v="887"/>
    <s v="Ritu Sharma"/>
    <n v="75"/>
    <x v="0"/>
    <s v="O+"/>
    <s v="Ahmedabad"/>
    <d v="2023-06-07T00:00:00"/>
    <d v="2023-06-25T00:00:00"/>
    <n v="18"/>
    <x v="1"/>
    <s v="Kidney Stone"/>
    <x v="2"/>
    <s v="Dietary Management"/>
    <x v="3"/>
    <s v="Dr. Vivek Singh"/>
    <n v="39"/>
    <s v="Semi-Private"/>
    <x v="1"/>
    <n v="172764"/>
    <n v="90405"/>
    <n v="82359"/>
    <n v="137138"/>
    <n v="28753"/>
    <n v="5452"/>
    <s v="No"/>
    <n v="93"/>
    <n v="3.4"/>
    <x v="1"/>
  </r>
  <r>
    <x v="888"/>
    <s v="Suresh Chopra"/>
    <n v="79"/>
    <x v="1"/>
    <s v="AB+"/>
    <s v="Hyderabad"/>
    <d v="2024-12-29T00:00:00"/>
    <d v="2024-12-30T00:00:00"/>
    <n v="1"/>
    <x v="5"/>
    <s v="Asthma"/>
    <x v="8"/>
    <s v="ICU Care"/>
    <x v="1"/>
    <s v="Dr. Shalini Mehta"/>
    <n v="340"/>
    <s v="ICU"/>
    <x v="2"/>
    <n v="100427"/>
    <n v="65198"/>
    <n v="35229"/>
    <n v="90633"/>
    <n v="6600"/>
    <n v="2437"/>
    <s v="Yes"/>
    <n v="69"/>
    <n v="2.1"/>
    <x v="4"/>
  </r>
  <r>
    <x v="889"/>
    <s v="Deepa Pillai"/>
    <n v="82"/>
    <x v="1"/>
    <s v="A+"/>
    <s v="Jaipur"/>
    <d v="2023-01-02T00:00:00"/>
    <d v="2023-01-11T00:00:00"/>
    <n v="9"/>
    <x v="0"/>
    <s v="Depression"/>
    <x v="5"/>
    <s v="ICU Care"/>
    <x v="1"/>
    <s v="Dr. Kavita Sharma"/>
    <n v="285"/>
    <s v="Semi-Private"/>
    <x v="2"/>
    <n v="118714"/>
    <n v="90854"/>
    <n v="27860"/>
    <n v="91476"/>
    <n v="16809"/>
    <n v="5499"/>
    <s v="No"/>
    <n v="87"/>
    <n v="3.4"/>
    <x v="3"/>
  </r>
  <r>
    <x v="890"/>
    <s v="Ritu Shah"/>
    <n v="58"/>
    <x v="1"/>
    <s v="A+"/>
    <s v="Bangalore"/>
    <d v="2024-07-04T00:00:00"/>
    <d v="2024-07-30T00:00:00"/>
    <n v="26"/>
    <x v="1"/>
    <s v="Kidney Stone"/>
    <x v="2"/>
    <s v="Medication"/>
    <x v="1"/>
    <s v="Dr. Kavita Sharma"/>
    <n v="348"/>
    <s v="Private"/>
    <x v="3"/>
    <n v="128674"/>
    <n v="102105"/>
    <n v="26569"/>
    <n v="110721"/>
    <n v="4336"/>
    <n v="10202"/>
    <s v="Yes"/>
    <n v="100"/>
    <n v="3.1"/>
    <x v="1"/>
  </r>
  <r>
    <x v="891"/>
    <s v="Sneha Pillai"/>
    <n v="38"/>
    <x v="1"/>
    <s v="AB-"/>
    <s v="Jaipur"/>
    <d v="2023-08-26T00:00:00"/>
    <d v="2023-09-09T00:00:00"/>
    <n v="14"/>
    <x v="0"/>
    <s v="COVID-19"/>
    <x v="1"/>
    <s v="Medication"/>
    <x v="0"/>
    <s v="Dr. Arun Patel"/>
    <n v="272"/>
    <s v="ICU"/>
    <x v="0"/>
    <n v="155236"/>
    <n v="63549"/>
    <n v="91687"/>
    <n v="113644"/>
    <n v="29776"/>
    <n v="11030"/>
    <s v="No"/>
    <n v="53"/>
    <n v="3.3"/>
    <x v="3"/>
  </r>
  <r>
    <x v="892"/>
    <s v="Priya Reddy"/>
    <n v="39"/>
    <x v="0"/>
    <s v="O+"/>
    <s v="Hyderabad"/>
    <d v="2022-09-27T00:00:00"/>
    <d v="2022-10-17T00:00:00"/>
    <n v="20"/>
    <x v="0"/>
    <s v="Liver Disease"/>
    <x v="0"/>
    <s v="Observation"/>
    <x v="0"/>
    <s v="Dr. Rakesh Kumar"/>
    <n v="489"/>
    <s v="ICU"/>
    <x v="1"/>
    <n v="146386"/>
    <n v="71768"/>
    <n v="74618"/>
    <n v="110085"/>
    <n v="27820"/>
    <n v="6631"/>
    <s v="Yes"/>
    <n v="49"/>
    <n v="4.4000000000000004"/>
    <x v="2"/>
  </r>
  <r>
    <x v="893"/>
    <s v="Sneha Verma"/>
    <n v="49"/>
    <x v="0"/>
    <s v="AB-"/>
    <s v="Bangalore"/>
    <d v="2023-10-08T00:00:00"/>
    <d v="2023-11-07T00:00:00"/>
    <n v="30"/>
    <x v="0"/>
    <s v="Anemia"/>
    <x v="4"/>
    <s v="Physiotherapy"/>
    <x v="2"/>
    <s v="Dr. Prerna Rao"/>
    <n v="5"/>
    <s v="Private"/>
    <x v="0"/>
    <n v="97317"/>
    <n v="51760"/>
    <n v="45557"/>
    <n v="61480"/>
    <n v="21814"/>
    <n v="11108"/>
    <s v="Yes"/>
    <n v="71"/>
    <n v="2.9"/>
    <x v="4"/>
  </r>
  <r>
    <x v="894"/>
    <s v="Deepa Pillai"/>
    <n v="41"/>
    <x v="0"/>
    <s v="O-"/>
    <s v="Lucknow"/>
    <d v="2023-04-02T00:00:00"/>
    <d v="2023-04-22T00:00:00"/>
    <n v="20"/>
    <x v="0"/>
    <s v="Anemia"/>
    <x v="4"/>
    <s v="Physiotherapy"/>
    <x v="1"/>
    <s v="Dr. Kavita Nair"/>
    <n v="116"/>
    <s v="Private"/>
    <x v="2"/>
    <n v="164888"/>
    <n v="113153"/>
    <n v="51735"/>
    <n v="133214"/>
    <n v="28211"/>
    <n v="1840"/>
    <s v="No"/>
    <n v="53"/>
    <n v="2.2999999999999998"/>
    <x v="0"/>
  </r>
  <r>
    <x v="895"/>
    <s v="Priya Sharma"/>
    <n v="36"/>
    <x v="0"/>
    <s v="B+"/>
    <s v="Bangalore"/>
    <d v="2022-07-07T00:00:00"/>
    <d v="2022-08-06T00:00:00"/>
    <n v="30"/>
    <x v="6"/>
    <s v="Fracture"/>
    <x v="10"/>
    <s v="Chemotherapy"/>
    <x v="2"/>
    <s v="Dr. Anjali Gupta"/>
    <n v="81"/>
    <s v="ICU"/>
    <x v="4"/>
    <n v="179537"/>
    <n v="0"/>
    <n v="179537"/>
    <n v="145527"/>
    <n v="22054"/>
    <n v="9438"/>
    <s v="No"/>
    <n v="75"/>
    <n v="3"/>
    <x v="1"/>
  </r>
  <r>
    <x v="896"/>
    <s v="Ritu Verma"/>
    <n v="26"/>
    <x v="1"/>
    <s v="O+"/>
    <s v="Bangalore"/>
    <d v="2023-12-11T00:00:00"/>
    <d v="2023-12-16T00:00:00"/>
    <n v="5"/>
    <x v="0"/>
    <s v="Dengue"/>
    <x v="1"/>
    <s v="Observation"/>
    <x v="1"/>
    <s v="Dr. Deepak Kumar"/>
    <n v="251"/>
    <s v="Private"/>
    <x v="1"/>
    <n v="45266"/>
    <n v="22669"/>
    <n v="22597"/>
    <n v="27028"/>
    <n v="15700"/>
    <n v="1590"/>
    <s v="Yes"/>
    <n v="94"/>
    <n v="3.9"/>
    <x v="1"/>
  </r>
  <r>
    <x v="897"/>
    <s v="Deepa Menon"/>
    <n v="16"/>
    <x v="0"/>
    <s v="AB-"/>
    <s v="Ahmedabad"/>
    <d v="2023-09-22T00:00:00"/>
    <d v="2023-10-01T00:00:00"/>
    <n v="9"/>
    <x v="0"/>
    <s v="Typhoid"/>
    <x v="1"/>
    <s v="ICU Care"/>
    <x v="2"/>
    <s v="Dr. Nisha Mehta"/>
    <n v="153"/>
    <s v="ICU"/>
    <x v="1"/>
    <n v="105645"/>
    <n v="46032"/>
    <n v="59613"/>
    <n v="82541"/>
    <n v="4674"/>
    <n v="14152"/>
    <s v="No"/>
    <n v="84"/>
    <n v="4.4000000000000004"/>
    <x v="0"/>
  </r>
  <r>
    <x v="898"/>
    <s v="Sunil Mehta"/>
    <n v="38"/>
    <x v="0"/>
    <s v="B-"/>
    <s v="Mumbai"/>
    <d v="2023-11-14T00:00:00"/>
    <d v="2023-11-22T00:00:00"/>
    <n v="8"/>
    <x v="0"/>
    <s v="Typhoid"/>
    <x v="1"/>
    <s v="Counseling"/>
    <x v="1"/>
    <s v="Dr. Kavita Reddy"/>
    <n v="64"/>
    <s v="Semi-Private"/>
    <x v="3"/>
    <n v="70894"/>
    <n v="57177"/>
    <n v="13717"/>
    <n v="26796"/>
    <n v="29634"/>
    <n v="13402"/>
    <s v="No"/>
    <n v="81"/>
    <n v="3.6"/>
    <x v="0"/>
  </r>
  <r>
    <x v="899"/>
    <s v="Ananya Khanna"/>
    <n v="9"/>
    <x v="0"/>
    <s v="B+"/>
    <s v="Jaipur"/>
    <d v="2022-05-20T00:00:00"/>
    <d v="2022-06-01T00:00:00"/>
    <n v="12"/>
    <x v="4"/>
    <s v="Heart Attack"/>
    <x v="7"/>
    <s v="Counseling"/>
    <x v="0"/>
    <s v="Dr. Kavita Sharma"/>
    <n v="147"/>
    <s v="ICU"/>
    <x v="0"/>
    <n v="115843"/>
    <n v="52646"/>
    <n v="63197"/>
    <n v="87829"/>
    <n v="23422"/>
    <n v="1525"/>
    <s v="No"/>
    <n v="59"/>
    <n v="3.2"/>
    <x v="2"/>
  </r>
  <r>
    <x v="900"/>
    <s v="Sonia Verma"/>
    <n v="33"/>
    <x v="0"/>
    <s v="A+"/>
    <s v="Delhi"/>
    <d v="2024-11-14T00:00:00"/>
    <d v="2024-12-03T00:00:00"/>
    <n v="19"/>
    <x v="0"/>
    <s v="Appendicitis"/>
    <x v="0"/>
    <s v="Observation"/>
    <x v="0"/>
    <s v="Dr. Kavita Singh"/>
    <n v="143"/>
    <s v="ICU"/>
    <x v="3"/>
    <n v="65537"/>
    <n v="53917"/>
    <n v="11620"/>
    <n v="27969"/>
    <n v="25091"/>
    <n v="8351"/>
    <s v="No"/>
    <n v="77"/>
    <n v="4.4000000000000004"/>
    <x v="0"/>
  </r>
  <r>
    <x v="901"/>
    <s v="Sonia Singh"/>
    <n v="44"/>
    <x v="1"/>
    <s v="B-"/>
    <s v="Kolkata"/>
    <d v="2022-10-07T00:00:00"/>
    <d v="2022-10-26T00:00:00"/>
    <n v="19"/>
    <x v="0"/>
    <s v="Liver Disease"/>
    <x v="0"/>
    <s v="Dialysis"/>
    <x v="0"/>
    <s v="Dr. Vivek Singh"/>
    <n v="498"/>
    <s v="Private"/>
    <x v="2"/>
    <n v="38716"/>
    <n v="23790"/>
    <n v="14926"/>
    <n v="12600"/>
    <n v="23593"/>
    <n v="1105"/>
    <s v="No"/>
    <n v="61"/>
    <n v="3.4"/>
    <x v="0"/>
  </r>
  <r>
    <x v="902"/>
    <s v="Aditya Pillai"/>
    <n v="34"/>
    <x v="0"/>
    <s v="B+"/>
    <s v="Delhi"/>
    <d v="2022-06-24T00:00:00"/>
    <d v="2022-07-12T00:00:00"/>
    <n v="18"/>
    <x v="0"/>
    <s v="Liver Disease"/>
    <x v="0"/>
    <s v="Counseling"/>
    <x v="3"/>
    <s v="Dr. Rakesh Mehta"/>
    <n v="334"/>
    <s v="Private"/>
    <x v="3"/>
    <n v="116380"/>
    <n v="80216"/>
    <n v="36164"/>
    <n v="77596"/>
    <n v="25121"/>
    <n v="8931"/>
    <s v="No"/>
    <n v="97"/>
    <n v="4.5"/>
    <x v="0"/>
  </r>
  <r>
    <x v="903"/>
    <s v="Geeta Malhotra"/>
    <n v="79"/>
    <x v="0"/>
    <s v="AB-"/>
    <s v="Bangalore"/>
    <d v="2024-01-30T00:00:00"/>
    <d v="2024-02-26T00:00:00"/>
    <n v="27"/>
    <x v="0"/>
    <s v="Typhoid"/>
    <x v="1"/>
    <s v="Dietary Management"/>
    <x v="3"/>
    <s v="Dr. Deepak Mehta"/>
    <n v="485"/>
    <s v="General Ward"/>
    <x v="1"/>
    <n v="29264"/>
    <n v="15578"/>
    <n v="13686"/>
    <n v="18459"/>
    <n v="6870"/>
    <n v="2850"/>
    <s v="No"/>
    <n v="86"/>
    <n v="3.6"/>
    <x v="3"/>
  </r>
  <r>
    <x v="904"/>
    <s v="Ashok Gupta"/>
    <n v="43"/>
    <x v="1"/>
    <s v="AB-"/>
    <s v="Delhi"/>
    <d v="2024-08-04T00:00:00"/>
    <d v="2024-08-05T00:00:00"/>
    <n v="1"/>
    <x v="0"/>
    <s v="Dengue"/>
    <x v="1"/>
    <s v="Counseling"/>
    <x v="3"/>
    <s v="Dr. Rakesh Kumar"/>
    <n v="416"/>
    <s v="General Ward"/>
    <x v="4"/>
    <n v="84412"/>
    <n v="0"/>
    <n v="84412"/>
    <n v="59030"/>
    <n v="14941"/>
    <n v="8632"/>
    <s v="No"/>
    <n v="65"/>
    <n v="4.9000000000000004"/>
    <x v="3"/>
  </r>
  <r>
    <x v="905"/>
    <s v="Rahul Joshi"/>
    <n v="32"/>
    <x v="1"/>
    <s v="B-"/>
    <s v="Jaipur"/>
    <d v="2024-10-26T00:00:00"/>
    <d v="2024-11-06T00:00:00"/>
    <n v="11"/>
    <x v="0"/>
    <s v="Anemia"/>
    <x v="4"/>
    <s v="Surgery"/>
    <x v="1"/>
    <s v="Dr. Shalini Reddy"/>
    <n v="313"/>
    <s v="ICU"/>
    <x v="1"/>
    <n v="42536"/>
    <n v="28340"/>
    <n v="14196"/>
    <n v="25915"/>
    <n v="10014"/>
    <n v="6014"/>
    <s v="Yes"/>
    <n v="90"/>
    <n v="3.9"/>
    <x v="0"/>
  </r>
  <r>
    <x v="906"/>
    <s v="Rajesh Joshi"/>
    <n v="18"/>
    <x v="0"/>
    <s v="AB-"/>
    <s v="Lucknow"/>
    <d v="2022-04-07T00:00:00"/>
    <d v="2022-04-19T00:00:00"/>
    <n v="12"/>
    <x v="0"/>
    <s v="Dengue"/>
    <x v="1"/>
    <s v="Counseling"/>
    <x v="0"/>
    <s v="Dr. Vivek Rao"/>
    <n v="107"/>
    <s v="Semi-Private"/>
    <x v="4"/>
    <n v="67168"/>
    <n v="0"/>
    <n v="67168"/>
    <n v="28443"/>
    <n v="21578"/>
    <n v="14083"/>
    <s v="No"/>
    <n v="74"/>
    <n v="4.3"/>
    <x v="4"/>
  </r>
  <r>
    <x v="907"/>
    <s v="Geeta Sharma"/>
    <n v="45"/>
    <x v="1"/>
    <s v="B+"/>
    <s v="Kolkata"/>
    <d v="2022-02-10T00:00:00"/>
    <d v="2022-03-06T00:00:00"/>
    <n v="24"/>
    <x v="0"/>
    <s v="Appendicitis"/>
    <x v="0"/>
    <s v="Dietary Management"/>
    <x v="2"/>
    <s v="Dr. Shalini Patel"/>
    <n v="6"/>
    <s v="Semi-Private"/>
    <x v="1"/>
    <n v="81164"/>
    <n v="39950"/>
    <n v="41214"/>
    <n v="37938"/>
    <n v="28945"/>
    <n v="9896"/>
    <s v="No"/>
    <n v="60"/>
    <n v="3"/>
    <x v="2"/>
  </r>
  <r>
    <x v="908"/>
    <s v="Geeta Khanna"/>
    <n v="10"/>
    <x v="1"/>
    <s v="O-"/>
    <s v="Jaipur"/>
    <d v="2022-07-26T00:00:00"/>
    <d v="2022-08-23T00:00:00"/>
    <n v="28"/>
    <x v="6"/>
    <s v="Arthritis"/>
    <x v="11"/>
    <s v="Medication"/>
    <x v="3"/>
    <s v="Dr. Nisha Sharma"/>
    <n v="451"/>
    <s v="Semi-Private"/>
    <x v="4"/>
    <n v="95283"/>
    <n v="0"/>
    <n v="95283"/>
    <n v="60621"/>
    <n v="24417"/>
    <n v="8053"/>
    <s v="No"/>
    <n v="97"/>
    <n v="3"/>
    <x v="0"/>
  </r>
  <r>
    <x v="909"/>
    <s v="Meera Mehta"/>
    <n v="53"/>
    <x v="0"/>
    <s v="B+"/>
    <s v="Ahmedabad"/>
    <d v="2022-06-11T00:00:00"/>
    <d v="2022-06-18T00:00:00"/>
    <n v="7"/>
    <x v="1"/>
    <s v="Kidney Stone"/>
    <x v="2"/>
    <s v="Dietary Management"/>
    <x v="0"/>
    <s v="Dr. Shalini Reddy"/>
    <n v="108"/>
    <s v="Private"/>
    <x v="0"/>
    <n v="48750"/>
    <n v="27464"/>
    <n v="21286"/>
    <n v="20821"/>
    <n v="24078"/>
    <n v="616"/>
    <s v="No"/>
    <n v="88"/>
    <n v="4.5"/>
    <x v="4"/>
  </r>
  <r>
    <x v="910"/>
    <s v="Rahul Shah"/>
    <n v="42"/>
    <x v="0"/>
    <s v="B-"/>
    <s v="Delhi"/>
    <d v="2023-11-16T00:00:00"/>
    <d v="2023-12-14T00:00:00"/>
    <n v="28"/>
    <x v="3"/>
    <s v="Migraine"/>
    <x v="6"/>
    <s v="Chemotherapy"/>
    <x v="0"/>
    <s v="Dr. Shalini Mehta"/>
    <n v="183"/>
    <s v="Private"/>
    <x v="2"/>
    <n v="52761"/>
    <n v="37875"/>
    <n v="14886"/>
    <n v="31545"/>
    <n v="13446"/>
    <n v="5254"/>
    <s v="No"/>
    <n v="42"/>
    <n v="4"/>
    <x v="0"/>
  </r>
  <r>
    <x v="911"/>
    <s v="Sonia Reddy"/>
    <n v="65"/>
    <x v="0"/>
    <s v="B+"/>
    <s v="Ahmedabad"/>
    <d v="2022-02-27T00:00:00"/>
    <d v="2022-03-27T00:00:00"/>
    <n v="28"/>
    <x v="4"/>
    <s v="Heart Attack"/>
    <x v="7"/>
    <s v="Dietary Management"/>
    <x v="0"/>
    <s v="Dr. Vivek Joshi"/>
    <n v="3"/>
    <s v="Private"/>
    <x v="0"/>
    <n v="99342"/>
    <n v="50994"/>
    <n v="48348"/>
    <n v="82328"/>
    <n v="6802"/>
    <n v="9039"/>
    <s v="No"/>
    <n v="44"/>
    <n v="4.5"/>
    <x v="4"/>
  </r>
  <r>
    <x v="912"/>
    <s v="Rahul Patel"/>
    <n v="18"/>
    <x v="0"/>
    <s v="O-"/>
    <s v="Chennai"/>
    <d v="2023-11-17T00:00:00"/>
    <d v="2023-12-05T00:00:00"/>
    <n v="18"/>
    <x v="1"/>
    <s v="UTI"/>
    <x v="2"/>
    <s v="Dialysis"/>
    <x v="1"/>
    <s v="Dr. Nisha Patel"/>
    <n v="20"/>
    <s v="Semi-Private"/>
    <x v="1"/>
    <n v="156630"/>
    <n v="108707"/>
    <n v="47923"/>
    <n v="148356"/>
    <n v="1040"/>
    <n v="2717"/>
    <s v="Yes"/>
    <n v="49"/>
    <n v="3.5"/>
    <x v="2"/>
  </r>
  <r>
    <x v="913"/>
    <s v="Pooja Gupta"/>
    <n v="70"/>
    <x v="1"/>
    <s v="O+"/>
    <s v="Hyderabad"/>
    <d v="2023-07-09T00:00:00"/>
    <d v="2023-07-24T00:00:00"/>
    <n v="15"/>
    <x v="0"/>
    <s v="Appendicitis"/>
    <x v="0"/>
    <s v="Dietary Management"/>
    <x v="2"/>
    <s v="Dr. Shalini Kumar"/>
    <n v="407"/>
    <s v="Semi-Private"/>
    <x v="2"/>
    <n v="147214"/>
    <n v="106806"/>
    <n v="40408"/>
    <n v="112940"/>
    <n v="19845"/>
    <n v="13562"/>
    <s v="No"/>
    <n v="84"/>
    <n v="4.3"/>
    <x v="0"/>
  </r>
  <r>
    <x v="914"/>
    <s v="Rajesh Sharma"/>
    <n v="77"/>
    <x v="1"/>
    <s v="B+"/>
    <s v="Jaipur"/>
    <d v="2023-07-24T00:00:00"/>
    <d v="2023-08-13T00:00:00"/>
    <n v="20"/>
    <x v="6"/>
    <s v="Arthritis"/>
    <x v="11"/>
    <s v="Dialysis"/>
    <x v="3"/>
    <s v="Dr. Nisha Patel"/>
    <n v="439"/>
    <s v="Semi-Private"/>
    <x v="4"/>
    <n v="181013"/>
    <n v="0"/>
    <n v="181013"/>
    <n v="145938"/>
    <n v="25530"/>
    <n v="7933"/>
    <s v="No"/>
    <n v="47"/>
    <n v="3.4"/>
    <x v="2"/>
  </r>
  <r>
    <x v="915"/>
    <s v="Aditya Khanna"/>
    <n v="75"/>
    <x v="1"/>
    <s v="A-"/>
    <s v="Kolkata"/>
    <d v="2023-07-09T00:00:00"/>
    <d v="2023-08-03T00:00:00"/>
    <n v="25"/>
    <x v="0"/>
    <s v="Diabetes Type 2"/>
    <x v="9"/>
    <s v="Dialysis"/>
    <x v="2"/>
    <s v="Dr. Shalini Nair"/>
    <n v="390"/>
    <s v="General Ward"/>
    <x v="1"/>
    <n v="155914"/>
    <n v="83095"/>
    <n v="72819"/>
    <n v="134346"/>
    <n v="7735"/>
    <n v="9484"/>
    <s v="No"/>
    <n v="72"/>
    <n v="2.7"/>
    <x v="2"/>
  </r>
  <r>
    <x v="916"/>
    <s v="Suresh Chopra"/>
    <n v="41"/>
    <x v="0"/>
    <s v="AB-"/>
    <s v="Mumbai"/>
    <d v="2023-05-30T00:00:00"/>
    <d v="2023-06-03T00:00:00"/>
    <n v="4"/>
    <x v="2"/>
    <s v="Cancer"/>
    <x v="3"/>
    <s v="Dietary Management"/>
    <x v="1"/>
    <s v="Dr. Shalini Patel"/>
    <n v="483"/>
    <s v="Private"/>
    <x v="0"/>
    <n v="182319"/>
    <n v="125945"/>
    <n v="56374"/>
    <n v="139388"/>
    <n v="28063"/>
    <n v="10935"/>
    <s v="No"/>
    <n v="48"/>
    <n v="3.2"/>
    <x v="1"/>
  </r>
  <r>
    <x v="917"/>
    <s v="Rohan Joshi"/>
    <n v="10"/>
    <x v="0"/>
    <s v="A-"/>
    <s v="Bangalore"/>
    <d v="2023-04-22T00:00:00"/>
    <d v="2023-05-21T00:00:00"/>
    <n v="29"/>
    <x v="6"/>
    <s v="Fracture"/>
    <x v="10"/>
    <s v="Medication"/>
    <x v="3"/>
    <s v="Dr. Anjali Gupta"/>
    <n v="69"/>
    <s v="General Ward"/>
    <x v="4"/>
    <n v="83225"/>
    <n v="0"/>
    <n v="83225"/>
    <n v="78268"/>
    <n v="3172"/>
    <n v="822"/>
    <s v="No"/>
    <n v="71"/>
    <n v="4.0999999999999996"/>
    <x v="1"/>
  </r>
  <r>
    <x v="918"/>
    <s v="Sneha Iyer"/>
    <n v="32"/>
    <x v="1"/>
    <s v="O+"/>
    <s v="Pune"/>
    <d v="2023-05-07T00:00:00"/>
    <d v="2023-06-03T00:00:00"/>
    <n v="27"/>
    <x v="0"/>
    <s v="Depression"/>
    <x v="5"/>
    <s v="Medication"/>
    <x v="0"/>
    <s v="Dr. Shalini Singh"/>
    <n v="51"/>
    <s v="Semi-Private"/>
    <x v="0"/>
    <n v="105309"/>
    <n v="60681"/>
    <n v="44628"/>
    <n v="77626"/>
    <n v="18825"/>
    <n v="8128"/>
    <s v="No"/>
    <n v="70"/>
    <n v="2.5"/>
    <x v="4"/>
  </r>
  <r>
    <x v="919"/>
    <s v="Rohan Iyer"/>
    <n v="57"/>
    <x v="1"/>
    <s v="B+"/>
    <s v="Bangalore"/>
    <d v="2024-02-04T00:00:00"/>
    <d v="2024-02-07T00:00:00"/>
    <n v="3"/>
    <x v="0"/>
    <s v="Typhoid"/>
    <x v="1"/>
    <s v="Physiotherapy"/>
    <x v="2"/>
    <s v="Dr. Rakesh Sharma"/>
    <n v="136"/>
    <s v="Semi-Private"/>
    <x v="0"/>
    <n v="126298"/>
    <n v="81908"/>
    <n v="44390"/>
    <n v="114894"/>
    <n v="4266"/>
    <n v="2267"/>
    <s v="Yes"/>
    <n v="52"/>
    <n v="2.9"/>
    <x v="0"/>
  </r>
  <r>
    <x v="920"/>
    <s v="Pooja Kumar"/>
    <n v="53"/>
    <x v="1"/>
    <s v="A+"/>
    <s v="Ahmedabad"/>
    <d v="2022-01-25T00:00:00"/>
    <d v="2022-01-30T00:00:00"/>
    <n v="5"/>
    <x v="0"/>
    <s v="Depression"/>
    <x v="5"/>
    <s v="Radiation Therapy"/>
    <x v="2"/>
    <s v="Dr. Arun Mehta"/>
    <n v="399"/>
    <s v="General Ward"/>
    <x v="2"/>
    <n v="135335"/>
    <n v="97073"/>
    <n v="38262"/>
    <n v="92876"/>
    <n v="26540"/>
    <n v="13483"/>
    <s v="No"/>
    <n v="86"/>
    <n v="2.4"/>
    <x v="0"/>
  </r>
  <r>
    <x v="921"/>
    <s v="Nisha Mehta"/>
    <n v="57"/>
    <x v="1"/>
    <s v="A+"/>
    <s v="Pune"/>
    <d v="2024-08-10T00:00:00"/>
    <d v="2024-08-26T00:00:00"/>
    <n v="16"/>
    <x v="0"/>
    <s v="Liver Disease"/>
    <x v="0"/>
    <s v="Medication"/>
    <x v="1"/>
    <s v="Dr. Prerna Gupta"/>
    <n v="125"/>
    <s v="Semi-Private"/>
    <x v="4"/>
    <n v="27943"/>
    <n v="0"/>
    <n v="27943"/>
    <n v="8230"/>
    <n v="1851"/>
    <n v="13583"/>
    <s v="No"/>
    <n v="69"/>
    <n v="2.2999999999999998"/>
    <x v="3"/>
  </r>
  <r>
    <x v="922"/>
    <s v="Rajesh Malhotra"/>
    <n v="26"/>
    <x v="1"/>
    <s v="A-"/>
    <s v="Delhi"/>
    <d v="2023-02-23T00:00:00"/>
    <d v="2023-03-13T00:00:00"/>
    <n v="18"/>
    <x v="3"/>
    <s v="Migraine"/>
    <x v="6"/>
    <s v="Medication"/>
    <x v="0"/>
    <s v="Dr. Prerna Joshi"/>
    <n v="254"/>
    <s v="Semi-Private"/>
    <x v="0"/>
    <n v="54517"/>
    <n v="26979"/>
    <n v="27538"/>
    <n v="36444"/>
    <n v="1817"/>
    <n v="13677"/>
    <s v="No"/>
    <n v="89"/>
    <n v="2.8"/>
    <x v="4"/>
  </r>
  <r>
    <x v="923"/>
    <s v="Lata Kumar"/>
    <n v="68"/>
    <x v="1"/>
    <s v="B+"/>
    <s v="Jaipur"/>
    <d v="2022-05-21T00:00:00"/>
    <d v="2022-06-06T00:00:00"/>
    <n v="16"/>
    <x v="4"/>
    <s v="Hypertension"/>
    <x v="7"/>
    <s v="Dialysis"/>
    <x v="3"/>
    <s v="Dr. Kavita Joshi"/>
    <n v="28"/>
    <s v="Semi-Private"/>
    <x v="0"/>
    <n v="110767"/>
    <n v="50410"/>
    <n v="60357"/>
    <n v="84045"/>
    <n v="10605"/>
    <n v="14538"/>
    <s v="Yes"/>
    <n v="81"/>
    <n v="3.2"/>
    <x v="2"/>
  </r>
  <r>
    <x v="924"/>
    <s v="Amit Joshi"/>
    <n v="32"/>
    <x v="0"/>
    <s v="A-"/>
    <s v="Bangalore"/>
    <d v="2022-02-04T00:00:00"/>
    <d v="2022-02-23T00:00:00"/>
    <n v="19"/>
    <x v="5"/>
    <s v="Asthma"/>
    <x v="8"/>
    <s v="Radiation Therapy"/>
    <x v="0"/>
    <s v="Dr. Sameer Joshi"/>
    <n v="316"/>
    <s v="General Ward"/>
    <x v="0"/>
    <n v="82062"/>
    <n v="40600"/>
    <n v="41462"/>
    <n v="52875"/>
    <n v="14784"/>
    <n v="11011"/>
    <s v="No"/>
    <n v="48"/>
    <n v="3.4"/>
    <x v="3"/>
  </r>
  <r>
    <x v="925"/>
    <s v="Rajesh Malhotra"/>
    <n v="82"/>
    <x v="0"/>
    <s v="A+"/>
    <s v="Bangalore"/>
    <d v="2023-07-08T00:00:00"/>
    <d v="2023-07-20T00:00:00"/>
    <n v="12"/>
    <x v="1"/>
    <s v="Kidney Stone"/>
    <x v="2"/>
    <s v="Counseling"/>
    <x v="3"/>
    <s v="Dr. Prerna Joshi"/>
    <n v="19"/>
    <s v="Semi-Private"/>
    <x v="2"/>
    <n v="65544"/>
    <n v="45612"/>
    <n v="19932"/>
    <n v="32866"/>
    <n v="19840"/>
    <n v="11434"/>
    <s v="No"/>
    <n v="77"/>
    <n v="4.8"/>
    <x v="3"/>
  </r>
  <r>
    <x v="926"/>
    <s v="Ananya Khanna"/>
    <n v="74"/>
    <x v="0"/>
    <s v="O+"/>
    <s v="Lucknow"/>
    <d v="2024-04-27T00:00:00"/>
    <d v="2024-05-06T00:00:00"/>
    <n v="9"/>
    <x v="0"/>
    <s v="Typhoid"/>
    <x v="1"/>
    <s v="Observation"/>
    <x v="0"/>
    <s v="Dr. Sameer Reddy"/>
    <n v="238"/>
    <s v="ICU"/>
    <x v="2"/>
    <n v="36740"/>
    <n v="25482"/>
    <n v="11258"/>
    <n v="7535"/>
    <n v="17390"/>
    <n v="9110"/>
    <s v="No"/>
    <n v="72"/>
    <n v="4.2"/>
    <x v="4"/>
  </r>
  <r>
    <x v="927"/>
    <s v="Ashok Pillai"/>
    <n v="16"/>
    <x v="1"/>
    <s v="A+"/>
    <s v="Ahmedabad"/>
    <d v="2023-08-21T00:00:00"/>
    <d v="2023-09-10T00:00:00"/>
    <n v="20"/>
    <x v="0"/>
    <s v="Obesity"/>
    <x v="12"/>
    <s v="Surgery"/>
    <x v="0"/>
    <s v="Dr. Rakesh Sharma"/>
    <n v="26"/>
    <s v="ICU"/>
    <x v="1"/>
    <n v="186934"/>
    <n v="96815"/>
    <n v="90119"/>
    <n v="143696"/>
    <n v="27996"/>
    <n v="13091"/>
    <s v="No"/>
    <n v="80"/>
    <n v="2.4"/>
    <x v="2"/>
  </r>
  <r>
    <x v="928"/>
    <s v="Lata Verma"/>
    <n v="34"/>
    <x v="0"/>
    <s v="O+"/>
    <s v="Jaipur"/>
    <d v="2024-06-14T00:00:00"/>
    <d v="2024-06-23T00:00:00"/>
    <n v="9"/>
    <x v="0"/>
    <s v="COVID-19"/>
    <x v="1"/>
    <s v="Counseling"/>
    <x v="2"/>
    <s v="Dr. Prerna Reddy"/>
    <n v="294"/>
    <s v="ICU"/>
    <x v="4"/>
    <n v="97339"/>
    <n v="0"/>
    <n v="97339"/>
    <n v="76911"/>
    <n v="15145"/>
    <n v="3571"/>
    <s v="No"/>
    <n v="40"/>
    <n v="2.5"/>
    <x v="2"/>
  </r>
  <r>
    <x v="929"/>
    <s v="Suresh Bose"/>
    <n v="23"/>
    <x v="1"/>
    <s v="O-"/>
    <s v="Pune"/>
    <d v="2022-01-04T00:00:00"/>
    <d v="2022-02-02T00:00:00"/>
    <n v="29"/>
    <x v="3"/>
    <s v="Stroke"/>
    <x v="6"/>
    <s v="Medication"/>
    <x v="1"/>
    <s v="Dr. Arun Sharma"/>
    <n v="281"/>
    <s v="ICU"/>
    <x v="0"/>
    <n v="122842"/>
    <n v="65847"/>
    <n v="56995"/>
    <n v="81464"/>
    <n v="25372"/>
    <n v="12203"/>
    <s v="No"/>
    <n v="79"/>
    <n v="2"/>
    <x v="0"/>
  </r>
  <r>
    <x v="930"/>
    <s v="Arjun Iyer"/>
    <n v="77"/>
    <x v="1"/>
    <s v="A-"/>
    <s v="Hyderabad"/>
    <d v="2022-09-01T00:00:00"/>
    <d v="2022-09-14T00:00:00"/>
    <n v="13"/>
    <x v="4"/>
    <s v="Hypertension"/>
    <x v="7"/>
    <s v="Dietary Management"/>
    <x v="1"/>
    <s v="Dr. Vivek Rao"/>
    <n v="386"/>
    <s v="Semi-Private"/>
    <x v="0"/>
    <n v="75616"/>
    <n v="51430"/>
    <n v="24186"/>
    <n v="41402"/>
    <n v="23462"/>
    <n v="8601"/>
    <s v="No"/>
    <n v="77"/>
    <n v="4"/>
    <x v="0"/>
  </r>
  <r>
    <x v="931"/>
    <s v="Geeta Malhotra"/>
    <n v="84"/>
    <x v="1"/>
    <s v="AB+"/>
    <s v="Mumbai"/>
    <d v="2023-11-21T00:00:00"/>
    <d v="2023-12-01T00:00:00"/>
    <n v="10"/>
    <x v="0"/>
    <s v="Depression"/>
    <x v="5"/>
    <s v="Counseling"/>
    <x v="0"/>
    <s v="Dr. Anjali Singh"/>
    <n v="199"/>
    <s v="Semi-Private"/>
    <x v="2"/>
    <n v="35030"/>
    <n v="23932"/>
    <n v="11098"/>
    <n v="18280"/>
    <n v="1755"/>
    <n v="10276"/>
    <s v="No"/>
    <n v="67"/>
    <n v="2.4"/>
    <x v="3"/>
  </r>
  <r>
    <x v="932"/>
    <s v="Geeta Reddy"/>
    <n v="62"/>
    <x v="1"/>
    <s v="A-"/>
    <s v="Jaipur"/>
    <d v="2022-06-24T00:00:00"/>
    <d v="2022-07-05T00:00:00"/>
    <n v="11"/>
    <x v="6"/>
    <s v="Fracture"/>
    <x v="10"/>
    <s v="Counseling"/>
    <x v="3"/>
    <s v="Dr. Rakesh Kumar"/>
    <n v="257"/>
    <s v="Semi-Private"/>
    <x v="1"/>
    <n v="94777"/>
    <n v="55992"/>
    <n v="38785"/>
    <n v="86014"/>
    <n v="5917"/>
    <n v="797"/>
    <s v="No"/>
    <n v="82"/>
    <n v="2"/>
    <x v="1"/>
  </r>
  <r>
    <x v="933"/>
    <s v="Suresh Verma"/>
    <n v="35"/>
    <x v="0"/>
    <s v="AB+"/>
    <s v="Kolkata"/>
    <d v="2022-03-03T00:00:00"/>
    <d v="2022-03-18T00:00:00"/>
    <n v="15"/>
    <x v="0"/>
    <s v="Dengue"/>
    <x v="1"/>
    <s v="Dietary Management"/>
    <x v="3"/>
    <s v="Dr. Rakesh Rao"/>
    <n v="456"/>
    <s v="Private"/>
    <x v="3"/>
    <n v="137569"/>
    <n v="86482"/>
    <n v="51087"/>
    <n v="118231"/>
    <n v="15470"/>
    <n v="2929"/>
    <s v="No"/>
    <n v="57"/>
    <n v="4.5999999999999996"/>
    <x v="3"/>
  </r>
  <r>
    <x v="934"/>
    <s v="Lata Gupta"/>
    <n v="74"/>
    <x v="1"/>
    <s v="B+"/>
    <s v="Bangalore"/>
    <d v="2023-04-01T00:00:00"/>
    <d v="2023-04-18T00:00:00"/>
    <n v="17"/>
    <x v="0"/>
    <s v="COVID-19"/>
    <x v="1"/>
    <s v="Dialysis"/>
    <x v="1"/>
    <s v="Dr. Sameer Joshi"/>
    <n v="73"/>
    <s v="General Ward"/>
    <x v="1"/>
    <n v="119499"/>
    <n v="57195"/>
    <n v="62304"/>
    <n v="95872"/>
    <n v="17410"/>
    <n v="1647"/>
    <s v="No"/>
    <n v="48"/>
    <n v="3.4"/>
    <x v="1"/>
  </r>
  <r>
    <x v="935"/>
    <s v="Rajesh Mehta"/>
    <n v="57"/>
    <x v="0"/>
    <s v="B+"/>
    <s v="Chennai"/>
    <d v="2023-12-07T00:00:00"/>
    <d v="2023-12-22T00:00:00"/>
    <n v="15"/>
    <x v="4"/>
    <s v="Hypertension"/>
    <x v="7"/>
    <s v="Dialysis"/>
    <x v="1"/>
    <s v="Dr. Sameer Rao"/>
    <n v="49"/>
    <s v="Semi-Private"/>
    <x v="1"/>
    <n v="107492"/>
    <n v="65139"/>
    <n v="42353"/>
    <n v="92035"/>
    <n v="4512"/>
    <n v="9494"/>
    <s v="No"/>
    <n v="80"/>
    <n v="2.5"/>
    <x v="1"/>
  </r>
  <r>
    <x v="936"/>
    <s v="Nisha Iyer"/>
    <n v="7"/>
    <x v="0"/>
    <s v="AB+"/>
    <s v="Delhi"/>
    <d v="2022-03-06T00:00:00"/>
    <d v="2022-03-08T00:00:00"/>
    <n v="2"/>
    <x v="0"/>
    <s v="COVID-19"/>
    <x v="1"/>
    <s v="Physiotherapy"/>
    <x v="2"/>
    <s v="Dr. Arun Singh"/>
    <n v="219"/>
    <s v="ICU"/>
    <x v="2"/>
    <n v="27968"/>
    <n v="21164"/>
    <n v="6804"/>
    <n v="19098"/>
    <n v="3793"/>
    <n v="2593"/>
    <s v="No"/>
    <n v="41"/>
    <n v="2.2999999999999998"/>
    <x v="2"/>
  </r>
  <r>
    <x v="937"/>
    <s v="Suresh Gupta"/>
    <n v="77"/>
    <x v="0"/>
    <s v="A-"/>
    <s v="Pune"/>
    <d v="2022-07-03T00:00:00"/>
    <d v="2022-07-08T00:00:00"/>
    <n v="5"/>
    <x v="4"/>
    <s v="Hypertension"/>
    <x v="7"/>
    <s v="Counseling"/>
    <x v="3"/>
    <s v="Dr. Arun Gupta"/>
    <n v="377"/>
    <s v="ICU"/>
    <x v="3"/>
    <n v="115044"/>
    <n v="79796"/>
    <n v="35248"/>
    <n v="90223"/>
    <n v="8352"/>
    <n v="13851"/>
    <s v="No"/>
    <n v="96"/>
    <n v="2.9"/>
    <x v="2"/>
  </r>
  <r>
    <x v="938"/>
    <s v="Mukesh Gupta"/>
    <n v="61"/>
    <x v="0"/>
    <s v="B-"/>
    <s v="Hyderabad"/>
    <d v="2024-02-24T00:00:00"/>
    <d v="2024-03-22T00:00:00"/>
    <n v="27"/>
    <x v="4"/>
    <s v="Hypertension"/>
    <x v="7"/>
    <s v="Dietary Management"/>
    <x v="1"/>
    <s v="Dr. Nisha Reddy"/>
    <n v="4"/>
    <s v="Private"/>
    <x v="3"/>
    <n v="93802"/>
    <n v="80070"/>
    <n v="13732"/>
    <n v="58728"/>
    <n v="24982"/>
    <n v="5564"/>
    <s v="No"/>
    <n v="62"/>
    <n v="3.7"/>
    <x v="4"/>
  </r>
  <r>
    <x v="939"/>
    <s v="Rahul Bose"/>
    <n v="57"/>
    <x v="1"/>
    <s v="B+"/>
    <s v="Pune"/>
    <d v="2022-07-27T00:00:00"/>
    <d v="2022-08-20T00:00:00"/>
    <n v="24"/>
    <x v="5"/>
    <s v="Pneumonia"/>
    <x v="8"/>
    <s v="Physiotherapy"/>
    <x v="0"/>
    <s v="Dr. Anjali Sharma"/>
    <n v="261"/>
    <s v="ICU"/>
    <x v="3"/>
    <n v="134791"/>
    <n v="119399"/>
    <n v="15392"/>
    <n v="106561"/>
    <n v="12504"/>
    <n v="11948"/>
    <s v="No"/>
    <n v="57"/>
    <n v="5"/>
    <x v="0"/>
  </r>
  <r>
    <x v="940"/>
    <s v="Mukesh Malhotra"/>
    <n v="57"/>
    <x v="0"/>
    <s v="O+"/>
    <s v="Lucknow"/>
    <d v="2023-08-24T00:00:00"/>
    <d v="2023-09-09T00:00:00"/>
    <n v="16"/>
    <x v="0"/>
    <s v="COVID-19"/>
    <x v="1"/>
    <s v="Physiotherapy"/>
    <x v="1"/>
    <s v="Dr. Kavita Kumar"/>
    <n v="8"/>
    <s v="General Ward"/>
    <x v="3"/>
    <n v="72799"/>
    <n v="54612"/>
    <n v="18187"/>
    <n v="33535"/>
    <n v="27420"/>
    <n v="8860"/>
    <s v="No"/>
    <n v="59"/>
    <n v="4.9000000000000004"/>
    <x v="2"/>
  </r>
  <r>
    <x v="941"/>
    <s v="Kavya Verma"/>
    <n v="39"/>
    <x v="1"/>
    <s v="O+"/>
    <s v="Mumbai"/>
    <d v="2023-09-22T00:00:00"/>
    <d v="2023-10-16T00:00:00"/>
    <n v="24"/>
    <x v="0"/>
    <s v="Anemia"/>
    <x v="4"/>
    <s v="Counseling"/>
    <x v="2"/>
    <s v="Dr. Prerna Mehta"/>
    <n v="45"/>
    <s v="Private"/>
    <x v="3"/>
    <n v="108088"/>
    <n v="70159"/>
    <n v="37929"/>
    <n v="71264"/>
    <n v="20811"/>
    <n v="12595"/>
    <s v="No"/>
    <n v="90"/>
    <n v="2.5"/>
    <x v="4"/>
  </r>
  <r>
    <x v="942"/>
    <s v="Sunita Nair"/>
    <n v="41"/>
    <x v="1"/>
    <s v="A-"/>
    <s v="Delhi"/>
    <d v="2024-10-06T00:00:00"/>
    <d v="2024-10-31T00:00:00"/>
    <n v="25"/>
    <x v="3"/>
    <s v="Stroke"/>
    <x v="6"/>
    <s v="Counseling"/>
    <x v="1"/>
    <s v="Dr. Deepak Mehta"/>
    <n v="238"/>
    <s v="Semi-Private"/>
    <x v="2"/>
    <n v="133990"/>
    <n v="93955"/>
    <n v="40035"/>
    <n v="117468"/>
    <n v="8651"/>
    <n v="5525"/>
    <s v="No"/>
    <n v="58"/>
    <n v="3.5"/>
    <x v="0"/>
  </r>
  <r>
    <x v="943"/>
    <s v="Lata Joshi"/>
    <n v="13"/>
    <x v="0"/>
    <s v="AB+"/>
    <s v="Jaipur"/>
    <d v="2022-02-17T00:00:00"/>
    <d v="2022-03-02T00:00:00"/>
    <n v="13"/>
    <x v="3"/>
    <s v="Migraine"/>
    <x v="6"/>
    <s v="Medication"/>
    <x v="3"/>
    <s v="Dr. Prerna Patel"/>
    <n v="23"/>
    <s v="Semi-Private"/>
    <x v="2"/>
    <n v="93341"/>
    <n v="64713"/>
    <n v="28628"/>
    <n v="47204"/>
    <n v="27711"/>
    <n v="14887"/>
    <s v="No"/>
    <n v="57"/>
    <n v="2.2000000000000002"/>
    <x v="2"/>
  </r>
  <r>
    <x v="944"/>
    <s v="Kavya Sharma"/>
    <n v="20"/>
    <x v="0"/>
    <s v="A+"/>
    <s v="Hyderabad"/>
    <d v="2024-12-17T00:00:00"/>
    <d v="2024-12-31T00:00:00"/>
    <n v="14"/>
    <x v="4"/>
    <s v="Hypertension"/>
    <x v="7"/>
    <s v="Radiation Therapy"/>
    <x v="2"/>
    <s v="Dr. Prerna Nair"/>
    <n v="198"/>
    <s v="General Ward"/>
    <x v="2"/>
    <n v="68139"/>
    <n v="43030"/>
    <n v="25109"/>
    <n v="58119"/>
    <n v="6346"/>
    <n v="1523"/>
    <s v="No"/>
    <n v="92"/>
    <n v="3.8"/>
    <x v="0"/>
  </r>
  <r>
    <x v="945"/>
    <s v="Sonia Patel"/>
    <n v="15"/>
    <x v="1"/>
    <s v="O+"/>
    <s v="Mumbai"/>
    <d v="2022-01-28T00:00:00"/>
    <d v="2022-02-04T00:00:00"/>
    <n v="7"/>
    <x v="1"/>
    <s v="UTI"/>
    <x v="2"/>
    <s v="Surgery"/>
    <x v="2"/>
    <s v="Dr. Prerna Gupta"/>
    <n v="383"/>
    <s v="General Ward"/>
    <x v="1"/>
    <n v="168376"/>
    <n v="69653"/>
    <n v="98723"/>
    <n v="127325"/>
    <n v="25966"/>
    <n v="11186"/>
    <s v="No"/>
    <n v="96"/>
    <n v="3.9"/>
    <x v="4"/>
  </r>
  <r>
    <x v="946"/>
    <s v="Mukesh Gupta"/>
    <n v="50"/>
    <x v="1"/>
    <s v="O+"/>
    <s v="Delhi"/>
    <d v="2023-08-07T00:00:00"/>
    <d v="2023-09-04T00:00:00"/>
    <n v="28"/>
    <x v="0"/>
    <s v="COVID-19"/>
    <x v="1"/>
    <s v="ICU Care"/>
    <x v="3"/>
    <s v="Dr. Arun Patel"/>
    <n v="40"/>
    <s v="Semi-Private"/>
    <x v="3"/>
    <n v="113515"/>
    <n v="73750"/>
    <n v="39765"/>
    <n v="94319"/>
    <n v="8322"/>
    <n v="6032"/>
    <s v="Yes"/>
    <n v="70"/>
    <n v="4.8"/>
    <x v="0"/>
  </r>
  <r>
    <x v="947"/>
    <s v="Arjun Malhotra"/>
    <n v="71"/>
    <x v="1"/>
    <s v="AB-"/>
    <s v="Bangalore"/>
    <d v="2024-08-16T00:00:00"/>
    <d v="2024-09-05T00:00:00"/>
    <n v="20"/>
    <x v="0"/>
    <s v="Diabetes Type 2"/>
    <x v="9"/>
    <s v="Radiation Therapy"/>
    <x v="1"/>
    <s v="Dr. Vivek Patel"/>
    <n v="219"/>
    <s v="General Ward"/>
    <x v="1"/>
    <n v="161468"/>
    <n v="111863"/>
    <n v="49605"/>
    <n v="139213"/>
    <n v="4639"/>
    <n v="13266"/>
    <s v="No"/>
    <n v="97"/>
    <n v="2.6"/>
    <x v="0"/>
  </r>
  <r>
    <x v="948"/>
    <s v="Mukesh Iyer"/>
    <n v="54"/>
    <x v="0"/>
    <s v="AB-"/>
    <s v="Ahmedabad"/>
    <d v="2022-09-05T00:00:00"/>
    <d v="2022-09-23T00:00:00"/>
    <n v="18"/>
    <x v="3"/>
    <s v="Stroke"/>
    <x v="6"/>
    <s v="ICU Care"/>
    <x v="2"/>
    <s v="Dr. Arun Gupta"/>
    <n v="450"/>
    <s v="ICU"/>
    <x v="1"/>
    <n v="40357"/>
    <n v="22766"/>
    <n v="17591"/>
    <n v="32798"/>
    <n v="1228"/>
    <n v="3482"/>
    <s v="No"/>
    <n v="85"/>
    <n v="3.6"/>
    <x v="1"/>
  </r>
  <r>
    <x v="949"/>
    <s v="Sunil Das"/>
    <n v="9"/>
    <x v="1"/>
    <s v="B+"/>
    <s v="Hyderabad"/>
    <d v="2023-08-24T00:00:00"/>
    <d v="2023-08-31T00:00:00"/>
    <n v="7"/>
    <x v="5"/>
    <s v="Pneumonia"/>
    <x v="8"/>
    <s v="Observation"/>
    <x v="2"/>
    <s v="Dr. Sameer Patel"/>
    <n v="201"/>
    <s v="General Ward"/>
    <x v="3"/>
    <n v="134828"/>
    <n v="91396"/>
    <n v="43432"/>
    <n v="105250"/>
    <n v="19071"/>
    <n v="6273"/>
    <s v="No"/>
    <n v="41"/>
    <n v="3.2"/>
    <x v="4"/>
  </r>
  <r>
    <x v="950"/>
    <s v="Sunita Shah"/>
    <n v="13"/>
    <x v="0"/>
    <s v="A-"/>
    <s v="Chennai"/>
    <d v="2024-01-17T00:00:00"/>
    <d v="2024-02-09T00:00:00"/>
    <n v="23"/>
    <x v="5"/>
    <s v="Pneumonia"/>
    <x v="8"/>
    <s v="ICU Care"/>
    <x v="1"/>
    <s v="Dr. Prerna Joshi"/>
    <n v="459"/>
    <s v="Private"/>
    <x v="0"/>
    <n v="115203"/>
    <n v="78145"/>
    <n v="37058"/>
    <n v="106815"/>
    <n v="3382"/>
    <n v="572"/>
    <s v="No"/>
    <n v="63"/>
    <n v="2.1"/>
    <x v="0"/>
  </r>
  <r>
    <x v="951"/>
    <s v="Vijay Nair"/>
    <n v="25"/>
    <x v="0"/>
    <s v="B-"/>
    <s v="Delhi"/>
    <d v="2023-03-31T00:00:00"/>
    <d v="2023-04-19T00:00:00"/>
    <n v="19"/>
    <x v="5"/>
    <s v="Pneumonia"/>
    <x v="8"/>
    <s v="Counseling"/>
    <x v="3"/>
    <s v="Dr. Deepak Patel"/>
    <n v="113"/>
    <s v="General Ward"/>
    <x v="2"/>
    <n v="105110"/>
    <n v="82007"/>
    <n v="23103"/>
    <n v="84017"/>
    <n v="4510"/>
    <n v="12601"/>
    <s v="No"/>
    <n v="92"/>
    <n v="2"/>
    <x v="2"/>
  </r>
  <r>
    <x v="952"/>
    <s v="Priya Gupta"/>
    <n v="17"/>
    <x v="0"/>
    <s v="A-"/>
    <s v="Kolkata"/>
    <d v="2024-09-02T00:00:00"/>
    <d v="2024-09-26T00:00:00"/>
    <n v="24"/>
    <x v="1"/>
    <s v="Kidney Stone"/>
    <x v="2"/>
    <s v="Observation"/>
    <x v="3"/>
    <s v="Dr. Vivek Reddy"/>
    <n v="119"/>
    <s v="Private"/>
    <x v="0"/>
    <n v="108498"/>
    <n v="43501"/>
    <n v="64997"/>
    <n v="86227"/>
    <n v="19020"/>
    <n v="1986"/>
    <s v="Yes"/>
    <n v="47"/>
    <n v="4.5999999999999996"/>
    <x v="1"/>
  </r>
  <r>
    <x v="953"/>
    <s v="Sonia Bose"/>
    <n v="58"/>
    <x v="0"/>
    <s v="B+"/>
    <s v="Ahmedabad"/>
    <d v="2024-11-01T00:00:00"/>
    <d v="2024-11-28T00:00:00"/>
    <n v="27"/>
    <x v="0"/>
    <s v="Obesity"/>
    <x v="12"/>
    <s v="Surgery"/>
    <x v="3"/>
    <s v="Dr. Anjali Reddy"/>
    <n v="283"/>
    <s v="Private"/>
    <x v="4"/>
    <n v="50194"/>
    <n v="0"/>
    <n v="50194"/>
    <n v="34141"/>
    <n v="5483"/>
    <n v="9445"/>
    <s v="No"/>
    <n v="98"/>
    <n v="3.5"/>
    <x v="3"/>
  </r>
  <r>
    <x v="954"/>
    <s v="Vikram Reddy"/>
    <n v="80"/>
    <x v="0"/>
    <s v="AB-"/>
    <s v="Jaipur"/>
    <d v="2022-07-21T00:00:00"/>
    <d v="2022-08-01T00:00:00"/>
    <n v="11"/>
    <x v="1"/>
    <s v="Kidney Stone"/>
    <x v="2"/>
    <s v="Physiotherapy"/>
    <x v="0"/>
    <s v="Dr. Arun Rao"/>
    <n v="237"/>
    <s v="Semi-Private"/>
    <x v="0"/>
    <n v="113047"/>
    <n v="71901"/>
    <n v="41146"/>
    <n v="105493"/>
    <n v="1618"/>
    <n v="3015"/>
    <s v="No"/>
    <n v="87"/>
    <n v="4.5"/>
    <x v="1"/>
  </r>
  <r>
    <x v="955"/>
    <s v="Vijay Nair"/>
    <n v="59"/>
    <x v="0"/>
    <s v="AB-"/>
    <s v="Bangalore"/>
    <d v="2022-03-17T00:00:00"/>
    <d v="2022-03-29T00:00:00"/>
    <n v="12"/>
    <x v="6"/>
    <s v="Fracture"/>
    <x v="10"/>
    <s v="Surgery"/>
    <x v="1"/>
    <s v="Dr. Anjali Reddy"/>
    <n v="32"/>
    <s v="ICU"/>
    <x v="2"/>
    <n v="129752"/>
    <n v="107228"/>
    <n v="22524"/>
    <n v="99805"/>
    <n v="13591"/>
    <n v="13697"/>
    <s v="No"/>
    <n v="81"/>
    <n v="4.3"/>
    <x v="4"/>
  </r>
  <r>
    <x v="956"/>
    <s v="Sunita Patel"/>
    <n v="32"/>
    <x v="1"/>
    <s v="AB-"/>
    <s v="Pune"/>
    <d v="2023-09-21T00:00:00"/>
    <d v="2023-09-29T00:00:00"/>
    <n v="8"/>
    <x v="6"/>
    <s v="Arthritis"/>
    <x v="11"/>
    <s v="Physiotherapy"/>
    <x v="0"/>
    <s v="Dr. Rakesh Patel"/>
    <n v="431"/>
    <s v="Private"/>
    <x v="1"/>
    <n v="124143"/>
    <n v="63933"/>
    <n v="60210"/>
    <n v="90017"/>
    <n v="24123"/>
    <n v="8020"/>
    <s v="No"/>
    <n v="51"/>
    <n v="3"/>
    <x v="4"/>
  </r>
  <r>
    <x v="957"/>
    <s v="Sunita Das"/>
    <n v="56"/>
    <x v="1"/>
    <s v="AB-"/>
    <s v="Bangalore"/>
    <d v="2024-11-23T00:00:00"/>
    <d v="2024-12-20T00:00:00"/>
    <n v="27"/>
    <x v="1"/>
    <s v="UTI"/>
    <x v="2"/>
    <s v="Radiation Therapy"/>
    <x v="0"/>
    <s v="Dr. Vivek Singh"/>
    <n v="70"/>
    <s v="General Ward"/>
    <x v="3"/>
    <n v="132846"/>
    <n v="98767"/>
    <n v="34079"/>
    <n v="103893"/>
    <n v="23386"/>
    <n v="3889"/>
    <s v="Yes"/>
    <n v="93"/>
    <n v="4.0999999999999996"/>
    <x v="1"/>
  </r>
  <r>
    <x v="958"/>
    <s v="Suresh Pillai"/>
    <n v="56"/>
    <x v="0"/>
    <s v="AB+"/>
    <s v="Bangalore"/>
    <d v="2024-01-04T00:00:00"/>
    <d v="2024-01-24T00:00:00"/>
    <n v="20"/>
    <x v="5"/>
    <s v="Pneumonia"/>
    <x v="8"/>
    <s v="Counseling"/>
    <x v="0"/>
    <s v="Dr. Deepak Gupta"/>
    <n v="311"/>
    <s v="General Ward"/>
    <x v="3"/>
    <n v="49593"/>
    <n v="43421"/>
    <n v="6172"/>
    <n v="12919"/>
    <n v="27126"/>
    <n v="4813"/>
    <s v="No"/>
    <n v="65"/>
    <n v="3.8"/>
    <x v="2"/>
  </r>
  <r>
    <x v="959"/>
    <s v="Ananya Patel"/>
    <n v="47"/>
    <x v="0"/>
    <s v="B-"/>
    <s v="Hyderabad"/>
    <d v="2022-01-13T00:00:00"/>
    <d v="2022-01-25T00:00:00"/>
    <n v="12"/>
    <x v="4"/>
    <s v="Hypertension"/>
    <x v="7"/>
    <s v="Dietary Management"/>
    <x v="2"/>
    <s v="Dr. Anjali Reddy"/>
    <n v="296"/>
    <s v="ICU"/>
    <x v="2"/>
    <n v="130021"/>
    <n v="94749"/>
    <n v="35272"/>
    <n v="90818"/>
    <n v="20535"/>
    <n v="14487"/>
    <s v="No"/>
    <n v="40"/>
    <n v="2.9"/>
    <x v="1"/>
  </r>
  <r>
    <x v="960"/>
    <s v="Pooja Malhotra"/>
    <n v="12"/>
    <x v="0"/>
    <s v="AB-"/>
    <s v="Ahmedabad"/>
    <d v="2023-11-26T00:00:00"/>
    <d v="2023-12-08T00:00:00"/>
    <n v="12"/>
    <x v="5"/>
    <s v="Asthma"/>
    <x v="8"/>
    <s v="Observation"/>
    <x v="1"/>
    <s v="Dr. Shalini Sharma"/>
    <n v="124"/>
    <s v="Private"/>
    <x v="0"/>
    <n v="76791"/>
    <n v="47985"/>
    <n v="28806"/>
    <n v="52429"/>
    <n v="16625"/>
    <n v="3941"/>
    <s v="Yes"/>
    <n v="86"/>
    <n v="2.6"/>
    <x v="3"/>
  </r>
  <r>
    <x v="961"/>
    <s v="Manoj Joshi"/>
    <n v="27"/>
    <x v="1"/>
    <s v="AB-"/>
    <s v="Delhi"/>
    <d v="2022-08-06T00:00:00"/>
    <d v="2022-08-31T00:00:00"/>
    <n v="25"/>
    <x v="6"/>
    <s v="Fracture"/>
    <x v="10"/>
    <s v="ICU Care"/>
    <x v="0"/>
    <s v="Dr. Vivek Rao"/>
    <n v="62"/>
    <s v="ICU"/>
    <x v="2"/>
    <n v="126604"/>
    <n v="81949"/>
    <n v="44655"/>
    <n v="115869"/>
    <n v="6386"/>
    <n v="1437"/>
    <s v="No"/>
    <n v="63"/>
    <n v="2.2999999999999998"/>
    <x v="1"/>
  </r>
  <r>
    <x v="962"/>
    <s v="Ashok Pillai"/>
    <n v="56"/>
    <x v="1"/>
    <s v="A+"/>
    <s v="Pune"/>
    <d v="2022-12-26T00:00:00"/>
    <d v="2022-12-30T00:00:00"/>
    <n v="4"/>
    <x v="0"/>
    <s v="Anemia"/>
    <x v="4"/>
    <s v="Medication"/>
    <x v="2"/>
    <s v="Dr. Shalini Mehta"/>
    <n v="96"/>
    <s v="General Ward"/>
    <x v="0"/>
    <n v="147086"/>
    <n v="63055"/>
    <n v="84031"/>
    <n v="113320"/>
    <n v="19633"/>
    <n v="13520"/>
    <s v="No"/>
    <n v="57"/>
    <n v="2.6"/>
    <x v="4"/>
  </r>
  <r>
    <x v="963"/>
    <s v="Rohan Bose"/>
    <n v="14"/>
    <x v="1"/>
    <s v="AB+"/>
    <s v="Jaipur"/>
    <d v="2022-02-21T00:00:00"/>
    <d v="2022-03-21T00:00:00"/>
    <n v="28"/>
    <x v="6"/>
    <s v="Fracture"/>
    <x v="10"/>
    <s v="Radiation Therapy"/>
    <x v="1"/>
    <s v="Dr. Kavita Patel"/>
    <n v="205"/>
    <s v="Semi-Private"/>
    <x v="3"/>
    <n v="39847"/>
    <n v="35161"/>
    <n v="4686"/>
    <n v="15312"/>
    <n v="12220"/>
    <n v="11727"/>
    <s v="No"/>
    <n v="52"/>
    <n v="2.6"/>
    <x v="4"/>
  </r>
  <r>
    <x v="964"/>
    <s v="Ashok Malhotra"/>
    <n v="28"/>
    <x v="0"/>
    <s v="O+"/>
    <s v="Kolkata"/>
    <d v="2023-04-04T00:00:00"/>
    <d v="2023-05-02T00:00:00"/>
    <n v="28"/>
    <x v="0"/>
    <s v="Appendicitis"/>
    <x v="0"/>
    <s v="Physiotherapy"/>
    <x v="3"/>
    <s v="Dr. Anjali Joshi"/>
    <n v="124"/>
    <s v="General Ward"/>
    <x v="1"/>
    <n v="87503"/>
    <n v="54853"/>
    <n v="32650"/>
    <n v="63272"/>
    <n v="19442"/>
    <n v="1032"/>
    <s v="No"/>
    <n v="43"/>
    <n v="2.5"/>
    <x v="1"/>
  </r>
  <r>
    <x v="965"/>
    <s v="Divya Menon"/>
    <n v="75"/>
    <x v="0"/>
    <s v="A-"/>
    <s v="Lucknow"/>
    <d v="2023-03-25T00:00:00"/>
    <d v="2023-04-18T00:00:00"/>
    <n v="24"/>
    <x v="0"/>
    <s v="Liver Disease"/>
    <x v="0"/>
    <s v="Physiotherapy"/>
    <x v="0"/>
    <s v="Dr. Sameer Gupta"/>
    <n v="93"/>
    <s v="General Ward"/>
    <x v="0"/>
    <n v="73012"/>
    <n v="36829"/>
    <n v="36183"/>
    <n v="35899"/>
    <n v="27943"/>
    <n v="6850"/>
    <s v="Yes"/>
    <n v="89"/>
    <n v="3.7"/>
    <x v="4"/>
  </r>
  <r>
    <x v="966"/>
    <s v="Priya Gupta"/>
    <n v="60"/>
    <x v="0"/>
    <s v="AB-"/>
    <s v="Kolkata"/>
    <d v="2023-11-10T00:00:00"/>
    <d v="2023-12-07T00:00:00"/>
    <n v="27"/>
    <x v="4"/>
    <s v="Heart Attack"/>
    <x v="7"/>
    <s v="Physiotherapy"/>
    <x v="3"/>
    <s v="Dr. Nisha Reddy"/>
    <n v="302"/>
    <s v="ICU"/>
    <x v="4"/>
    <n v="113132"/>
    <n v="0"/>
    <n v="113132"/>
    <n v="102946"/>
    <n v="1766"/>
    <n v="7916"/>
    <s v="No"/>
    <n v="74"/>
    <n v="3.3"/>
    <x v="3"/>
  </r>
  <r>
    <x v="967"/>
    <s v="Pooja Bose"/>
    <n v="51"/>
    <x v="0"/>
    <s v="A+"/>
    <s v="Bangalore"/>
    <d v="2022-04-02T00:00:00"/>
    <d v="2022-04-20T00:00:00"/>
    <n v="18"/>
    <x v="4"/>
    <s v="Hypertension"/>
    <x v="7"/>
    <s v="Dietary Management"/>
    <x v="2"/>
    <s v="Dr. Shalini Sharma"/>
    <n v="85"/>
    <s v="Semi-Private"/>
    <x v="2"/>
    <n v="145781"/>
    <n v="126047"/>
    <n v="19734"/>
    <n v="102361"/>
    <n v="26448"/>
    <n v="14021"/>
    <s v="No"/>
    <n v="42"/>
    <n v="2.8"/>
    <x v="0"/>
  </r>
  <r>
    <x v="968"/>
    <s v="Sanjay Patel"/>
    <n v="79"/>
    <x v="1"/>
    <s v="B+"/>
    <s v="Bangalore"/>
    <d v="2023-12-15T00:00:00"/>
    <d v="2023-12-22T00:00:00"/>
    <n v="7"/>
    <x v="2"/>
    <s v="Cancer"/>
    <x v="3"/>
    <s v="Physiotherapy"/>
    <x v="1"/>
    <s v="Dr. Sameer Reddy"/>
    <n v="184"/>
    <s v="General Ward"/>
    <x v="2"/>
    <n v="82733"/>
    <n v="58179"/>
    <n v="24554"/>
    <n v="45360"/>
    <n v="27528"/>
    <n v="6631"/>
    <s v="No"/>
    <n v="47"/>
    <n v="3.9"/>
    <x v="2"/>
  </r>
  <r>
    <x v="969"/>
    <s v="Amit Rao"/>
    <n v="47"/>
    <x v="1"/>
    <s v="B-"/>
    <s v="Kolkata"/>
    <d v="2024-10-29T00:00:00"/>
    <d v="2024-11-25T00:00:00"/>
    <n v="27"/>
    <x v="0"/>
    <s v="Depression"/>
    <x v="5"/>
    <s v="Dialysis"/>
    <x v="2"/>
    <s v="Dr. Shalini Reddy"/>
    <n v="387"/>
    <s v="Semi-Private"/>
    <x v="0"/>
    <n v="75111"/>
    <n v="38925"/>
    <n v="36186"/>
    <n v="47520"/>
    <n v="10651"/>
    <n v="14423"/>
    <s v="No"/>
    <n v="67"/>
    <n v="2.4"/>
    <x v="0"/>
  </r>
  <r>
    <x v="970"/>
    <s v="Aditya Shah"/>
    <n v="77"/>
    <x v="1"/>
    <s v="A-"/>
    <s v="Bangalore"/>
    <d v="2023-07-06T00:00:00"/>
    <d v="2023-07-31T00:00:00"/>
    <n v="25"/>
    <x v="5"/>
    <s v="Asthma"/>
    <x v="8"/>
    <s v="Physiotherapy"/>
    <x v="1"/>
    <s v="Dr. Anjali Kumar"/>
    <n v="385"/>
    <s v="ICU"/>
    <x v="4"/>
    <n v="47048"/>
    <n v="0"/>
    <n v="47048"/>
    <n v="40100"/>
    <n v="2849"/>
    <n v="2431"/>
    <s v="No"/>
    <n v="71"/>
    <n v="3.2"/>
    <x v="3"/>
  </r>
  <r>
    <x v="971"/>
    <s v="Meera Malhotra"/>
    <n v="44"/>
    <x v="0"/>
    <s v="O+"/>
    <s v="Bangalore"/>
    <d v="2022-05-15T00:00:00"/>
    <d v="2022-06-14T00:00:00"/>
    <n v="30"/>
    <x v="4"/>
    <s v="Hypertension"/>
    <x v="7"/>
    <s v="Physiotherapy"/>
    <x v="3"/>
    <s v="Dr. Prerna Rao"/>
    <n v="105"/>
    <s v="ICU"/>
    <x v="4"/>
    <n v="55484"/>
    <n v="0"/>
    <n v="55484"/>
    <n v="30634"/>
    <n v="20200"/>
    <n v="2669"/>
    <s v="No"/>
    <n v="44"/>
    <n v="4.0999999999999996"/>
    <x v="3"/>
  </r>
  <r>
    <x v="972"/>
    <s v="Meera Shah"/>
    <n v="34"/>
    <x v="0"/>
    <s v="B+"/>
    <s v="Kolkata"/>
    <d v="2023-07-16T00:00:00"/>
    <d v="2023-08-01T00:00:00"/>
    <n v="16"/>
    <x v="0"/>
    <s v="Dengue"/>
    <x v="1"/>
    <s v="Counseling"/>
    <x v="0"/>
    <s v="Dr. Rakesh Joshi"/>
    <n v="53"/>
    <s v="Semi-Private"/>
    <x v="2"/>
    <n v="131768"/>
    <n v="80106"/>
    <n v="51662"/>
    <n v="116600"/>
    <n v="4947"/>
    <n v="7849"/>
    <s v="No"/>
    <n v="50"/>
    <n v="4"/>
    <x v="0"/>
  </r>
  <r>
    <x v="973"/>
    <s v="Mukesh Nair"/>
    <n v="45"/>
    <x v="1"/>
    <s v="O+"/>
    <s v="Mumbai"/>
    <d v="2023-01-27T00:00:00"/>
    <d v="2023-02-02T00:00:00"/>
    <n v="6"/>
    <x v="0"/>
    <s v="Appendicitis"/>
    <x v="0"/>
    <s v="ICU Care"/>
    <x v="2"/>
    <s v="Dr. Nisha Kumar"/>
    <n v="6"/>
    <s v="Private"/>
    <x v="2"/>
    <n v="97829"/>
    <n v="61643"/>
    <n v="36186"/>
    <n v="76016"/>
    <n v="7877"/>
    <n v="12293"/>
    <s v="No"/>
    <n v="59"/>
    <n v="2.7"/>
    <x v="3"/>
  </r>
  <r>
    <x v="974"/>
    <s v="Arjun Malhotra"/>
    <n v="67"/>
    <x v="0"/>
    <s v="B+"/>
    <s v="Hyderabad"/>
    <d v="2024-08-12T00:00:00"/>
    <d v="2024-09-01T00:00:00"/>
    <n v="20"/>
    <x v="5"/>
    <s v="Pneumonia"/>
    <x v="8"/>
    <s v="Dialysis"/>
    <x v="2"/>
    <s v="Dr. Sameer Patel"/>
    <n v="257"/>
    <s v="Semi-Private"/>
    <x v="4"/>
    <n v="123925"/>
    <n v="0"/>
    <n v="123925"/>
    <n v="89236"/>
    <n v="23951"/>
    <n v="9342"/>
    <s v="No"/>
    <n v="87"/>
    <n v="4.8"/>
    <x v="3"/>
  </r>
  <r>
    <x v="975"/>
    <s v="Deepa Pillai"/>
    <n v="66"/>
    <x v="0"/>
    <s v="A+"/>
    <s v="Kolkata"/>
    <d v="2024-10-06T00:00:00"/>
    <d v="2024-10-27T00:00:00"/>
    <n v="21"/>
    <x v="3"/>
    <s v="Migraine"/>
    <x v="6"/>
    <s v="Chemotherapy"/>
    <x v="2"/>
    <s v="Dr. Kavita Mehta"/>
    <n v="302"/>
    <s v="ICU"/>
    <x v="4"/>
    <n v="58468"/>
    <n v="0"/>
    <n v="58468"/>
    <n v="29975"/>
    <n v="12729"/>
    <n v="14796"/>
    <s v="No"/>
    <n v="69"/>
    <n v="4.0999999999999996"/>
    <x v="1"/>
  </r>
  <r>
    <x v="976"/>
    <s v="Pooja Nair"/>
    <n v="12"/>
    <x v="0"/>
    <s v="O-"/>
    <s v="Jaipur"/>
    <d v="2024-12-22T00:00:00"/>
    <d v="2024-12-29T00:00:00"/>
    <n v="7"/>
    <x v="0"/>
    <s v="Depression"/>
    <x v="5"/>
    <s v="ICU Care"/>
    <x v="0"/>
    <s v="Dr. Anjali Mehta"/>
    <n v="208"/>
    <s v="Semi-Private"/>
    <x v="2"/>
    <n v="159335"/>
    <n v="101592"/>
    <n v="57743"/>
    <n v="138146"/>
    <n v="9720"/>
    <n v="7019"/>
    <s v="No"/>
    <n v="50"/>
    <n v="3.1"/>
    <x v="2"/>
  </r>
  <r>
    <x v="977"/>
    <s v="Rekha Verma"/>
    <n v="52"/>
    <x v="1"/>
    <s v="AB+"/>
    <s v="Bangalore"/>
    <d v="2022-11-22T00:00:00"/>
    <d v="2022-11-28T00:00:00"/>
    <n v="6"/>
    <x v="4"/>
    <s v="Heart Attack"/>
    <x v="7"/>
    <s v="Medication"/>
    <x v="1"/>
    <s v="Dr. Deepak Mehta"/>
    <n v="181"/>
    <s v="ICU"/>
    <x v="0"/>
    <n v="106451"/>
    <n v="48607"/>
    <n v="57844"/>
    <n v="83610"/>
    <n v="15654"/>
    <n v="3319"/>
    <s v="No"/>
    <n v="96"/>
    <n v="2.5"/>
    <x v="3"/>
  </r>
  <r>
    <x v="978"/>
    <s v="Rahul Joshi"/>
    <n v="25"/>
    <x v="1"/>
    <s v="O+"/>
    <s v="Delhi"/>
    <d v="2023-08-12T00:00:00"/>
    <d v="2023-08-31T00:00:00"/>
    <n v="19"/>
    <x v="0"/>
    <s v="Obesity"/>
    <x v="12"/>
    <s v="Dietary Management"/>
    <x v="1"/>
    <s v="Dr. Arun Rao"/>
    <n v="360"/>
    <s v="ICU"/>
    <x v="3"/>
    <n v="93868"/>
    <n v="57440"/>
    <n v="36428"/>
    <n v="49627"/>
    <n v="28245"/>
    <n v="11864"/>
    <s v="No"/>
    <n v="40"/>
    <n v="2.8"/>
    <x v="1"/>
  </r>
  <r>
    <x v="979"/>
    <s v="Ashok Patel"/>
    <n v="79"/>
    <x v="0"/>
    <s v="AB+"/>
    <s v="Chennai"/>
    <d v="2023-01-15T00:00:00"/>
    <d v="2023-01-18T00:00:00"/>
    <n v="3"/>
    <x v="0"/>
    <s v="Typhoid"/>
    <x v="1"/>
    <s v="Medication"/>
    <x v="1"/>
    <s v="Dr. Kavita Rao"/>
    <n v="39"/>
    <s v="General Ward"/>
    <x v="2"/>
    <n v="80334"/>
    <n v="61184"/>
    <n v="19150"/>
    <n v="62568"/>
    <n v="9048"/>
    <n v="6574"/>
    <s v="No"/>
    <n v="50"/>
    <n v="2.9"/>
    <x v="4"/>
  </r>
  <r>
    <x v="980"/>
    <s v="Rahul Singh"/>
    <n v="80"/>
    <x v="1"/>
    <s v="AB+"/>
    <s v="Mumbai"/>
    <d v="2022-04-06T00:00:00"/>
    <d v="2022-04-20T00:00:00"/>
    <n v="14"/>
    <x v="4"/>
    <s v="Hypertension"/>
    <x v="7"/>
    <s v="Physiotherapy"/>
    <x v="0"/>
    <s v="Dr. Anjali Sharma"/>
    <n v="165"/>
    <s v="ICU"/>
    <x v="4"/>
    <n v="130199"/>
    <n v="0"/>
    <n v="130199"/>
    <n v="109918"/>
    <n v="4633"/>
    <n v="11724"/>
    <s v="No"/>
    <n v="43"/>
    <n v="3.4"/>
    <x v="4"/>
  </r>
  <r>
    <x v="981"/>
    <s v="Rekha Gupta"/>
    <n v="55"/>
    <x v="0"/>
    <s v="B-"/>
    <s v="Jaipur"/>
    <d v="2023-12-26T00:00:00"/>
    <d v="2023-12-27T00:00:00"/>
    <n v="1"/>
    <x v="4"/>
    <s v="Hypertension"/>
    <x v="7"/>
    <s v="ICU Care"/>
    <x v="2"/>
    <s v="Dr. Anjali Mehta"/>
    <n v="103"/>
    <s v="Private"/>
    <x v="3"/>
    <n v="62219"/>
    <n v="49633"/>
    <n v="12586"/>
    <n v="28627"/>
    <n v="15571"/>
    <n v="14035"/>
    <s v="No"/>
    <n v="83"/>
    <n v="2.2999999999999998"/>
    <x v="2"/>
  </r>
  <r>
    <x v="982"/>
    <s v="Lata Khanna"/>
    <n v="19"/>
    <x v="1"/>
    <s v="O+"/>
    <s v="Hyderabad"/>
    <d v="2022-07-10T00:00:00"/>
    <d v="2022-07-24T00:00:00"/>
    <n v="14"/>
    <x v="1"/>
    <s v="UTI"/>
    <x v="2"/>
    <s v="Chemotherapy"/>
    <x v="1"/>
    <s v="Dr. Vivek Kumar"/>
    <n v="142"/>
    <s v="Private"/>
    <x v="2"/>
    <n v="80336"/>
    <n v="59526"/>
    <n v="20810"/>
    <n v="56544"/>
    <n v="16065"/>
    <n v="3427"/>
    <s v="No"/>
    <n v="73"/>
    <n v="3.1"/>
    <x v="4"/>
  </r>
  <r>
    <x v="983"/>
    <s v="Mukesh Patel"/>
    <n v="59"/>
    <x v="1"/>
    <s v="O+"/>
    <s v="Lucknow"/>
    <d v="2023-08-22T00:00:00"/>
    <d v="2023-08-28T00:00:00"/>
    <n v="6"/>
    <x v="0"/>
    <s v="Liver Disease"/>
    <x v="0"/>
    <s v="Dialysis"/>
    <x v="0"/>
    <s v="Dr. Prerna Gupta"/>
    <n v="168"/>
    <s v="Private"/>
    <x v="2"/>
    <n v="166542"/>
    <n v="149788"/>
    <n v="16754"/>
    <n v="139112"/>
    <n v="19038"/>
    <n v="7731"/>
    <s v="No"/>
    <n v="71"/>
    <n v="3.9"/>
    <x v="0"/>
  </r>
  <r>
    <x v="984"/>
    <s v="Suresh Joshi"/>
    <n v="43"/>
    <x v="1"/>
    <s v="A+"/>
    <s v="Bangalore"/>
    <d v="2023-08-11T00:00:00"/>
    <d v="2023-08-29T00:00:00"/>
    <n v="18"/>
    <x v="2"/>
    <s v="Cancer"/>
    <x v="3"/>
    <s v="Dialysis"/>
    <x v="3"/>
    <s v="Dr. Rakesh Patel"/>
    <n v="394"/>
    <s v="ICU"/>
    <x v="0"/>
    <n v="82385"/>
    <n v="52254"/>
    <n v="30131"/>
    <n v="62415"/>
    <n v="9803"/>
    <n v="6158"/>
    <s v="No"/>
    <n v="72"/>
    <n v="4.5"/>
    <x v="0"/>
  </r>
  <r>
    <x v="985"/>
    <s v="Rohan Malhotra"/>
    <n v="77"/>
    <x v="1"/>
    <s v="B+"/>
    <s v="Pune"/>
    <d v="2023-08-24T00:00:00"/>
    <d v="2023-09-18T00:00:00"/>
    <n v="25"/>
    <x v="0"/>
    <s v="Depression"/>
    <x v="5"/>
    <s v="Chemotherapy"/>
    <x v="0"/>
    <s v="Dr. Sameer Joshi"/>
    <n v="287"/>
    <s v="General Ward"/>
    <x v="4"/>
    <n v="142713"/>
    <n v="0"/>
    <n v="142713"/>
    <n v="127581"/>
    <n v="6667"/>
    <n v="3741"/>
    <s v="No"/>
    <n v="85"/>
    <n v="2.8"/>
    <x v="3"/>
  </r>
  <r>
    <x v="986"/>
    <s v="Aditya Menon"/>
    <n v="48"/>
    <x v="1"/>
    <s v="O-"/>
    <s v="Pune"/>
    <d v="2024-09-13T00:00:00"/>
    <d v="2024-10-07T00:00:00"/>
    <n v="24"/>
    <x v="5"/>
    <s v="Asthma"/>
    <x v="8"/>
    <s v="Surgery"/>
    <x v="0"/>
    <s v="Dr. Rakesh Reddy"/>
    <n v="165"/>
    <s v="General Ward"/>
    <x v="2"/>
    <n v="89776"/>
    <n v="60918"/>
    <n v="28858"/>
    <n v="62769"/>
    <n v="16628"/>
    <n v="9243"/>
    <s v="No"/>
    <n v="59"/>
    <n v="3.5"/>
    <x v="4"/>
  </r>
  <r>
    <x v="987"/>
    <s v="Geeta Kumar"/>
    <n v="42"/>
    <x v="1"/>
    <s v="AB-"/>
    <s v="Jaipur"/>
    <d v="2024-12-06T00:00:00"/>
    <d v="2024-12-15T00:00:00"/>
    <n v="9"/>
    <x v="5"/>
    <s v="Asthma"/>
    <x v="8"/>
    <s v="Radiation Therapy"/>
    <x v="1"/>
    <s v="Dr. Vivek Joshi"/>
    <n v="43"/>
    <s v="ICU"/>
    <x v="4"/>
    <n v="134969"/>
    <n v="0"/>
    <n v="134969"/>
    <n v="113956"/>
    <n v="9401"/>
    <n v="7284"/>
    <s v="Yes"/>
    <n v="96"/>
    <n v="3.2"/>
    <x v="2"/>
  </r>
  <r>
    <x v="988"/>
    <s v="Karan Pillai"/>
    <n v="13"/>
    <x v="0"/>
    <s v="O+"/>
    <s v="Delhi"/>
    <d v="2024-11-29T00:00:00"/>
    <d v="2024-12-11T00:00:00"/>
    <n v="12"/>
    <x v="6"/>
    <s v="Arthritis"/>
    <x v="11"/>
    <s v="Dietary Management"/>
    <x v="1"/>
    <s v="Dr. Arun Mehta"/>
    <n v="232"/>
    <s v="ICU"/>
    <x v="0"/>
    <n v="53163"/>
    <n v="26179"/>
    <n v="26984"/>
    <n v="33834"/>
    <n v="1363"/>
    <n v="13231"/>
    <s v="Yes"/>
    <n v="69"/>
    <n v="3.9"/>
    <x v="0"/>
  </r>
  <r>
    <x v="989"/>
    <s v="Karan Sharma"/>
    <n v="42"/>
    <x v="1"/>
    <s v="O-"/>
    <s v="Kolkata"/>
    <d v="2024-05-27T00:00:00"/>
    <d v="2024-05-29T00:00:00"/>
    <n v="2"/>
    <x v="0"/>
    <s v="Dengue"/>
    <x v="1"/>
    <s v="Chemotherapy"/>
    <x v="2"/>
    <s v="Dr. Anjali Singh"/>
    <n v="469"/>
    <s v="ICU"/>
    <x v="1"/>
    <n v="152213"/>
    <n v="78984"/>
    <n v="73229"/>
    <n v="138482"/>
    <n v="9049"/>
    <n v="3961"/>
    <s v="No"/>
    <n v="82"/>
    <n v="2.6"/>
    <x v="4"/>
  </r>
  <r>
    <x v="990"/>
    <s v="Meera Kumar"/>
    <n v="75"/>
    <x v="1"/>
    <s v="B+"/>
    <s v="Bangalore"/>
    <d v="2024-05-11T00:00:00"/>
    <d v="2024-05-25T00:00:00"/>
    <n v="14"/>
    <x v="0"/>
    <s v="Typhoid"/>
    <x v="1"/>
    <s v="Dialysis"/>
    <x v="1"/>
    <s v="Dr. Shalini Sharma"/>
    <n v="395"/>
    <s v="ICU"/>
    <x v="1"/>
    <n v="161220"/>
    <n v="88786"/>
    <n v="72434"/>
    <n v="137924"/>
    <n v="15119"/>
    <n v="5891"/>
    <s v="No"/>
    <n v="78"/>
    <n v="4.4000000000000004"/>
    <x v="3"/>
  </r>
  <r>
    <x v="991"/>
    <s v="Karan Bose"/>
    <n v="31"/>
    <x v="0"/>
    <s v="B-"/>
    <s v="Hyderabad"/>
    <d v="2022-12-13T00:00:00"/>
    <d v="2023-01-05T00:00:00"/>
    <n v="23"/>
    <x v="6"/>
    <s v="Arthritis"/>
    <x v="11"/>
    <s v="Counseling"/>
    <x v="0"/>
    <s v="Dr. Vivek Sharma"/>
    <n v="380"/>
    <s v="Private"/>
    <x v="4"/>
    <n v="53861"/>
    <n v="0"/>
    <n v="53861"/>
    <n v="10742"/>
    <n v="28651"/>
    <n v="11489"/>
    <s v="No"/>
    <n v="48"/>
    <n v="4.5"/>
    <x v="4"/>
  </r>
  <r>
    <x v="992"/>
    <s v="Priya Nair"/>
    <n v="76"/>
    <x v="0"/>
    <s v="A-"/>
    <s v="Jaipur"/>
    <d v="2024-04-02T00:00:00"/>
    <d v="2024-04-24T00:00:00"/>
    <n v="22"/>
    <x v="0"/>
    <s v="COVID-19"/>
    <x v="1"/>
    <s v="Observation"/>
    <x v="0"/>
    <s v="Dr. Kavita Mehta"/>
    <n v="430"/>
    <s v="General Ward"/>
    <x v="2"/>
    <n v="140230"/>
    <n v="104103"/>
    <n v="36127"/>
    <n v="110439"/>
    <n v="26002"/>
    <n v="3168"/>
    <s v="No"/>
    <n v="77"/>
    <n v="3.7"/>
    <x v="0"/>
  </r>
  <r>
    <x v="993"/>
    <s v="Ashok Menon"/>
    <n v="15"/>
    <x v="1"/>
    <s v="AB-"/>
    <s v="Delhi"/>
    <d v="2022-11-12T00:00:00"/>
    <d v="2022-11-26T00:00:00"/>
    <n v="14"/>
    <x v="0"/>
    <s v="Dengue"/>
    <x v="1"/>
    <s v="Chemotherapy"/>
    <x v="0"/>
    <s v="Dr. Prerna Gupta"/>
    <n v="378"/>
    <s v="General Ward"/>
    <x v="1"/>
    <n v="160932"/>
    <n v="93859"/>
    <n v="67073"/>
    <n v="115857"/>
    <n v="27947"/>
    <n v="14106"/>
    <s v="No"/>
    <n v="77"/>
    <n v="2.9"/>
    <x v="3"/>
  </r>
  <r>
    <x v="994"/>
    <s v="Suresh Iyer"/>
    <n v="73"/>
    <x v="1"/>
    <s v="A-"/>
    <s v="Chennai"/>
    <d v="2023-11-01T00:00:00"/>
    <d v="2023-11-11T00:00:00"/>
    <n v="10"/>
    <x v="0"/>
    <s v="Liver Disease"/>
    <x v="0"/>
    <s v="Surgery"/>
    <x v="3"/>
    <s v="Dr. Nisha Rao"/>
    <n v="313"/>
    <s v="ICU"/>
    <x v="3"/>
    <n v="37766"/>
    <n v="23379"/>
    <n v="14387"/>
    <n v="12021"/>
    <n v="13464"/>
    <n v="10310"/>
    <s v="No"/>
    <n v="74"/>
    <n v="3.3"/>
    <x v="3"/>
  </r>
  <r>
    <x v="995"/>
    <s v="Nisha Nair"/>
    <n v="82"/>
    <x v="1"/>
    <s v="O+"/>
    <s v="Chennai"/>
    <d v="2024-11-15T00:00:00"/>
    <d v="2024-12-09T00:00:00"/>
    <n v="24"/>
    <x v="5"/>
    <s v="Asthma"/>
    <x v="8"/>
    <s v="Medication"/>
    <x v="2"/>
    <s v="Dr. Prerna Gupta"/>
    <n v="372"/>
    <s v="General Ward"/>
    <x v="3"/>
    <n v="161178"/>
    <n v="115389"/>
    <n v="45789"/>
    <n v="128594"/>
    <n v="17449"/>
    <n v="14590"/>
    <s v="No"/>
    <n v="81"/>
    <n v="2.8"/>
    <x v="2"/>
  </r>
  <r>
    <x v="996"/>
    <s v="Sunita Kumar"/>
    <n v="48"/>
    <x v="1"/>
    <s v="A-"/>
    <s v="Kolkata"/>
    <d v="2023-06-02T00:00:00"/>
    <d v="2023-07-01T00:00:00"/>
    <n v="29"/>
    <x v="0"/>
    <s v="Obesity"/>
    <x v="12"/>
    <s v="Counseling"/>
    <x v="1"/>
    <s v="Dr. Nisha Sharma"/>
    <n v="103"/>
    <s v="ICU"/>
    <x v="2"/>
    <n v="54764"/>
    <n v="39632"/>
    <n v="15132"/>
    <n v="34999"/>
    <n v="16596"/>
    <n v="1391"/>
    <s v="No"/>
    <n v="68"/>
    <n v="4.5999999999999996"/>
    <x v="2"/>
  </r>
  <r>
    <x v="997"/>
    <s v="Aditya Das"/>
    <n v="85"/>
    <x v="1"/>
    <s v="A-"/>
    <s v="Ahmedabad"/>
    <d v="2022-11-23T00:00:00"/>
    <d v="2022-12-06T00:00:00"/>
    <n v="13"/>
    <x v="5"/>
    <s v="Pneumonia"/>
    <x v="8"/>
    <s v="Physiotherapy"/>
    <x v="0"/>
    <s v="Dr. Deepak Mehta"/>
    <n v="334"/>
    <s v="Private"/>
    <x v="4"/>
    <n v="168301"/>
    <n v="0"/>
    <n v="168301"/>
    <n v="143039"/>
    <n v="11690"/>
    <n v="12825"/>
    <s v="No"/>
    <n v="41"/>
    <n v="3.4"/>
    <x v="0"/>
  </r>
  <r>
    <x v="998"/>
    <s v="Arjun Iyer"/>
    <n v="48"/>
    <x v="1"/>
    <s v="AB-"/>
    <s v="Hyderabad"/>
    <d v="2022-07-01T00:00:00"/>
    <d v="2022-07-04T00:00:00"/>
    <n v="3"/>
    <x v="0"/>
    <s v="Anemia"/>
    <x v="4"/>
    <s v="Medication"/>
    <x v="0"/>
    <s v="Dr. Shalini Patel"/>
    <n v="369"/>
    <s v="ICU"/>
    <x v="2"/>
    <n v="89227"/>
    <n v="64027"/>
    <n v="25200"/>
    <n v="49955"/>
    <n v="27208"/>
    <n v="8237"/>
    <s v="Yes"/>
    <n v="42"/>
    <n v="3.6"/>
    <x v="3"/>
  </r>
  <r>
    <x v="999"/>
    <s v="Kavya Menon"/>
    <n v="20"/>
    <x v="0"/>
    <s v="A+"/>
    <s v="Bangalore"/>
    <d v="2024-05-12T00:00:00"/>
    <d v="2024-05-19T00:00:00"/>
    <n v="7"/>
    <x v="5"/>
    <s v="Asthma"/>
    <x v="8"/>
    <s v="Dialysis"/>
    <x v="2"/>
    <s v="Dr. Nisha Rao"/>
    <n v="196"/>
    <s v="Semi-Private"/>
    <x v="4"/>
    <n v="126777"/>
    <n v="0"/>
    <n v="126777"/>
    <n v="92558"/>
    <n v="18102"/>
    <n v="11648"/>
    <s v="No"/>
    <n v="45"/>
    <n v="2.5"/>
    <x v="1"/>
  </r>
  <r>
    <x v="1000"/>
    <s v="Lata Gupta"/>
    <n v="43"/>
    <x v="1"/>
    <s v="O-"/>
    <s v="Chennai"/>
    <d v="2024-04-15T00:00:00"/>
    <d v="2024-05-05T00:00:00"/>
    <n v="20"/>
    <x v="4"/>
    <s v="Hypertension"/>
    <x v="7"/>
    <s v="Surgery"/>
    <x v="2"/>
    <s v="Dr. Kavita Gupta"/>
    <n v="187"/>
    <s v="Semi-Private"/>
    <x v="2"/>
    <n v="81001"/>
    <n v="58444"/>
    <n v="22557"/>
    <n v="52877"/>
    <n v="19065"/>
    <n v="4862"/>
    <s v="No"/>
    <n v="85"/>
    <n v="2.2000000000000002"/>
    <x v="0"/>
  </r>
  <r>
    <x v="1001"/>
    <s v="Karan Malhotra"/>
    <n v="5"/>
    <x v="1"/>
    <s v="O+"/>
    <s v="Chennai"/>
    <d v="2024-02-08T00:00:00"/>
    <d v="2024-02-19T00:00:00"/>
    <n v="11"/>
    <x v="5"/>
    <s v="Pneumonia"/>
    <x v="8"/>
    <s v="Medication"/>
    <x v="3"/>
    <s v="Dr. Nisha Reddy"/>
    <n v="358"/>
    <s v="ICU"/>
    <x v="4"/>
    <n v="168758"/>
    <n v="0"/>
    <n v="168758"/>
    <n v="136395"/>
    <n v="25703"/>
    <n v="1796"/>
    <s v="No"/>
    <n v="90"/>
    <n v="3.1"/>
    <x v="1"/>
  </r>
  <r>
    <x v="1002"/>
    <s v="Sunita Sharma"/>
    <n v="36"/>
    <x v="0"/>
    <s v="O+"/>
    <s v="Jaipur"/>
    <d v="2022-10-28T00:00:00"/>
    <d v="2022-11-01T00:00:00"/>
    <n v="4"/>
    <x v="1"/>
    <s v="Kidney Stone"/>
    <x v="2"/>
    <s v="Radiation Therapy"/>
    <x v="0"/>
    <s v="Dr. Kavita Nair"/>
    <n v="190"/>
    <s v="Private"/>
    <x v="3"/>
    <n v="124038"/>
    <n v="83012"/>
    <n v="41026"/>
    <n v="112771"/>
    <n v="5989"/>
    <n v="3737"/>
    <s v="Yes"/>
    <n v="65"/>
    <n v="4.4000000000000004"/>
    <x v="0"/>
  </r>
  <r>
    <x v="1003"/>
    <s v="Vijay Menon"/>
    <n v="72"/>
    <x v="0"/>
    <s v="O+"/>
    <s v="Lucknow"/>
    <d v="2022-05-31T00:00:00"/>
    <d v="2022-06-05T00:00:00"/>
    <n v="5"/>
    <x v="1"/>
    <s v="Kidney Stone"/>
    <x v="2"/>
    <s v="Dialysis"/>
    <x v="0"/>
    <s v="Dr. Sameer Mehta"/>
    <n v="384"/>
    <s v="General Ward"/>
    <x v="4"/>
    <n v="87337"/>
    <n v="0"/>
    <n v="87337"/>
    <n v="53757"/>
    <n v="20819"/>
    <n v="9092"/>
    <s v="No"/>
    <n v="66"/>
    <n v="3.7"/>
    <x v="2"/>
  </r>
  <r>
    <x v="1004"/>
    <s v="Aditya Chopra"/>
    <n v="58"/>
    <x v="0"/>
    <s v="A-"/>
    <s v="Ahmedabad"/>
    <d v="2024-04-15T00:00:00"/>
    <d v="2024-04-21T00:00:00"/>
    <n v="6"/>
    <x v="3"/>
    <s v="Stroke"/>
    <x v="6"/>
    <s v="Observation"/>
    <x v="2"/>
    <s v="Dr. Shalini Rao"/>
    <n v="406"/>
    <s v="Semi-Private"/>
    <x v="0"/>
    <n v="128640"/>
    <n v="84844"/>
    <n v="43796"/>
    <n v="89047"/>
    <n v="25625"/>
    <n v="9557"/>
    <s v="No"/>
    <n v="72"/>
    <n v="3.4"/>
    <x v="4"/>
  </r>
  <r>
    <x v="1005"/>
    <s v="Sunil Menon"/>
    <n v="28"/>
    <x v="0"/>
    <s v="AB+"/>
    <s v="Mumbai"/>
    <d v="2023-09-09T00:00:00"/>
    <d v="2023-09-13T00:00:00"/>
    <n v="4"/>
    <x v="2"/>
    <s v="Cancer"/>
    <x v="3"/>
    <s v="Counseling"/>
    <x v="2"/>
    <s v="Dr. Arun Nair"/>
    <n v="486"/>
    <s v="Private"/>
    <x v="1"/>
    <n v="81890"/>
    <n v="47573"/>
    <n v="34317"/>
    <n v="69754"/>
    <n v="4134"/>
    <n v="5863"/>
    <s v="No"/>
    <n v="88"/>
    <n v="3.8"/>
    <x v="2"/>
  </r>
  <r>
    <x v="1006"/>
    <s v="Vikram Chopra"/>
    <n v="6"/>
    <x v="1"/>
    <s v="A+"/>
    <s v="Delhi"/>
    <d v="2023-08-17T00:00:00"/>
    <d v="2023-08-27T00:00:00"/>
    <n v="10"/>
    <x v="0"/>
    <s v="Diabetes Type 2"/>
    <x v="9"/>
    <s v="Observation"/>
    <x v="2"/>
    <s v="Dr. Shalini Patel"/>
    <n v="490"/>
    <s v="Private"/>
    <x v="0"/>
    <n v="49615"/>
    <n v="23087"/>
    <n v="26528"/>
    <n v="13848"/>
    <n v="29531"/>
    <n v="5157"/>
    <s v="Yes"/>
    <n v="53"/>
    <n v="3.5"/>
    <x v="0"/>
  </r>
  <r>
    <x v="1007"/>
    <s v="Meera Verma"/>
    <n v="24"/>
    <x v="0"/>
    <s v="B+"/>
    <s v="Mumbai"/>
    <d v="2024-06-09T00:00:00"/>
    <d v="2024-06-30T00:00:00"/>
    <n v="21"/>
    <x v="0"/>
    <s v="Dengue"/>
    <x v="1"/>
    <s v="Dialysis"/>
    <x v="2"/>
    <s v="Dr. Sameer Singh"/>
    <n v="466"/>
    <s v="General Ward"/>
    <x v="4"/>
    <n v="58484"/>
    <n v="0"/>
    <n v="58484"/>
    <n v="44670"/>
    <n v="2822"/>
    <n v="8996"/>
    <s v="No"/>
    <n v="93"/>
    <n v="2.7"/>
    <x v="0"/>
  </r>
  <r>
    <x v="1008"/>
    <s v="Sonia Bose"/>
    <n v="59"/>
    <x v="0"/>
    <s v="A-"/>
    <s v="Lucknow"/>
    <d v="2023-06-19T00:00:00"/>
    <d v="2023-07-07T00:00:00"/>
    <n v="18"/>
    <x v="0"/>
    <s v="Liver Disease"/>
    <x v="0"/>
    <s v="Physiotherapy"/>
    <x v="1"/>
    <s v="Dr. Nisha Joshi"/>
    <n v="274"/>
    <s v="Semi-Private"/>
    <x v="2"/>
    <n v="58635"/>
    <n v="39508"/>
    <n v="19127"/>
    <n v="27328"/>
    <n v="16527"/>
    <n v="11295"/>
    <s v="No"/>
    <n v="68"/>
    <n v="3.8"/>
    <x v="4"/>
  </r>
  <r>
    <x v="1009"/>
    <s v="Sneha Das"/>
    <n v="60"/>
    <x v="0"/>
    <s v="AB-"/>
    <s v="Bangalore"/>
    <d v="2023-08-18T00:00:00"/>
    <d v="2023-09-15T00:00:00"/>
    <n v="28"/>
    <x v="4"/>
    <s v="Hypertension"/>
    <x v="7"/>
    <s v="Chemotherapy"/>
    <x v="3"/>
    <s v="Dr. Anjali Singh"/>
    <n v="62"/>
    <s v="Semi-Private"/>
    <x v="4"/>
    <n v="80848"/>
    <n v="0"/>
    <n v="80848"/>
    <n v="64123"/>
    <n v="3377"/>
    <n v="11258"/>
    <s v="No"/>
    <n v="79"/>
    <n v="2.9"/>
    <x v="4"/>
  </r>
  <r>
    <x v="1010"/>
    <s v="Sneha Sharma"/>
    <n v="11"/>
    <x v="0"/>
    <s v="AB-"/>
    <s v="Ahmedabad"/>
    <d v="2023-02-07T00:00:00"/>
    <d v="2023-02-28T00:00:00"/>
    <n v="21"/>
    <x v="4"/>
    <s v="Heart Attack"/>
    <x v="7"/>
    <s v="Radiation Therapy"/>
    <x v="3"/>
    <s v="Dr. Arun Reddy"/>
    <n v="215"/>
    <s v="General Ward"/>
    <x v="1"/>
    <n v="60620"/>
    <n v="39403"/>
    <n v="21217"/>
    <n v="52012"/>
    <n v="2474"/>
    <n v="2902"/>
    <s v="No"/>
    <n v="77"/>
    <n v="3.8"/>
    <x v="3"/>
  </r>
  <r>
    <x v="1011"/>
    <s v="Sanjay Mehta"/>
    <n v="71"/>
    <x v="0"/>
    <s v="B-"/>
    <s v="Chennai"/>
    <d v="2024-07-30T00:00:00"/>
    <d v="2024-08-01T00:00:00"/>
    <n v="2"/>
    <x v="3"/>
    <s v="Stroke"/>
    <x v="6"/>
    <s v="Physiotherapy"/>
    <x v="3"/>
    <s v="Dr. Rakesh Singh"/>
    <n v="434"/>
    <s v="ICU"/>
    <x v="4"/>
    <n v="173339"/>
    <n v="0"/>
    <n v="173339"/>
    <n v="149166"/>
    <n v="20953"/>
    <n v="501"/>
    <s v="No"/>
    <n v="41"/>
    <n v="3.3"/>
    <x v="0"/>
  </r>
  <r>
    <x v="1012"/>
    <s v="Pooja Gupta"/>
    <n v="33"/>
    <x v="0"/>
    <s v="A-"/>
    <s v="Mumbai"/>
    <d v="2024-08-21T00:00:00"/>
    <d v="2024-09-04T00:00:00"/>
    <n v="14"/>
    <x v="0"/>
    <s v="Dengue"/>
    <x v="1"/>
    <s v="Dietary Management"/>
    <x v="1"/>
    <s v="Dr. Anjali Sharma"/>
    <n v="471"/>
    <s v="Private"/>
    <x v="2"/>
    <n v="161752"/>
    <n v="138971"/>
    <n v="22781"/>
    <n v="131699"/>
    <n v="23776"/>
    <n v="4414"/>
    <s v="No"/>
    <n v="45"/>
    <n v="2.8"/>
    <x v="4"/>
  </r>
  <r>
    <x v="1013"/>
    <s v="Suresh Nair"/>
    <n v="9"/>
    <x v="1"/>
    <s v="O-"/>
    <s v="Jaipur"/>
    <d v="2022-01-03T00:00:00"/>
    <d v="2022-01-15T00:00:00"/>
    <n v="12"/>
    <x v="1"/>
    <s v="Kidney Stone"/>
    <x v="2"/>
    <s v="Surgery"/>
    <x v="1"/>
    <s v="Dr. Nisha Gupta"/>
    <n v="134"/>
    <s v="Private"/>
    <x v="1"/>
    <n v="139819"/>
    <n v="81191"/>
    <n v="58628"/>
    <n v="107865"/>
    <n v="22924"/>
    <n v="6492"/>
    <s v="Yes"/>
    <n v="65"/>
    <n v="2.1"/>
    <x v="4"/>
  </r>
  <r>
    <x v="1014"/>
    <s v="Ashok Bose"/>
    <n v="5"/>
    <x v="1"/>
    <s v="O+"/>
    <s v="Mumbai"/>
    <d v="2023-05-19T00:00:00"/>
    <d v="2023-06-17T00:00:00"/>
    <n v="29"/>
    <x v="4"/>
    <s v="Hypertension"/>
    <x v="7"/>
    <s v="ICU Care"/>
    <x v="3"/>
    <s v="Dr. Prerna Nair"/>
    <n v="142"/>
    <s v="General Ward"/>
    <x v="0"/>
    <n v="158600"/>
    <n v="101707"/>
    <n v="56893"/>
    <n v="148112"/>
    <n v="5902"/>
    <n v="3419"/>
    <s v="Yes"/>
    <n v="53"/>
    <n v="3.8"/>
    <x v="4"/>
  </r>
  <r>
    <x v="1015"/>
    <s v="Vijay Joshi"/>
    <n v="10"/>
    <x v="1"/>
    <s v="O-"/>
    <s v="Jaipur"/>
    <d v="2024-03-28T00:00:00"/>
    <d v="2024-04-19T00:00:00"/>
    <n v="22"/>
    <x v="5"/>
    <s v="Asthma"/>
    <x v="8"/>
    <s v="Radiation Therapy"/>
    <x v="1"/>
    <s v="Dr. Sameer Joshi"/>
    <n v="165"/>
    <s v="Semi-Private"/>
    <x v="1"/>
    <n v="107130"/>
    <n v="65094"/>
    <n v="42036"/>
    <n v="93590"/>
    <n v="3966"/>
    <n v="6760"/>
    <s v="No"/>
    <n v="53"/>
    <n v="4.5999999999999996"/>
    <x v="2"/>
  </r>
  <r>
    <x v="1016"/>
    <s v="Amit Khanna"/>
    <n v="21"/>
    <x v="1"/>
    <s v="A+"/>
    <s v="Chennai"/>
    <d v="2024-08-17T00:00:00"/>
    <d v="2024-08-27T00:00:00"/>
    <n v="10"/>
    <x v="5"/>
    <s v="Asthma"/>
    <x v="8"/>
    <s v="Counseling"/>
    <x v="1"/>
    <s v="Dr. Vivek Gupta"/>
    <n v="22"/>
    <s v="ICU"/>
    <x v="2"/>
    <n v="64527"/>
    <n v="50321"/>
    <n v="14206"/>
    <n v="49089"/>
    <n v="2344"/>
    <n v="11632"/>
    <s v="No"/>
    <n v="74"/>
    <n v="4.5"/>
    <x v="1"/>
  </r>
  <r>
    <x v="1017"/>
    <s v="Rekha Reddy"/>
    <n v="15"/>
    <x v="1"/>
    <s v="B-"/>
    <s v="Bangalore"/>
    <d v="2024-03-09T00:00:00"/>
    <d v="2024-03-22T00:00:00"/>
    <n v="13"/>
    <x v="0"/>
    <s v="Appendicitis"/>
    <x v="0"/>
    <s v="ICU Care"/>
    <x v="3"/>
    <s v="Dr. Deepak Kumar"/>
    <n v="288"/>
    <s v="General Ward"/>
    <x v="4"/>
    <n v="84472"/>
    <n v="0"/>
    <n v="84472"/>
    <n v="47731"/>
    <n v="27225"/>
    <n v="7042"/>
    <s v="No"/>
    <n v="47"/>
    <n v="2.2999999999999998"/>
    <x v="4"/>
  </r>
  <r>
    <x v="1018"/>
    <s v="Priya Rao"/>
    <n v="63"/>
    <x v="1"/>
    <s v="B+"/>
    <s v="Mumbai"/>
    <d v="2023-10-05T00:00:00"/>
    <d v="2023-10-13T00:00:00"/>
    <n v="8"/>
    <x v="0"/>
    <s v="Liver Disease"/>
    <x v="0"/>
    <s v="Medication"/>
    <x v="0"/>
    <s v="Dr. Anjali Singh"/>
    <n v="187"/>
    <s v="Private"/>
    <x v="4"/>
    <n v="168599"/>
    <n v="0"/>
    <n v="168599"/>
    <n v="130894"/>
    <n v="24802"/>
    <n v="11939"/>
    <s v="No"/>
    <n v="83"/>
    <n v="4.7"/>
    <x v="2"/>
  </r>
  <r>
    <x v="1019"/>
    <s v="Sonia Mehta"/>
    <n v="15"/>
    <x v="0"/>
    <s v="A-"/>
    <s v="Hyderabad"/>
    <d v="2024-03-10T00:00:00"/>
    <d v="2024-04-03T00:00:00"/>
    <n v="24"/>
    <x v="6"/>
    <s v="Fracture"/>
    <x v="10"/>
    <s v="Dietary Management"/>
    <x v="3"/>
    <s v="Dr. Kavita Rao"/>
    <n v="140"/>
    <s v="ICU"/>
    <x v="3"/>
    <n v="127456"/>
    <n v="83349"/>
    <n v="44107"/>
    <n v="106577"/>
    <n v="14375"/>
    <n v="2667"/>
    <s v="No"/>
    <n v="88"/>
    <n v="3.7"/>
    <x v="3"/>
  </r>
  <r>
    <x v="1020"/>
    <s v="Nisha Reddy"/>
    <n v="6"/>
    <x v="1"/>
    <s v="AB+"/>
    <s v="Delhi"/>
    <d v="2024-12-30T00:00:00"/>
    <d v="2024-12-31T00:00:00"/>
    <n v="1"/>
    <x v="4"/>
    <s v="Hypertension"/>
    <x v="7"/>
    <s v="ICU Care"/>
    <x v="0"/>
    <s v="Dr. Deepak Gupta"/>
    <n v="4"/>
    <s v="Semi-Private"/>
    <x v="3"/>
    <n v="159161"/>
    <n v="139813"/>
    <n v="19348"/>
    <n v="140511"/>
    <n v="14149"/>
    <n v="1293"/>
    <s v="Yes"/>
    <n v="55"/>
    <n v="2.1"/>
    <x v="4"/>
  </r>
  <r>
    <x v="1021"/>
    <s v="Kavya Khanna"/>
    <n v="6"/>
    <x v="0"/>
    <s v="A+"/>
    <s v="Bangalore"/>
    <d v="2024-12-23T00:00:00"/>
    <d v="2024-12-31T00:00:00"/>
    <n v="8"/>
    <x v="6"/>
    <s v="Fracture"/>
    <x v="10"/>
    <s v="Dialysis"/>
    <x v="1"/>
    <s v="Dr. Shalini Nair"/>
    <n v="301"/>
    <s v="General Ward"/>
    <x v="2"/>
    <n v="84624"/>
    <n v="75868"/>
    <n v="8756"/>
    <n v="61716"/>
    <n v="20223"/>
    <n v="1217"/>
    <s v="Yes"/>
    <n v="87"/>
    <n v="2.7"/>
    <x v="3"/>
  </r>
  <r>
    <x v="1022"/>
    <s v="Vikram Shah"/>
    <n v="22"/>
    <x v="1"/>
    <s v="O+"/>
    <s v="Pune"/>
    <d v="2022-11-20T00:00:00"/>
    <d v="2022-12-13T00:00:00"/>
    <n v="23"/>
    <x v="3"/>
    <s v="Stroke"/>
    <x v="6"/>
    <s v="ICU Care"/>
    <x v="0"/>
    <s v="Dr. Shalini Kumar"/>
    <n v="119"/>
    <s v="General Ward"/>
    <x v="1"/>
    <n v="69880"/>
    <n v="41018"/>
    <n v="28862"/>
    <n v="53935"/>
    <n v="13858"/>
    <n v="1182"/>
    <s v="No"/>
    <n v="42"/>
    <n v="2.4"/>
    <x v="4"/>
  </r>
  <r>
    <x v="1023"/>
    <s v="Nisha Bose"/>
    <n v="42"/>
    <x v="0"/>
    <s v="O+"/>
    <s v="Hyderabad"/>
    <d v="2022-10-08T00:00:00"/>
    <d v="2022-10-10T00:00:00"/>
    <n v="2"/>
    <x v="0"/>
    <s v="Dengue"/>
    <x v="1"/>
    <s v="Counseling"/>
    <x v="3"/>
    <s v="Dr. Rakesh Kumar"/>
    <n v="116"/>
    <s v="General Ward"/>
    <x v="2"/>
    <n v="42115"/>
    <n v="34345"/>
    <n v="7770"/>
    <n v="9270"/>
    <n v="21664"/>
    <n v="9692"/>
    <s v="No"/>
    <n v="62"/>
    <n v="3.9"/>
    <x v="0"/>
  </r>
  <r>
    <x v="1024"/>
    <s v="Suresh Rao"/>
    <n v="41"/>
    <x v="0"/>
    <s v="AB+"/>
    <s v="Kolkata"/>
    <d v="2022-11-18T00:00:00"/>
    <d v="2022-12-16T00:00:00"/>
    <n v="28"/>
    <x v="4"/>
    <s v="Heart Attack"/>
    <x v="7"/>
    <s v="ICU Care"/>
    <x v="2"/>
    <s v="Dr. Prerna Gupta"/>
    <n v="316"/>
    <s v="ICU"/>
    <x v="2"/>
    <n v="122252"/>
    <n v="73794"/>
    <n v="48458"/>
    <n v="87548"/>
    <n v="23918"/>
    <n v="7174"/>
    <s v="No"/>
    <n v="66"/>
    <n v="2.2999999999999998"/>
    <x v="4"/>
  </r>
  <r>
    <x v="1025"/>
    <s v="Ashok Gupta"/>
    <n v="44"/>
    <x v="0"/>
    <s v="A+"/>
    <s v="Ahmedabad"/>
    <d v="2022-01-22T00:00:00"/>
    <d v="2022-02-01T00:00:00"/>
    <n v="10"/>
    <x v="0"/>
    <s v="COVID-19"/>
    <x v="1"/>
    <s v="Observation"/>
    <x v="0"/>
    <s v="Dr. Arun Mehta"/>
    <n v="101"/>
    <s v="Private"/>
    <x v="2"/>
    <n v="125655"/>
    <n v="78070"/>
    <n v="47585"/>
    <n v="100937"/>
    <n v="17514"/>
    <n v="6482"/>
    <s v="No"/>
    <n v="83"/>
    <n v="2"/>
    <x v="4"/>
  </r>
  <r>
    <x v="1026"/>
    <s v="Kavya Singh"/>
    <n v="59"/>
    <x v="0"/>
    <s v="A-"/>
    <s v="Pune"/>
    <d v="2024-05-16T00:00:00"/>
    <d v="2024-05-18T00:00:00"/>
    <n v="2"/>
    <x v="1"/>
    <s v="Kidney Stone"/>
    <x v="2"/>
    <s v="Radiation Therapy"/>
    <x v="1"/>
    <s v="Dr. Nisha Mehta"/>
    <n v="92"/>
    <s v="Private"/>
    <x v="4"/>
    <n v="40219"/>
    <n v="0"/>
    <n v="40219"/>
    <n v="24674"/>
    <n v="7854"/>
    <n v="4518"/>
    <s v="No"/>
    <n v="76"/>
    <n v="2.8"/>
    <x v="4"/>
  </r>
  <r>
    <x v="1027"/>
    <s v="Rohan Shah"/>
    <n v="32"/>
    <x v="1"/>
    <s v="O-"/>
    <s v="Ahmedabad"/>
    <d v="2022-04-22T00:00:00"/>
    <d v="2022-05-03T00:00:00"/>
    <n v="11"/>
    <x v="0"/>
    <s v="COVID-19"/>
    <x v="1"/>
    <s v="Dietary Management"/>
    <x v="1"/>
    <s v="Dr. Deepak Rao"/>
    <n v="273"/>
    <s v="ICU"/>
    <x v="3"/>
    <n v="128592"/>
    <n v="99559"/>
    <n v="29033"/>
    <n v="83733"/>
    <n v="28774"/>
    <n v="12271"/>
    <s v="No"/>
    <n v="64"/>
    <n v="4.7"/>
    <x v="0"/>
  </r>
  <r>
    <x v="1028"/>
    <s v="Kavya Mehta"/>
    <n v="46"/>
    <x v="0"/>
    <s v="O+"/>
    <s v="Jaipur"/>
    <d v="2024-07-31T00:00:00"/>
    <d v="2024-08-13T00:00:00"/>
    <n v="13"/>
    <x v="0"/>
    <s v="Depression"/>
    <x v="5"/>
    <s v="ICU Care"/>
    <x v="0"/>
    <s v="Dr. Arun Mehta"/>
    <n v="497"/>
    <s v="Semi-Private"/>
    <x v="3"/>
    <n v="170227"/>
    <n v="129818"/>
    <n v="40409"/>
    <n v="129268"/>
    <n v="27256"/>
    <n v="12477"/>
    <s v="No"/>
    <n v="40"/>
    <n v="4.4000000000000004"/>
    <x v="3"/>
  </r>
  <r>
    <x v="1029"/>
    <s v="Sanjay Joshi"/>
    <n v="25"/>
    <x v="1"/>
    <s v="O-"/>
    <s v="Kolkata"/>
    <d v="2024-09-28T00:00:00"/>
    <d v="2024-10-06T00:00:00"/>
    <n v="8"/>
    <x v="3"/>
    <s v="Stroke"/>
    <x v="6"/>
    <s v="Physiotherapy"/>
    <x v="0"/>
    <s v="Dr. Kavita Mehta"/>
    <n v="108"/>
    <s v="ICU"/>
    <x v="4"/>
    <n v="80363"/>
    <n v="0"/>
    <n v="80363"/>
    <n v="72915"/>
    <n v="2308"/>
    <n v="3548"/>
    <s v="No"/>
    <n v="88"/>
    <n v="2.5"/>
    <x v="4"/>
  </r>
  <r>
    <x v="1030"/>
    <s v="Sonia Malhotra"/>
    <n v="53"/>
    <x v="1"/>
    <s v="O+"/>
    <s v="Bangalore"/>
    <d v="2024-06-18T00:00:00"/>
    <d v="2024-07-04T00:00:00"/>
    <n v="16"/>
    <x v="2"/>
    <s v="Cancer"/>
    <x v="3"/>
    <s v="Physiotherapy"/>
    <x v="2"/>
    <s v="Dr. Deepak Kumar"/>
    <n v="334"/>
    <s v="Semi-Private"/>
    <x v="2"/>
    <n v="63364"/>
    <n v="38431"/>
    <n v="24933"/>
    <n v="40824"/>
    <n v="8808"/>
    <n v="11739"/>
    <s v="Yes"/>
    <n v="84"/>
    <n v="5"/>
    <x v="3"/>
  </r>
  <r>
    <x v="1031"/>
    <s v="Pooja Menon"/>
    <n v="29"/>
    <x v="1"/>
    <s v="B+"/>
    <s v="Jaipur"/>
    <d v="2023-07-26T00:00:00"/>
    <d v="2023-08-05T00:00:00"/>
    <n v="10"/>
    <x v="5"/>
    <s v="Pneumonia"/>
    <x v="8"/>
    <s v="Dialysis"/>
    <x v="0"/>
    <s v="Dr. Prerna Rao"/>
    <n v="303"/>
    <s v="Semi-Private"/>
    <x v="1"/>
    <n v="50565"/>
    <n v="25253"/>
    <n v="25312"/>
    <n v="7383"/>
    <n v="27204"/>
    <n v="11520"/>
    <s v="No"/>
    <n v="45"/>
    <n v="3"/>
    <x v="1"/>
  </r>
  <r>
    <x v="1032"/>
    <s v="Manoj Verma"/>
    <n v="21"/>
    <x v="0"/>
    <s v="A+"/>
    <s v="Ahmedabad"/>
    <d v="2023-10-25T00:00:00"/>
    <d v="2023-11-08T00:00:00"/>
    <n v="14"/>
    <x v="0"/>
    <s v="Obesity"/>
    <x v="12"/>
    <s v="Dietary Management"/>
    <x v="1"/>
    <s v="Dr. Kavita Nair"/>
    <n v="492"/>
    <s v="Semi-Private"/>
    <x v="2"/>
    <n v="29807"/>
    <n v="24936"/>
    <n v="4871"/>
    <n v="12721"/>
    <n v="1123"/>
    <n v="12241"/>
    <s v="No"/>
    <n v="53"/>
    <n v="4"/>
    <x v="2"/>
  </r>
  <r>
    <x v="1033"/>
    <s v="Vijay Khanna"/>
    <n v="85"/>
    <x v="1"/>
    <s v="B+"/>
    <s v="Ahmedabad"/>
    <d v="2024-07-09T00:00:00"/>
    <d v="2024-07-24T00:00:00"/>
    <n v="15"/>
    <x v="0"/>
    <s v="COVID-19"/>
    <x v="1"/>
    <s v="Chemotherapy"/>
    <x v="1"/>
    <s v="Dr. Vivek Nair"/>
    <n v="359"/>
    <s v="General Ward"/>
    <x v="3"/>
    <n v="137998"/>
    <n v="83969"/>
    <n v="54029"/>
    <n v="110331"/>
    <n v="10789"/>
    <n v="12462"/>
    <s v="No"/>
    <n v="40"/>
    <n v="2.6"/>
    <x v="1"/>
  </r>
  <r>
    <x v="1034"/>
    <s v="Priya Reddy"/>
    <n v="53"/>
    <x v="1"/>
    <s v="O-"/>
    <s v="Lucknow"/>
    <d v="2023-10-04T00:00:00"/>
    <d v="2023-10-10T00:00:00"/>
    <n v="6"/>
    <x v="0"/>
    <s v="Liver Disease"/>
    <x v="0"/>
    <s v="Dialysis"/>
    <x v="2"/>
    <s v="Dr. Rakesh Patel"/>
    <n v="373"/>
    <s v="General Ward"/>
    <x v="3"/>
    <n v="110803"/>
    <n v="96326"/>
    <n v="14477"/>
    <n v="82990"/>
    <n v="24852"/>
    <n v="1378"/>
    <s v="No"/>
    <n v="83"/>
    <n v="3.9"/>
    <x v="4"/>
  </r>
  <r>
    <x v="1035"/>
    <s v="Meera Shah"/>
    <n v="69"/>
    <x v="1"/>
    <s v="AB+"/>
    <s v="Ahmedabad"/>
    <d v="2024-05-10T00:00:00"/>
    <d v="2024-05-15T00:00:00"/>
    <n v="5"/>
    <x v="1"/>
    <s v="Kidney Stone"/>
    <x v="2"/>
    <s v="Medication"/>
    <x v="0"/>
    <s v="Dr. Sameer Sharma"/>
    <n v="432"/>
    <s v="General Ward"/>
    <x v="0"/>
    <n v="136730"/>
    <n v="81861"/>
    <n v="54869"/>
    <n v="111125"/>
    <n v="7255"/>
    <n v="13686"/>
    <s v="No"/>
    <n v="94"/>
    <n v="4.4000000000000004"/>
    <x v="4"/>
  </r>
  <r>
    <x v="1036"/>
    <s v="Mukesh Nair"/>
    <n v="57"/>
    <x v="1"/>
    <s v="O+"/>
    <s v="Lucknow"/>
    <d v="2024-07-06T00:00:00"/>
    <d v="2024-07-15T00:00:00"/>
    <n v="9"/>
    <x v="0"/>
    <s v="Dengue"/>
    <x v="1"/>
    <s v="Radiation Therapy"/>
    <x v="2"/>
    <s v="Dr. Prerna Nair"/>
    <n v="474"/>
    <s v="Semi-Private"/>
    <x v="1"/>
    <n v="172357"/>
    <n v="105555"/>
    <n v="66802"/>
    <n v="131983"/>
    <n v="25528"/>
    <n v="9909"/>
    <s v="No"/>
    <n v="78"/>
    <n v="4.4000000000000004"/>
    <x v="1"/>
  </r>
  <r>
    <x v="1037"/>
    <s v="Divya Das"/>
    <n v="59"/>
    <x v="1"/>
    <s v="O-"/>
    <s v="Pune"/>
    <d v="2022-01-30T00:00:00"/>
    <d v="2022-02-27T00:00:00"/>
    <n v="28"/>
    <x v="1"/>
    <s v="UTI"/>
    <x v="2"/>
    <s v="Chemotherapy"/>
    <x v="2"/>
    <s v="Dr. Vivek Joshi"/>
    <n v="152"/>
    <s v="Semi-Private"/>
    <x v="0"/>
    <n v="71720"/>
    <n v="47906"/>
    <n v="23814"/>
    <n v="39547"/>
    <n v="25422"/>
    <n v="4144"/>
    <s v="Yes"/>
    <n v="46"/>
    <n v="2.5"/>
    <x v="0"/>
  </r>
  <r>
    <x v="1038"/>
    <s v="Sanjay Pillai"/>
    <n v="14"/>
    <x v="1"/>
    <s v="O-"/>
    <s v="Lucknow"/>
    <d v="2023-08-14T00:00:00"/>
    <d v="2023-09-01T00:00:00"/>
    <n v="18"/>
    <x v="0"/>
    <s v="Dengue"/>
    <x v="1"/>
    <s v="Dialysis"/>
    <x v="1"/>
    <s v="Dr. Arun Patel"/>
    <n v="94"/>
    <s v="ICU"/>
    <x v="3"/>
    <n v="61837"/>
    <n v="50147"/>
    <n v="11690"/>
    <n v="47820"/>
    <n v="5504"/>
    <n v="3663"/>
    <s v="No"/>
    <n v="71"/>
    <n v="2.9"/>
    <x v="2"/>
  </r>
  <r>
    <x v="1039"/>
    <s v="Amit Chopra"/>
    <n v="64"/>
    <x v="0"/>
    <s v="A-"/>
    <s v="Jaipur"/>
    <d v="2024-10-23T00:00:00"/>
    <d v="2024-11-09T00:00:00"/>
    <n v="17"/>
    <x v="5"/>
    <s v="Pneumonia"/>
    <x v="8"/>
    <s v="Chemotherapy"/>
    <x v="0"/>
    <s v="Dr. Deepak Nair"/>
    <n v="333"/>
    <s v="ICU"/>
    <x v="2"/>
    <n v="126331"/>
    <n v="78353"/>
    <n v="47978"/>
    <n v="91462"/>
    <n v="22537"/>
    <n v="9456"/>
    <s v="No"/>
    <n v="64"/>
    <n v="4.0999999999999996"/>
    <x v="2"/>
  </r>
  <r>
    <x v="1040"/>
    <s v="Manoj Nair"/>
    <n v="78"/>
    <x v="0"/>
    <s v="AB+"/>
    <s v="Hyderabad"/>
    <d v="2024-08-15T00:00:00"/>
    <d v="2024-09-08T00:00:00"/>
    <n v="24"/>
    <x v="0"/>
    <s v="Obesity"/>
    <x v="12"/>
    <s v="Counseling"/>
    <x v="3"/>
    <s v="Dr. Vivek Sharma"/>
    <n v="386"/>
    <s v="Private"/>
    <x v="1"/>
    <n v="151275"/>
    <n v="86259"/>
    <n v="65016"/>
    <n v="117297"/>
    <n v="23501"/>
    <n v="7771"/>
    <s v="No"/>
    <n v="52"/>
    <n v="4.7"/>
    <x v="0"/>
  </r>
  <r>
    <x v="1041"/>
    <s v="Kavya Sharma"/>
    <n v="84"/>
    <x v="0"/>
    <s v="B+"/>
    <s v="Chennai"/>
    <d v="2024-03-19T00:00:00"/>
    <d v="2024-04-14T00:00:00"/>
    <n v="26"/>
    <x v="0"/>
    <s v="Appendicitis"/>
    <x v="0"/>
    <s v="Counseling"/>
    <x v="1"/>
    <s v="Dr. Shalini Mehta"/>
    <n v="214"/>
    <s v="General Ward"/>
    <x v="3"/>
    <n v="117330"/>
    <n v="85136"/>
    <n v="32194"/>
    <n v="110061"/>
    <n v="5338"/>
    <n v="621"/>
    <s v="No"/>
    <n v="60"/>
    <n v="4.2"/>
    <x v="0"/>
  </r>
  <r>
    <x v="1042"/>
    <s v="Pooja Nair"/>
    <n v="47"/>
    <x v="0"/>
    <s v="AB+"/>
    <s v="Pune"/>
    <d v="2023-11-03T00:00:00"/>
    <d v="2023-11-28T00:00:00"/>
    <n v="25"/>
    <x v="1"/>
    <s v="Kidney Stone"/>
    <x v="2"/>
    <s v="ICU Care"/>
    <x v="1"/>
    <s v="Dr. Sameer Singh"/>
    <n v="241"/>
    <s v="ICU"/>
    <x v="4"/>
    <n v="12744"/>
    <n v="0"/>
    <n v="12744"/>
    <n v="6499"/>
    <n v="1224"/>
    <n v="1356"/>
    <s v="No"/>
    <n v="61"/>
    <n v="3.6"/>
    <x v="4"/>
  </r>
  <r>
    <x v="1043"/>
    <s v="Lata Das"/>
    <n v="21"/>
    <x v="0"/>
    <s v="A+"/>
    <s v="Pune"/>
    <d v="2022-05-27T00:00:00"/>
    <d v="2022-06-10T00:00:00"/>
    <n v="14"/>
    <x v="3"/>
    <s v="Migraine"/>
    <x v="6"/>
    <s v="Dialysis"/>
    <x v="3"/>
    <s v="Dr. Prerna Mehta"/>
    <n v="90"/>
    <s v="Private"/>
    <x v="4"/>
    <n v="94220"/>
    <n v="0"/>
    <n v="94220"/>
    <n v="73160"/>
    <n v="3251"/>
    <n v="13113"/>
    <s v="No"/>
    <n v="70"/>
    <n v="4.8"/>
    <x v="3"/>
  </r>
  <r>
    <x v="1044"/>
    <s v="Vikram Mehta"/>
    <n v="30"/>
    <x v="0"/>
    <s v="AB+"/>
    <s v="Mumbai"/>
    <d v="2024-11-15T00:00:00"/>
    <d v="2024-12-10T00:00:00"/>
    <n v="25"/>
    <x v="2"/>
    <s v="Cancer"/>
    <x v="3"/>
    <s v="Radiation Therapy"/>
    <x v="1"/>
    <s v="Dr. Prerna Gupta"/>
    <n v="11"/>
    <s v="Semi-Private"/>
    <x v="3"/>
    <n v="76236"/>
    <n v="64264"/>
    <n v="11972"/>
    <n v="55852"/>
    <n v="2493"/>
    <n v="14948"/>
    <s v="No"/>
    <n v="98"/>
    <n v="2.6"/>
    <x v="4"/>
  </r>
  <r>
    <x v="1045"/>
    <s v="Priya Joshi"/>
    <n v="10"/>
    <x v="0"/>
    <s v="A+"/>
    <s v="Jaipur"/>
    <d v="2024-12-31T00:00:00"/>
    <d v="2024-12-31T00:00:00"/>
    <n v="1"/>
    <x v="4"/>
    <s v="Hypertension"/>
    <x v="7"/>
    <s v="Dialysis"/>
    <x v="1"/>
    <s v="Dr. Kavita Singh"/>
    <n v="343"/>
    <s v="General Ward"/>
    <x v="1"/>
    <n v="146461"/>
    <n v="84788"/>
    <n v="61673"/>
    <n v="118576"/>
    <n v="21905"/>
    <n v="1584"/>
    <s v="No"/>
    <n v="98"/>
    <n v="4.5"/>
    <x v="0"/>
  </r>
  <r>
    <x v="1046"/>
    <s v="Mukesh Bose"/>
    <n v="22"/>
    <x v="0"/>
    <s v="O-"/>
    <s v="Bangalore"/>
    <d v="2023-07-05T00:00:00"/>
    <d v="2023-07-09T00:00:00"/>
    <n v="4"/>
    <x v="3"/>
    <s v="Stroke"/>
    <x v="6"/>
    <s v="Observation"/>
    <x v="3"/>
    <s v="Dr. Deepak Sharma"/>
    <n v="153"/>
    <s v="Private"/>
    <x v="2"/>
    <n v="144240"/>
    <n v="119076"/>
    <n v="25164"/>
    <n v="126644"/>
    <n v="7705"/>
    <n v="6298"/>
    <s v="No"/>
    <n v="72"/>
    <n v="4.9000000000000004"/>
    <x v="3"/>
  </r>
  <r>
    <x v="1047"/>
    <s v="Sanjay Verma"/>
    <n v="68"/>
    <x v="1"/>
    <s v="O+"/>
    <s v="Mumbai"/>
    <d v="2023-11-21T00:00:00"/>
    <d v="2023-12-10T00:00:00"/>
    <n v="19"/>
    <x v="0"/>
    <s v="Depression"/>
    <x v="5"/>
    <s v="Physiotherapy"/>
    <x v="0"/>
    <s v="Dr. Arun Mehta"/>
    <n v="368"/>
    <s v="Private"/>
    <x v="4"/>
    <n v="81539"/>
    <n v="0"/>
    <n v="81539"/>
    <n v="43571"/>
    <n v="22321"/>
    <n v="14785"/>
    <s v="No"/>
    <n v="45"/>
    <n v="3.1"/>
    <x v="0"/>
  </r>
  <r>
    <x v="1048"/>
    <s v="Divya Gupta"/>
    <n v="47"/>
    <x v="0"/>
    <s v="A+"/>
    <s v="Ahmedabad"/>
    <d v="2023-01-27T00:00:00"/>
    <d v="2023-02-24T00:00:00"/>
    <n v="28"/>
    <x v="1"/>
    <s v="UTI"/>
    <x v="2"/>
    <s v="Medication"/>
    <x v="2"/>
    <s v="Dr. Prerna Rao"/>
    <n v="381"/>
    <s v="ICU"/>
    <x v="3"/>
    <n v="152177"/>
    <n v="112319"/>
    <n v="39858"/>
    <n v="128513"/>
    <n v="10361"/>
    <n v="9225"/>
    <s v="No"/>
    <n v="100"/>
    <n v="2.2999999999999998"/>
    <x v="1"/>
  </r>
  <r>
    <x v="1049"/>
    <s v="Rahul Das"/>
    <n v="59"/>
    <x v="0"/>
    <s v="B+"/>
    <s v="Chennai"/>
    <d v="2022-01-08T00:00:00"/>
    <d v="2022-01-25T00:00:00"/>
    <n v="17"/>
    <x v="6"/>
    <s v="Arthritis"/>
    <x v="11"/>
    <s v="Dietary Management"/>
    <x v="3"/>
    <s v="Dr. Deepak Joshi"/>
    <n v="357"/>
    <s v="Private"/>
    <x v="2"/>
    <n v="128199"/>
    <n v="83393"/>
    <n v="44806"/>
    <n v="115175"/>
    <n v="6215"/>
    <n v="4509"/>
    <s v="No"/>
    <n v="41"/>
    <n v="4.2"/>
    <x v="1"/>
  </r>
  <r>
    <x v="1050"/>
    <s v="Geeta Pillai"/>
    <n v="53"/>
    <x v="0"/>
    <s v="B+"/>
    <s v="Ahmedabad"/>
    <d v="2024-05-10T00:00:00"/>
    <d v="2024-06-06T00:00:00"/>
    <n v="27"/>
    <x v="0"/>
    <s v="Typhoid"/>
    <x v="1"/>
    <s v="Counseling"/>
    <x v="2"/>
    <s v="Dr. Prerna Gupta"/>
    <n v="99"/>
    <s v="General Ward"/>
    <x v="3"/>
    <n v="134131"/>
    <n v="106924"/>
    <n v="27207"/>
    <n v="110606"/>
    <n v="6957"/>
    <n v="14318"/>
    <s v="No"/>
    <n v="83"/>
    <n v="2.2999999999999998"/>
    <x v="3"/>
  </r>
  <r>
    <x v="1051"/>
    <s v="Lata Das"/>
    <n v="16"/>
    <x v="0"/>
    <s v="B+"/>
    <s v="Hyderabad"/>
    <d v="2022-10-28T00:00:00"/>
    <d v="2022-11-26T00:00:00"/>
    <n v="29"/>
    <x v="3"/>
    <s v="Migraine"/>
    <x v="6"/>
    <s v="ICU Care"/>
    <x v="3"/>
    <s v="Dr. Vivek Rao"/>
    <n v="281"/>
    <s v="General Ward"/>
    <x v="3"/>
    <n v="60720"/>
    <n v="49637"/>
    <n v="11083"/>
    <n v="45045"/>
    <n v="8719"/>
    <n v="2687"/>
    <s v="No"/>
    <n v="70"/>
    <n v="2.4"/>
    <x v="0"/>
  </r>
  <r>
    <x v="1052"/>
    <s v="Arjun Iyer"/>
    <n v="8"/>
    <x v="1"/>
    <s v="B+"/>
    <s v="Chennai"/>
    <d v="2024-08-23T00:00:00"/>
    <d v="2024-09-14T00:00:00"/>
    <n v="22"/>
    <x v="0"/>
    <s v="Obesity"/>
    <x v="12"/>
    <s v="Medication"/>
    <x v="0"/>
    <s v="Dr. Nisha Singh"/>
    <n v="447"/>
    <s v="ICU"/>
    <x v="2"/>
    <n v="178032"/>
    <n v="159397"/>
    <n v="18635"/>
    <n v="149753"/>
    <n v="10193"/>
    <n v="13769"/>
    <s v="No"/>
    <n v="85"/>
    <n v="2.8"/>
    <x v="4"/>
  </r>
  <r>
    <x v="1053"/>
    <s v="Pooja Bose"/>
    <n v="45"/>
    <x v="0"/>
    <s v="B-"/>
    <s v="Lucknow"/>
    <d v="2024-12-10T00:00:00"/>
    <d v="2024-12-13T00:00:00"/>
    <n v="3"/>
    <x v="0"/>
    <s v="Depression"/>
    <x v="5"/>
    <s v="Dietary Management"/>
    <x v="1"/>
    <s v="Dr. Anjali Reddy"/>
    <n v="237"/>
    <s v="General Ward"/>
    <x v="4"/>
    <n v="43056"/>
    <n v="0"/>
    <n v="43056"/>
    <n v="21987"/>
    <n v="11499"/>
    <n v="8595"/>
    <s v="No"/>
    <n v="59"/>
    <n v="3.1"/>
    <x v="0"/>
  </r>
  <r>
    <x v="1054"/>
    <s v="Vijay Chopra"/>
    <n v="26"/>
    <x v="0"/>
    <s v="B-"/>
    <s v="Jaipur"/>
    <d v="2023-06-24T00:00:00"/>
    <d v="2023-07-12T00:00:00"/>
    <n v="18"/>
    <x v="6"/>
    <s v="Arthritis"/>
    <x v="11"/>
    <s v="Observation"/>
    <x v="2"/>
    <s v="Dr. Deepak Sharma"/>
    <n v="441"/>
    <s v="Semi-Private"/>
    <x v="2"/>
    <n v="148158"/>
    <n v="99464"/>
    <n v="48694"/>
    <n v="130563"/>
    <n v="14061"/>
    <n v="1798"/>
    <s v="No"/>
    <n v="46"/>
    <n v="2.5"/>
    <x v="0"/>
  </r>
  <r>
    <x v="1055"/>
    <s v="Aditya Verma"/>
    <n v="16"/>
    <x v="1"/>
    <s v="B+"/>
    <s v="Lucknow"/>
    <d v="2024-12-07T00:00:00"/>
    <d v="2024-12-28T00:00:00"/>
    <n v="21"/>
    <x v="3"/>
    <s v="Migraine"/>
    <x v="6"/>
    <s v="Counseling"/>
    <x v="2"/>
    <s v="Dr. Arun Gupta"/>
    <n v="4"/>
    <s v="ICU"/>
    <x v="3"/>
    <n v="47540"/>
    <n v="35009"/>
    <n v="12531"/>
    <n v="14607"/>
    <n v="29608"/>
    <n v="2440"/>
    <s v="Yes"/>
    <n v="70"/>
    <n v="4.3"/>
    <x v="0"/>
  </r>
  <r>
    <x v="1056"/>
    <s v="Ritu Gupta"/>
    <n v="54"/>
    <x v="1"/>
    <s v="B-"/>
    <s v="Hyderabad"/>
    <d v="2024-11-13T00:00:00"/>
    <d v="2024-12-05T00:00:00"/>
    <n v="22"/>
    <x v="0"/>
    <s v="Anemia"/>
    <x v="4"/>
    <s v="Dietary Management"/>
    <x v="0"/>
    <s v="Dr. Arun Reddy"/>
    <n v="366"/>
    <s v="Private"/>
    <x v="2"/>
    <n v="142515"/>
    <n v="107358"/>
    <n v="35157"/>
    <n v="115290"/>
    <n v="17083"/>
    <n v="5872"/>
    <s v="No"/>
    <n v="73"/>
    <n v="4.3"/>
    <x v="2"/>
  </r>
  <r>
    <x v="1057"/>
    <s v="Suresh Verma"/>
    <n v="50"/>
    <x v="0"/>
    <s v="A+"/>
    <s v="Ahmedabad"/>
    <d v="2024-06-24T00:00:00"/>
    <d v="2024-07-02T00:00:00"/>
    <n v="8"/>
    <x v="0"/>
    <s v="Appendicitis"/>
    <x v="0"/>
    <s v="Chemotherapy"/>
    <x v="1"/>
    <s v="Dr. Nisha Kumar"/>
    <n v="175"/>
    <s v="General Ward"/>
    <x v="4"/>
    <n v="147956"/>
    <n v="0"/>
    <n v="147956"/>
    <n v="120337"/>
    <n v="23155"/>
    <n v="1036"/>
    <s v="Yes"/>
    <n v="45"/>
    <n v="3.6"/>
    <x v="0"/>
  </r>
  <r>
    <x v="1058"/>
    <s v="Divya Reddy"/>
    <n v="71"/>
    <x v="0"/>
    <s v="O+"/>
    <s v="Hyderabad"/>
    <d v="2022-04-02T00:00:00"/>
    <d v="2022-04-12T00:00:00"/>
    <n v="10"/>
    <x v="1"/>
    <s v="Kidney Stone"/>
    <x v="2"/>
    <s v="Counseling"/>
    <x v="2"/>
    <s v="Dr. Prerna Patel"/>
    <n v="160"/>
    <s v="General Ward"/>
    <x v="4"/>
    <n v="146913"/>
    <n v="0"/>
    <n v="146913"/>
    <n v="131719"/>
    <n v="2684"/>
    <n v="11172"/>
    <s v="No"/>
    <n v="99"/>
    <n v="2.7"/>
    <x v="1"/>
  </r>
  <r>
    <x v="1059"/>
    <s v="Rekha Patel"/>
    <n v="30"/>
    <x v="0"/>
    <s v="AB-"/>
    <s v="Delhi"/>
    <d v="2023-10-27T00:00:00"/>
    <d v="2023-11-17T00:00:00"/>
    <n v="21"/>
    <x v="3"/>
    <s v="Migraine"/>
    <x v="6"/>
    <s v="Dietary Management"/>
    <x v="1"/>
    <s v="Dr. Arun Rao"/>
    <n v="328"/>
    <s v="ICU"/>
    <x v="3"/>
    <n v="143682"/>
    <n v="96215"/>
    <n v="47467"/>
    <n v="122023"/>
    <n v="18620"/>
    <n v="1375"/>
    <s v="No"/>
    <n v="91"/>
    <n v="4.3"/>
    <x v="1"/>
  </r>
  <r>
    <x v="1060"/>
    <s v="Nisha Khanna"/>
    <n v="70"/>
    <x v="0"/>
    <s v="O+"/>
    <s v="Kolkata"/>
    <d v="2024-08-26T00:00:00"/>
    <d v="2024-09-14T00:00:00"/>
    <n v="19"/>
    <x v="1"/>
    <s v="UTI"/>
    <x v="2"/>
    <s v="Chemotherapy"/>
    <x v="0"/>
    <s v="Dr. Vivek Singh"/>
    <n v="417"/>
    <s v="General Ward"/>
    <x v="2"/>
    <n v="132210"/>
    <n v="98355"/>
    <n v="33855"/>
    <n v="118247"/>
    <n v="8141"/>
    <n v="2707"/>
    <s v="No"/>
    <n v="72"/>
    <n v="4"/>
    <x v="3"/>
  </r>
  <r>
    <x v="1061"/>
    <s v="Nisha Iyer"/>
    <n v="68"/>
    <x v="0"/>
    <s v="AB-"/>
    <s v="Bangalore"/>
    <d v="2022-10-29T00:00:00"/>
    <d v="2022-11-20T00:00:00"/>
    <n v="22"/>
    <x v="0"/>
    <s v="COVID-19"/>
    <x v="1"/>
    <s v="Surgery"/>
    <x v="0"/>
    <s v="Dr. Deepak Reddy"/>
    <n v="364"/>
    <s v="General Ward"/>
    <x v="0"/>
    <n v="53298"/>
    <n v="36058"/>
    <n v="17240"/>
    <n v="28259"/>
    <n v="11860"/>
    <n v="9662"/>
    <s v="No"/>
    <n v="81"/>
    <n v="2.5"/>
    <x v="2"/>
  </r>
  <r>
    <x v="1062"/>
    <s v="Kavya Joshi"/>
    <n v="43"/>
    <x v="1"/>
    <s v="AB+"/>
    <s v="Pune"/>
    <d v="2022-05-22T00:00:00"/>
    <d v="2022-06-09T00:00:00"/>
    <n v="18"/>
    <x v="1"/>
    <s v="Kidney Stone"/>
    <x v="2"/>
    <s v="Counseling"/>
    <x v="2"/>
    <s v="Dr. Shalini Joshi"/>
    <n v="409"/>
    <s v="ICU"/>
    <x v="2"/>
    <n v="143400"/>
    <n v="120228"/>
    <n v="23172"/>
    <n v="127306"/>
    <n v="7792"/>
    <n v="5413"/>
    <s v="No"/>
    <n v="85"/>
    <n v="2.8"/>
    <x v="2"/>
  </r>
  <r>
    <x v="1063"/>
    <s v="Geeta Kumar"/>
    <n v="49"/>
    <x v="0"/>
    <s v="O+"/>
    <s v="Delhi"/>
    <d v="2024-09-24T00:00:00"/>
    <d v="2024-10-03T00:00:00"/>
    <n v="9"/>
    <x v="0"/>
    <s v="Liver Disease"/>
    <x v="0"/>
    <s v="Observation"/>
    <x v="1"/>
    <s v="Dr. Anjali Sharma"/>
    <n v="173"/>
    <s v="General Ward"/>
    <x v="0"/>
    <n v="62112"/>
    <n v="32382"/>
    <n v="29730"/>
    <n v="48407"/>
    <n v="3520"/>
    <n v="8915"/>
    <s v="No"/>
    <n v="81"/>
    <n v="4.5"/>
    <x v="1"/>
  </r>
  <r>
    <x v="1064"/>
    <s v="Mukesh Kumar"/>
    <n v="34"/>
    <x v="0"/>
    <s v="O+"/>
    <s v="Ahmedabad"/>
    <d v="2024-03-02T00:00:00"/>
    <d v="2024-03-25T00:00:00"/>
    <n v="23"/>
    <x v="0"/>
    <s v="Diabetes Type 2"/>
    <x v="9"/>
    <s v="Dialysis"/>
    <x v="2"/>
    <s v="Dr. Anjali Gupta"/>
    <n v="148"/>
    <s v="General Ward"/>
    <x v="0"/>
    <n v="66430"/>
    <n v="39814"/>
    <n v="26616"/>
    <n v="37866"/>
    <n v="18564"/>
    <n v="7136"/>
    <s v="No"/>
    <n v="52"/>
    <n v="4.3"/>
    <x v="3"/>
  </r>
  <r>
    <x v="1065"/>
    <s v="Lata Gupta"/>
    <n v="59"/>
    <x v="0"/>
    <s v="A+"/>
    <s v="Lucknow"/>
    <d v="2024-02-27T00:00:00"/>
    <d v="2024-03-21T00:00:00"/>
    <n v="23"/>
    <x v="4"/>
    <s v="Heart Attack"/>
    <x v="7"/>
    <s v="Counseling"/>
    <x v="2"/>
    <s v="Dr. Vivek Joshi"/>
    <n v="232"/>
    <s v="ICU"/>
    <x v="2"/>
    <n v="129934"/>
    <n v="115091"/>
    <n v="14843"/>
    <n v="103973"/>
    <n v="14614"/>
    <n v="7280"/>
    <s v="Yes"/>
    <n v="60"/>
    <n v="4.2"/>
    <x v="2"/>
  </r>
  <r>
    <x v="1066"/>
    <s v="Rohan Joshi"/>
    <n v="9"/>
    <x v="1"/>
    <s v="B+"/>
    <s v="Bangalore"/>
    <d v="2023-03-27T00:00:00"/>
    <d v="2023-04-05T00:00:00"/>
    <n v="9"/>
    <x v="0"/>
    <s v="Liver Disease"/>
    <x v="0"/>
    <s v="Counseling"/>
    <x v="1"/>
    <s v="Dr. Prerna Reddy"/>
    <n v="372"/>
    <s v="ICU"/>
    <x v="3"/>
    <n v="89583"/>
    <n v="70337"/>
    <n v="19246"/>
    <n v="62857"/>
    <n v="14794"/>
    <n v="8499"/>
    <s v="Yes"/>
    <n v="70"/>
    <n v="4.5999999999999996"/>
    <x v="0"/>
  </r>
  <r>
    <x v="1067"/>
    <s v="Rahul Verma"/>
    <n v="24"/>
    <x v="0"/>
    <s v="O+"/>
    <s v="Kolkata"/>
    <d v="2022-09-04T00:00:00"/>
    <d v="2022-09-13T00:00:00"/>
    <n v="9"/>
    <x v="1"/>
    <s v="UTI"/>
    <x v="2"/>
    <s v="Dietary Management"/>
    <x v="2"/>
    <s v="Dr. Kavita Reddy"/>
    <n v="398"/>
    <s v="Private"/>
    <x v="2"/>
    <n v="154192"/>
    <n v="134516"/>
    <n v="19676"/>
    <n v="125041"/>
    <n v="10962"/>
    <n v="14450"/>
    <s v="No"/>
    <n v="59"/>
    <n v="2.4"/>
    <x v="4"/>
  </r>
  <r>
    <x v="1068"/>
    <s v="Ashok Patel"/>
    <n v="19"/>
    <x v="0"/>
    <s v="B-"/>
    <s v="Ahmedabad"/>
    <d v="2022-09-20T00:00:00"/>
    <d v="2022-10-03T00:00:00"/>
    <n v="13"/>
    <x v="3"/>
    <s v="Stroke"/>
    <x v="6"/>
    <s v="Dietary Management"/>
    <x v="3"/>
    <s v="Dr. Vivek Rao"/>
    <n v="325"/>
    <s v="Private"/>
    <x v="4"/>
    <n v="76329"/>
    <n v="0"/>
    <n v="76329"/>
    <n v="46405"/>
    <n v="21950"/>
    <n v="3493"/>
    <s v="No"/>
    <n v="64"/>
    <n v="4.5999999999999996"/>
    <x v="1"/>
  </r>
  <r>
    <x v="1069"/>
    <s v="Lata Singh"/>
    <n v="43"/>
    <x v="1"/>
    <s v="A+"/>
    <s v="Chennai"/>
    <d v="2023-10-25T00:00:00"/>
    <d v="2023-10-26T00:00:00"/>
    <n v="1"/>
    <x v="4"/>
    <s v="Heart Attack"/>
    <x v="7"/>
    <s v="ICU Care"/>
    <x v="1"/>
    <s v="Dr. Kavita Singh"/>
    <n v="400"/>
    <s v="Private"/>
    <x v="4"/>
    <n v="173121"/>
    <n v="0"/>
    <n v="173121"/>
    <n v="149002"/>
    <n v="14085"/>
    <n v="8382"/>
    <s v="No"/>
    <n v="98"/>
    <n v="3.6"/>
    <x v="0"/>
  </r>
  <r>
    <x v="1070"/>
    <s v="Aditya Rao"/>
    <n v="65"/>
    <x v="1"/>
    <s v="B-"/>
    <s v="Delhi"/>
    <d v="2023-06-02T00:00:00"/>
    <d v="2023-07-02T00:00:00"/>
    <n v="30"/>
    <x v="1"/>
    <s v="Kidney Stone"/>
    <x v="2"/>
    <s v="Observation"/>
    <x v="1"/>
    <s v="Dr. Nisha Gupta"/>
    <n v="150"/>
    <s v="Semi-Private"/>
    <x v="0"/>
    <n v="107792"/>
    <n v="65646"/>
    <n v="42146"/>
    <n v="98742"/>
    <n v="4040"/>
    <n v="2375"/>
    <s v="No"/>
    <n v="73"/>
    <n v="3.6"/>
    <x v="0"/>
  </r>
  <r>
    <x v="1071"/>
    <s v="Ashok Verma"/>
    <n v="32"/>
    <x v="1"/>
    <s v="B+"/>
    <s v="Mumbai"/>
    <d v="2023-08-16T00:00:00"/>
    <d v="2023-08-17T00:00:00"/>
    <n v="1"/>
    <x v="0"/>
    <s v="Obesity"/>
    <x v="12"/>
    <s v="Dialysis"/>
    <x v="2"/>
    <s v="Dr. Anjali Gupta"/>
    <n v="334"/>
    <s v="ICU"/>
    <x v="3"/>
    <n v="52284"/>
    <n v="42324"/>
    <n v="9960"/>
    <n v="29840"/>
    <n v="17837"/>
    <n v="3683"/>
    <s v="No"/>
    <n v="72"/>
    <n v="2.2000000000000002"/>
    <x v="3"/>
  </r>
  <r>
    <x v="1072"/>
    <s v="Geeta Pillai"/>
    <n v="66"/>
    <x v="1"/>
    <s v="A-"/>
    <s v="Hyderabad"/>
    <d v="2023-02-27T00:00:00"/>
    <d v="2023-03-18T00:00:00"/>
    <n v="19"/>
    <x v="6"/>
    <s v="Fracture"/>
    <x v="10"/>
    <s v="Surgery"/>
    <x v="1"/>
    <s v="Dr. Rakesh Reddy"/>
    <n v="222"/>
    <s v="ICU"/>
    <x v="1"/>
    <n v="131939"/>
    <n v="90192"/>
    <n v="41747"/>
    <n v="113148"/>
    <n v="6597"/>
    <n v="10843"/>
    <s v="Yes"/>
    <n v="91"/>
    <n v="3.6"/>
    <x v="0"/>
  </r>
  <r>
    <x v="1073"/>
    <s v="Sunil Kumar"/>
    <n v="10"/>
    <x v="0"/>
    <s v="O-"/>
    <s v="Kolkata"/>
    <d v="2023-09-09T00:00:00"/>
    <d v="2023-09-14T00:00:00"/>
    <n v="5"/>
    <x v="0"/>
    <s v="Dengue"/>
    <x v="1"/>
    <s v="Medication"/>
    <x v="0"/>
    <s v="Dr. Deepak Sharma"/>
    <n v="74"/>
    <s v="ICU"/>
    <x v="1"/>
    <n v="80730"/>
    <n v="41308"/>
    <n v="39422"/>
    <n v="56884"/>
    <n v="9008"/>
    <n v="13748"/>
    <s v="No"/>
    <n v="85"/>
    <n v="4.2"/>
    <x v="3"/>
  </r>
  <r>
    <x v="1074"/>
    <s v="Karan Patel"/>
    <n v="11"/>
    <x v="1"/>
    <s v="B-"/>
    <s v="Mumbai"/>
    <d v="2023-01-14T00:00:00"/>
    <d v="2023-01-31T00:00:00"/>
    <n v="17"/>
    <x v="0"/>
    <s v="Anemia"/>
    <x v="4"/>
    <s v="ICU Care"/>
    <x v="1"/>
    <s v="Dr. Nisha Mehta"/>
    <n v="87"/>
    <s v="Private"/>
    <x v="2"/>
    <n v="55771"/>
    <n v="33920"/>
    <n v="21851"/>
    <n v="30123"/>
    <n v="10478"/>
    <n v="13414"/>
    <s v="No"/>
    <n v="42"/>
    <n v="2.2999999999999998"/>
    <x v="3"/>
  </r>
  <r>
    <x v="1075"/>
    <s v="Rohan Verma"/>
    <n v="80"/>
    <x v="1"/>
    <s v="A+"/>
    <s v="Delhi"/>
    <d v="2024-04-02T00:00:00"/>
    <d v="2024-04-16T00:00:00"/>
    <n v="14"/>
    <x v="2"/>
    <s v="Cancer"/>
    <x v="3"/>
    <s v="Counseling"/>
    <x v="2"/>
    <s v="Dr. Sameer Mehta"/>
    <n v="437"/>
    <s v="Semi-Private"/>
    <x v="4"/>
    <n v="24960"/>
    <n v="0"/>
    <n v="24960"/>
    <n v="14793"/>
    <n v="2032"/>
    <n v="5734"/>
    <s v="No"/>
    <n v="77"/>
    <n v="2.4"/>
    <x v="2"/>
  </r>
  <r>
    <x v="1076"/>
    <s v="Priya Shah"/>
    <n v="53"/>
    <x v="1"/>
    <s v="A+"/>
    <s v="Delhi"/>
    <d v="2022-04-05T00:00:00"/>
    <d v="2022-05-03T00:00:00"/>
    <n v="28"/>
    <x v="6"/>
    <s v="Fracture"/>
    <x v="10"/>
    <s v="Chemotherapy"/>
    <x v="3"/>
    <s v="Dr. Deepak Singh"/>
    <n v="108"/>
    <s v="Semi-Private"/>
    <x v="1"/>
    <n v="44948"/>
    <n v="22882"/>
    <n v="22066"/>
    <n v="31484"/>
    <n v="7305"/>
    <n v="4232"/>
    <s v="No"/>
    <n v="47"/>
    <n v="4.4000000000000004"/>
    <x v="2"/>
  </r>
  <r>
    <x v="1077"/>
    <s v="Kavya Menon"/>
    <n v="37"/>
    <x v="0"/>
    <s v="AB+"/>
    <s v="Hyderabad"/>
    <d v="2023-11-14T00:00:00"/>
    <d v="2023-11-19T00:00:00"/>
    <n v="5"/>
    <x v="3"/>
    <s v="Stroke"/>
    <x v="6"/>
    <s v="Physiotherapy"/>
    <x v="0"/>
    <s v="Dr. Rakesh Singh"/>
    <n v="313"/>
    <s v="ICU"/>
    <x v="3"/>
    <n v="22495"/>
    <n v="16399"/>
    <n v="6096"/>
    <n v="6304"/>
    <n v="6677"/>
    <n v="4820"/>
    <s v="No"/>
    <n v="51"/>
    <n v="4.2"/>
    <x v="0"/>
  </r>
  <r>
    <x v="1078"/>
    <s v="Nisha Reddy"/>
    <n v="60"/>
    <x v="0"/>
    <s v="AB-"/>
    <s v="Chennai"/>
    <d v="2023-07-21T00:00:00"/>
    <d v="2023-08-12T00:00:00"/>
    <n v="22"/>
    <x v="0"/>
    <s v="Obesity"/>
    <x v="12"/>
    <s v="ICU Care"/>
    <x v="2"/>
    <s v="Dr. Shalini Gupta"/>
    <n v="426"/>
    <s v="Semi-Private"/>
    <x v="4"/>
    <n v="153903"/>
    <n v="0"/>
    <n v="153903"/>
    <n v="111106"/>
    <n v="28356"/>
    <n v="13187"/>
    <s v="No"/>
    <n v="51"/>
    <n v="5"/>
    <x v="4"/>
  </r>
  <r>
    <x v="1079"/>
    <s v="Nisha Verma"/>
    <n v="77"/>
    <x v="1"/>
    <s v="O+"/>
    <s v="Ahmedabad"/>
    <d v="2024-03-09T00:00:00"/>
    <d v="2024-03-15T00:00:00"/>
    <n v="6"/>
    <x v="1"/>
    <s v="Kidney Stone"/>
    <x v="2"/>
    <s v="Counseling"/>
    <x v="1"/>
    <s v="Dr. Shalini Joshi"/>
    <n v="214"/>
    <s v="Private"/>
    <x v="2"/>
    <n v="108227"/>
    <n v="72052"/>
    <n v="36175"/>
    <n v="74887"/>
    <n v="16490"/>
    <n v="13324"/>
    <s v="No"/>
    <n v="77"/>
    <n v="4.0999999999999996"/>
    <x v="2"/>
  </r>
  <r>
    <x v="1080"/>
    <s v="Deepa Malhotra"/>
    <n v="39"/>
    <x v="0"/>
    <s v="AB+"/>
    <s v="Pune"/>
    <d v="2023-04-23T00:00:00"/>
    <d v="2023-05-04T00:00:00"/>
    <n v="11"/>
    <x v="3"/>
    <s v="Stroke"/>
    <x v="6"/>
    <s v="Dietary Management"/>
    <x v="0"/>
    <s v="Dr. Sameer Rao"/>
    <n v="283"/>
    <s v="Private"/>
    <x v="0"/>
    <n v="63383"/>
    <n v="34744"/>
    <n v="28639"/>
    <n v="45395"/>
    <n v="10490"/>
    <n v="3818"/>
    <s v="No"/>
    <n v="59"/>
    <n v="2.2999999999999998"/>
    <x v="4"/>
  </r>
  <r>
    <x v="1081"/>
    <s v="Rahul Joshi"/>
    <n v="63"/>
    <x v="0"/>
    <s v="B-"/>
    <s v="Jaipur"/>
    <d v="2023-04-05T00:00:00"/>
    <d v="2023-04-16T00:00:00"/>
    <n v="11"/>
    <x v="5"/>
    <s v="Asthma"/>
    <x v="8"/>
    <s v="Dialysis"/>
    <x v="0"/>
    <s v="Dr. Deepak Kumar"/>
    <n v="257"/>
    <s v="ICU"/>
    <x v="0"/>
    <n v="41068"/>
    <n v="21273"/>
    <n v="19795"/>
    <n v="11850"/>
    <n v="14531"/>
    <n v="13358"/>
    <s v="No"/>
    <n v="58"/>
    <n v="3.7"/>
    <x v="0"/>
  </r>
  <r>
    <x v="1082"/>
    <s v="Rajesh Reddy"/>
    <n v="83"/>
    <x v="1"/>
    <s v="AB+"/>
    <s v="Delhi"/>
    <d v="2023-12-27T00:00:00"/>
    <d v="2024-01-24T00:00:00"/>
    <n v="28"/>
    <x v="2"/>
    <s v="Cancer"/>
    <x v="3"/>
    <s v="Surgery"/>
    <x v="1"/>
    <s v="Dr. Vivek Nair"/>
    <n v="336"/>
    <s v="Semi-Private"/>
    <x v="3"/>
    <n v="35326"/>
    <n v="26464"/>
    <n v="8862"/>
    <n v="28169"/>
    <n v="1957"/>
    <n v="4511"/>
    <s v="No"/>
    <n v="48"/>
    <n v="3.1"/>
    <x v="4"/>
  </r>
  <r>
    <x v="1083"/>
    <s v="Manoj Joshi"/>
    <n v="5"/>
    <x v="1"/>
    <s v="O+"/>
    <s v="Jaipur"/>
    <d v="2024-05-17T00:00:00"/>
    <d v="2024-06-13T00:00:00"/>
    <n v="27"/>
    <x v="0"/>
    <s v="Typhoid"/>
    <x v="1"/>
    <s v="Medication"/>
    <x v="2"/>
    <s v="Dr. Vivek Singh"/>
    <n v="294"/>
    <s v="Semi-Private"/>
    <x v="2"/>
    <n v="53506"/>
    <n v="44684"/>
    <n v="8822"/>
    <n v="39554"/>
    <n v="5013"/>
    <n v="5177"/>
    <s v="No"/>
    <n v="59"/>
    <n v="4.3"/>
    <x v="4"/>
  </r>
  <r>
    <x v="1084"/>
    <s v="Karan Joshi"/>
    <n v="46"/>
    <x v="0"/>
    <s v="B+"/>
    <s v="Lucknow"/>
    <d v="2022-12-03T00:00:00"/>
    <d v="2022-12-16T00:00:00"/>
    <n v="13"/>
    <x v="1"/>
    <s v="UTI"/>
    <x v="2"/>
    <s v="Observation"/>
    <x v="2"/>
    <s v="Dr. Kavita Rao"/>
    <n v="56"/>
    <s v="ICU"/>
    <x v="0"/>
    <n v="92929"/>
    <n v="60051"/>
    <n v="32878"/>
    <n v="83793"/>
    <n v="1371"/>
    <n v="4026"/>
    <s v="No"/>
    <n v="94"/>
    <n v="4"/>
    <x v="3"/>
  </r>
  <r>
    <x v="1085"/>
    <s v="Ananya Khanna"/>
    <n v="54"/>
    <x v="0"/>
    <s v="AB-"/>
    <s v="Delhi"/>
    <d v="2024-04-19T00:00:00"/>
    <d v="2024-05-04T00:00:00"/>
    <n v="15"/>
    <x v="4"/>
    <s v="Hypertension"/>
    <x v="7"/>
    <s v="Counseling"/>
    <x v="2"/>
    <s v="Dr. Kavita Kumar"/>
    <n v="113"/>
    <s v="General Ward"/>
    <x v="2"/>
    <n v="50411"/>
    <n v="35538"/>
    <n v="14873"/>
    <n v="32493"/>
    <n v="13767"/>
    <n v="2260"/>
    <s v="No"/>
    <n v="41"/>
    <n v="2.2999999999999998"/>
    <x v="2"/>
  </r>
  <r>
    <x v="1086"/>
    <s v="Sanjay Menon"/>
    <n v="39"/>
    <x v="1"/>
    <s v="A-"/>
    <s v="Chennai"/>
    <d v="2023-04-09T00:00:00"/>
    <d v="2023-04-17T00:00:00"/>
    <n v="8"/>
    <x v="5"/>
    <s v="Asthma"/>
    <x v="8"/>
    <s v="Chemotherapy"/>
    <x v="0"/>
    <s v="Dr. Vivek Gupta"/>
    <n v="337"/>
    <s v="Semi-Private"/>
    <x v="4"/>
    <n v="176833"/>
    <n v="0"/>
    <n v="176833"/>
    <n v="144848"/>
    <n v="27036"/>
    <n v="2144"/>
    <s v="Yes"/>
    <n v="76"/>
    <n v="3.6"/>
    <x v="1"/>
  </r>
  <r>
    <x v="1087"/>
    <s v="Rahul Patel"/>
    <n v="14"/>
    <x v="0"/>
    <s v="AB-"/>
    <s v="Lucknow"/>
    <d v="2023-03-20T00:00:00"/>
    <d v="2023-03-22T00:00:00"/>
    <n v="2"/>
    <x v="6"/>
    <s v="Fracture"/>
    <x v="10"/>
    <s v="Counseling"/>
    <x v="1"/>
    <s v="Dr. Prerna Joshi"/>
    <n v="6"/>
    <s v="Private"/>
    <x v="1"/>
    <n v="54849"/>
    <n v="35900"/>
    <n v="18949"/>
    <n v="26767"/>
    <n v="26285"/>
    <n v="908"/>
    <s v="No"/>
    <n v="99"/>
    <n v="2.5"/>
    <x v="3"/>
  </r>
  <r>
    <x v="1088"/>
    <s v="Vikram Das"/>
    <n v="76"/>
    <x v="0"/>
    <s v="AB+"/>
    <s v="Delhi"/>
    <d v="2024-04-07T00:00:00"/>
    <d v="2024-05-07T00:00:00"/>
    <n v="30"/>
    <x v="0"/>
    <s v="Depression"/>
    <x v="5"/>
    <s v="Surgery"/>
    <x v="1"/>
    <s v="Dr. Kavita Singh"/>
    <n v="74"/>
    <s v="General Ward"/>
    <x v="0"/>
    <n v="105896"/>
    <n v="51964"/>
    <n v="53932"/>
    <n v="72585"/>
    <n v="17447"/>
    <n v="12668"/>
    <s v="No"/>
    <n v="49"/>
    <n v="5"/>
    <x v="2"/>
  </r>
  <r>
    <x v="1089"/>
    <s v="Amit Mehta"/>
    <n v="14"/>
    <x v="0"/>
    <s v="A+"/>
    <s v="Ahmedabad"/>
    <d v="2022-07-16T00:00:00"/>
    <d v="2022-08-01T00:00:00"/>
    <n v="16"/>
    <x v="0"/>
    <s v="Obesity"/>
    <x v="12"/>
    <s v="Chemotherapy"/>
    <x v="0"/>
    <s v="Dr. Arun Patel"/>
    <n v="166"/>
    <s v="ICU"/>
    <x v="2"/>
    <n v="64629"/>
    <n v="42719"/>
    <n v="21910"/>
    <n v="27651"/>
    <n v="26910"/>
    <n v="8618"/>
    <s v="Yes"/>
    <n v="85"/>
    <n v="2.2999999999999998"/>
    <x v="1"/>
  </r>
  <r>
    <x v="1090"/>
    <s v="Sonia Sharma"/>
    <n v="22"/>
    <x v="0"/>
    <s v="AB-"/>
    <s v="Mumbai"/>
    <d v="2022-11-27T00:00:00"/>
    <d v="2022-12-27T00:00:00"/>
    <n v="30"/>
    <x v="6"/>
    <s v="Arthritis"/>
    <x v="11"/>
    <s v="Surgery"/>
    <x v="3"/>
    <s v="Dr. Prerna Patel"/>
    <n v="68"/>
    <s v="ICU"/>
    <x v="4"/>
    <n v="103162"/>
    <n v="0"/>
    <n v="103162"/>
    <n v="88129"/>
    <n v="5479"/>
    <n v="8439"/>
    <s v="No"/>
    <n v="78"/>
    <n v="2.6"/>
    <x v="4"/>
  </r>
  <r>
    <x v="1091"/>
    <s v="Meera Das"/>
    <n v="52"/>
    <x v="0"/>
    <s v="AB+"/>
    <s v="Hyderabad"/>
    <d v="2024-05-27T00:00:00"/>
    <d v="2024-06-03T00:00:00"/>
    <n v="7"/>
    <x v="0"/>
    <s v="Liver Disease"/>
    <x v="0"/>
    <s v="Chemotherapy"/>
    <x v="1"/>
    <s v="Dr. Arun Gupta"/>
    <n v="155"/>
    <s v="General Ward"/>
    <x v="3"/>
    <n v="76458"/>
    <n v="49759"/>
    <n v="26699"/>
    <n v="37011"/>
    <n v="26639"/>
    <n v="9963"/>
    <s v="No"/>
    <n v="47"/>
    <n v="3"/>
    <x v="3"/>
  </r>
  <r>
    <x v="1092"/>
    <s v="Rahul Reddy"/>
    <n v="15"/>
    <x v="0"/>
    <s v="B-"/>
    <s v="Pune"/>
    <d v="2022-04-16T00:00:00"/>
    <d v="2022-04-30T00:00:00"/>
    <n v="14"/>
    <x v="0"/>
    <s v="Liver Disease"/>
    <x v="0"/>
    <s v="Physiotherapy"/>
    <x v="0"/>
    <s v="Dr. Prerna Joshi"/>
    <n v="281"/>
    <s v="Private"/>
    <x v="4"/>
    <n v="107587"/>
    <n v="0"/>
    <n v="107587"/>
    <n v="93377"/>
    <n v="6479"/>
    <n v="5794"/>
    <s v="No"/>
    <n v="71"/>
    <n v="4.2"/>
    <x v="3"/>
  </r>
  <r>
    <x v="1093"/>
    <s v="Aditya Gupta"/>
    <n v="51"/>
    <x v="0"/>
    <s v="AB-"/>
    <s v="Delhi"/>
    <d v="2024-08-13T00:00:00"/>
    <d v="2024-09-01T00:00:00"/>
    <n v="19"/>
    <x v="0"/>
    <s v="Depression"/>
    <x v="5"/>
    <s v="Dietary Management"/>
    <x v="3"/>
    <s v="Dr. Deepak Nair"/>
    <n v="469"/>
    <s v="Private"/>
    <x v="3"/>
    <n v="137931"/>
    <n v="106354"/>
    <n v="31577"/>
    <n v="107348"/>
    <n v="20808"/>
    <n v="5125"/>
    <s v="No"/>
    <n v="54"/>
    <n v="4.9000000000000004"/>
    <x v="3"/>
  </r>
  <r>
    <x v="1094"/>
    <s v="Nisha Kumar"/>
    <n v="80"/>
    <x v="0"/>
    <s v="AB+"/>
    <s v="Ahmedabad"/>
    <d v="2023-12-14T00:00:00"/>
    <d v="2024-01-05T00:00:00"/>
    <n v="22"/>
    <x v="3"/>
    <s v="Migraine"/>
    <x v="6"/>
    <s v="ICU Care"/>
    <x v="3"/>
    <s v="Dr. Deepak Singh"/>
    <n v="454"/>
    <s v="Semi-Private"/>
    <x v="0"/>
    <n v="157992"/>
    <n v="84795"/>
    <n v="73197"/>
    <n v="122507"/>
    <n v="21910"/>
    <n v="12368"/>
    <s v="No"/>
    <n v="48"/>
    <n v="4.3"/>
    <x v="1"/>
  </r>
  <r>
    <x v="1095"/>
    <s v="Karan Shah"/>
    <n v="8"/>
    <x v="0"/>
    <s v="AB+"/>
    <s v="Mumbai"/>
    <d v="2024-09-02T00:00:00"/>
    <d v="2024-09-03T00:00:00"/>
    <n v="1"/>
    <x v="0"/>
    <s v="Diabetes Type 2"/>
    <x v="9"/>
    <s v="Dialysis"/>
    <x v="3"/>
    <s v="Dr. Prerna Reddy"/>
    <n v="3"/>
    <s v="ICU"/>
    <x v="1"/>
    <n v="150659"/>
    <n v="62095"/>
    <n v="88564"/>
    <n v="115357"/>
    <n v="29218"/>
    <n v="3449"/>
    <s v="No"/>
    <n v="68"/>
    <n v="4.3"/>
    <x v="3"/>
  </r>
  <r>
    <x v="1096"/>
    <s v="Mukesh Sharma"/>
    <n v="5"/>
    <x v="0"/>
    <s v="AB+"/>
    <s v="Jaipur"/>
    <d v="2022-05-01T00:00:00"/>
    <d v="2022-05-23T00:00:00"/>
    <n v="22"/>
    <x v="5"/>
    <s v="Asthma"/>
    <x v="8"/>
    <s v="Radiation Therapy"/>
    <x v="2"/>
    <s v="Dr. Deepak Mehta"/>
    <n v="4"/>
    <s v="ICU"/>
    <x v="3"/>
    <n v="66595"/>
    <n v="42389"/>
    <n v="24206"/>
    <n v="49171"/>
    <n v="7297"/>
    <n v="8716"/>
    <s v="No"/>
    <n v="82"/>
    <n v="2.5"/>
    <x v="2"/>
  </r>
  <r>
    <x v="1097"/>
    <s v="Vikram Pillai"/>
    <n v="23"/>
    <x v="1"/>
    <s v="B+"/>
    <s v="Jaipur"/>
    <d v="2022-11-14T00:00:00"/>
    <d v="2022-11-24T00:00:00"/>
    <n v="10"/>
    <x v="4"/>
    <s v="Hypertension"/>
    <x v="7"/>
    <s v="Dialysis"/>
    <x v="0"/>
    <s v="Dr. Nisha Mehta"/>
    <n v="270"/>
    <s v="Semi-Private"/>
    <x v="4"/>
    <n v="88200"/>
    <n v="0"/>
    <n v="88200"/>
    <n v="82898"/>
    <n v="2046"/>
    <n v="521"/>
    <s v="Yes"/>
    <n v="86"/>
    <n v="4.3"/>
    <x v="1"/>
  </r>
  <r>
    <x v="1098"/>
    <s v="Sunil Menon"/>
    <n v="19"/>
    <x v="1"/>
    <s v="O-"/>
    <s v="Delhi"/>
    <d v="2022-08-25T00:00:00"/>
    <d v="2022-09-24T00:00:00"/>
    <n v="30"/>
    <x v="2"/>
    <s v="Cancer"/>
    <x v="3"/>
    <s v="Medication"/>
    <x v="3"/>
    <s v="Dr. Kavita Kumar"/>
    <n v="496"/>
    <s v="ICU"/>
    <x v="0"/>
    <n v="90170"/>
    <n v="52084"/>
    <n v="38086"/>
    <n v="48183"/>
    <n v="26104"/>
    <n v="11037"/>
    <s v="No"/>
    <n v="40"/>
    <n v="4.4000000000000004"/>
    <x v="4"/>
  </r>
  <r>
    <x v="1099"/>
    <s v="Deepa Kumar"/>
    <n v="51"/>
    <x v="0"/>
    <s v="A+"/>
    <s v="Lucknow"/>
    <d v="2024-08-09T00:00:00"/>
    <d v="2024-08-26T00:00:00"/>
    <n v="17"/>
    <x v="2"/>
    <s v="Cancer"/>
    <x v="3"/>
    <s v="Physiotherapy"/>
    <x v="1"/>
    <s v="Dr. Prerna Sharma"/>
    <n v="459"/>
    <s v="Private"/>
    <x v="2"/>
    <n v="125186"/>
    <n v="84222"/>
    <n v="40964"/>
    <n v="80418"/>
    <n v="29400"/>
    <n v="12170"/>
    <s v="Yes"/>
    <n v="61"/>
    <n v="4.5999999999999996"/>
    <x v="2"/>
  </r>
  <r>
    <x v="1100"/>
    <s v="Lata Das"/>
    <n v="17"/>
    <x v="0"/>
    <s v="O+"/>
    <s v="Ahmedabad"/>
    <d v="2024-04-19T00:00:00"/>
    <d v="2024-05-15T00:00:00"/>
    <n v="26"/>
    <x v="0"/>
    <s v="COVID-19"/>
    <x v="1"/>
    <s v="Physiotherapy"/>
    <x v="1"/>
    <s v="Dr. Sameer Patel"/>
    <n v="329"/>
    <s v="Semi-Private"/>
    <x v="2"/>
    <n v="130543"/>
    <n v="97818"/>
    <n v="32725"/>
    <n v="106063"/>
    <n v="8274"/>
    <n v="12886"/>
    <s v="No"/>
    <n v="81"/>
    <n v="4.0999999999999996"/>
    <x v="3"/>
  </r>
  <r>
    <x v="1101"/>
    <s v="Sunita Reddy"/>
    <n v="64"/>
    <x v="1"/>
    <s v="B+"/>
    <s v="Delhi"/>
    <d v="2023-03-31T00:00:00"/>
    <d v="2023-04-27T00:00:00"/>
    <n v="27"/>
    <x v="0"/>
    <s v="Liver Disease"/>
    <x v="0"/>
    <s v="Dialysis"/>
    <x v="2"/>
    <s v="Dr. Vivek Rao"/>
    <n v="295"/>
    <s v="General Ward"/>
    <x v="4"/>
    <n v="120234"/>
    <n v="0"/>
    <n v="120234"/>
    <n v="92014"/>
    <n v="19105"/>
    <n v="5794"/>
    <s v="No"/>
    <n v="90"/>
    <n v="3.1"/>
    <x v="0"/>
  </r>
  <r>
    <x v="1102"/>
    <s v="Deepa Sharma"/>
    <n v="74"/>
    <x v="0"/>
    <s v="B+"/>
    <s v="Lucknow"/>
    <d v="2022-01-02T00:00:00"/>
    <d v="2022-01-29T00:00:00"/>
    <n v="27"/>
    <x v="0"/>
    <s v="Anemia"/>
    <x v="4"/>
    <s v="Observation"/>
    <x v="1"/>
    <s v="Dr. Rakesh Kumar"/>
    <n v="458"/>
    <s v="Semi-Private"/>
    <x v="1"/>
    <n v="166796"/>
    <n v="70055"/>
    <n v="96741"/>
    <n v="147402"/>
    <n v="15062"/>
    <n v="742"/>
    <s v="Yes"/>
    <n v="61"/>
    <n v="3.3"/>
    <x v="2"/>
  </r>
  <r>
    <x v="1103"/>
    <s v="Kavya Malhotra"/>
    <n v="39"/>
    <x v="0"/>
    <s v="AB-"/>
    <s v="Mumbai"/>
    <d v="2022-06-19T00:00:00"/>
    <d v="2022-07-02T00:00:00"/>
    <n v="13"/>
    <x v="0"/>
    <s v="Dengue"/>
    <x v="1"/>
    <s v="Radiation Therapy"/>
    <x v="0"/>
    <s v="Dr. Prerna Reddy"/>
    <n v="215"/>
    <s v="General Ward"/>
    <x v="4"/>
    <n v="158802"/>
    <n v="0"/>
    <n v="158802"/>
    <n v="149660"/>
    <n v="2919"/>
    <n v="2793"/>
    <s v="No"/>
    <n v="41"/>
    <n v="3.5"/>
    <x v="2"/>
  </r>
  <r>
    <x v="1104"/>
    <s v="Meera Chopra"/>
    <n v="83"/>
    <x v="1"/>
    <s v="AB+"/>
    <s v="Hyderabad"/>
    <d v="2023-07-06T00:00:00"/>
    <d v="2023-07-16T00:00:00"/>
    <n v="10"/>
    <x v="0"/>
    <s v="COVID-19"/>
    <x v="1"/>
    <s v="Physiotherapy"/>
    <x v="3"/>
    <s v="Dr. Arun Nair"/>
    <n v="145"/>
    <s v="Semi-Private"/>
    <x v="0"/>
    <n v="56721"/>
    <n v="27819"/>
    <n v="28902"/>
    <n v="41919"/>
    <n v="9209"/>
    <n v="3352"/>
    <s v="Yes"/>
    <n v="42"/>
    <n v="2.8"/>
    <x v="4"/>
  </r>
  <r>
    <x v="1105"/>
    <s v="Manoj Gupta"/>
    <n v="44"/>
    <x v="1"/>
    <s v="O-"/>
    <s v="Pune"/>
    <d v="2023-05-21T00:00:00"/>
    <d v="2023-06-18T00:00:00"/>
    <n v="28"/>
    <x v="3"/>
    <s v="Migraine"/>
    <x v="6"/>
    <s v="Surgery"/>
    <x v="3"/>
    <s v="Dr. Deepak Kumar"/>
    <n v="162"/>
    <s v="ICU"/>
    <x v="4"/>
    <n v="34075"/>
    <n v="0"/>
    <n v="34075"/>
    <n v="12548"/>
    <n v="13588"/>
    <n v="3352"/>
    <s v="No"/>
    <n v="64"/>
    <n v="2"/>
    <x v="1"/>
  </r>
  <r>
    <x v="1106"/>
    <s v="Ananya Shah"/>
    <n v="62"/>
    <x v="1"/>
    <s v="B-"/>
    <s v="Chennai"/>
    <d v="2023-03-30T00:00:00"/>
    <d v="2023-04-21T00:00:00"/>
    <n v="22"/>
    <x v="5"/>
    <s v="Pneumonia"/>
    <x v="8"/>
    <s v="ICU Care"/>
    <x v="3"/>
    <s v="Dr. Nisha Mehta"/>
    <n v="477"/>
    <s v="Semi-Private"/>
    <x v="2"/>
    <n v="122375"/>
    <n v="92712"/>
    <n v="29663"/>
    <n v="89451"/>
    <n v="21972"/>
    <n v="9311"/>
    <s v="No"/>
    <n v="57"/>
    <n v="2.1"/>
    <x v="2"/>
  </r>
  <r>
    <x v="1107"/>
    <s v="Divya Khanna"/>
    <n v="55"/>
    <x v="1"/>
    <s v="A-"/>
    <s v="Ahmedabad"/>
    <d v="2022-11-20T00:00:00"/>
    <d v="2022-11-24T00:00:00"/>
    <n v="4"/>
    <x v="0"/>
    <s v="Typhoid"/>
    <x v="1"/>
    <s v="Physiotherapy"/>
    <x v="2"/>
    <s v="Dr. Sameer Sharma"/>
    <n v="155"/>
    <s v="General Ward"/>
    <x v="3"/>
    <n v="160431"/>
    <n v="139824"/>
    <n v="20607"/>
    <n v="126637"/>
    <n v="18746"/>
    <n v="13100"/>
    <s v="No"/>
    <n v="55"/>
    <n v="3.8"/>
    <x v="4"/>
  </r>
  <r>
    <x v="1108"/>
    <s v="Karan Menon"/>
    <n v="31"/>
    <x v="0"/>
    <s v="A+"/>
    <s v="Kolkata"/>
    <d v="2023-03-30T00:00:00"/>
    <d v="2023-04-04T00:00:00"/>
    <n v="5"/>
    <x v="1"/>
    <s v="Kidney Stone"/>
    <x v="2"/>
    <s v="Chemotherapy"/>
    <x v="1"/>
    <s v="Dr. Kavita Rao"/>
    <n v="81"/>
    <s v="General Ward"/>
    <x v="4"/>
    <n v="188322"/>
    <n v="0"/>
    <n v="188322"/>
    <n v="144365"/>
    <n v="26566"/>
    <n v="13956"/>
    <s v="Yes"/>
    <n v="49"/>
    <n v="2.1"/>
    <x v="3"/>
  </r>
  <r>
    <x v="1109"/>
    <s v="Sunita Iyer"/>
    <n v="11"/>
    <x v="1"/>
    <s v="B-"/>
    <s v="Chennai"/>
    <d v="2023-03-10T00:00:00"/>
    <d v="2023-03-22T00:00:00"/>
    <n v="12"/>
    <x v="0"/>
    <s v="Liver Disease"/>
    <x v="0"/>
    <s v="Radiation Therapy"/>
    <x v="0"/>
    <s v="Dr. Prerna Rao"/>
    <n v="32"/>
    <s v="General Ward"/>
    <x v="2"/>
    <n v="33113"/>
    <n v="24142"/>
    <n v="8971"/>
    <n v="10682"/>
    <n v="7022"/>
    <n v="12111"/>
    <s v="No"/>
    <n v="51"/>
    <n v="4.5"/>
    <x v="4"/>
  </r>
  <r>
    <x v="1110"/>
    <s v="Manoj Nair"/>
    <n v="68"/>
    <x v="1"/>
    <s v="O-"/>
    <s v="Pune"/>
    <d v="2023-09-26T00:00:00"/>
    <d v="2023-09-27T00:00:00"/>
    <n v="1"/>
    <x v="0"/>
    <s v="COVID-19"/>
    <x v="1"/>
    <s v="Dietary Management"/>
    <x v="2"/>
    <s v="Dr. Kavita Sharma"/>
    <n v="147"/>
    <s v="Private"/>
    <x v="0"/>
    <n v="71699"/>
    <n v="49380"/>
    <n v="22319"/>
    <n v="40839"/>
    <n v="25343"/>
    <n v="4339"/>
    <s v="No"/>
    <n v="69"/>
    <n v="3.4"/>
    <x v="0"/>
  </r>
  <r>
    <x v="1111"/>
    <s v="Vijay Singh"/>
    <n v="41"/>
    <x v="0"/>
    <s v="AB+"/>
    <s v="Hyderabad"/>
    <d v="2024-06-22T00:00:00"/>
    <d v="2024-07-16T00:00:00"/>
    <n v="24"/>
    <x v="1"/>
    <s v="UTI"/>
    <x v="2"/>
    <s v="Radiation Therapy"/>
    <x v="1"/>
    <s v="Dr. Prerna Rao"/>
    <n v="152"/>
    <s v="Private"/>
    <x v="0"/>
    <n v="51675"/>
    <n v="35770"/>
    <n v="15905"/>
    <n v="32370"/>
    <n v="3630"/>
    <n v="11478"/>
    <s v="No"/>
    <n v="66"/>
    <n v="4.0999999999999996"/>
    <x v="1"/>
  </r>
  <r>
    <x v="1112"/>
    <s v="Priya Shah"/>
    <n v="27"/>
    <x v="0"/>
    <s v="AB+"/>
    <s v="Delhi"/>
    <d v="2022-09-14T00:00:00"/>
    <d v="2022-09-15T00:00:00"/>
    <n v="1"/>
    <x v="0"/>
    <s v="Obesity"/>
    <x v="12"/>
    <s v="Counseling"/>
    <x v="1"/>
    <s v="Dr. Nisha Gupta"/>
    <n v="281"/>
    <s v="General Ward"/>
    <x v="3"/>
    <n v="64874"/>
    <n v="41958"/>
    <n v="22916"/>
    <n v="24445"/>
    <n v="27121"/>
    <n v="12318"/>
    <s v="No"/>
    <n v="83"/>
    <n v="2.2999999999999998"/>
    <x v="4"/>
  </r>
  <r>
    <x v="1113"/>
    <s v="Rajesh Pillai"/>
    <n v="61"/>
    <x v="1"/>
    <s v="AB+"/>
    <s v="Ahmedabad"/>
    <d v="2024-05-25T00:00:00"/>
    <d v="2024-06-01T00:00:00"/>
    <n v="7"/>
    <x v="0"/>
    <s v="Dengue"/>
    <x v="1"/>
    <s v="Physiotherapy"/>
    <x v="2"/>
    <s v="Dr. Kavita Gupta"/>
    <n v="64"/>
    <s v="Private"/>
    <x v="1"/>
    <n v="65427"/>
    <n v="33601"/>
    <n v="31826"/>
    <n v="45714"/>
    <n v="3346"/>
    <n v="14737"/>
    <s v="No"/>
    <n v="86"/>
    <n v="2.9"/>
    <x v="0"/>
  </r>
  <r>
    <x v="1114"/>
    <s v="Nisha Khanna"/>
    <n v="33"/>
    <x v="0"/>
    <s v="A-"/>
    <s v="Delhi"/>
    <d v="2023-08-09T00:00:00"/>
    <d v="2023-09-06T00:00:00"/>
    <n v="28"/>
    <x v="5"/>
    <s v="Pneumonia"/>
    <x v="8"/>
    <s v="Dialysis"/>
    <x v="2"/>
    <s v="Dr. Arun Sharma"/>
    <n v="15"/>
    <s v="Semi-Private"/>
    <x v="3"/>
    <n v="129007"/>
    <n v="99255"/>
    <n v="29752"/>
    <n v="93251"/>
    <n v="26326"/>
    <n v="4524"/>
    <s v="No"/>
    <n v="95"/>
    <n v="2.7"/>
    <x v="3"/>
  </r>
  <r>
    <x v="1115"/>
    <s v="Suresh Gupta"/>
    <n v="38"/>
    <x v="0"/>
    <s v="O-"/>
    <s v="Lucknow"/>
    <d v="2024-10-25T00:00:00"/>
    <d v="2024-11-22T00:00:00"/>
    <n v="28"/>
    <x v="3"/>
    <s v="Migraine"/>
    <x v="6"/>
    <s v="Dietary Management"/>
    <x v="2"/>
    <s v="Dr. Sameer Gupta"/>
    <n v="387"/>
    <s v="Private"/>
    <x v="2"/>
    <n v="168004"/>
    <n v="141196"/>
    <n v="26808"/>
    <n v="133683"/>
    <n v="22597"/>
    <n v="9572"/>
    <s v="No"/>
    <n v="61"/>
    <n v="3.7"/>
    <x v="1"/>
  </r>
  <r>
    <x v="1116"/>
    <s v="Mukesh Mehta"/>
    <n v="72"/>
    <x v="1"/>
    <s v="A+"/>
    <s v="Delhi"/>
    <d v="2022-07-21T00:00:00"/>
    <d v="2022-08-15T00:00:00"/>
    <n v="25"/>
    <x v="5"/>
    <s v="Asthma"/>
    <x v="8"/>
    <s v="Observation"/>
    <x v="3"/>
    <s v="Dr. Sameer Joshi"/>
    <n v="202"/>
    <s v="Private"/>
    <x v="0"/>
    <n v="150579"/>
    <n v="99601"/>
    <n v="50978"/>
    <n v="118005"/>
    <n v="15585"/>
    <n v="14685"/>
    <s v="No"/>
    <n v="91"/>
    <n v="2.4"/>
    <x v="2"/>
  </r>
  <r>
    <x v="1117"/>
    <s v="Rohan Verma"/>
    <n v="49"/>
    <x v="1"/>
    <s v="B-"/>
    <s v="Ahmedabad"/>
    <d v="2024-01-19T00:00:00"/>
    <d v="2024-02-10T00:00:00"/>
    <n v="22"/>
    <x v="3"/>
    <s v="Migraine"/>
    <x v="6"/>
    <s v="Observation"/>
    <x v="0"/>
    <s v="Dr. Vivek Singh"/>
    <n v="271"/>
    <s v="ICU"/>
    <x v="1"/>
    <n v="111514"/>
    <n v="50115"/>
    <n v="61399"/>
    <n v="81940"/>
    <n v="20289"/>
    <n v="7477"/>
    <s v="No"/>
    <n v="76"/>
    <n v="2.9"/>
    <x v="1"/>
  </r>
  <r>
    <x v="1118"/>
    <s v="Ashok Kumar"/>
    <n v="7"/>
    <x v="0"/>
    <s v="AB+"/>
    <s v="Bangalore"/>
    <d v="2023-10-07T00:00:00"/>
    <d v="2023-10-08T00:00:00"/>
    <n v="1"/>
    <x v="0"/>
    <s v="Anemia"/>
    <x v="4"/>
    <s v="Physiotherapy"/>
    <x v="0"/>
    <s v="Dr. Nisha Joshi"/>
    <n v="274"/>
    <s v="Private"/>
    <x v="2"/>
    <n v="82759"/>
    <n v="71165"/>
    <n v="11594"/>
    <n v="42485"/>
    <n v="27818"/>
    <n v="11512"/>
    <s v="No"/>
    <n v="88"/>
    <n v="3.3"/>
    <x v="4"/>
  </r>
  <r>
    <x v="1119"/>
    <s v="Manoj Bose"/>
    <n v="27"/>
    <x v="1"/>
    <s v="O-"/>
    <s v="Mumbai"/>
    <d v="2024-06-21T00:00:00"/>
    <d v="2024-07-10T00:00:00"/>
    <n v="19"/>
    <x v="3"/>
    <s v="Stroke"/>
    <x v="6"/>
    <s v="Dialysis"/>
    <x v="2"/>
    <s v="Dr. Prerna Mehta"/>
    <n v="295"/>
    <s v="General Ward"/>
    <x v="4"/>
    <n v="165905"/>
    <n v="0"/>
    <n v="165905"/>
    <n v="119579"/>
    <n v="29464"/>
    <n v="13321"/>
    <s v="No"/>
    <n v="51"/>
    <n v="2.4"/>
    <x v="2"/>
  </r>
  <r>
    <x v="1120"/>
    <s v="Deepa Bose"/>
    <n v="64"/>
    <x v="1"/>
    <s v="O+"/>
    <s v="Pune"/>
    <d v="2024-10-06T00:00:00"/>
    <d v="2024-10-30T00:00:00"/>
    <n v="24"/>
    <x v="0"/>
    <s v="Obesity"/>
    <x v="12"/>
    <s v="Physiotherapy"/>
    <x v="3"/>
    <s v="Dr. Prerna Nair"/>
    <n v="150"/>
    <s v="General Ward"/>
    <x v="3"/>
    <n v="28132"/>
    <n v="18010"/>
    <n v="10122"/>
    <n v="11351"/>
    <n v="7671"/>
    <n v="4271"/>
    <s v="No"/>
    <n v="75"/>
    <n v="4"/>
    <x v="2"/>
  </r>
  <r>
    <x v="1121"/>
    <s v="Vijay Reddy"/>
    <n v="29"/>
    <x v="0"/>
    <s v="B+"/>
    <s v="Mumbai"/>
    <d v="2023-07-07T00:00:00"/>
    <d v="2023-07-18T00:00:00"/>
    <n v="11"/>
    <x v="6"/>
    <s v="Fracture"/>
    <x v="10"/>
    <s v="Radiation Therapy"/>
    <x v="0"/>
    <s v="Dr. Anjali Sharma"/>
    <n v="203"/>
    <s v="Semi-Private"/>
    <x v="3"/>
    <n v="93143"/>
    <n v="67799"/>
    <n v="25344"/>
    <n v="62595"/>
    <n v="22984"/>
    <n v="2803"/>
    <s v="Yes"/>
    <n v="44"/>
    <n v="5"/>
    <x v="2"/>
  </r>
  <r>
    <x v="1122"/>
    <s v="Aditya Patel"/>
    <n v="71"/>
    <x v="0"/>
    <s v="O+"/>
    <s v="Bangalore"/>
    <d v="2024-03-05T00:00:00"/>
    <d v="2024-04-01T00:00:00"/>
    <n v="27"/>
    <x v="5"/>
    <s v="Asthma"/>
    <x v="8"/>
    <s v="Chemotherapy"/>
    <x v="2"/>
    <s v="Dr. Kavita Joshi"/>
    <n v="435"/>
    <s v="ICU"/>
    <x v="1"/>
    <n v="124750"/>
    <n v="56127"/>
    <n v="68623"/>
    <n v="104883"/>
    <n v="1751"/>
    <n v="13443"/>
    <s v="No"/>
    <n v="74"/>
    <n v="3.8"/>
    <x v="4"/>
  </r>
  <r>
    <x v="1123"/>
    <s v="Geeta Singh"/>
    <n v="31"/>
    <x v="0"/>
    <s v="A+"/>
    <s v="Pune"/>
    <d v="2023-06-03T00:00:00"/>
    <d v="2023-06-23T00:00:00"/>
    <n v="20"/>
    <x v="1"/>
    <s v="UTI"/>
    <x v="2"/>
    <s v="Dietary Management"/>
    <x v="2"/>
    <s v="Dr. Arun Nair"/>
    <n v="190"/>
    <s v="ICU"/>
    <x v="4"/>
    <n v="40101"/>
    <n v="0"/>
    <n v="40101"/>
    <n v="18631"/>
    <n v="4726"/>
    <n v="14706"/>
    <s v="Yes"/>
    <n v="79"/>
    <n v="3.1"/>
    <x v="3"/>
  </r>
  <r>
    <x v="1124"/>
    <s v="Sonia Iyer"/>
    <n v="32"/>
    <x v="0"/>
    <s v="A+"/>
    <s v="Mumbai"/>
    <d v="2022-06-08T00:00:00"/>
    <d v="2022-06-12T00:00:00"/>
    <n v="4"/>
    <x v="0"/>
    <s v="Dengue"/>
    <x v="1"/>
    <s v="Observation"/>
    <x v="1"/>
    <s v="Dr. Anjali Kumar"/>
    <n v="403"/>
    <s v="General Ward"/>
    <x v="1"/>
    <n v="39648"/>
    <n v="22723"/>
    <n v="16925"/>
    <n v="17789"/>
    <n v="8102"/>
    <n v="9083"/>
    <s v="No"/>
    <n v="87"/>
    <n v="2.1"/>
    <x v="1"/>
  </r>
  <r>
    <x v="1125"/>
    <s v="Rajesh Singh"/>
    <n v="12"/>
    <x v="0"/>
    <s v="A+"/>
    <s v="Hyderabad"/>
    <d v="2023-05-11T00:00:00"/>
    <d v="2023-05-14T00:00:00"/>
    <n v="3"/>
    <x v="1"/>
    <s v="Kidney Stone"/>
    <x v="2"/>
    <s v="Observation"/>
    <x v="3"/>
    <s v="Dr. Prerna Reddy"/>
    <n v="427"/>
    <s v="Private"/>
    <x v="0"/>
    <n v="176305"/>
    <n v="85038"/>
    <n v="91267"/>
    <n v="141954"/>
    <n v="21784"/>
    <n v="11223"/>
    <s v="No"/>
    <n v="70"/>
    <n v="2.9"/>
    <x v="1"/>
  </r>
  <r>
    <x v="1126"/>
    <s v="Nisha Das"/>
    <n v="11"/>
    <x v="1"/>
    <s v="A+"/>
    <s v="Lucknow"/>
    <d v="2022-01-25T00:00:00"/>
    <d v="2022-01-29T00:00:00"/>
    <n v="4"/>
    <x v="3"/>
    <s v="Migraine"/>
    <x v="6"/>
    <s v="ICU Care"/>
    <x v="0"/>
    <s v="Dr. Rakesh Gupta"/>
    <n v="57"/>
    <s v="ICU"/>
    <x v="3"/>
    <n v="160825"/>
    <n v="142912"/>
    <n v="17913"/>
    <n v="148894"/>
    <n v="9593"/>
    <n v="1091"/>
    <s v="No"/>
    <n v="49"/>
    <n v="4.7"/>
    <x v="3"/>
  </r>
  <r>
    <x v="1127"/>
    <s v="Karan Menon"/>
    <n v="72"/>
    <x v="1"/>
    <s v="AB-"/>
    <s v="Delhi"/>
    <d v="2024-06-11T00:00:00"/>
    <d v="2024-06-14T00:00:00"/>
    <n v="3"/>
    <x v="0"/>
    <s v="Appendicitis"/>
    <x v="0"/>
    <s v="Counseling"/>
    <x v="0"/>
    <s v="Dr. Vivek Nair"/>
    <n v="217"/>
    <s v="General Ward"/>
    <x v="2"/>
    <n v="174081"/>
    <n v="127351"/>
    <n v="46730"/>
    <n v="128213"/>
    <n v="28086"/>
    <n v="14125"/>
    <s v="No"/>
    <n v="85"/>
    <n v="3.6"/>
    <x v="2"/>
  </r>
  <r>
    <x v="1128"/>
    <s v="Ananya Khanna"/>
    <n v="13"/>
    <x v="0"/>
    <s v="A+"/>
    <s v="Pune"/>
    <d v="2022-02-27T00:00:00"/>
    <d v="2022-03-10T00:00:00"/>
    <n v="11"/>
    <x v="0"/>
    <s v="Depression"/>
    <x v="5"/>
    <s v="ICU Care"/>
    <x v="2"/>
    <s v="Dr. Rakesh Kumar"/>
    <n v="330"/>
    <s v="General Ward"/>
    <x v="1"/>
    <n v="120956"/>
    <n v="73986"/>
    <n v="46970"/>
    <n v="96167"/>
    <n v="14827"/>
    <n v="5860"/>
    <s v="No"/>
    <n v="55"/>
    <n v="3.1"/>
    <x v="2"/>
  </r>
  <r>
    <x v="1129"/>
    <s v="Kavya Iyer"/>
    <n v="80"/>
    <x v="1"/>
    <s v="O+"/>
    <s v="Bangalore"/>
    <d v="2024-03-05T00:00:00"/>
    <d v="2024-03-18T00:00:00"/>
    <n v="13"/>
    <x v="5"/>
    <s v="Pneumonia"/>
    <x v="8"/>
    <s v="Radiation Therapy"/>
    <x v="0"/>
    <s v="Dr. Nisha Nair"/>
    <n v="23"/>
    <s v="General Ward"/>
    <x v="4"/>
    <n v="182961"/>
    <n v="0"/>
    <n v="182961"/>
    <n v="146407"/>
    <n v="27685"/>
    <n v="4885"/>
    <s v="No"/>
    <n v="71"/>
    <n v="3.8"/>
    <x v="2"/>
  </r>
  <r>
    <x v="1130"/>
    <s v="Aditya Mehta"/>
    <n v="5"/>
    <x v="1"/>
    <s v="O-"/>
    <s v="Chennai"/>
    <d v="2022-11-19T00:00:00"/>
    <d v="2022-12-18T00:00:00"/>
    <n v="29"/>
    <x v="0"/>
    <s v="COVID-19"/>
    <x v="1"/>
    <s v="Radiation Therapy"/>
    <x v="0"/>
    <s v="Dr. Vivek Rao"/>
    <n v="287"/>
    <s v="Semi-Private"/>
    <x v="4"/>
    <n v="105781"/>
    <n v="0"/>
    <n v="105781"/>
    <n v="88009"/>
    <n v="3281"/>
    <n v="10952"/>
    <s v="No"/>
    <n v="85"/>
    <n v="2.2000000000000002"/>
    <x v="1"/>
  </r>
  <r>
    <x v="1131"/>
    <s v="Vikram Das"/>
    <n v="52"/>
    <x v="0"/>
    <s v="AB+"/>
    <s v="Delhi"/>
    <d v="2023-05-04T00:00:00"/>
    <d v="2023-05-05T00:00:00"/>
    <n v="1"/>
    <x v="0"/>
    <s v="Depression"/>
    <x v="5"/>
    <s v="Chemotherapy"/>
    <x v="1"/>
    <s v="Dr. Deepak Rao"/>
    <n v="474"/>
    <s v="ICU"/>
    <x v="0"/>
    <n v="39340"/>
    <n v="22293"/>
    <n v="17047"/>
    <n v="7090"/>
    <n v="21935"/>
    <n v="7982"/>
    <s v="No"/>
    <n v="50"/>
    <n v="4.9000000000000004"/>
    <x v="4"/>
  </r>
  <r>
    <x v="1132"/>
    <s v="Meera Malhotra"/>
    <n v="19"/>
    <x v="1"/>
    <s v="O+"/>
    <s v="Bangalore"/>
    <d v="2023-10-16T00:00:00"/>
    <d v="2023-10-21T00:00:00"/>
    <n v="5"/>
    <x v="0"/>
    <s v="Typhoid"/>
    <x v="1"/>
    <s v="Observation"/>
    <x v="2"/>
    <s v="Dr. Arun Rao"/>
    <n v="32"/>
    <s v="General Ward"/>
    <x v="3"/>
    <n v="35133"/>
    <n v="29799"/>
    <n v="5334"/>
    <n v="26743"/>
    <n v="5798"/>
    <n v="1699"/>
    <s v="No"/>
    <n v="57"/>
    <n v="2.4"/>
    <x v="1"/>
  </r>
  <r>
    <x v="1133"/>
    <s v="Sunita Rao"/>
    <n v="67"/>
    <x v="1"/>
    <s v="A+"/>
    <s v="Pune"/>
    <d v="2024-09-17T00:00:00"/>
    <d v="2024-10-15T00:00:00"/>
    <n v="28"/>
    <x v="0"/>
    <s v="COVID-19"/>
    <x v="1"/>
    <s v="Surgery"/>
    <x v="0"/>
    <s v="Dr. Prerna Rao"/>
    <n v="299"/>
    <s v="ICU"/>
    <x v="2"/>
    <n v="132757"/>
    <n v="93588"/>
    <n v="39169"/>
    <n v="103618"/>
    <n v="12952"/>
    <n v="12128"/>
    <s v="No"/>
    <n v="89"/>
    <n v="3.4"/>
    <x v="1"/>
  </r>
  <r>
    <x v="1134"/>
    <s v="Priya Menon"/>
    <n v="83"/>
    <x v="0"/>
    <s v="B-"/>
    <s v="Chennai"/>
    <d v="2023-08-12T00:00:00"/>
    <d v="2023-09-06T00:00:00"/>
    <n v="25"/>
    <x v="5"/>
    <s v="Asthma"/>
    <x v="8"/>
    <s v="Medication"/>
    <x v="3"/>
    <s v="Dr. Sameer Mehta"/>
    <n v="480"/>
    <s v="Private"/>
    <x v="0"/>
    <n v="143591"/>
    <n v="65891"/>
    <n v="77700"/>
    <n v="104578"/>
    <n v="23352"/>
    <n v="12175"/>
    <s v="No"/>
    <n v="52"/>
    <n v="4.9000000000000004"/>
    <x v="2"/>
  </r>
  <r>
    <x v="1135"/>
    <s v="Vikram Singh"/>
    <n v="79"/>
    <x v="1"/>
    <s v="O+"/>
    <s v="Chennai"/>
    <d v="2022-01-28T00:00:00"/>
    <d v="2022-02-12T00:00:00"/>
    <n v="15"/>
    <x v="4"/>
    <s v="Hypertension"/>
    <x v="7"/>
    <s v="Dialysis"/>
    <x v="0"/>
    <s v="Dr. Kavita Joshi"/>
    <n v="26"/>
    <s v="General Ward"/>
    <x v="4"/>
    <n v="173465"/>
    <n v="0"/>
    <n v="173465"/>
    <n v="134195"/>
    <n v="26840"/>
    <n v="10994"/>
    <s v="Yes"/>
    <n v="100"/>
    <n v="3"/>
    <x v="3"/>
  </r>
  <r>
    <x v="1136"/>
    <s v="Priya Singh"/>
    <n v="55"/>
    <x v="1"/>
    <s v="AB+"/>
    <s v="Mumbai"/>
    <d v="2022-03-04T00:00:00"/>
    <d v="2022-03-21T00:00:00"/>
    <n v="17"/>
    <x v="0"/>
    <s v="Diabetes Type 2"/>
    <x v="9"/>
    <s v="Observation"/>
    <x v="3"/>
    <s v="Dr. Deepak Rao"/>
    <n v="368"/>
    <s v="Semi-Private"/>
    <x v="4"/>
    <n v="154419"/>
    <n v="0"/>
    <n v="154419"/>
    <n v="127873"/>
    <n v="12018"/>
    <n v="10295"/>
    <s v="No"/>
    <n v="98"/>
    <n v="4.5999999999999996"/>
    <x v="2"/>
  </r>
  <r>
    <x v="1137"/>
    <s v="Amit Rao"/>
    <n v="69"/>
    <x v="1"/>
    <s v="O-"/>
    <s v="Ahmedabad"/>
    <d v="2022-07-02T00:00:00"/>
    <d v="2022-07-22T00:00:00"/>
    <n v="20"/>
    <x v="4"/>
    <s v="Heart Attack"/>
    <x v="7"/>
    <s v="Dialysis"/>
    <x v="0"/>
    <s v="Dr. Anjali Rao"/>
    <n v="47"/>
    <s v="Private"/>
    <x v="3"/>
    <n v="105518"/>
    <n v="94490"/>
    <n v="11028"/>
    <n v="68561"/>
    <n v="24294"/>
    <n v="8779"/>
    <s v="No"/>
    <n v="58"/>
    <n v="4"/>
    <x v="2"/>
  </r>
  <r>
    <x v="1138"/>
    <s v="Lata Gupta"/>
    <n v="7"/>
    <x v="1"/>
    <s v="A-"/>
    <s v="Ahmedabad"/>
    <d v="2022-10-12T00:00:00"/>
    <d v="2022-11-08T00:00:00"/>
    <n v="27"/>
    <x v="0"/>
    <s v="Anemia"/>
    <x v="4"/>
    <s v="ICU Care"/>
    <x v="2"/>
    <s v="Dr. Deepak Mehta"/>
    <n v="159"/>
    <s v="ICU"/>
    <x v="1"/>
    <n v="118383"/>
    <n v="82460"/>
    <n v="35923"/>
    <n v="92312"/>
    <n v="9646"/>
    <n v="14562"/>
    <s v="No"/>
    <n v="48"/>
    <n v="2.9"/>
    <x v="3"/>
  </r>
  <r>
    <x v="1139"/>
    <s v="Lata Patel"/>
    <n v="23"/>
    <x v="1"/>
    <s v="AB+"/>
    <s v="Mumbai"/>
    <d v="2022-06-26T00:00:00"/>
    <d v="2022-07-06T00:00:00"/>
    <n v="10"/>
    <x v="3"/>
    <s v="Migraine"/>
    <x v="6"/>
    <s v="ICU Care"/>
    <x v="1"/>
    <s v="Dr. Shalini Sharma"/>
    <n v="287"/>
    <s v="Private"/>
    <x v="4"/>
    <n v="95051"/>
    <n v="0"/>
    <n v="95051"/>
    <n v="59649"/>
    <n v="27997"/>
    <n v="2846"/>
    <s v="No"/>
    <n v="65"/>
    <n v="4.9000000000000004"/>
    <x v="2"/>
  </r>
  <r>
    <x v="1140"/>
    <s v="Geeta Patel"/>
    <n v="30"/>
    <x v="1"/>
    <s v="O-"/>
    <s v="Kolkata"/>
    <d v="2023-03-21T00:00:00"/>
    <d v="2023-04-03T00:00:00"/>
    <n v="13"/>
    <x v="0"/>
    <s v="Liver Disease"/>
    <x v="0"/>
    <s v="Medication"/>
    <x v="1"/>
    <s v="Dr. Arun Sharma"/>
    <n v="370"/>
    <s v="General Ward"/>
    <x v="1"/>
    <n v="53356"/>
    <n v="22398"/>
    <n v="30958"/>
    <n v="18740"/>
    <n v="18246"/>
    <n v="13947"/>
    <s v="No"/>
    <n v="47"/>
    <n v="4.2"/>
    <x v="1"/>
  </r>
  <r>
    <x v="1141"/>
    <s v="Rekha Pillai"/>
    <n v="10"/>
    <x v="1"/>
    <s v="B-"/>
    <s v="Pune"/>
    <d v="2023-07-25T00:00:00"/>
    <d v="2023-07-28T00:00:00"/>
    <n v="3"/>
    <x v="0"/>
    <s v="Dengue"/>
    <x v="1"/>
    <s v="Dietary Management"/>
    <x v="2"/>
    <s v="Dr. Shalini Sharma"/>
    <n v="319"/>
    <s v="Semi-Private"/>
    <x v="2"/>
    <n v="106205"/>
    <n v="77014"/>
    <n v="29191"/>
    <n v="73815"/>
    <n v="24143"/>
    <n v="4114"/>
    <s v="Yes"/>
    <n v="89"/>
    <n v="3.3"/>
    <x v="2"/>
  </r>
  <r>
    <x v="1142"/>
    <s v="Ritu Sharma"/>
    <n v="70"/>
    <x v="1"/>
    <s v="B+"/>
    <s v="Bangalore"/>
    <d v="2024-05-28T00:00:00"/>
    <d v="2024-06-14T00:00:00"/>
    <n v="17"/>
    <x v="6"/>
    <s v="Fracture"/>
    <x v="10"/>
    <s v="Dietary Management"/>
    <x v="3"/>
    <s v="Dr. Anjali Singh"/>
    <n v="394"/>
    <s v="ICU"/>
    <x v="2"/>
    <n v="125823"/>
    <n v="112996"/>
    <n v="12827"/>
    <n v="96090"/>
    <n v="24521"/>
    <n v="4109"/>
    <s v="No"/>
    <n v="45"/>
    <n v="2.1"/>
    <x v="1"/>
  </r>
  <r>
    <x v="1143"/>
    <s v="Sunita Pillai"/>
    <n v="32"/>
    <x v="1"/>
    <s v="A+"/>
    <s v="Lucknow"/>
    <d v="2024-06-05T00:00:00"/>
    <d v="2024-06-21T00:00:00"/>
    <n v="16"/>
    <x v="3"/>
    <s v="Stroke"/>
    <x v="6"/>
    <s v="Radiation Therapy"/>
    <x v="3"/>
    <s v="Dr. Sameer Patel"/>
    <n v="286"/>
    <s v="General Ward"/>
    <x v="4"/>
    <n v="74369"/>
    <n v="0"/>
    <n v="74369"/>
    <n v="41682"/>
    <n v="22864"/>
    <n v="7417"/>
    <s v="No"/>
    <n v="66"/>
    <n v="4.2"/>
    <x v="1"/>
  </r>
  <r>
    <x v="1144"/>
    <s v="Rajesh Sharma"/>
    <n v="18"/>
    <x v="0"/>
    <s v="AB-"/>
    <s v="Kolkata"/>
    <d v="2024-09-07T00:00:00"/>
    <d v="2024-09-30T00:00:00"/>
    <n v="23"/>
    <x v="0"/>
    <s v="Appendicitis"/>
    <x v="0"/>
    <s v="Radiation Therapy"/>
    <x v="0"/>
    <s v="Dr. Vivek Mehta"/>
    <n v="337"/>
    <s v="Semi-Private"/>
    <x v="3"/>
    <n v="96318"/>
    <n v="83972"/>
    <n v="12346"/>
    <n v="66915"/>
    <n v="15170"/>
    <n v="9425"/>
    <s v="No"/>
    <n v="41"/>
    <n v="2.2999999999999998"/>
    <x v="4"/>
  </r>
  <r>
    <x v="1145"/>
    <s v="Mukesh Joshi"/>
    <n v="63"/>
    <x v="0"/>
    <s v="B+"/>
    <s v="Lucknow"/>
    <d v="2022-11-22T00:00:00"/>
    <d v="2022-11-28T00:00:00"/>
    <n v="6"/>
    <x v="0"/>
    <s v="Anemia"/>
    <x v="4"/>
    <s v="Observation"/>
    <x v="0"/>
    <s v="Dr. Deepak Nair"/>
    <n v="6"/>
    <s v="Semi-Private"/>
    <x v="3"/>
    <n v="123032"/>
    <n v="80057"/>
    <n v="42975"/>
    <n v="109092"/>
    <n v="3805"/>
    <n v="6974"/>
    <s v="No"/>
    <n v="81"/>
    <n v="3.8"/>
    <x v="0"/>
  </r>
  <r>
    <x v="1146"/>
    <s v="Divya Sharma"/>
    <n v="64"/>
    <x v="0"/>
    <s v="B-"/>
    <s v="Pune"/>
    <d v="2022-08-06T00:00:00"/>
    <d v="2022-08-11T00:00:00"/>
    <n v="5"/>
    <x v="0"/>
    <s v="Dengue"/>
    <x v="1"/>
    <s v="Dietary Management"/>
    <x v="0"/>
    <s v="Dr. Anjali Gupta"/>
    <n v="78"/>
    <s v="ICU"/>
    <x v="4"/>
    <n v="154540"/>
    <n v="0"/>
    <n v="154540"/>
    <n v="135024"/>
    <n v="13457"/>
    <n v="5355"/>
    <s v="No"/>
    <n v="52"/>
    <n v="4.7"/>
    <x v="1"/>
  </r>
  <r>
    <x v="1147"/>
    <s v="Geeta Pillai"/>
    <n v="8"/>
    <x v="0"/>
    <s v="A+"/>
    <s v="Delhi"/>
    <d v="2023-08-19T00:00:00"/>
    <d v="2023-08-23T00:00:00"/>
    <n v="4"/>
    <x v="0"/>
    <s v="COVID-19"/>
    <x v="1"/>
    <s v="Observation"/>
    <x v="3"/>
    <s v="Dr. Anjali Nair"/>
    <n v="299"/>
    <s v="Semi-Private"/>
    <x v="1"/>
    <n v="57473"/>
    <n v="37945"/>
    <n v="19528"/>
    <n v="23342"/>
    <n v="27966"/>
    <n v="2778"/>
    <s v="No"/>
    <n v="45"/>
    <n v="3.6"/>
    <x v="4"/>
  </r>
  <r>
    <x v="1148"/>
    <s v="Rahul Kumar"/>
    <n v="44"/>
    <x v="0"/>
    <s v="A+"/>
    <s v="Mumbai"/>
    <d v="2024-01-10T00:00:00"/>
    <d v="2024-02-04T00:00:00"/>
    <n v="25"/>
    <x v="0"/>
    <s v="Diabetes Type 2"/>
    <x v="9"/>
    <s v="Dietary Management"/>
    <x v="2"/>
    <s v="Dr. Rakesh Singh"/>
    <n v="305"/>
    <s v="Semi-Private"/>
    <x v="1"/>
    <n v="160329"/>
    <n v="80946"/>
    <n v="79383"/>
    <n v="122232"/>
    <n v="19388"/>
    <n v="14185"/>
    <s v="No"/>
    <n v="43"/>
    <n v="3.9"/>
    <x v="3"/>
  </r>
  <r>
    <x v="1149"/>
    <s v="Vijay Gupta"/>
    <n v="80"/>
    <x v="1"/>
    <s v="A+"/>
    <s v="Delhi"/>
    <d v="2022-07-28T00:00:00"/>
    <d v="2022-08-21T00:00:00"/>
    <n v="24"/>
    <x v="5"/>
    <s v="Pneumonia"/>
    <x v="8"/>
    <s v="Medication"/>
    <x v="1"/>
    <s v="Dr. Deepak Joshi"/>
    <n v="428"/>
    <s v="General Ward"/>
    <x v="3"/>
    <n v="94304"/>
    <n v="67941"/>
    <n v="26363"/>
    <n v="77151"/>
    <n v="6600"/>
    <n v="9865"/>
    <s v="No"/>
    <n v="62"/>
    <n v="2.4"/>
    <x v="2"/>
  </r>
  <r>
    <x v="1150"/>
    <s v="Ananya Reddy"/>
    <n v="29"/>
    <x v="0"/>
    <s v="B-"/>
    <s v="Delhi"/>
    <d v="2022-02-02T00:00:00"/>
    <d v="2022-02-15T00:00:00"/>
    <n v="13"/>
    <x v="4"/>
    <s v="Heart Attack"/>
    <x v="7"/>
    <s v="Medication"/>
    <x v="0"/>
    <s v="Dr. Kavita Sharma"/>
    <n v="482"/>
    <s v="Semi-Private"/>
    <x v="4"/>
    <n v="79038"/>
    <n v="0"/>
    <n v="79038"/>
    <n v="50288"/>
    <n v="13612"/>
    <n v="11169"/>
    <s v="Yes"/>
    <n v="84"/>
    <n v="4.4000000000000004"/>
    <x v="4"/>
  </r>
  <r>
    <x v="1151"/>
    <s v="Nisha Reddy"/>
    <n v="65"/>
    <x v="0"/>
    <s v="A+"/>
    <s v="Pune"/>
    <d v="2024-10-10T00:00:00"/>
    <d v="2024-11-08T00:00:00"/>
    <n v="29"/>
    <x v="6"/>
    <s v="Fracture"/>
    <x v="10"/>
    <s v="Dialysis"/>
    <x v="0"/>
    <s v="Dr. Shalini Kumar"/>
    <n v="462"/>
    <s v="ICU"/>
    <x v="3"/>
    <n v="90579"/>
    <n v="69096"/>
    <n v="21483"/>
    <n v="72033"/>
    <n v="2628"/>
    <n v="12302"/>
    <s v="No"/>
    <n v="53"/>
    <n v="3.1"/>
    <x v="1"/>
  </r>
  <r>
    <x v="1152"/>
    <s v="Rohan Shah"/>
    <n v="33"/>
    <x v="0"/>
    <s v="O-"/>
    <s v="Delhi"/>
    <d v="2023-07-29T00:00:00"/>
    <d v="2023-08-11T00:00:00"/>
    <n v="13"/>
    <x v="0"/>
    <s v="Anemia"/>
    <x v="4"/>
    <s v="Counseling"/>
    <x v="0"/>
    <s v="Dr. Nisha Nair"/>
    <n v="102"/>
    <s v="Private"/>
    <x v="1"/>
    <n v="91488"/>
    <n v="54747"/>
    <n v="36741"/>
    <n v="56982"/>
    <n v="26773"/>
    <n v="5360"/>
    <s v="No"/>
    <n v="81"/>
    <n v="3.6"/>
    <x v="4"/>
  </r>
  <r>
    <x v="1153"/>
    <s v="Rajesh Joshi"/>
    <n v="58"/>
    <x v="0"/>
    <s v="B-"/>
    <s v="Kolkata"/>
    <d v="2024-03-13T00:00:00"/>
    <d v="2024-04-09T00:00:00"/>
    <n v="27"/>
    <x v="1"/>
    <s v="UTI"/>
    <x v="2"/>
    <s v="ICU Care"/>
    <x v="2"/>
    <s v="Dr. Sameer Sharma"/>
    <n v="441"/>
    <s v="ICU"/>
    <x v="3"/>
    <n v="127601"/>
    <n v="111944"/>
    <n v="15657"/>
    <n v="100661"/>
    <n v="18187"/>
    <n v="8216"/>
    <s v="No"/>
    <n v="58"/>
    <n v="2.7"/>
    <x v="4"/>
  </r>
  <r>
    <x v="1154"/>
    <s v="Vijay Menon"/>
    <n v="76"/>
    <x v="1"/>
    <s v="O+"/>
    <s v="Hyderabad"/>
    <d v="2023-05-15T00:00:00"/>
    <d v="2023-06-12T00:00:00"/>
    <n v="28"/>
    <x v="0"/>
    <s v="Anemia"/>
    <x v="4"/>
    <s v="ICU Care"/>
    <x v="1"/>
    <s v="Dr. Nisha Sharma"/>
    <n v="391"/>
    <s v="Private"/>
    <x v="4"/>
    <n v="46520"/>
    <n v="0"/>
    <n v="46520"/>
    <n v="20616"/>
    <n v="12835"/>
    <n v="12308"/>
    <s v="No"/>
    <n v="74"/>
    <n v="2.8"/>
    <x v="4"/>
  </r>
  <r>
    <x v="1155"/>
    <s v="Ananya Sharma"/>
    <n v="11"/>
    <x v="0"/>
    <s v="B-"/>
    <s v="Hyderabad"/>
    <d v="2022-12-19T00:00:00"/>
    <d v="2023-01-18T00:00:00"/>
    <n v="30"/>
    <x v="0"/>
    <s v="Liver Disease"/>
    <x v="0"/>
    <s v="Dietary Management"/>
    <x v="1"/>
    <s v="Dr. Anjali Gupta"/>
    <n v="117"/>
    <s v="ICU"/>
    <x v="0"/>
    <n v="111571"/>
    <n v="66952"/>
    <n v="44619"/>
    <n v="87505"/>
    <n v="9835"/>
    <n v="10902"/>
    <s v="No"/>
    <n v="40"/>
    <n v="2.7"/>
    <x v="3"/>
  </r>
  <r>
    <x v="1156"/>
    <s v="Rahul Khanna"/>
    <n v="22"/>
    <x v="0"/>
    <s v="O-"/>
    <s v="Delhi"/>
    <d v="2023-12-27T00:00:00"/>
    <d v="2023-12-29T00:00:00"/>
    <n v="2"/>
    <x v="5"/>
    <s v="Pneumonia"/>
    <x v="8"/>
    <s v="Dialysis"/>
    <x v="3"/>
    <s v="Dr. Arun Mehta"/>
    <n v="492"/>
    <s v="General Ward"/>
    <x v="4"/>
    <n v="77477"/>
    <n v="0"/>
    <n v="77477"/>
    <n v="59976"/>
    <n v="12253"/>
    <n v="4218"/>
    <s v="Yes"/>
    <n v="69"/>
    <n v="3.8"/>
    <x v="2"/>
  </r>
  <r>
    <x v="1157"/>
    <s v="Ashok Reddy"/>
    <n v="67"/>
    <x v="0"/>
    <s v="B-"/>
    <s v="Delhi"/>
    <d v="2022-07-25T00:00:00"/>
    <d v="2022-07-29T00:00:00"/>
    <n v="4"/>
    <x v="5"/>
    <s v="Pneumonia"/>
    <x v="8"/>
    <s v="ICU Care"/>
    <x v="1"/>
    <s v="Dr. Rakesh Mehta"/>
    <n v="206"/>
    <s v="Private"/>
    <x v="0"/>
    <n v="160097"/>
    <n v="90520"/>
    <n v="69577"/>
    <n v="125774"/>
    <n v="27775"/>
    <n v="4828"/>
    <s v="No"/>
    <n v="64"/>
    <n v="4.7"/>
    <x v="1"/>
  </r>
  <r>
    <x v="1158"/>
    <s v="Sneha Patel"/>
    <n v="72"/>
    <x v="0"/>
    <s v="AB-"/>
    <s v="Chennai"/>
    <d v="2024-12-18T00:00:00"/>
    <d v="2024-12-25T00:00:00"/>
    <n v="7"/>
    <x v="0"/>
    <s v="Depression"/>
    <x v="5"/>
    <s v="ICU Care"/>
    <x v="3"/>
    <s v="Dr. Nisha Patel"/>
    <n v="133"/>
    <s v="ICU"/>
    <x v="2"/>
    <n v="53800"/>
    <n v="33793"/>
    <n v="20007"/>
    <n v="26186"/>
    <n v="20156"/>
    <n v="4303"/>
    <s v="No"/>
    <n v="97"/>
    <n v="4.8"/>
    <x v="1"/>
  </r>
  <r>
    <x v="1159"/>
    <s v="Ashok Shah"/>
    <n v="45"/>
    <x v="1"/>
    <s v="AB-"/>
    <s v="Mumbai"/>
    <d v="2024-05-05T00:00:00"/>
    <d v="2024-05-10T00:00:00"/>
    <n v="5"/>
    <x v="0"/>
    <s v="Typhoid"/>
    <x v="1"/>
    <s v="Counseling"/>
    <x v="1"/>
    <s v="Dr. Vivek Gupta"/>
    <n v="103"/>
    <s v="Semi-Private"/>
    <x v="3"/>
    <n v="87921"/>
    <n v="75063"/>
    <n v="12858"/>
    <n v="70583"/>
    <n v="13624"/>
    <n v="2064"/>
    <s v="No"/>
    <n v="93"/>
    <n v="3.4"/>
    <x v="4"/>
  </r>
  <r>
    <x v="1160"/>
    <s v="Geeta Joshi"/>
    <n v="59"/>
    <x v="0"/>
    <s v="A-"/>
    <s v="Bangalore"/>
    <d v="2024-05-18T00:00:00"/>
    <d v="2024-05-19T00:00:00"/>
    <n v="1"/>
    <x v="6"/>
    <s v="Arthritis"/>
    <x v="11"/>
    <s v="Counseling"/>
    <x v="1"/>
    <s v="Dr. Deepak Gupta"/>
    <n v="201"/>
    <s v="Semi-Private"/>
    <x v="2"/>
    <n v="47683"/>
    <n v="29809"/>
    <n v="17874"/>
    <n v="20521"/>
    <n v="14890"/>
    <n v="9855"/>
    <s v="No"/>
    <n v="55"/>
    <n v="2.1"/>
    <x v="2"/>
  </r>
  <r>
    <x v="1161"/>
    <s v="Sonia Menon"/>
    <n v="81"/>
    <x v="0"/>
    <s v="A-"/>
    <s v="Kolkata"/>
    <d v="2024-10-08T00:00:00"/>
    <d v="2024-10-10T00:00:00"/>
    <n v="2"/>
    <x v="1"/>
    <s v="UTI"/>
    <x v="2"/>
    <s v="Medication"/>
    <x v="3"/>
    <s v="Dr. Shalini Rao"/>
    <n v="277"/>
    <s v="Semi-Private"/>
    <x v="0"/>
    <n v="135765"/>
    <n v="92903"/>
    <n v="42862"/>
    <n v="114778"/>
    <n v="15441"/>
    <n v="4228"/>
    <s v="No"/>
    <n v="53"/>
    <n v="2.8"/>
    <x v="2"/>
  </r>
  <r>
    <x v="1162"/>
    <s v="Ashok Das"/>
    <n v="76"/>
    <x v="1"/>
    <s v="O+"/>
    <s v="Jaipur"/>
    <d v="2023-12-06T00:00:00"/>
    <d v="2024-01-03T00:00:00"/>
    <n v="28"/>
    <x v="6"/>
    <s v="Fracture"/>
    <x v="10"/>
    <s v="Physiotherapy"/>
    <x v="1"/>
    <s v="Dr. Sameer Kumar"/>
    <n v="312"/>
    <s v="Semi-Private"/>
    <x v="3"/>
    <n v="99003"/>
    <n v="75826"/>
    <n v="23177"/>
    <n v="83061"/>
    <n v="13001"/>
    <n v="1256"/>
    <s v="No"/>
    <n v="55"/>
    <n v="2.2999999999999998"/>
    <x v="1"/>
  </r>
  <r>
    <x v="1163"/>
    <s v="Vikram Bose"/>
    <n v="51"/>
    <x v="0"/>
    <s v="AB-"/>
    <s v="Kolkata"/>
    <d v="2024-08-13T00:00:00"/>
    <d v="2024-08-19T00:00:00"/>
    <n v="6"/>
    <x v="0"/>
    <s v="Liver Disease"/>
    <x v="0"/>
    <s v="Surgery"/>
    <x v="1"/>
    <s v="Dr. Nisha Singh"/>
    <n v="303"/>
    <s v="General Ward"/>
    <x v="4"/>
    <n v="86854"/>
    <n v="0"/>
    <n v="86854"/>
    <n v="72832"/>
    <n v="7359"/>
    <n v="1893"/>
    <s v="No"/>
    <n v="52"/>
    <n v="3.9"/>
    <x v="2"/>
  </r>
  <r>
    <x v="1164"/>
    <s v="Pooja Menon"/>
    <n v="52"/>
    <x v="1"/>
    <s v="A-"/>
    <s v="Mumbai"/>
    <d v="2022-11-18T00:00:00"/>
    <d v="2022-12-10T00:00:00"/>
    <n v="22"/>
    <x v="0"/>
    <s v="Obesity"/>
    <x v="12"/>
    <s v="Radiation Therapy"/>
    <x v="1"/>
    <s v="Dr. Prerna Kumar"/>
    <n v="9"/>
    <s v="ICU"/>
    <x v="0"/>
    <n v="67820"/>
    <n v="35059"/>
    <n v="32761"/>
    <n v="35065"/>
    <n v="23057"/>
    <n v="8162"/>
    <s v="No"/>
    <n v="61"/>
    <n v="4.4000000000000004"/>
    <x v="4"/>
  </r>
  <r>
    <x v="1165"/>
    <s v="Suresh Joshi"/>
    <n v="70"/>
    <x v="1"/>
    <s v="AB+"/>
    <s v="Bangalore"/>
    <d v="2022-06-20T00:00:00"/>
    <d v="2022-07-14T00:00:00"/>
    <n v="24"/>
    <x v="0"/>
    <s v="Diabetes Type 2"/>
    <x v="9"/>
    <s v="Radiation Therapy"/>
    <x v="2"/>
    <s v="Dr. Shalini Mehta"/>
    <n v="81"/>
    <s v="General Ward"/>
    <x v="1"/>
    <n v="166354"/>
    <n v="105810"/>
    <n v="60544"/>
    <n v="149164"/>
    <n v="9067"/>
    <n v="7005"/>
    <s v="No"/>
    <n v="83"/>
    <n v="3.4"/>
    <x v="4"/>
  </r>
  <r>
    <x v="1166"/>
    <s v="Sneha Sharma"/>
    <n v="50"/>
    <x v="1"/>
    <s v="AB-"/>
    <s v="Ahmedabad"/>
    <d v="2022-01-03T00:00:00"/>
    <d v="2022-01-18T00:00:00"/>
    <n v="15"/>
    <x v="1"/>
    <s v="UTI"/>
    <x v="2"/>
    <s v="Dietary Management"/>
    <x v="1"/>
    <s v="Dr. Nisha Reddy"/>
    <n v="29"/>
    <s v="Private"/>
    <x v="4"/>
    <n v="93606"/>
    <n v="0"/>
    <n v="93606"/>
    <n v="88308"/>
    <n v="2675"/>
    <n v="669"/>
    <s v="Yes"/>
    <n v="89"/>
    <n v="3.9"/>
    <x v="0"/>
  </r>
  <r>
    <x v="1167"/>
    <s v="Kavya Pillai"/>
    <n v="68"/>
    <x v="1"/>
    <s v="B-"/>
    <s v="Hyderabad"/>
    <d v="2023-12-11T00:00:00"/>
    <d v="2024-01-09T00:00:00"/>
    <n v="29"/>
    <x v="0"/>
    <s v="Diabetes Type 2"/>
    <x v="9"/>
    <s v="Dietary Management"/>
    <x v="3"/>
    <s v="Dr. Deepak Joshi"/>
    <n v="232"/>
    <s v="ICU"/>
    <x v="2"/>
    <n v="103727"/>
    <n v="70707"/>
    <n v="33020"/>
    <n v="67322"/>
    <n v="22252"/>
    <n v="13264"/>
    <s v="No"/>
    <n v="86"/>
    <n v="4.4000000000000004"/>
    <x v="1"/>
  </r>
  <r>
    <x v="1168"/>
    <s v="Pooja Malhotra"/>
    <n v="49"/>
    <x v="0"/>
    <s v="A-"/>
    <s v="Jaipur"/>
    <d v="2022-10-27T00:00:00"/>
    <d v="2022-11-04T00:00:00"/>
    <n v="8"/>
    <x v="0"/>
    <s v="Anemia"/>
    <x v="4"/>
    <s v="Counseling"/>
    <x v="1"/>
    <s v="Dr. Arun Patel"/>
    <n v="455"/>
    <s v="Semi-Private"/>
    <x v="1"/>
    <n v="59685"/>
    <n v="24742"/>
    <n v="34943"/>
    <n v="39645"/>
    <n v="15627"/>
    <n v="3326"/>
    <s v="No"/>
    <n v="46"/>
    <n v="2.7"/>
    <x v="1"/>
  </r>
  <r>
    <x v="1169"/>
    <s v="Karan Patel"/>
    <n v="17"/>
    <x v="0"/>
    <s v="B+"/>
    <s v="Bangalore"/>
    <d v="2022-01-06T00:00:00"/>
    <d v="2022-01-10T00:00:00"/>
    <n v="4"/>
    <x v="2"/>
    <s v="Cancer"/>
    <x v="3"/>
    <s v="Counseling"/>
    <x v="2"/>
    <s v="Dr. Nisha Reddy"/>
    <n v="89"/>
    <s v="General Ward"/>
    <x v="1"/>
    <n v="93697"/>
    <n v="62257"/>
    <n v="31440"/>
    <n v="56638"/>
    <n v="23450"/>
    <n v="12480"/>
    <s v="No"/>
    <n v="73"/>
    <n v="2.4"/>
    <x v="4"/>
  </r>
  <r>
    <x v="1170"/>
    <s v="Kavya Khanna"/>
    <n v="6"/>
    <x v="1"/>
    <s v="A-"/>
    <s v="Ahmedabad"/>
    <d v="2023-05-18T00:00:00"/>
    <d v="2023-06-11T00:00:00"/>
    <n v="24"/>
    <x v="3"/>
    <s v="Migraine"/>
    <x v="6"/>
    <s v="Medication"/>
    <x v="0"/>
    <s v="Dr. Deepak Rao"/>
    <n v="362"/>
    <s v="Private"/>
    <x v="3"/>
    <n v="138498"/>
    <n v="84875"/>
    <n v="53623"/>
    <n v="117305"/>
    <n v="16798"/>
    <n v="3517"/>
    <s v="No"/>
    <n v="45"/>
    <n v="2.8"/>
    <x v="3"/>
  </r>
  <r>
    <x v="1171"/>
    <s v="Vijay Patel"/>
    <n v="65"/>
    <x v="1"/>
    <s v="AB-"/>
    <s v="Delhi"/>
    <d v="2024-06-07T00:00:00"/>
    <d v="2024-06-15T00:00:00"/>
    <n v="8"/>
    <x v="5"/>
    <s v="Asthma"/>
    <x v="8"/>
    <s v="ICU Care"/>
    <x v="1"/>
    <s v="Dr. Deepak Rao"/>
    <n v="165"/>
    <s v="General Ward"/>
    <x v="0"/>
    <n v="83276"/>
    <n v="42587"/>
    <n v="40689"/>
    <n v="61804"/>
    <n v="16033"/>
    <n v="605"/>
    <s v="No"/>
    <n v="96"/>
    <n v="4.3"/>
    <x v="3"/>
  </r>
  <r>
    <x v="1172"/>
    <s v="Divya Nair"/>
    <n v="43"/>
    <x v="0"/>
    <s v="O+"/>
    <s v="Pune"/>
    <d v="2024-05-10T00:00:00"/>
    <d v="2024-05-30T00:00:00"/>
    <n v="20"/>
    <x v="0"/>
    <s v="Typhoid"/>
    <x v="1"/>
    <s v="Dietary Management"/>
    <x v="0"/>
    <s v="Dr. Nisha Kumar"/>
    <n v="200"/>
    <s v="General Ward"/>
    <x v="1"/>
    <n v="81726"/>
    <n v="34609"/>
    <n v="47117"/>
    <n v="53775"/>
    <n v="15860"/>
    <n v="7508"/>
    <s v="No"/>
    <n v="86"/>
    <n v="4.0999999999999996"/>
    <x v="3"/>
  </r>
  <r>
    <x v="1173"/>
    <s v="Manoj Das"/>
    <n v="69"/>
    <x v="0"/>
    <s v="B+"/>
    <s v="Kolkata"/>
    <d v="2023-05-08T00:00:00"/>
    <d v="2023-05-27T00:00:00"/>
    <n v="19"/>
    <x v="1"/>
    <s v="Kidney Stone"/>
    <x v="2"/>
    <s v="Surgery"/>
    <x v="2"/>
    <s v="Dr. Vivek Joshi"/>
    <n v="473"/>
    <s v="ICU"/>
    <x v="1"/>
    <n v="74249"/>
    <n v="40713"/>
    <n v="33536"/>
    <n v="62346"/>
    <n v="1827"/>
    <n v="6599"/>
    <s v="No"/>
    <n v="52"/>
    <n v="3.6"/>
    <x v="0"/>
  </r>
  <r>
    <x v="1174"/>
    <s v="Meera Rao"/>
    <n v="10"/>
    <x v="1"/>
    <s v="B+"/>
    <s v="Chennai"/>
    <d v="2023-08-15T00:00:00"/>
    <d v="2023-09-06T00:00:00"/>
    <n v="22"/>
    <x v="3"/>
    <s v="Migraine"/>
    <x v="6"/>
    <s v="Dialysis"/>
    <x v="3"/>
    <s v="Dr. Vivek Joshi"/>
    <n v="91"/>
    <s v="ICU"/>
    <x v="3"/>
    <n v="88108"/>
    <n v="60711"/>
    <n v="27397"/>
    <n v="58685"/>
    <n v="24839"/>
    <n v="4078"/>
    <s v="No"/>
    <n v="44"/>
    <n v="4.4000000000000004"/>
    <x v="4"/>
  </r>
  <r>
    <x v="1175"/>
    <s v="Vijay Kumar"/>
    <n v="43"/>
    <x v="1"/>
    <s v="A-"/>
    <s v="Pune"/>
    <d v="2023-01-16T00:00:00"/>
    <d v="2023-01-26T00:00:00"/>
    <n v="10"/>
    <x v="6"/>
    <s v="Arthritis"/>
    <x v="11"/>
    <s v="Surgery"/>
    <x v="0"/>
    <s v="Dr. Deepak Joshi"/>
    <n v="107"/>
    <s v="ICU"/>
    <x v="4"/>
    <n v="149349"/>
    <n v="0"/>
    <n v="149349"/>
    <n v="130618"/>
    <n v="1891"/>
    <n v="14290"/>
    <s v="No"/>
    <n v="64"/>
    <n v="3.6"/>
    <x v="0"/>
  </r>
  <r>
    <x v="1176"/>
    <s v="Karan Iyer"/>
    <n v="70"/>
    <x v="0"/>
    <s v="A+"/>
    <s v="Chennai"/>
    <d v="2024-02-12T00:00:00"/>
    <d v="2024-03-01T00:00:00"/>
    <n v="18"/>
    <x v="0"/>
    <s v="Depression"/>
    <x v="5"/>
    <s v="Medication"/>
    <x v="1"/>
    <s v="Dr. Rakesh Nair"/>
    <n v="113"/>
    <s v="ICU"/>
    <x v="1"/>
    <n v="93685"/>
    <n v="56869"/>
    <n v="36816"/>
    <n v="64726"/>
    <n v="14158"/>
    <n v="12442"/>
    <s v="Yes"/>
    <n v="62"/>
    <n v="3.7"/>
    <x v="2"/>
  </r>
  <r>
    <x v="1177"/>
    <s v="Geeta Gupta"/>
    <n v="81"/>
    <x v="1"/>
    <s v="B+"/>
    <s v="Ahmedabad"/>
    <d v="2022-04-29T00:00:00"/>
    <d v="2022-05-12T00:00:00"/>
    <n v="13"/>
    <x v="0"/>
    <s v="Dengue"/>
    <x v="1"/>
    <s v="Chemotherapy"/>
    <x v="3"/>
    <s v="Dr. Prerna Sharma"/>
    <n v="465"/>
    <s v="Private"/>
    <x v="2"/>
    <n v="142620"/>
    <n v="110345"/>
    <n v="32275"/>
    <n v="103859"/>
    <n v="25340"/>
    <n v="11732"/>
    <s v="Yes"/>
    <n v="68"/>
    <n v="2.5"/>
    <x v="0"/>
  </r>
  <r>
    <x v="1178"/>
    <s v="Ananya Nair"/>
    <n v="66"/>
    <x v="1"/>
    <s v="B-"/>
    <s v="Mumbai"/>
    <d v="2022-06-29T00:00:00"/>
    <d v="2022-07-17T00:00:00"/>
    <n v="18"/>
    <x v="0"/>
    <s v="Appendicitis"/>
    <x v="0"/>
    <s v="Dietary Management"/>
    <x v="0"/>
    <s v="Dr. Arun Gupta"/>
    <n v="172"/>
    <s v="ICU"/>
    <x v="1"/>
    <n v="173020"/>
    <n v="115632"/>
    <n v="57388"/>
    <n v="141482"/>
    <n v="22501"/>
    <n v="4629"/>
    <s v="No"/>
    <n v="68"/>
    <n v="3.9"/>
    <x v="3"/>
  </r>
  <r>
    <x v="1179"/>
    <s v="Amit Joshi"/>
    <n v="22"/>
    <x v="1"/>
    <s v="AB-"/>
    <s v="Delhi"/>
    <d v="2022-08-15T00:00:00"/>
    <d v="2022-08-24T00:00:00"/>
    <n v="9"/>
    <x v="0"/>
    <s v="Depression"/>
    <x v="5"/>
    <s v="ICU Care"/>
    <x v="0"/>
    <s v="Dr. Nisha Nair"/>
    <n v="378"/>
    <s v="General Ward"/>
    <x v="1"/>
    <n v="170595"/>
    <n v="90381"/>
    <n v="80214"/>
    <n v="145125"/>
    <n v="22722"/>
    <n v="2171"/>
    <s v="No"/>
    <n v="80"/>
    <n v="4.4000000000000004"/>
    <x v="1"/>
  </r>
  <r>
    <x v="1180"/>
    <s v="Pooja Reddy"/>
    <n v="17"/>
    <x v="0"/>
    <s v="B-"/>
    <s v="Delhi"/>
    <d v="2022-12-11T00:00:00"/>
    <d v="2022-12-31T00:00:00"/>
    <n v="20"/>
    <x v="0"/>
    <s v="COVID-19"/>
    <x v="1"/>
    <s v="ICU Care"/>
    <x v="0"/>
    <s v="Dr. Sameer Joshi"/>
    <n v="53"/>
    <s v="ICU"/>
    <x v="1"/>
    <n v="115436"/>
    <n v="63074"/>
    <n v="52362"/>
    <n v="84977"/>
    <n v="20949"/>
    <n v="7225"/>
    <s v="No"/>
    <n v="44"/>
    <n v="2.2999999999999998"/>
    <x v="2"/>
  </r>
  <r>
    <x v="1181"/>
    <s v="Arjun Iyer"/>
    <n v="79"/>
    <x v="1"/>
    <s v="AB+"/>
    <s v="Jaipur"/>
    <d v="2022-12-08T00:00:00"/>
    <d v="2022-12-31T00:00:00"/>
    <n v="23"/>
    <x v="0"/>
    <s v="Diabetes Type 2"/>
    <x v="9"/>
    <s v="Chemotherapy"/>
    <x v="1"/>
    <s v="Dr. Anjali Patel"/>
    <n v="219"/>
    <s v="ICU"/>
    <x v="4"/>
    <n v="95081"/>
    <n v="0"/>
    <n v="95081"/>
    <n v="54420"/>
    <n v="27061"/>
    <n v="11694"/>
    <s v="Yes"/>
    <n v="54"/>
    <n v="4.4000000000000004"/>
    <x v="2"/>
  </r>
  <r>
    <x v="1182"/>
    <s v="Pooja Kumar"/>
    <n v="35"/>
    <x v="1"/>
    <s v="AB-"/>
    <s v="Lucknow"/>
    <d v="2024-12-15T00:00:00"/>
    <d v="2024-12-26T00:00:00"/>
    <n v="11"/>
    <x v="5"/>
    <s v="Asthma"/>
    <x v="8"/>
    <s v="Medication"/>
    <x v="1"/>
    <s v="Dr. Rakesh Rao"/>
    <n v="428"/>
    <s v="General Ward"/>
    <x v="0"/>
    <n v="159478"/>
    <n v="99661"/>
    <n v="59817"/>
    <n v="129838"/>
    <n v="23038"/>
    <n v="3176"/>
    <s v="No"/>
    <n v="89"/>
    <n v="3"/>
    <x v="2"/>
  </r>
  <r>
    <x v="1183"/>
    <s v="Amit Khanna"/>
    <n v="35"/>
    <x v="1"/>
    <s v="B+"/>
    <s v="Ahmedabad"/>
    <d v="2023-07-25T00:00:00"/>
    <d v="2023-08-18T00:00:00"/>
    <n v="24"/>
    <x v="3"/>
    <s v="Stroke"/>
    <x v="6"/>
    <s v="Physiotherapy"/>
    <x v="2"/>
    <s v="Dr. Nisha Kumar"/>
    <n v="55"/>
    <s v="ICU"/>
    <x v="4"/>
    <n v="63939"/>
    <n v="0"/>
    <n v="63939"/>
    <n v="23281"/>
    <n v="28316"/>
    <n v="10333"/>
    <s v="No"/>
    <n v="96"/>
    <n v="4.5999999999999996"/>
    <x v="1"/>
  </r>
  <r>
    <x v="1184"/>
    <s v="Ashok Bose"/>
    <n v="58"/>
    <x v="1"/>
    <s v="A-"/>
    <s v="Bangalore"/>
    <d v="2023-01-20T00:00:00"/>
    <d v="2023-02-02T00:00:00"/>
    <n v="13"/>
    <x v="0"/>
    <s v="Diabetes Type 2"/>
    <x v="9"/>
    <s v="Counseling"/>
    <x v="0"/>
    <s v="Dr. Kavita Rao"/>
    <n v="307"/>
    <s v="Private"/>
    <x v="4"/>
    <n v="93103"/>
    <n v="0"/>
    <n v="93103"/>
    <n v="72687"/>
    <n v="4200"/>
    <n v="14013"/>
    <s v="No"/>
    <n v="75"/>
    <n v="2.8"/>
    <x v="2"/>
  </r>
  <r>
    <x v="1185"/>
    <s v="Sneha Verma"/>
    <n v="54"/>
    <x v="1"/>
    <s v="A+"/>
    <s v="Lucknow"/>
    <d v="2023-05-12T00:00:00"/>
    <d v="2023-05-13T00:00:00"/>
    <n v="1"/>
    <x v="0"/>
    <s v="Typhoid"/>
    <x v="1"/>
    <s v="Observation"/>
    <x v="3"/>
    <s v="Dr. Shalini Sharma"/>
    <n v="334"/>
    <s v="ICU"/>
    <x v="4"/>
    <n v="148214"/>
    <n v="0"/>
    <n v="148214"/>
    <n v="99991"/>
    <n v="29899"/>
    <n v="13414"/>
    <s v="No"/>
    <n v="80"/>
    <n v="2.8"/>
    <x v="3"/>
  </r>
  <r>
    <x v="1186"/>
    <s v="Ritu Menon"/>
    <n v="82"/>
    <x v="1"/>
    <s v="A-"/>
    <s v="Ahmedabad"/>
    <d v="2024-09-17T00:00:00"/>
    <d v="2024-10-08T00:00:00"/>
    <n v="21"/>
    <x v="3"/>
    <s v="Stroke"/>
    <x v="6"/>
    <s v="Surgery"/>
    <x v="0"/>
    <s v="Dr. Vivek Nair"/>
    <n v="33"/>
    <s v="General Ward"/>
    <x v="0"/>
    <n v="93220"/>
    <n v="63417"/>
    <n v="29803"/>
    <n v="61568"/>
    <n v="21371"/>
    <n v="8208"/>
    <s v="No"/>
    <n v="70"/>
    <n v="4.0999999999999996"/>
    <x v="3"/>
  </r>
  <r>
    <x v="1187"/>
    <s v="Meera Reddy"/>
    <n v="42"/>
    <x v="1"/>
    <s v="B+"/>
    <s v="Hyderabad"/>
    <d v="2022-09-29T00:00:00"/>
    <d v="2022-10-20T00:00:00"/>
    <n v="21"/>
    <x v="4"/>
    <s v="Heart Attack"/>
    <x v="7"/>
    <s v="Dialysis"/>
    <x v="1"/>
    <s v="Dr. Shalini Nair"/>
    <n v="451"/>
    <s v="Semi-Private"/>
    <x v="2"/>
    <n v="142563"/>
    <n v="116910"/>
    <n v="25653"/>
    <n v="112949"/>
    <n v="23076"/>
    <n v="4524"/>
    <s v="No"/>
    <n v="59"/>
    <n v="4.7"/>
    <x v="3"/>
  </r>
  <r>
    <x v="1188"/>
    <s v="Mukesh Pillai"/>
    <n v="17"/>
    <x v="0"/>
    <s v="O+"/>
    <s v="Hyderabad"/>
    <d v="2022-12-11T00:00:00"/>
    <d v="2022-12-21T00:00:00"/>
    <n v="10"/>
    <x v="0"/>
    <s v="Depression"/>
    <x v="5"/>
    <s v="Physiotherapy"/>
    <x v="1"/>
    <s v="Dr. Sameer Singh"/>
    <n v="126"/>
    <s v="Private"/>
    <x v="2"/>
    <n v="111654"/>
    <n v="90492"/>
    <n v="21162"/>
    <n v="85648"/>
    <n v="15392"/>
    <n v="7239"/>
    <s v="No"/>
    <n v="47"/>
    <n v="4"/>
    <x v="0"/>
  </r>
  <r>
    <x v="1189"/>
    <s v="Pooja Singh"/>
    <n v="48"/>
    <x v="0"/>
    <s v="O+"/>
    <s v="Mumbai"/>
    <d v="2023-08-07T00:00:00"/>
    <d v="2023-08-11T00:00:00"/>
    <n v="4"/>
    <x v="1"/>
    <s v="UTI"/>
    <x v="2"/>
    <s v="ICU Care"/>
    <x v="2"/>
    <s v="Dr. Shalini Nair"/>
    <n v="318"/>
    <s v="General Ward"/>
    <x v="0"/>
    <n v="138605"/>
    <n v="89989"/>
    <n v="48616"/>
    <n v="127541"/>
    <n v="2275"/>
    <n v="5741"/>
    <s v="Yes"/>
    <n v="93"/>
    <n v="3"/>
    <x v="3"/>
  </r>
  <r>
    <x v="1190"/>
    <s v="Sunita Menon"/>
    <n v="12"/>
    <x v="1"/>
    <s v="AB+"/>
    <s v="Delhi"/>
    <d v="2022-05-25T00:00:00"/>
    <d v="2022-05-26T00:00:00"/>
    <n v="1"/>
    <x v="3"/>
    <s v="Stroke"/>
    <x v="6"/>
    <s v="Observation"/>
    <x v="3"/>
    <s v="Dr. Shalini Singh"/>
    <n v="93"/>
    <s v="Semi-Private"/>
    <x v="2"/>
    <n v="71668"/>
    <n v="58290"/>
    <n v="13378"/>
    <n v="50744"/>
    <n v="8925"/>
    <n v="8368"/>
    <s v="No"/>
    <n v="82"/>
    <n v="4.8"/>
    <x v="4"/>
  </r>
  <r>
    <x v="1191"/>
    <s v="Divya Joshi"/>
    <n v="26"/>
    <x v="0"/>
    <s v="B-"/>
    <s v="Chennai"/>
    <d v="2024-02-25T00:00:00"/>
    <d v="2024-02-28T00:00:00"/>
    <n v="3"/>
    <x v="0"/>
    <s v="Obesity"/>
    <x v="12"/>
    <s v="Surgery"/>
    <x v="1"/>
    <s v="Dr. Deepak Reddy"/>
    <n v="312"/>
    <s v="General Ward"/>
    <x v="1"/>
    <n v="108604"/>
    <n v="47573"/>
    <n v="61031"/>
    <n v="65422"/>
    <n v="26671"/>
    <n v="13508"/>
    <s v="No"/>
    <n v="94"/>
    <n v="2.4"/>
    <x v="3"/>
  </r>
  <r>
    <x v="1192"/>
    <s v="Karan Khanna"/>
    <n v="27"/>
    <x v="1"/>
    <s v="O+"/>
    <s v="Kolkata"/>
    <d v="2023-01-27T00:00:00"/>
    <d v="2023-02-03T00:00:00"/>
    <n v="7"/>
    <x v="1"/>
    <s v="UTI"/>
    <x v="2"/>
    <s v="Counseling"/>
    <x v="2"/>
    <s v="Dr. Kavita Singh"/>
    <n v="107"/>
    <s v="ICU"/>
    <x v="4"/>
    <n v="69798"/>
    <n v="0"/>
    <n v="69798"/>
    <n v="31876"/>
    <n v="25168"/>
    <n v="9131"/>
    <s v="No"/>
    <n v="79"/>
    <n v="2.8"/>
    <x v="3"/>
  </r>
  <r>
    <x v="1193"/>
    <s v="Arjun Khanna"/>
    <n v="51"/>
    <x v="0"/>
    <s v="B+"/>
    <s v="Hyderabad"/>
    <d v="2023-05-26T00:00:00"/>
    <d v="2023-06-19T00:00:00"/>
    <n v="24"/>
    <x v="0"/>
    <s v="Depression"/>
    <x v="5"/>
    <s v="Observation"/>
    <x v="2"/>
    <s v="Dr. Deepak Kumar"/>
    <n v="176"/>
    <s v="General Ward"/>
    <x v="3"/>
    <n v="89951"/>
    <n v="69558"/>
    <n v="20393"/>
    <n v="75513"/>
    <n v="7691"/>
    <n v="6070"/>
    <s v="No"/>
    <n v="88"/>
    <n v="4.5999999999999996"/>
    <x v="0"/>
  </r>
  <r>
    <x v="1194"/>
    <s v="Lata Menon"/>
    <n v="52"/>
    <x v="0"/>
    <s v="AB-"/>
    <s v="Mumbai"/>
    <d v="2023-05-25T00:00:00"/>
    <d v="2023-06-13T00:00:00"/>
    <n v="19"/>
    <x v="0"/>
    <s v="Anemia"/>
    <x v="4"/>
    <s v="Observation"/>
    <x v="3"/>
    <s v="Dr. Nisha Reddy"/>
    <n v="166"/>
    <s v="General Ward"/>
    <x v="3"/>
    <n v="126734"/>
    <n v="93450"/>
    <n v="33284"/>
    <n v="111130"/>
    <n v="11752"/>
    <n v="1234"/>
    <s v="No"/>
    <n v="73"/>
    <n v="2.6"/>
    <x v="3"/>
  </r>
  <r>
    <x v="1195"/>
    <s v="Vijay Iyer"/>
    <n v="80"/>
    <x v="0"/>
    <s v="O+"/>
    <s v="Bangalore"/>
    <d v="2024-11-07T00:00:00"/>
    <d v="2024-11-22T00:00:00"/>
    <n v="15"/>
    <x v="3"/>
    <s v="Stroke"/>
    <x v="6"/>
    <s v="Dialysis"/>
    <x v="0"/>
    <s v="Dr. Vivek Nair"/>
    <n v="493"/>
    <s v="ICU"/>
    <x v="3"/>
    <n v="155202"/>
    <n v="114399"/>
    <n v="40803"/>
    <n v="122957"/>
    <n v="20301"/>
    <n v="9329"/>
    <s v="No"/>
    <n v="46"/>
    <n v="3.4"/>
    <x v="3"/>
  </r>
  <r>
    <x v="1196"/>
    <s v="Rekha Khanna"/>
    <n v="79"/>
    <x v="1"/>
    <s v="A-"/>
    <s v="Hyderabad"/>
    <d v="2024-06-20T00:00:00"/>
    <d v="2024-07-20T00:00:00"/>
    <n v="30"/>
    <x v="6"/>
    <s v="Fracture"/>
    <x v="10"/>
    <s v="Medication"/>
    <x v="2"/>
    <s v="Dr. Deepak Singh"/>
    <n v="408"/>
    <s v="ICU"/>
    <x v="2"/>
    <n v="118927"/>
    <n v="86299"/>
    <n v="32628"/>
    <n v="93269"/>
    <n v="13851"/>
    <n v="8371"/>
    <s v="No"/>
    <n v="40"/>
    <n v="4"/>
    <x v="3"/>
  </r>
  <r>
    <x v="1197"/>
    <s v="Ritu Das"/>
    <n v="59"/>
    <x v="1"/>
    <s v="A-"/>
    <s v="Kolkata"/>
    <d v="2024-10-03T00:00:00"/>
    <d v="2024-10-25T00:00:00"/>
    <n v="22"/>
    <x v="1"/>
    <s v="UTI"/>
    <x v="2"/>
    <s v="Dietary Management"/>
    <x v="2"/>
    <s v="Dr. Kavita Singh"/>
    <n v="356"/>
    <s v="Semi-Private"/>
    <x v="4"/>
    <n v="151029"/>
    <n v="0"/>
    <n v="151029"/>
    <n v="119016"/>
    <n v="19857"/>
    <n v="8972"/>
    <s v="Yes"/>
    <n v="99"/>
    <n v="2.8"/>
    <x v="3"/>
  </r>
  <r>
    <x v="1198"/>
    <s v="Rajesh Verma"/>
    <n v="57"/>
    <x v="0"/>
    <s v="B-"/>
    <s v="Ahmedabad"/>
    <d v="2023-12-04T00:00:00"/>
    <d v="2023-12-14T00:00:00"/>
    <n v="10"/>
    <x v="0"/>
    <s v="Diabetes Type 2"/>
    <x v="9"/>
    <s v="Dialysis"/>
    <x v="2"/>
    <s v="Dr. Deepak Joshi"/>
    <n v="37"/>
    <s v="ICU"/>
    <x v="1"/>
    <n v="78625"/>
    <n v="34384"/>
    <n v="44241"/>
    <n v="48992"/>
    <n v="11850"/>
    <n v="13632"/>
    <s v="No"/>
    <n v="94"/>
    <n v="2.4"/>
    <x v="3"/>
  </r>
  <r>
    <x v="1199"/>
    <s v="Rekha Reddy"/>
    <n v="73"/>
    <x v="0"/>
    <s v="AB-"/>
    <s v="Kolkata"/>
    <d v="2022-12-20T00:00:00"/>
    <d v="2023-01-14T00:00:00"/>
    <n v="25"/>
    <x v="3"/>
    <s v="Migraine"/>
    <x v="6"/>
    <s v="Counseling"/>
    <x v="1"/>
    <s v="Dr. Vivek Reddy"/>
    <n v="265"/>
    <s v="Private"/>
    <x v="1"/>
    <n v="111554"/>
    <n v="73384"/>
    <n v="38170"/>
    <n v="69092"/>
    <n v="25862"/>
    <n v="12765"/>
    <s v="No"/>
    <n v="82"/>
    <n v="3.2"/>
    <x v="1"/>
  </r>
  <r>
    <x v="1200"/>
    <s v="Arjun Shah"/>
    <n v="33"/>
    <x v="1"/>
    <s v="A-"/>
    <s v="Mumbai"/>
    <d v="2022-06-12T00:00:00"/>
    <d v="2022-07-10T00:00:00"/>
    <n v="28"/>
    <x v="5"/>
    <s v="Pneumonia"/>
    <x v="8"/>
    <s v="Counseling"/>
    <x v="0"/>
    <s v="Dr. Shalini Kumar"/>
    <n v="44"/>
    <s v="Semi-Private"/>
    <x v="2"/>
    <n v="116389"/>
    <n v="74981"/>
    <n v="41408"/>
    <n v="82056"/>
    <n v="22060"/>
    <n v="8752"/>
    <s v="No"/>
    <n v="85"/>
    <n v="3.5"/>
    <x v="1"/>
  </r>
  <r>
    <x v="1201"/>
    <s v="Arjun Chopra"/>
    <n v="65"/>
    <x v="1"/>
    <s v="B-"/>
    <s v="Kolkata"/>
    <d v="2023-11-02T00:00:00"/>
    <d v="2023-11-16T00:00:00"/>
    <n v="14"/>
    <x v="5"/>
    <s v="Pneumonia"/>
    <x v="8"/>
    <s v="Chemotherapy"/>
    <x v="0"/>
    <s v="Dr. Kavita Singh"/>
    <n v="156"/>
    <s v="Private"/>
    <x v="0"/>
    <n v="99306"/>
    <n v="61983"/>
    <n v="37323"/>
    <n v="72676"/>
    <n v="14204"/>
    <n v="8834"/>
    <s v="No"/>
    <n v="54"/>
    <n v="2.2999999999999998"/>
    <x v="3"/>
  </r>
  <r>
    <x v="1202"/>
    <s v="Sunita Gupta"/>
    <n v="30"/>
    <x v="1"/>
    <s v="O-"/>
    <s v="Ahmedabad"/>
    <d v="2024-05-13T00:00:00"/>
    <d v="2024-05-16T00:00:00"/>
    <n v="3"/>
    <x v="0"/>
    <s v="Typhoid"/>
    <x v="1"/>
    <s v="Radiation Therapy"/>
    <x v="2"/>
    <s v="Dr. Prerna Gupta"/>
    <n v="155"/>
    <s v="Private"/>
    <x v="4"/>
    <n v="151397"/>
    <n v="0"/>
    <n v="151397"/>
    <n v="125844"/>
    <n v="16124"/>
    <n v="7512"/>
    <s v="No"/>
    <n v="96"/>
    <n v="2.4"/>
    <x v="2"/>
  </r>
  <r>
    <x v="1203"/>
    <s v="Karan Malhotra"/>
    <n v="73"/>
    <x v="0"/>
    <s v="A+"/>
    <s v="Jaipur"/>
    <d v="2024-09-27T00:00:00"/>
    <d v="2024-10-24T00:00:00"/>
    <n v="27"/>
    <x v="0"/>
    <s v="Typhoid"/>
    <x v="1"/>
    <s v="Radiation Therapy"/>
    <x v="3"/>
    <s v="Dr. Shalini Singh"/>
    <n v="351"/>
    <s v="Private"/>
    <x v="0"/>
    <n v="120250"/>
    <n v="53091"/>
    <n v="67159"/>
    <n v="79779"/>
    <n v="28502"/>
    <n v="8731"/>
    <s v="No"/>
    <n v="52"/>
    <n v="3.3"/>
    <x v="4"/>
  </r>
  <r>
    <x v="1204"/>
    <s v="Lata Nair"/>
    <n v="8"/>
    <x v="1"/>
    <s v="AB-"/>
    <s v="Kolkata"/>
    <d v="2024-08-11T00:00:00"/>
    <d v="2024-08-25T00:00:00"/>
    <n v="14"/>
    <x v="0"/>
    <s v="Depression"/>
    <x v="5"/>
    <s v="Dialysis"/>
    <x v="1"/>
    <s v="Dr. Rakesh Mehta"/>
    <n v="12"/>
    <s v="ICU"/>
    <x v="3"/>
    <n v="144950"/>
    <n v="112921"/>
    <n v="32029"/>
    <n v="127485"/>
    <n v="12622"/>
    <n v="1819"/>
    <s v="No"/>
    <n v="59"/>
    <n v="2.2999999999999998"/>
    <x v="1"/>
  </r>
  <r>
    <x v="1205"/>
    <s v="Vijay Bose"/>
    <n v="31"/>
    <x v="1"/>
    <s v="A+"/>
    <s v="Lucknow"/>
    <d v="2022-04-30T00:00:00"/>
    <d v="2022-05-26T00:00:00"/>
    <n v="26"/>
    <x v="0"/>
    <s v="Diabetes Type 2"/>
    <x v="9"/>
    <s v="Dietary Management"/>
    <x v="3"/>
    <s v="Dr. Arun Joshi"/>
    <n v="191"/>
    <s v="ICU"/>
    <x v="4"/>
    <n v="150968"/>
    <n v="0"/>
    <n v="150968"/>
    <n v="137707"/>
    <n v="5915"/>
    <n v="4467"/>
    <s v="No"/>
    <n v="61"/>
    <n v="2.7"/>
    <x v="1"/>
  </r>
  <r>
    <x v="1206"/>
    <s v="Rajesh Khanna"/>
    <n v="51"/>
    <x v="1"/>
    <s v="O-"/>
    <s v="Bangalore"/>
    <d v="2023-02-15T00:00:00"/>
    <d v="2023-03-15T00:00:00"/>
    <n v="28"/>
    <x v="5"/>
    <s v="Pneumonia"/>
    <x v="8"/>
    <s v="Observation"/>
    <x v="1"/>
    <s v="Dr. Arun Sharma"/>
    <n v="134"/>
    <s v="ICU"/>
    <x v="2"/>
    <n v="32915"/>
    <n v="27796"/>
    <n v="5119"/>
    <n v="25625"/>
    <n v="3298"/>
    <n v="1481"/>
    <s v="No"/>
    <n v="88"/>
    <n v="4"/>
    <x v="4"/>
  </r>
  <r>
    <x v="1207"/>
    <s v="Rahul Singh"/>
    <n v="81"/>
    <x v="0"/>
    <s v="O-"/>
    <s v="Delhi"/>
    <d v="2022-06-27T00:00:00"/>
    <d v="2022-07-15T00:00:00"/>
    <n v="18"/>
    <x v="0"/>
    <s v="Appendicitis"/>
    <x v="0"/>
    <s v="Counseling"/>
    <x v="2"/>
    <s v="Dr. Anjali Singh"/>
    <n v="206"/>
    <s v="ICU"/>
    <x v="2"/>
    <n v="121577"/>
    <n v="89311"/>
    <n v="32266"/>
    <n v="86778"/>
    <n v="24926"/>
    <n v="5520"/>
    <s v="No"/>
    <n v="72"/>
    <n v="3.9"/>
    <x v="4"/>
  </r>
  <r>
    <x v="1208"/>
    <s v="Arjun Bose"/>
    <n v="5"/>
    <x v="0"/>
    <s v="AB-"/>
    <s v="Lucknow"/>
    <d v="2024-04-22T00:00:00"/>
    <d v="2024-05-05T00:00:00"/>
    <n v="13"/>
    <x v="3"/>
    <s v="Migraine"/>
    <x v="6"/>
    <s v="Physiotherapy"/>
    <x v="1"/>
    <s v="Dr. Nisha Mehta"/>
    <n v="189"/>
    <s v="ICU"/>
    <x v="4"/>
    <n v="115018"/>
    <n v="0"/>
    <n v="115018"/>
    <n v="103284"/>
    <n v="1549"/>
    <n v="9130"/>
    <s v="No"/>
    <n v="50"/>
    <n v="4.0999999999999996"/>
    <x v="2"/>
  </r>
  <r>
    <x v="1209"/>
    <s v="Aditya Joshi"/>
    <n v="78"/>
    <x v="1"/>
    <s v="AB-"/>
    <s v="Kolkata"/>
    <d v="2023-08-09T00:00:00"/>
    <d v="2023-09-06T00:00:00"/>
    <n v="28"/>
    <x v="4"/>
    <s v="Hypertension"/>
    <x v="7"/>
    <s v="Dialysis"/>
    <x v="0"/>
    <s v="Dr. Kavita Rao"/>
    <n v="274"/>
    <s v="ICU"/>
    <x v="0"/>
    <n v="54577"/>
    <n v="27636"/>
    <n v="26941"/>
    <n v="45780"/>
    <n v="3198"/>
    <n v="4651"/>
    <s v="No"/>
    <n v="45"/>
    <n v="3.6"/>
    <x v="4"/>
  </r>
  <r>
    <x v="1210"/>
    <s v="Priya Rao"/>
    <n v="67"/>
    <x v="0"/>
    <s v="AB-"/>
    <s v="Chennai"/>
    <d v="2023-03-13T00:00:00"/>
    <d v="2023-03-31T00:00:00"/>
    <n v="18"/>
    <x v="0"/>
    <s v="Obesity"/>
    <x v="12"/>
    <s v="Dialysis"/>
    <x v="0"/>
    <s v="Dr. Deepak Kumar"/>
    <n v="86"/>
    <s v="Private"/>
    <x v="3"/>
    <n v="119781"/>
    <n v="71964"/>
    <n v="47817"/>
    <n v="83441"/>
    <n v="29335"/>
    <n v="5455"/>
    <s v="No"/>
    <n v="56"/>
    <n v="2.8"/>
    <x v="3"/>
  </r>
  <r>
    <x v="1211"/>
    <s v="Sonia Joshi"/>
    <n v="33"/>
    <x v="0"/>
    <s v="B-"/>
    <s v="Pune"/>
    <d v="2022-06-18T00:00:00"/>
    <d v="2022-07-06T00:00:00"/>
    <n v="18"/>
    <x v="0"/>
    <s v="Anemia"/>
    <x v="4"/>
    <s v="Dialysis"/>
    <x v="0"/>
    <s v="Dr. Anjali Singh"/>
    <n v="49"/>
    <s v="Semi-Private"/>
    <x v="2"/>
    <n v="77758"/>
    <n v="62385"/>
    <n v="15373"/>
    <n v="58360"/>
    <n v="13008"/>
    <n v="1750"/>
    <s v="Yes"/>
    <n v="62"/>
    <n v="3.5"/>
    <x v="2"/>
  </r>
  <r>
    <x v="1212"/>
    <s v="Rohan Khanna"/>
    <n v="45"/>
    <x v="1"/>
    <s v="O-"/>
    <s v="Chennai"/>
    <d v="2024-12-15T00:00:00"/>
    <d v="2024-12-31T00:00:00"/>
    <n v="16"/>
    <x v="0"/>
    <s v="Depression"/>
    <x v="5"/>
    <s v="Physiotherapy"/>
    <x v="1"/>
    <s v="Dr. Anjali Nair"/>
    <n v="309"/>
    <s v="Private"/>
    <x v="4"/>
    <n v="62417"/>
    <n v="0"/>
    <n v="62417"/>
    <n v="20174"/>
    <n v="27504"/>
    <n v="9959"/>
    <s v="No"/>
    <n v="96"/>
    <n v="4"/>
    <x v="3"/>
  </r>
  <r>
    <x v="1213"/>
    <s v="Sonia Joshi"/>
    <n v="75"/>
    <x v="0"/>
    <s v="O-"/>
    <s v="Pune"/>
    <d v="2024-11-28T00:00:00"/>
    <d v="2024-12-25T00:00:00"/>
    <n v="27"/>
    <x v="0"/>
    <s v="Appendicitis"/>
    <x v="0"/>
    <s v="Radiation Therapy"/>
    <x v="3"/>
    <s v="Dr. Shalini Mehta"/>
    <n v="111"/>
    <s v="Semi-Private"/>
    <x v="2"/>
    <n v="84427"/>
    <n v="64529"/>
    <n v="19898"/>
    <n v="62760"/>
    <n v="11192"/>
    <n v="9224"/>
    <s v="No"/>
    <n v="42"/>
    <n v="4.2"/>
    <x v="2"/>
  </r>
  <r>
    <x v="1214"/>
    <s v="Ritu Singh"/>
    <n v="38"/>
    <x v="0"/>
    <s v="B-"/>
    <s v="Hyderabad"/>
    <d v="2022-09-18T00:00:00"/>
    <d v="2022-10-11T00:00:00"/>
    <n v="23"/>
    <x v="0"/>
    <s v="Liver Disease"/>
    <x v="0"/>
    <s v="Dialysis"/>
    <x v="2"/>
    <s v="Dr. Prerna Rao"/>
    <n v="449"/>
    <s v="Private"/>
    <x v="1"/>
    <n v="168615"/>
    <n v="116921"/>
    <n v="51694"/>
    <n v="126454"/>
    <n v="25397"/>
    <n v="14281"/>
    <s v="No"/>
    <n v="93"/>
    <n v="3.8"/>
    <x v="3"/>
  </r>
  <r>
    <x v="1215"/>
    <s v="Ananya Singh"/>
    <n v="70"/>
    <x v="0"/>
    <s v="B+"/>
    <s v="Ahmedabad"/>
    <d v="2023-01-31T00:00:00"/>
    <d v="2023-02-10T00:00:00"/>
    <n v="10"/>
    <x v="6"/>
    <s v="Fracture"/>
    <x v="10"/>
    <s v="Dialysis"/>
    <x v="0"/>
    <s v="Dr. Prerna Reddy"/>
    <n v="128"/>
    <s v="General Ward"/>
    <x v="4"/>
    <n v="115942"/>
    <n v="0"/>
    <n v="115942"/>
    <n v="98417"/>
    <n v="12876"/>
    <n v="3707"/>
    <s v="No"/>
    <n v="60"/>
    <n v="2.7"/>
    <x v="2"/>
  </r>
  <r>
    <x v="1216"/>
    <s v="Priya Rao"/>
    <n v="42"/>
    <x v="1"/>
    <s v="AB-"/>
    <s v="Ahmedabad"/>
    <d v="2024-12-27T00:00:00"/>
    <d v="2024-12-30T00:00:00"/>
    <n v="3"/>
    <x v="0"/>
    <s v="Appendicitis"/>
    <x v="0"/>
    <s v="Dietary Management"/>
    <x v="0"/>
    <s v="Dr. Nisha Rao"/>
    <n v="282"/>
    <s v="Private"/>
    <x v="4"/>
    <n v="115990"/>
    <n v="0"/>
    <n v="115990"/>
    <n v="88824"/>
    <n v="15962"/>
    <n v="7164"/>
    <s v="No"/>
    <n v="91"/>
    <n v="2.9"/>
    <x v="1"/>
  </r>
  <r>
    <x v="1217"/>
    <s v="Sneha Pillai"/>
    <n v="28"/>
    <x v="1"/>
    <s v="B+"/>
    <s v="Kolkata"/>
    <d v="2023-07-01T00:00:00"/>
    <d v="2023-07-12T00:00:00"/>
    <n v="11"/>
    <x v="5"/>
    <s v="Pneumonia"/>
    <x v="8"/>
    <s v="Observation"/>
    <x v="3"/>
    <s v="Dr. Prerna Rao"/>
    <n v="470"/>
    <s v="General Ward"/>
    <x v="2"/>
    <n v="134873"/>
    <n v="120666"/>
    <n v="14207"/>
    <n v="114930"/>
    <n v="4428"/>
    <n v="11883"/>
    <s v="No"/>
    <n v="79"/>
    <n v="2.2999999999999998"/>
    <x v="3"/>
  </r>
  <r>
    <x v="1218"/>
    <s v="Mukesh Das"/>
    <n v="21"/>
    <x v="1"/>
    <s v="O+"/>
    <s v="Bangalore"/>
    <d v="2022-09-10T00:00:00"/>
    <d v="2022-09-23T00:00:00"/>
    <n v="13"/>
    <x v="0"/>
    <s v="Depression"/>
    <x v="5"/>
    <s v="Observation"/>
    <x v="2"/>
    <s v="Dr. Sameer Patel"/>
    <n v="325"/>
    <s v="ICU"/>
    <x v="4"/>
    <n v="131772"/>
    <n v="0"/>
    <n v="131772"/>
    <n v="110410"/>
    <n v="6586"/>
    <n v="11155"/>
    <s v="No"/>
    <n v="76"/>
    <n v="4.3"/>
    <x v="2"/>
  </r>
  <r>
    <x v="1219"/>
    <s v="Aditya Das"/>
    <n v="29"/>
    <x v="0"/>
    <s v="AB-"/>
    <s v="Lucknow"/>
    <d v="2022-06-26T00:00:00"/>
    <d v="2022-07-20T00:00:00"/>
    <n v="24"/>
    <x v="4"/>
    <s v="Hypertension"/>
    <x v="7"/>
    <s v="ICU Care"/>
    <x v="2"/>
    <s v="Dr. Sameer Kumar"/>
    <n v="253"/>
    <s v="Semi-Private"/>
    <x v="0"/>
    <n v="179936"/>
    <n v="109948"/>
    <n v="69988"/>
    <n v="149511"/>
    <n v="21555"/>
    <n v="7968"/>
    <s v="No"/>
    <n v="41"/>
    <n v="2.1"/>
    <x v="4"/>
  </r>
  <r>
    <x v="1220"/>
    <s v="Sonia Nair"/>
    <n v="76"/>
    <x v="0"/>
    <s v="AB-"/>
    <s v="Bangalore"/>
    <d v="2023-06-05T00:00:00"/>
    <d v="2023-07-01T00:00:00"/>
    <n v="26"/>
    <x v="3"/>
    <s v="Stroke"/>
    <x v="6"/>
    <s v="Radiation Therapy"/>
    <x v="1"/>
    <s v="Dr. Sameer Rao"/>
    <n v="180"/>
    <s v="General Ward"/>
    <x v="4"/>
    <n v="112952"/>
    <n v="0"/>
    <n v="112952"/>
    <n v="92733"/>
    <n v="7103"/>
    <n v="12250"/>
    <s v="No"/>
    <n v="72"/>
    <n v="4.7"/>
    <x v="3"/>
  </r>
  <r>
    <x v="1221"/>
    <s v="Manoj Gupta"/>
    <n v="85"/>
    <x v="0"/>
    <s v="A+"/>
    <s v="Kolkata"/>
    <d v="2022-03-31T00:00:00"/>
    <d v="2022-04-10T00:00:00"/>
    <n v="10"/>
    <x v="0"/>
    <s v="Depression"/>
    <x v="5"/>
    <s v="Physiotherapy"/>
    <x v="2"/>
    <s v="Dr. Rakesh Sharma"/>
    <n v="215"/>
    <s v="Private"/>
    <x v="4"/>
    <n v="151364"/>
    <n v="0"/>
    <n v="151364"/>
    <n v="130070"/>
    <n v="9634"/>
    <n v="7891"/>
    <s v="No"/>
    <n v="78"/>
    <n v="4.9000000000000004"/>
    <x v="3"/>
  </r>
  <r>
    <x v="1222"/>
    <s v="Manoj Iyer"/>
    <n v="7"/>
    <x v="0"/>
    <s v="A-"/>
    <s v="Jaipur"/>
    <d v="2024-10-31T00:00:00"/>
    <d v="2024-11-11T00:00:00"/>
    <n v="11"/>
    <x v="0"/>
    <s v="Anemia"/>
    <x v="4"/>
    <s v="Dialysis"/>
    <x v="2"/>
    <s v="Dr. Arun Patel"/>
    <n v="462"/>
    <s v="ICU"/>
    <x v="4"/>
    <n v="128339"/>
    <n v="0"/>
    <n v="128339"/>
    <n v="97908"/>
    <n v="15136"/>
    <n v="13693"/>
    <s v="No"/>
    <n v="75"/>
    <n v="3.5"/>
    <x v="0"/>
  </r>
  <r>
    <x v="1223"/>
    <s v="Sonia Das"/>
    <n v="61"/>
    <x v="0"/>
    <s v="O-"/>
    <s v="Kolkata"/>
    <d v="2023-05-02T00:00:00"/>
    <d v="2023-05-05T00:00:00"/>
    <n v="3"/>
    <x v="3"/>
    <s v="Stroke"/>
    <x v="6"/>
    <s v="Medication"/>
    <x v="0"/>
    <s v="Dr. Sameer Mehta"/>
    <n v="432"/>
    <s v="General Ward"/>
    <x v="2"/>
    <n v="72295"/>
    <n v="55436"/>
    <n v="16859"/>
    <n v="30608"/>
    <n v="27193"/>
    <n v="12409"/>
    <s v="Yes"/>
    <n v="57"/>
    <n v="3.4"/>
    <x v="0"/>
  </r>
  <r>
    <x v="1224"/>
    <s v="Rohan Malhotra"/>
    <n v="15"/>
    <x v="1"/>
    <s v="B-"/>
    <s v="Jaipur"/>
    <d v="2022-02-04T00:00:00"/>
    <d v="2022-02-11T00:00:00"/>
    <n v="7"/>
    <x v="0"/>
    <s v="Dengue"/>
    <x v="1"/>
    <s v="Dialysis"/>
    <x v="3"/>
    <s v="Dr. Kavita Nair"/>
    <n v="87"/>
    <s v="Private"/>
    <x v="4"/>
    <n v="58202"/>
    <n v="0"/>
    <n v="58202"/>
    <n v="24246"/>
    <n v="20304"/>
    <n v="12153"/>
    <s v="No"/>
    <n v="91"/>
    <n v="3.7"/>
    <x v="3"/>
  </r>
  <r>
    <x v="1225"/>
    <s v="Nisha Reddy"/>
    <n v="44"/>
    <x v="0"/>
    <s v="B+"/>
    <s v="Jaipur"/>
    <d v="2023-05-06T00:00:00"/>
    <d v="2023-05-25T00:00:00"/>
    <n v="19"/>
    <x v="1"/>
    <s v="Kidney Stone"/>
    <x v="2"/>
    <s v="Observation"/>
    <x v="0"/>
    <s v="Dr. Kavita Sharma"/>
    <n v="420"/>
    <s v="Private"/>
    <x v="0"/>
    <n v="76787"/>
    <n v="42081"/>
    <n v="34706"/>
    <n v="38054"/>
    <n v="22545"/>
    <n v="12462"/>
    <s v="No"/>
    <n v="56"/>
    <n v="4.5999999999999996"/>
    <x v="0"/>
  </r>
  <r>
    <x v="1226"/>
    <s v="Karan Das"/>
    <n v="57"/>
    <x v="0"/>
    <s v="AB+"/>
    <s v="Bangalore"/>
    <d v="2022-12-08T00:00:00"/>
    <d v="2022-12-20T00:00:00"/>
    <n v="12"/>
    <x v="0"/>
    <s v="Depression"/>
    <x v="5"/>
    <s v="Physiotherapy"/>
    <x v="2"/>
    <s v="Dr. Deepak Sharma"/>
    <n v="390"/>
    <s v="General Ward"/>
    <x v="1"/>
    <n v="76368"/>
    <n v="35351"/>
    <n v="41017"/>
    <n v="62234"/>
    <n v="6054"/>
    <n v="4521"/>
    <s v="No"/>
    <n v="72"/>
    <n v="3.5"/>
    <x v="4"/>
  </r>
  <r>
    <x v="1227"/>
    <s v="Ritu Rao"/>
    <n v="59"/>
    <x v="0"/>
    <s v="AB+"/>
    <s v="Ahmedabad"/>
    <d v="2024-10-25T00:00:00"/>
    <d v="2024-10-26T00:00:00"/>
    <n v="1"/>
    <x v="0"/>
    <s v="Liver Disease"/>
    <x v="0"/>
    <s v="Dialysis"/>
    <x v="3"/>
    <s v="Dr. Deepak Reddy"/>
    <n v="246"/>
    <s v="Private"/>
    <x v="4"/>
    <n v="132851"/>
    <n v="0"/>
    <n v="132851"/>
    <n v="90315"/>
    <n v="28228"/>
    <n v="9918"/>
    <s v="No"/>
    <n v="45"/>
    <n v="2.7"/>
    <x v="2"/>
  </r>
  <r>
    <x v="1228"/>
    <s v="Rahul Bose"/>
    <n v="46"/>
    <x v="0"/>
    <s v="O-"/>
    <s v="Lucknow"/>
    <d v="2022-11-21T00:00:00"/>
    <d v="2022-12-21T00:00:00"/>
    <n v="30"/>
    <x v="6"/>
    <s v="Arthritis"/>
    <x v="11"/>
    <s v="Radiation Therapy"/>
    <x v="3"/>
    <s v="Dr. Deepak Gupta"/>
    <n v="495"/>
    <s v="Private"/>
    <x v="2"/>
    <n v="59806"/>
    <n v="53300"/>
    <n v="6506"/>
    <n v="21874"/>
    <n v="24126"/>
    <n v="10922"/>
    <s v="No"/>
    <n v="96"/>
    <n v="4.9000000000000004"/>
    <x v="2"/>
  </r>
  <r>
    <x v="1229"/>
    <s v="Pooja Malhotra"/>
    <n v="46"/>
    <x v="1"/>
    <s v="A-"/>
    <s v="Lucknow"/>
    <d v="2024-10-06T00:00:00"/>
    <d v="2024-10-20T00:00:00"/>
    <n v="14"/>
    <x v="5"/>
    <s v="Asthma"/>
    <x v="8"/>
    <s v="Chemotherapy"/>
    <x v="3"/>
    <s v="Dr. Shalini Joshi"/>
    <n v="183"/>
    <s v="Private"/>
    <x v="2"/>
    <n v="140488"/>
    <n v="97387"/>
    <n v="43101"/>
    <n v="98897"/>
    <n v="26514"/>
    <n v="11007"/>
    <s v="Yes"/>
    <n v="65"/>
    <n v="3.3"/>
    <x v="0"/>
  </r>
  <r>
    <x v="1230"/>
    <s v="Pooja Reddy"/>
    <n v="6"/>
    <x v="1"/>
    <s v="B-"/>
    <s v="Pune"/>
    <d v="2024-10-29T00:00:00"/>
    <d v="2024-11-25T00:00:00"/>
    <n v="27"/>
    <x v="4"/>
    <s v="Heart Attack"/>
    <x v="7"/>
    <s v="Surgery"/>
    <x v="0"/>
    <s v="Dr. Kavita Sharma"/>
    <n v="44"/>
    <s v="Private"/>
    <x v="1"/>
    <n v="164739"/>
    <n v="74423"/>
    <n v="90316"/>
    <n v="129623"/>
    <n v="22371"/>
    <n v="10974"/>
    <s v="No"/>
    <n v="48"/>
    <n v="3.6"/>
    <x v="0"/>
  </r>
  <r>
    <x v="1231"/>
    <s v="Lata Mehta"/>
    <n v="44"/>
    <x v="1"/>
    <s v="AB-"/>
    <s v="Kolkata"/>
    <d v="2024-04-20T00:00:00"/>
    <d v="2024-05-08T00:00:00"/>
    <n v="18"/>
    <x v="0"/>
    <s v="Diabetes Type 2"/>
    <x v="9"/>
    <s v="Counseling"/>
    <x v="3"/>
    <s v="Dr. Vivek Sharma"/>
    <n v="489"/>
    <s v="General Ward"/>
    <x v="1"/>
    <n v="26604"/>
    <n v="12210"/>
    <n v="14394"/>
    <n v="13804"/>
    <n v="9997"/>
    <n v="632"/>
    <s v="No"/>
    <n v="40"/>
    <n v="2.2000000000000002"/>
    <x v="1"/>
  </r>
  <r>
    <x v="1232"/>
    <s v="Rekha Reddy"/>
    <n v="61"/>
    <x v="1"/>
    <s v="O-"/>
    <s v="Jaipur"/>
    <d v="2024-03-28T00:00:00"/>
    <d v="2024-04-10T00:00:00"/>
    <n v="13"/>
    <x v="0"/>
    <s v="Typhoid"/>
    <x v="1"/>
    <s v="ICU Care"/>
    <x v="3"/>
    <s v="Dr. Rakesh Singh"/>
    <n v="214"/>
    <s v="General Ward"/>
    <x v="4"/>
    <n v="96177"/>
    <n v="0"/>
    <n v="96177"/>
    <n v="69237"/>
    <n v="20194"/>
    <n v="3027"/>
    <s v="Yes"/>
    <n v="96"/>
    <n v="3.3"/>
    <x v="1"/>
  </r>
  <r>
    <x v="1233"/>
    <s v="Sonia Chopra"/>
    <n v="22"/>
    <x v="0"/>
    <s v="B+"/>
    <s v="Mumbai"/>
    <d v="2023-11-13T00:00:00"/>
    <d v="2023-12-07T00:00:00"/>
    <n v="24"/>
    <x v="3"/>
    <s v="Stroke"/>
    <x v="6"/>
    <s v="Dialysis"/>
    <x v="1"/>
    <s v="Dr. Prerna Rao"/>
    <n v="354"/>
    <s v="Semi-Private"/>
    <x v="1"/>
    <n v="120426"/>
    <n v="77182"/>
    <n v="43244"/>
    <n v="96494"/>
    <n v="14394"/>
    <n v="7781"/>
    <s v="No"/>
    <n v="42"/>
    <n v="2.5"/>
    <x v="3"/>
  </r>
  <r>
    <x v="1234"/>
    <s v="Mukesh Shah"/>
    <n v="46"/>
    <x v="1"/>
    <s v="B-"/>
    <s v="Mumbai"/>
    <d v="2024-10-15T00:00:00"/>
    <d v="2024-10-30T00:00:00"/>
    <n v="15"/>
    <x v="0"/>
    <s v="Dengue"/>
    <x v="1"/>
    <s v="Counseling"/>
    <x v="2"/>
    <s v="Dr. Prerna Mehta"/>
    <n v="198"/>
    <s v="Semi-Private"/>
    <x v="3"/>
    <n v="95225"/>
    <n v="68495"/>
    <n v="26730"/>
    <n v="73110"/>
    <n v="8128"/>
    <n v="10450"/>
    <s v="No"/>
    <n v="57"/>
    <n v="2.9"/>
    <x v="4"/>
  </r>
  <r>
    <x v="1235"/>
    <s v="Aditya Malhotra"/>
    <n v="76"/>
    <x v="1"/>
    <s v="AB-"/>
    <s v="Pune"/>
    <d v="2022-06-18T00:00:00"/>
    <d v="2022-07-10T00:00:00"/>
    <n v="22"/>
    <x v="0"/>
    <s v="Obesity"/>
    <x v="12"/>
    <s v="Surgery"/>
    <x v="1"/>
    <s v="Dr. Anjali Gupta"/>
    <n v="192"/>
    <s v="Private"/>
    <x v="2"/>
    <n v="79288"/>
    <n v="54683"/>
    <n v="24605"/>
    <n v="45154"/>
    <n v="19762"/>
    <n v="11601"/>
    <s v="No"/>
    <n v="78"/>
    <n v="4.3"/>
    <x v="1"/>
  </r>
  <r>
    <x v="1236"/>
    <s v="Suresh Kumar"/>
    <n v="59"/>
    <x v="0"/>
    <s v="B+"/>
    <s v="Jaipur"/>
    <d v="2023-05-16T00:00:00"/>
    <d v="2023-06-02T00:00:00"/>
    <n v="17"/>
    <x v="0"/>
    <s v="Dengue"/>
    <x v="1"/>
    <s v="Radiation Therapy"/>
    <x v="3"/>
    <s v="Dr. Anjali Gupta"/>
    <n v="223"/>
    <s v="Private"/>
    <x v="3"/>
    <n v="114312"/>
    <n v="69230"/>
    <n v="45082"/>
    <n v="88686"/>
    <n v="20082"/>
    <n v="1101"/>
    <s v="No"/>
    <n v="86"/>
    <n v="3.8"/>
    <x v="2"/>
  </r>
  <r>
    <x v="1237"/>
    <s v="Rajesh Rao"/>
    <n v="33"/>
    <x v="0"/>
    <s v="AB-"/>
    <s v="Ahmedabad"/>
    <d v="2022-07-28T00:00:00"/>
    <d v="2022-08-08T00:00:00"/>
    <n v="11"/>
    <x v="0"/>
    <s v="Anemia"/>
    <x v="4"/>
    <s v="Physiotherapy"/>
    <x v="2"/>
    <s v="Dr. Arun Rao"/>
    <n v="137"/>
    <s v="General Ward"/>
    <x v="3"/>
    <n v="142276"/>
    <n v="122292"/>
    <n v="19984"/>
    <n v="111146"/>
    <n v="23738"/>
    <n v="4448"/>
    <s v="No"/>
    <n v="63"/>
    <n v="3.8"/>
    <x v="4"/>
  </r>
  <r>
    <x v="1238"/>
    <s v="Sneha Patel"/>
    <n v="11"/>
    <x v="1"/>
    <s v="A-"/>
    <s v="Pune"/>
    <d v="2023-06-01T00:00:00"/>
    <d v="2023-06-16T00:00:00"/>
    <n v="15"/>
    <x v="0"/>
    <s v="COVID-19"/>
    <x v="1"/>
    <s v="Dialysis"/>
    <x v="3"/>
    <s v="Dr. Kavita Patel"/>
    <n v="420"/>
    <s v="Private"/>
    <x v="1"/>
    <n v="143906"/>
    <n v="98255"/>
    <n v="45651"/>
    <n v="131813"/>
    <n v="5374"/>
    <n v="3333"/>
    <s v="No"/>
    <n v="72"/>
    <n v="3"/>
    <x v="1"/>
  </r>
  <r>
    <x v="1239"/>
    <s v="Sneha Reddy"/>
    <n v="48"/>
    <x v="0"/>
    <s v="AB-"/>
    <s v="Hyderabad"/>
    <d v="2022-07-15T00:00:00"/>
    <d v="2022-07-28T00:00:00"/>
    <n v="13"/>
    <x v="0"/>
    <s v="Depression"/>
    <x v="5"/>
    <s v="ICU Care"/>
    <x v="0"/>
    <s v="Dr. Kavita Rao"/>
    <n v="341"/>
    <s v="Private"/>
    <x v="0"/>
    <n v="104299"/>
    <n v="53194"/>
    <n v="51105"/>
    <n v="67334"/>
    <n v="29203"/>
    <n v="2868"/>
    <s v="No"/>
    <n v="75"/>
    <n v="2.1"/>
    <x v="0"/>
  </r>
  <r>
    <x v="1240"/>
    <s v="Lata Shah"/>
    <n v="67"/>
    <x v="0"/>
    <s v="AB-"/>
    <s v="Pune"/>
    <d v="2024-10-24T00:00:00"/>
    <d v="2024-10-28T00:00:00"/>
    <n v="4"/>
    <x v="0"/>
    <s v="Anemia"/>
    <x v="4"/>
    <s v="Medication"/>
    <x v="2"/>
    <s v="Dr. Deepak Singh"/>
    <n v="322"/>
    <s v="General Ward"/>
    <x v="0"/>
    <n v="125766"/>
    <n v="78289"/>
    <n v="47477"/>
    <n v="112621"/>
    <n v="6493"/>
    <n v="4404"/>
    <s v="No"/>
    <n v="80"/>
    <n v="2.9"/>
    <x v="3"/>
  </r>
  <r>
    <x v="1241"/>
    <s v="Deepa Sharma"/>
    <n v="64"/>
    <x v="1"/>
    <s v="O+"/>
    <s v="Kolkata"/>
    <d v="2024-06-29T00:00:00"/>
    <d v="2024-07-20T00:00:00"/>
    <n v="21"/>
    <x v="0"/>
    <s v="Appendicitis"/>
    <x v="0"/>
    <s v="Radiation Therapy"/>
    <x v="0"/>
    <s v="Dr. Kavita Singh"/>
    <n v="64"/>
    <s v="Private"/>
    <x v="4"/>
    <n v="107772"/>
    <n v="0"/>
    <n v="107772"/>
    <n v="94140"/>
    <n v="2367"/>
    <n v="8990"/>
    <s v="No"/>
    <n v="58"/>
    <n v="3.1"/>
    <x v="4"/>
  </r>
  <r>
    <x v="1242"/>
    <s v="Priya Kumar"/>
    <n v="64"/>
    <x v="1"/>
    <s v="B-"/>
    <s v="Lucknow"/>
    <d v="2024-03-06T00:00:00"/>
    <d v="2024-03-10T00:00:00"/>
    <n v="4"/>
    <x v="4"/>
    <s v="Hypertension"/>
    <x v="7"/>
    <s v="Radiation Therapy"/>
    <x v="3"/>
    <s v="Dr. Shalini Sharma"/>
    <n v="338"/>
    <s v="General Ward"/>
    <x v="2"/>
    <n v="150187"/>
    <n v="110839"/>
    <n v="39348"/>
    <n v="119905"/>
    <n v="25566"/>
    <n v="1077"/>
    <s v="No"/>
    <n v="57"/>
    <n v="3.7"/>
    <x v="4"/>
  </r>
  <r>
    <x v="1243"/>
    <s v="Ritu Khanna"/>
    <n v="81"/>
    <x v="1"/>
    <s v="O-"/>
    <s v="Pune"/>
    <d v="2022-07-20T00:00:00"/>
    <d v="2022-08-02T00:00:00"/>
    <n v="13"/>
    <x v="5"/>
    <s v="Pneumonia"/>
    <x v="8"/>
    <s v="ICU Care"/>
    <x v="2"/>
    <s v="Dr. Deepak Rao"/>
    <n v="218"/>
    <s v="ICU"/>
    <x v="3"/>
    <n v="90849"/>
    <n v="67777"/>
    <n v="23072"/>
    <n v="70532"/>
    <n v="12565"/>
    <n v="3743"/>
    <s v="No"/>
    <n v="96"/>
    <n v="4"/>
    <x v="1"/>
  </r>
  <r>
    <x v="1244"/>
    <s v="Manoj Das"/>
    <n v="81"/>
    <x v="0"/>
    <s v="A+"/>
    <s v="Ahmedabad"/>
    <d v="2022-04-29T00:00:00"/>
    <d v="2022-05-14T00:00:00"/>
    <n v="15"/>
    <x v="5"/>
    <s v="Pneumonia"/>
    <x v="8"/>
    <s v="Counseling"/>
    <x v="2"/>
    <s v="Dr. Rakesh Patel"/>
    <n v="496"/>
    <s v="Semi-Private"/>
    <x v="0"/>
    <n v="127756"/>
    <n v="74562"/>
    <n v="53194"/>
    <n v="95546"/>
    <n v="27878"/>
    <n v="2244"/>
    <s v="Yes"/>
    <n v="52"/>
    <n v="2.1"/>
    <x v="4"/>
  </r>
  <r>
    <x v="1245"/>
    <s v="Sonia Rao"/>
    <n v="26"/>
    <x v="0"/>
    <s v="O+"/>
    <s v="Lucknow"/>
    <d v="2023-04-10T00:00:00"/>
    <d v="2023-04-24T00:00:00"/>
    <n v="14"/>
    <x v="3"/>
    <s v="Migraine"/>
    <x v="6"/>
    <s v="ICU Care"/>
    <x v="0"/>
    <s v="Dr. Shalini Joshi"/>
    <n v="227"/>
    <s v="General Ward"/>
    <x v="4"/>
    <n v="147389"/>
    <n v="0"/>
    <n v="147389"/>
    <n v="141356"/>
    <n v="1732"/>
    <n v="3711"/>
    <s v="No"/>
    <n v="98"/>
    <n v="3.4"/>
    <x v="2"/>
  </r>
  <r>
    <x v="1246"/>
    <s v="Lata Shah"/>
    <n v="85"/>
    <x v="0"/>
    <s v="O-"/>
    <s v="Jaipur"/>
    <d v="2022-11-11T00:00:00"/>
    <d v="2022-11-24T00:00:00"/>
    <n v="13"/>
    <x v="4"/>
    <s v="Hypertension"/>
    <x v="7"/>
    <s v="Physiotherapy"/>
    <x v="3"/>
    <s v="Dr. Sameer Joshi"/>
    <n v="122"/>
    <s v="ICU"/>
    <x v="1"/>
    <n v="112811"/>
    <n v="49913"/>
    <n v="62898"/>
    <n v="74315"/>
    <n v="24184"/>
    <n v="13253"/>
    <s v="No"/>
    <n v="88"/>
    <n v="3.6"/>
    <x v="4"/>
  </r>
  <r>
    <x v="1247"/>
    <s v="Sanjay Kumar"/>
    <n v="16"/>
    <x v="1"/>
    <s v="B+"/>
    <s v="Chennai"/>
    <d v="2022-12-07T00:00:00"/>
    <d v="2022-12-10T00:00:00"/>
    <n v="3"/>
    <x v="5"/>
    <s v="Asthma"/>
    <x v="8"/>
    <s v="ICU Care"/>
    <x v="2"/>
    <s v="Dr. Vivek Patel"/>
    <n v="473"/>
    <s v="General Ward"/>
    <x v="1"/>
    <n v="176120"/>
    <n v="100438"/>
    <n v="75682"/>
    <n v="133249"/>
    <n v="26877"/>
    <n v="11017"/>
    <s v="No"/>
    <n v="93"/>
    <n v="3"/>
    <x v="0"/>
  </r>
  <r>
    <x v="1248"/>
    <s v="Rekha Rao"/>
    <n v="55"/>
    <x v="0"/>
    <s v="AB-"/>
    <s v="Hyderabad"/>
    <d v="2023-07-13T00:00:00"/>
    <d v="2023-07-26T00:00:00"/>
    <n v="13"/>
    <x v="1"/>
    <s v="Kidney Stone"/>
    <x v="2"/>
    <s v="Physiotherapy"/>
    <x v="3"/>
    <s v="Dr. Nisha Singh"/>
    <n v="147"/>
    <s v="General Ward"/>
    <x v="2"/>
    <n v="164135"/>
    <n v="131262"/>
    <n v="32873"/>
    <n v="141517"/>
    <n v="4196"/>
    <n v="13562"/>
    <s v="No"/>
    <n v="84"/>
    <n v="3"/>
    <x v="2"/>
  </r>
  <r>
    <x v="1249"/>
    <s v="Karan Malhotra"/>
    <n v="29"/>
    <x v="1"/>
    <s v="O-"/>
    <s v="Bangalore"/>
    <d v="2022-04-29T00:00:00"/>
    <d v="2022-05-06T00:00:00"/>
    <n v="7"/>
    <x v="0"/>
    <s v="Depression"/>
    <x v="5"/>
    <s v="Surgery"/>
    <x v="2"/>
    <s v="Dr. Anjali Joshi"/>
    <n v="263"/>
    <s v="Private"/>
    <x v="2"/>
    <n v="181944"/>
    <n v="160425"/>
    <n v="21519"/>
    <n v="145786"/>
    <n v="26512"/>
    <n v="5078"/>
    <s v="No"/>
    <n v="82"/>
    <n v="2.4"/>
    <x v="3"/>
  </r>
  <r>
    <x v="1250"/>
    <s v="Rahul Nair"/>
    <n v="71"/>
    <x v="1"/>
    <s v="B-"/>
    <s v="Chennai"/>
    <d v="2023-10-25T00:00:00"/>
    <d v="2023-11-03T00:00:00"/>
    <n v="9"/>
    <x v="0"/>
    <s v="Diabetes Type 2"/>
    <x v="9"/>
    <s v="Surgery"/>
    <x v="2"/>
    <s v="Dr. Anjali Mehta"/>
    <n v="278"/>
    <s v="Semi-Private"/>
    <x v="3"/>
    <n v="20590"/>
    <n v="15329"/>
    <n v="5261"/>
    <n v="7993"/>
    <n v="7409"/>
    <n v="526"/>
    <s v="No"/>
    <n v="98"/>
    <n v="2.9"/>
    <x v="4"/>
  </r>
  <r>
    <x v="1251"/>
    <s v="Priya Iyer"/>
    <n v="6"/>
    <x v="0"/>
    <s v="AB-"/>
    <s v="Kolkata"/>
    <d v="2022-08-11T00:00:00"/>
    <d v="2022-08-29T00:00:00"/>
    <n v="18"/>
    <x v="2"/>
    <s v="Cancer"/>
    <x v="3"/>
    <s v="Observation"/>
    <x v="2"/>
    <s v="Dr. Shalini Kumar"/>
    <n v="2"/>
    <s v="ICU"/>
    <x v="3"/>
    <n v="170408"/>
    <n v="134785"/>
    <n v="35623"/>
    <n v="131557"/>
    <n v="23578"/>
    <n v="14235"/>
    <s v="No"/>
    <n v="46"/>
    <n v="3.5"/>
    <x v="3"/>
  </r>
  <r>
    <x v="1252"/>
    <s v="Deepa Pillai"/>
    <n v="72"/>
    <x v="0"/>
    <s v="A+"/>
    <s v="Hyderabad"/>
    <d v="2022-07-30T00:00:00"/>
    <d v="2022-08-16T00:00:00"/>
    <n v="17"/>
    <x v="3"/>
    <s v="Migraine"/>
    <x v="6"/>
    <s v="Chemotherapy"/>
    <x v="1"/>
    <s v="Dr. Kavita Mehta"/>
    <n v="199"/>
    <s v="Private"/>
    <x v="4"/>
    <n v="134016"/>
    <n v="0"/>
    <n v="134016"/>
    <n v="110016"/>
    <n v="9411"/>
    <n v="10572"/>
    <s v="No"/>
    <n v="46"/>
    <n v="3.8"/>
    <x v="3"/>
  </r>
  <r>
    <x v="1253"/>
    <s v="Karan Patel"/>
    <n v="46"/>
    <x v="1"/>
    <s v="A+"/>
    <s v="Kolkata"/>
    <d v="2023-05-28T00:00:00"/>
    <d v="2023-06-23T00:00:00"/>
    <n v="26"/>
    <x v="0"/>
    <s v="Obesity"/>
    <x v="12"/>
    <s v="Dietary Management"/>
    <x v="0"/>
    <s v="Dr. Arun Reddy"/>
    <n v="153"/>
    <s v="Semi-Private"/>
    <x v="4"/>
    <n v="73577"/>
    <n v="0"/>
    <n v="73577"/>
    <n v="35013"/>
    <n v="24106"/>
    <n v="10267"/>
    <s v="No"/>
    <n v="47"/>
    <n v="3.7"/>
    <x v="1"/>
  </r>
  <r>
    <x v="1254"/>
    <s v="Ritu Iyer"/>
    <n v="17"/>
    <x v="1"/>
    <s v="AB+"/>
    <s v="Jaipur"/>
    <d v="2022-10-19T00:00:00"/>
    <d v="2022-11-07T00:00:00"/>
    <n v="19"/>
    <x v="3"/>
    <s v="Migraine"/>
    <x v="6"/>
    <s v="Medication"/>
    <x v="0"/>
    <s v="Dr. Rakesh Mehta"/>
    <n v="61"/>
    <s v="Private"/>
    <x v="0"/>
    <n v="51505"/>
    <n v="31860"/>
    <n v="19645"/>
    <n v="22559"/>
    <n v="20607"/>
    <n v="4579"/>
    <s v="No"/>
    <n v="61"/>
    <n v="4.9000000000000004"/>
    <x v="4"/>
  </r>
  <r>
    <x v="1255"/>
    <s v="Lata Sharma"/>
    <n v="22"/>
    <x v="1"/>
    <s v="A-"/>
    <s v="Kolkata"/>
    <d v="2022-02-21T00:00:00"/>
    <d v="2022-03-11T00:00:00"/>
    <n v="18"/>
    <x v="6"/>
    <s v="Arthritis"/>
    <x v="11"/>
    <s v="ICU Care"/>
    <x v="3"/>
    <s v="Dr. Deepak Sharma"/>
    <n v="73"/>
    <s v="Semi-Private"/>
    <x v="0"/>
    <n v="129254"/>
    <n v="83791"/>
    <n v="45463"/>
    <n v="101483"/>
    <n v="18866"/>
    <n v="4281"/>
    <s v="No"/>
    <n v="93"/>
    <n v="3.9"/>
    <x v="3"/>
  </r>
  <r>
    <x v="1256"/>
    <s v="Aditya Khanna"/>
    <n v="51"/>
    <x v="0"/>
    <s v="B-"/>
    <s v="Pune"/>
    <d v="2022-06-22T00:00:00"/>
    <d v="2022-07-08T00:00:00"/>
    <n v="16"/>
    <x v="1"/>
    <s v="UTI"/>
    <x v="2"/>
    <s v="Dialysis"/>
    <x v="0"/>
    <s v="Dr. Shalini Reddy"/>
    <n v="396"/>
    <s v="Private"/>
    <x v="2"/>
    <n v="45858"/>
    <n v="31701"/>
    <n v="14157"/>
    <n v="11815"/>
    <n v="29707"/>
    <n v="3169"/>
    <s v="No"/>
    <n v="88"/>
    <n v="2.2999999999999998"/>
    <x v="0"/>
  </r>
  <r>
    <x v="1257"/>
    <s v="Kavya Mehta"/>
    <n v="16"/>
    <x v="0"/>
    <s v="O-"/>
    <s v="Jaipur"/>
    <d v="2024-09-14T00:00:00"/>
    <d v="2024-10-03T00:00:00"/>
    <n v="19"/>
    <x v="0"/>
    <s v="Obesity"/>
    <x v="12"/>
    <s v="Chemotherapy"/>
    <x v="3"/>
    <s v="Dr. Shalini Gupta"/>
    <n v="52"/>
    <s v="ICU"/>
    <x v="3"/>
    <n v="64612"/>
    <n v="42494"/>
    <n v="22118"/>
    <n v="26350"/>
    <n v="29082"/>
    <n v="8461"/>
    <s v="No"/>
    <n v="72"/>
    <n v="3.4"/>
    <x v="3"/>
  </r>
  <r>
    <x v="1258"/>
    <s v="Mukesh Iyer"/>
    <n v="43"/>
    <x v="1"/>
    <s v="B+"/>
    <s v="Hyderabad"/>
    <d v="2024-02-22T00:00:00"/>
    <d v="2024-02-23T00:00:00"/>
    <n v="1"/>
    <x v="0"/>
    <s v="Dengue"/>
    <x v="1"/>
    <s v="Observation"/>
    <x v="3"/>
    <s v="Dr. Deepak Reddy"/>
    <n v="390"/>
    <s v="Private"/>
    <x v="0"/>
    <n v="92787"/>
    <n v="40324"/>
    <n v="52463"/>
    <n v="67670"/>
    <n v="15687"/>
    <n v="6810"/>
    <s v="No"/>
    <n v="88"/>
    <n v="4.5"/>
    <x v="4"/>
  </r>
  <r>
    <x v="1259"/>
    <s v="Sunil Khanna"/>
    <n v="12"/>
    <x v="1"/>
    <s v="AB+"/>
    <s v="Hyderabad"/>
    <d v="2023-04-05T00:00:00"/>
    <d v="2023-04-15T00:00:00"/>
    <n v="10"/>
    <x v="0"/>
    <s v="Dengue"/>
    <x v="1"/>
    <s v="Radiation Therapy"/>
    <x v="2"/>
    <s v="Dr. Prerna Gupta"/>
    <n v="390"/>
    <s v="Semi-Private"/>
    <x v="2"/>
    <n v="79138"/>
    <n v="61256"/>
    <n v="17882"/>
    <n v="64676"/>
    <n v="8398"/>
    <n v="3400"/>
    <s v="No"/>
    <n v="93"/>
    <n v="4.2"/>
    <x v="4"/>
  </r>
  <r>
    <x v="1260"/>
    <s v="Amit Bose"/>
    <n v="38"/>
    <x v="0"/>
    <s v="A-"/>
    <s v="Mumbai"/>
    <d v="2023-09-11T00:00:00"/>
    <d v="2023-09-29T00:00:00"/>
    <n v="18"/>
    <x v="5"/>
    <s v="Asthma"/>
    <x v="8"/>
    <s v="Medication"/>
    <x v="3"/>
    <s v="Dr. Anjali Reddy"/>
    <n v="432"/>
    <s v="General Ward"/>
    <x v="1"/>
    <n v="49094"/>
    <n v="32252"/>
    <n v="16842"/>
    <n v="29308"/>
    <n v="12286"/>
    <n v="6840"/>
    <s v="No"/>
    <n v="50"/>
    <n v="3.5"/>
    <x v="4"/>
  </r>
  <r>
    <x v="1261"/>
    <s v="Divya Iyer"/>
    <n v="51"/>
    <x v="0"/>
    <s v="AB-"/>
    <s v="Kolkata"/>
    <d v="2022-08-29T00:00:00"/>
    <d v="2022-09-02T00:00:00"/>
    <n v="4"/>
    <x v="0"/>
    <s v="Appendicitis"/>
    <x v="0"/>
    <s v="Radiation Therapy"/>
    <x v="0"/>
    <s v="Dr. Vivek Singh"/>
    <n v="452"/>
    <s v="ICU"/>
    <x v="4"/>
    <n v="120127"/>
    <n v="0"/>
    <n v="120127"/>
    <n v="81003"/>
    <n v="23072"/>
    <n v="12676"/>
    <s v="No"/>
    <n v="69"/>
    <n v="2.4"/>
    <x v="0"/>
  </r>
  <r>
    <x v="1262"/>
    <s v="Lata Malhotra"/>
    <n v="24"/>
    <x v="1"/>
    <s v="AB+"/>
    <s v="Lucknow"/>
    <d v="2023-03-07T00:00:00"/>
    <d v="2023-03-17T00:00:00"/>
    <n v="10"/>
    <x v="6"/>
    <s v="Arthritis"/>
    <x v="11"/>
    <s v="Dialysis"/>
    <x v="1"/>
    <s v="Dr. Kavita Rao"/>
    <n v="6"/>
    <s v="Private"/>
    <x v="3"/>
    <n v="182775"/>
    <n v="110291"/>
    <n v="72484"/>
    <n v="143523"/>
    <n v="29123"/>
    <n v="6215"/>
    <s v="No"/>
    <n v="86"/>
    <n v="3.8"/>
    <x v="0"/>
  </r>
  <r>
    <x v="1263"/>
    <s v="Ananya Khanna"/>
    <n v="13"/>
    <x v="1"/>
    <s v="B+"/>
    <s v="Kolkata"/>
    <d v="2024-09-02T00:00:00"/>
    <d v="2024-09-04T00:00:00"/>
    <n v="2"/>
    <x v="0"/>
    <s v="Liver Disease"/>
    <x v="0"/>
    <s v="Radiation Therapy"/>
    <x v="0"/>
    <s v="Dr. Anjali Rao"/>
    <n v="192"/>
    <s v="ICU"/>
    <x v="2"/>
    <n v="92016"/>
    <n v="59193"/>
    <n v="32823"/>
    <n v="58771"/>
    <n v="19661"/>
    <n v="9756"/>
    <s v="No"/>
    <n v="69"/>
    <n v="3.8"/>
    <x v="4"/>
  </r>
  <r>
    <x v="1264"/>
    <s v="Rahul Singh"/>
    <n v="12"/>
    <x v="0"/>
    <s v="B-"/>
    <s v="Pune"/>
    <d v="2022-09-10T00:00:00"/>
    <d v="2022-09-15T00:00:00"/>
    <n v="5"/>
    <x v="0"/>
    <s v="Depression"/>
    <x v="5"/>
    <s v="Observation"/>
    <x v="2"/>
    <s v="Dr. Sameer Sharma"/>
    <n v="209"/>
    <s v="Semi-Private"/>
    <x v="4"/>
    <n v="70625"/>
    <n v="0"/>
    <n v="70625"/>
    <n v="57878"/>
    <n v="6372"/>
    <n v="4298"/>
    <s v="No"/>
    <n v="89"/>
    <n v="2.7"/>
    <x v="2"/>
  </r>
  <r>
    <x v="1265"/>
    <s v="Suresh Menon"/>
    <n v="80"/>
    <x v="1"/>
    <s v="O+"/>
    <s v="Hyderabad"/>
    <d v="2024-02-16T00:00:00"/>
    <d v="2024-02-17T00:00:00"/>
    <n v="1"/>
    <x v="3"/>
    <s v="Migraine"/>
    <x v="6"/>
    <s v="Observation"/>
    <x v="3"/>
    <s v="Dr. Kavita Sharma"/>
    <n v="205"/>
    <s v="Private"/>
    <x v="0"/>
    <n v="79746"/>
    <n v="52950"/>
    <n v="26796"/>
    <n v="54998"/>
    <n v="12174"/>
    <n v="7670"/>
    <s v="No"/>
    <n v="48"/>
    <n v="3.8"/>
    <x v="3"/>
  </r>
  <r>
    <x v="1266"/>
    <s v="Vikram Das"/>
    <n v="48"/>
    <x v="1"/>
    <s v="AB-"/>
    <s v="Mumbai"/>
    <d v="2022-03-09T00:00:00"/>
    <d v="2022-04-04T00:00:00"/>
    <n v="26"/>
    <x v="3"/>
    <s v="Migraine"/>
    <x v="6"/>
    <s v="Dialysis"/>
    <x v="3"/>
    <s v="Dr. Rakesh Nair"/>
    <n v="246"/>
    <s v="Private"/>
    <x v="0"/>
    <n v="52510"/>
    <n v="33343"/>
    <n v="19167"/>
    <n v="32953"/>
    <n v="4815"/>
    <n v="9980"/>
    <s v="No"/>
    <n v="63"/>
    <n v="3.1"/>
    <x v="1"/>
  </r>
  <r>
    <x v="1267"/>
    <s v="Mukesh Gupta"/>
    <n v="72"/>
    <x v="1"/>
    <s v="O-"/>
    <s v="Chennai"/>
    <d v="2024-06-28T00:00:00"/>
    <d v="2024-07-12T00:00:00"/>
    <n v="14"/>
    <x v="1"/>
    <s v="UTI"/>
    <x v="2"/>
    <s v="ICU Care"/>
    <x v="3"/>
    <s v="Dr. Arun Gupta"/>
    <n v="286"/>
    <s v="ICU"/>
    <x v="1"/>
    <n v="178611"/>
    <n v="92711"/>
    <n v="85900"/>
    <n v="143945"/>
    <n v="21890"/>
    <n v="7817"/>
    <s v="No"/>
    <n v="42"/>
    <n v="2.7"/>
    <x v="0"/>
  </r>
  <r>
    <x v="1268"/>
    <s v="Vikram Joshi"/>
    <n v="20"/>
    <x v="1"/>
    <s v="A-"/>
    <s v="Ahmedabad"/>
    <d v="2022-03-12T00:00:00"/>
    <d v="2022-04-10T00:00:00"/>
    <n v="29"/>
    <x v="6"/>
    <s v="Fracture"/>
    <x v="10"/>
    <s v="ICU Care"/>
    <x v="0"/>
    <s v="Dr. Vivek Reddy"/>
    <n v="488"/>
    <s v="Semi-Private"/>
    <x v="1"/>
    <n v="161825"/>
    <n v="72472"/>
    <n v="89353"/>
    <n v="128725"/>
    <n v="19542"/>
    <n v="9093"/>
    <s v="No"/>
    <n v="71"/>
    <n v="2.6"/>
    <x v="3"/>
  </r>
  <r>
    <x v="1269"/>
    <s v="Rohan Joshi"/>
    <n v="44"/>
    <x v="0"/>
    <s v="AB+"/>
    <s v="Bangalore"/>
    <d v="2022-08-20T00:00:00"/>
    <d v="2022-09-05T00:00:00"/>
    <n v="16"/>
    <x v="0"/>
    <s v="Obesity"/>
    <x v="12"/>
    <s v="Dialysis"/>
    <x v="3"/>
    <s v="Dr. Prerna Joshi"/>
    <n v="5"/>
    <s v="Semi-Private"/>
    <x v="0"/>
    <n v="85934"/>
    <n v="34545"/>
    <n v="51389"/>
    <n v="52907"/>
    <n v="18757"/>
    <n v="9621"/>
    <s v="Yes"/>
    <n v="60"/>
    <n v="2.2000000000000002"/>
    <x v="3"/>
  </r>
  <r>
    <x v="1270"/>
    <s v="Ananya Das"/>
    <n v="67"/>
    <x v="0"/>
    <s v="O-"/>
    <s v="Delhi"/>
    <d v="2022-11-04T00:00:00"/>
    <d v="2022-11-05T00:00:00"/>
    <n v="1"/>
    <x v="5"/>
    <s v="Pneumonia"/>
    <x v="8"/>
    <s v="Medication"/>
    <x v="1"/>
    <s v="Dr. Anjali Kumar"/>
    <n v="153"/>
    <s v="Private"/>
    <x v="4"/>
    <n v="46422"/>
    <n v="0"/>
    <n v="46422"/>
    <n v="22517"/>
    <n v="14053"/>
    <n v="5012"/>
    <s v="No"/>
    <n v="48"/>
    <n v="4"/>
    <x v="3"/>
  </r>
  <r>
    <x v="1271"/>
    <s v="Priya Nair"/>
    <n v="56"/>
    <x v="0"/>
    <s v="B+"/>
    <s v="Ahmedabad"/>
    <d v="2023-10-17T00:00:00"/>
    <d v="2023-11-07T00:00:00"/>
    <n v="21"/>
    <x v="4"/>
    <s v="Hypertension"/>
    <x v="7"/>
    <s v="ICU Care"/>
    <x v="2"/>
    <s v="Dr. Vivek Rao"/>
    <n v="230"/>
    <s v="Private"/>
    <x v="4"/>
    <n v="81531"/>
    <n v="0"/>
    <n v="81531"/>
    <n v="49776"/>
    <n v="28041"/>
    <n v="1332"/>
    <s v="No"/>
    <n v="65"/>
    <n v="2.2000000000000002"/>
    <x v="0"/>
  </r>
  <r>
    <x v="1272"/>
    <s v="Sonia Verma"/>
    <n v="42"/>
    <x v="1"/>
    <s v="B-"/>
    <s v="Mumbai"/>
    <d v="2024-02-02T00:00:00"/>
    <d v="2024-02-19T00:00:00"/>
    <n v="17"/>
    <x v="0"/>
    <s v="Typhoid"/>
    <x v="1"/>
    <s v="Chemotherapy"/>
    <x v="2"/>
    <s v="Dr. Vivek Nair"/>
    <n v="363"/>
    <s v="General Ward"/>
    <x v="3"/>
    <n v="49474"/>
    <n v="34665"/>
    <n v="14809"/>
    <n v="17838"/>
    <n v="27070"/>
    <n v="1940"/>
    <s v="No"/>
    <n v="49"/>
    <n v="2.7"/>
    <x v="4"/>
  </r>
  <r>
    <x v="1273"/>
    <s v="Meera Singh"/>
    <n v="39"/>
    <x v="0"/>
    <s v="A-"/>
    <s v="Lucknow"/>
    <d v="2024-07-31T00:00:00"/>
    <d v="2024-08-01T00:00:00"/>
    <n v="1"/>
    <x v="0"/>
    <s v="Appendicitis"/>
    <x v="0"/>
    <s v="Medication"/>
    <x v="1"/>
    <s v="Dr. Shalini Joshi"/>
    <n v="255"/>
    <s v="ICU"/>
    <x v="0"/>
    <n v="39479"/>
    <n v="16663"/>
    <n v="22816"/>
    <n v="12263"/>
    <n v="21231"/>
    <n v="2615"/>
    <s v="Yes"/>
    <n v="47"/>
    <n v="4.5"/>
    <x v="2"/>
  </r>
  <r>
    <x v="1274"/>
    <s v="Ritu Shah"/>
    <n v="21"/>
    <x v="1"/>
    <s v="B-"/>
    <s v="Bangalore"/>
    <d v="2024-07-10T00:00:00"/>
    <d v="2024-08-06T00:00:00"/>
    <n v="27"/>
    <x v="4"/>
    <s v="Hypertension"/>
    <x v="7"/>
    <s v="Dietary Management"/>
    <x v="2"/>
    <s v="Dr. Anjali Rao"/>
    <n v="175"/>
    <s v="Semi-Private"/>
    <x v="1"/>
    <n v="57119"/>
    <n v="38518"/>
    <n v="18601"/>
    <n v="32037"/>
    <n v="12261"/>
    <n v="9274"/>
    <s v="No"/>
    <n v="44"/>
    <n v="3.3"/>
    <x v="2"/>
  </r>
  <r>
    <x v="1275"/>
    <s v="Lata Menon"/>
    <n v="61"/>
    <x v="1"/>
    <s v="O+"/>
    <s v="Lucknow"/>
    <d v="2022-12-04T00:00:00"/>
    <d v="2022-12-05T00:00:00"/>
    <n v="1"/>
    <x v="0"/>
    <s v="COVID-19"/>
    <x v="1"/>
    <s v="Radiation Therapy"/>
    <x v="3"/>
    <s v="Dr. Prerna Singh"/>
    <n v="469"/>
    <s v="Semi-Private"/>
    <x v="4"/>
    <n v="163984"/>
    <n v="0"/>
    <n v="163984"/>
    <n v="127616"/>
    <n v="28090"/>
    <n v="4403"/>
    <s v="No"/>
    <n v="48"/>
    <n v="3"/>
    <x v="3"/>
  </r>
  <r>
    <x v="1276"/>
    <s v="Arjun Pillai"/>
    <n v="35"/>
    <x v="1"/>
    <s v="B+"/>
    <s v="Hyderabad"/>
    <d v="2024-08-20T00:00:00"/>
    <d v="2024-09-13T00:00:00"/>
    <n v="24"/>
    <x v="0"/>
    <s v="COVID-19"/>
    <x v="1"/>
    <s v="Observation"/>
    <x v="0"/>
    <s v="Dr. Anjali Mehta"/>
    <n v="452"/>
    <s v="Private"/>
    <x v="4"/>
    <n v="84585"/>
    <n v="0"/>
    <n v="84585"/>
    <n v="55140"/>
    <n v="21819"/>
    <n v="5508"/>
    <s v="No"/>
    <n v="61"/>
    <n v="4.5999999999999996"/>
    <x v="0"/>
  </r>
  <r>
    <x v="1277"/>
    <s v="Mukesh Malhotra"/>
    <n v="71"/>
    <x v="0"/>
    <s v="B+"/>
    <s v="Lucknow"/>
    <d v="2024-02-10T00:00:00"/>
    <d v="2024-02-22T00:00:00"/>
    <n v="12"/>
    <x v="0"/>
    <s v="Typhoid"/>
    <x v="1"/>
    <s v="ICU Care"/>
    <x v="0"/>
    <s v="Dr. Rakesh Reddy"/>
    <n v="458"/>
    <s v="General Ward"/>
    <x v="0"/>
    <n v="59346"/>
    <n v="28549"/>
    <n v="30797"/>
    <n v="17288"/>
    <n v="25998"/>
    <n v="13706"/>
    <s v="No"/>
    <n v="41"/>
    <n v="3.9"/>
    <x v="2"/>
  </r>
  <r>
    <x v="1278"/>
    <s v="Deepa Bose"/>
    <n v="79"/>
    <x v="0"/>
    <s v="A+"/>
    <s v="Mumbai"/>
    <d v="2022-04-13T00:00:00"/>
    <d v="2022-05-02T00:00:00"/>
    <n v="19"/>
    <x v="1"/>
    <s v="UTI"/>
    <x v="2"/>
    <s v="Dietary Management"/>
    <x v="1"/>
    <s v="Dr. Vivek Kumar"/>
    <n v="248"/>
    <s v="Semi-Private"/>
    <x v="3"/>
    <n v="126110"/>
    <n v="91008"/>
    <n v="35102"/>
    <n v="113842"/>
    <n v="5176"/>
    <n v="5218"/>
    <s v="No"/>
    <n v="84"/>
    <n v="4.5"/>
    <x v="2"/>
  </r>
  <r>
    <x v="1279"/>
    <s v="Nisha Nair"/>
    <n v="81"/>
    <x v="1"/>
    <s v="A+"/>
    <s v="Chennai"/>
    <d v="2024-04-24T00:00:00"/>
    <d v="2024-05-20T00:00:00"/>
    <n v="26"/>
    <x v="0"/>
    <s v="Liver Disease"/>
    <x v="0"/>
    <s v="Medication"/>
    <x v="1"/>
    <s v="Dr. Rakesh Sharma"/>
    <n v="468"/>
    <s v="General Ward"/>
    <x v="4"/>
    <n v="66022"/>
    <n v="0"/>
    <n v="66022"/>
    <n v="43878"/>
    <n v="16294"/>
    <n v="4460"/>
    <s v="No"/>
    <n v="47"/>
    <n v="4.3"/>
    <x v="2"/>
  </r>
  <r>
    <x v="1280"/>
    <s v="Ashok Joshi"/>
    <n v="55"/>
    <x v="0"/>
    <s v="A-"/>
    <s v="Hyderabad"/>
    <d v="2024-10-03T00:00:00"/>
    <d v="2024-10-31T00:00:00"/>
    <n v="28"/>
    <x v="0"/>
    <s v="Dengue"/>
    <x v="1"/>
    <s v="Dietary Management"/>
    <x v="1"/>
    <s v="Dr. Arun Patel"/>
    <n v="268"/>
    <s v="Private"/>
    <x v="0"/>
    <n v="82249"/>
    <n v="57205"/>
    <n v="25044"/>
    <n v="63398"/>
    <n v="8124"/>
    <n v="5906"/>
    <s v="No"/>
    <n v="91"/>
    <n v="2.9"/>
    <x v="2"/>
  </r>
  <r>
    <x v="1281"/>
    <s v="Sanjay Pillai"/>
    <n v="36"/>
    <x v="0"/>
    <s v="AB+"/>
    <s v="Kolkata"/>
    <d v="2024-09-12T00:00:00"/>
    <d v="2024-10-08T00:00:00"/>
    <n v="26"/>
    <x v="0"/>
    <s v="Typhoid"/>
    <x v="1"/>
    <s v="ICU Care"/>
    <x v="2"/>
    <s v="Dr. Shalini Sharma"/>
    <n v="405"/>
    <s v="Semi-Private"/>
    <x v="0"/>
    <n v="150405"/>
    <n v="81142"/>
    <n v="69263"/>
    <n v="118056"/>
    <n v="26203"/>
    <n v="3179"/>
    <s v="No"/>
    <n v="65"/>
    <n v="3"/>
    <x v="3"/>
  </r>
  <r>
    <x v="1282"/>
    <s v="Geeta Mehta"/>
    <n v="23"/>
    <x v="1"/>
    <s v="A+"/>
    <s v="Mumbai"/>
    <d v="2024-06-04T00:00:00"/>
    <d v="2024-06-14T00:00:00"/>
    <n v="10"/>
    <x v="0"/>
    <s v="COVID-19"/>
    <x v="1"/>
    <s v="Surgery"/>
    <x v="3"/>
    <s v="Dr. Rakesh Mehta"/>
    <n v="232"/>
    <s v="ICU"/>
    <x v="0"/>
    <n v="107275"/>
    <n v="65901"/>
    <n v="41374"/>
    <n v="90166"/>
    <n v="11423"/>
    <n v="4756"/>
    <s v="No"/>
    <n v="81"/>
    <n v="2.7"/>
    <x v="4"/>
  </r>
  <r>
    <x v="1283"/>
    <s v="Divya Bose"/>
    <n v="81"/>
    <x v="1"/>
    <s v="A+"/>
    <s v="Kolkata"/>
    <d v="2024-06-26T00:00:00"/>
    <d v="2024-07-08T00:00:00"/>
    <n v="12"/>
    <x v="5"/>
    <s v="Asthma"/>
    <x v="8"/>
    <s v="Chemotherapy"/>
    <x v="2"/>
    <s v="Dr. Rakesh Reddy"/>
    <n v="351"/>
    <s v="ICU"/>
    <x v="1"/>
    <n v="28091"/>
    <n v="17467"/>
    <n v="10624"/>
    <n v="10039"/>
    <n v="10082"/>
    <n v="5734"/>
    <s v="No"/>
    <n v="95"/>
    <n v="2.5"/>
    <x v="1"/>
  </r>
  <r>
    <x v="1284"/>
    <s v="Ananya Das"/>
    <n v="65"/>
    <x v="1"/>
    <s v="O-"/>
    <s v="Ahmedabad"/>
    <d v="2023-02-10T00:00:00"/>
    <d v="2023-02-18T00:00:00"/>
    <n v="8"/>
    <x v="6"/>
    <s v="Arthritis"/>
    <x v="11"/>
    <s v="Chemotherapy"/>
    <x v="2"/>
    <s v="Dr. Arun Gupta"/>
    <n v="120"/>
    <s v="Private"/>
    <x v="4"/>
    <n v="108208"/>
    <n v="0"/>
    <n v="108208"/>
    <n v="70156"/>
    <n v="21613"/>
    <n v="14234"/>
    <s v="Yes"/>
    <n v="54"/>
    <n v="3.3"/>
    <x v="3"/>
  </r>
  <r>
    <x v="1285"/>
    <s v="Rekha Joshi"/>
    <n v="24"/>
    <x v="0"/>
    <s v="AB-"/>
    <s v="Hyderabad"/>
    <d v="2022-02-14T00:00:00"/>
    <d v="2022-03-07T00:00:00"/>
    <n v="21"/>
    <x v="0"/>
    <s v="Obesity"/>
    <x v="12"/>
    <s v="ICU Care"/>
    <x v="2"/>
    <s v="Dr. Anjali Mehta"/>
    <n v="29"/>
    <s v="Semi-Private"/>
    <x v="0"/>
    <n v="105295"/>
    <n v="54746"/>
    <n v="50549"/>
    <n v="95922"/>
    <n v="2468"/>
    <n v="5811"/>
    <s v="Yes"/>
    <n v="92"/>
    <n v="2.4"/>
    <x v="3"/>
  </r>
  <r>
    <x v="1286"/>
    <s v="Ashok Sharma"/>
    <n v="67"/>
    <x v="1"/>
    <s v="O-"/>
    <s v="Pune"/>
    <d v="2023-10-27T00:00:00"/>
    <d v="2023-11-14T00:00:00"/>
    <n v="18"/>
    <x v="0"/>
    <s v="Typhoid"/>
    <x v="1"/>
    <s v="Dietary Management"/>
    <x v="3"/>
    <s v="Dr. Arun Singh"/>
    <n v="78"/>
    <s v="Semi-Private"/>
    <x v="4"/>
    <n v="114836"/>
    <n v="0"/>
    <n v="114836"/>
    <n v="94361"/>
    <n v="13886"/>
    <n v="5506"/>
    <s v="Yes"/>
    <n v="79"/>
    <n v="2.5"/>
    <x v="1"/>
  </r>
  <r>
    <x v="1287"/>
    <s v="Rekha Singh"/>
    <n v="21"/>
    <x v="0"/>
    <s v="B-"/>
    <s v="Jaipur"/>
    <d v="2022-03-14T00:00:00"/>
    <d v="2022-03-30T00:00:00"/>
    <n v="16"/>
    <x v="6"/>
    <s v="Arthritis"/>
    <x v="11"/>
    <s v="Dietary Management"/>
    <x v="1"/>
    <s v="Dr. Kavita Kumar"/>
    <n v="463"/>
    <s v="General Ward"/>
    <x v="4"/>
    <n v="103230"/>
    <n v="0"/>
    <n v="103230"/>
    <n v="63514"/>
    <n v="24895"/>
    <n v="11781"/>
    <s v="No"/>
    <n v="56"/>
    <n v="4.8"/>
    <x v="3"/>
  </r>
  <r>
    <x v="1288"/>
    <s v="Divya Bose"/>
    <n v="19"/>
    <x v="0"/>
    <s v="AB-"/>
    <s v="Pune"/>
    <d v="2024-01-04T00:00:00"/>
    <d v="2024-01-20T00:00:00"/>
    <n v="16"/>
    <x v="0"/>
    <s v="Appendicitis"/>
    <x v="0"/>
    <s v="Observation"/>
    <x v="2"/>
    <s v="Dr. Sameer Nair"/>
    <n v="324"/>
    <s v="Semi-Private"/>
    <x v="4"/>
    <n v="126241"/>
    <n v="0"/>
    <n v="126241"/>
    <n v="112368"/>
    <n v="9061"/>
    <n v="785"/>
    <s v="Yes"/>
    <n v="66"/>
    <n v="2.4"/>
    <x v="3"/>
  </r>
  <r>
    <x v="1289"/>
    <s v="Sunita Pillai"/>
    <n v="51"/>
    <x v="0"/>
    <s v="B-"/>
    <s v="Pune"/>
    <d v="2022-09-27T00:00:00"/>
    <d v="2022-09-28T00:00:00"/>
    <n v="1"/>
    <x v="4"/>
    <s v="Hypertension"/>
    <x v="7"/>
    <s v="Observation"/>
    <x v="1"/>
    <s v="Dr. Nisha Sharma"/>
    <n v="149"/>
    <s v="Semi-Private"/>
    <x v="2"/>
    <n v="121679"/>
    <n v="91295"/>
    <n v="30384"/>
    <n v="87416"/>
    <n v="20893"/>
    <n v="9713"/>
    <s v="No"/>
    <n v="81"/>
    <n v="3.3"/>
    <x v="4"/>
  </r>
  <r>
    <x v="1290"/>
    <s v="Sunil Singh"/>
    <n v="44"/>
    <x v="1"/>
    <s v="B-"/>
    <s v="Kolkata"/>
    <d v="2022-02-19T00:00:00"/>
    <d v="2022-03-21T00:00:00"/>
    <n v="30"/>
    <x v="6"/>
    <s v="Arthritis"/>
    <x v="11"/>
    <s v="Dietary Management"/>
    <x v="1"/>
    <s v="Dr. Prerna Sharma"/>
    <n v="41"/>
    <s v="Private"/>
    <x v="3"/>
    <n v="62610"/>
    <n v="48834"/>
    <n v="13776"/>
    <n v="30178"/>
    <n v="28839"/>
    <n v="1320"/>
    <s v="No"/>
    <n v="72"/>
    <n v="3.6"/>
    <x v="0"/>
  </r>
  <r>
    <x v="1291"/>
    <s v="Sneha Pillai"/>
    <n v="81"/>
    <x v="1"/>
    <s v="A+"/>
    <s v="Hyderabad"/>
    <d v="2024-03-11T00:00:00"/>
    <d v="2024-04-02T00:00:00"/>
    <n v="22"/>
    <x v="0"/>
    <s v="Appendicitis"/>
    <x v="0"/>
    <s v="Chemotherapy"/>
    <x v="1"/>
    <s v="Dr. Vivek Nair"/>
    <n v="243"/>
    <s v="Private"/>
    <x v="2"/>
    <n v="186162"/>
    <n v="163781"/>
    <n v="22381"/>
    <n v="143265"/>
    <n v="27781"/>
    <n v="11723"/>
    <s v="No"/>
    <n v="42"/>
    <n v="5"/>
    <x v="3"/>
  </r>
  <r>
    <x v="1292"/>
    <s v="Sunita Iyer"/>
    <n v="53"/>
    <x v="0"/>
    <s v="AB+"/>
    <s v="Jaipur"/>
    <d v="2022-11-25T00:00:00"/>
    <d v="2022-12-08T00:00:00"/>
    <n v="13"/>
    <x v="0"/>
    <s v="Typhoid"/>
    <x v="1"/>
    <s v="Counseling"/>
    <x v="1"/>
    <s v="Dr. Arun Gupta"/>
    <n v="487"/>
    <s v="Semi-Private"/>
    <x v="3"/>
    <n v="76001"/>
    <n v="60950"/>
    <n v="15051"/>
    <n v="46049"/>
    <n v="28004"/>
    <n v="529"/>
    <s v="No"/>
    <n v="58"/>
    <n v="3.3"/>
    <x v="2"/>
  </r>
  <r>
    <x v="1293"/>
    <s v="Sunil Mehta"/>
    <n v="50"/>
    <x v="0"/>
    <s v="O+"/>
    <s v="Mumbai"/>
    <d v="2024-08-12T00:00:00"/>
    <d v="2024-08-29T00:00:00"/>
    <n v="17"/>
    <x v="2"/>
    <s v="Cancer"/>
    <x v="3"/>
    <s v="Counseling"/>
    <x v="2"/>
    <s v="Dr. Arun Joshi"/>
    <n v="310"/>
    <s v="ICU"/>
    <x v="1"/>
    <n v="120299"/>
    <n v="60631"/>
    <n v="59668"/>
    <n v="102315"/>
    <n v="4382"/>
    <n v="11011"/>
    <s v="No"/>
    <n v="75"/>
    <n v="2.6"/>
    <x v="4"/>
  </r>
  <r>
    <x v="1294"/>
    <s v="Mukesh Singh"/>
    <n v="38"/>
    <x v="0"/>
    <s v="AB-"/>
    <s v="Hyderabad"/>
    <d v="2022-03-14T00:00:00"/>
    <d v="2022-03-28T00:00:00"/>
    <n v="14"/>
    <x v="3"/>
    <s v="Migraine"/>
    <x v="6"/>
    <s v="Counseling"/>
    <x v="0"/>
    <s v="Dr. Anjali Kumar"/>
    <n v="36"/>
    <s v="Private"/>
    <x v="3"/>
    <n v="45677"/>
    <n v="32262"/>
    <n v="13415"/>
    <n v="31470"/>
    <n v="3752"/>
    <n v="7462"/>
    <s v="Yes"/>
    <n v="82"/>
    <n v="3.8"/>
    <x v="1"/>
  </r>
  <r>
    <x v="1295"/>
    <s v="Ashok Chopra"/>
    <n v="31"/>
    <x v="0"/>
    <s v="B-"/>
    <s v="Delhi"/>
    <d v="2024-10-28T00:00:00"/>
    <d v="2024-10-30T00:00:00"/>
    <n v="2"/>
    <x v="0"/>
    <s v="COVID-19"/>
    <x v="1"/>
    <s v="Dietary Management"/>
    <x v="2"/>
    <s v="Dr. Arun Sharma"/>
    <n v="69"/>
    <s v="Private"/>
    <x v="1"/>
    <n v="118948"/>
    <n v="56152"/>
    <n v="62796"/>
    <n v="95728"/>
    <n v="15041"/>
    <n v="5927"/>
    <s v="No"/>
    <n v="70"/>
    <n v="3.4"/>
    <x v="2"/>
  </r>
  <r>
    <x v="1296"/>
    <s v="Aditya Mehta"/>
    <n v="17"/>
    <x v="0"/>
    <s v="AB-"/>
    <s v="Jaipur"/>
    <d v="2024-09-12T00:00:00"/>
    <d v="2024-09-16T00:00:00"/>
    <n v="4"/>
    <x v="0"/>
    <s v="Obesity"/>
    <x v="12"/>
    <s v="Observation"/>
    <x v="1"/>
    <s v="Dr. Nisha Singh"/>
    <n v="281"/>
    <s v="ICU"/>
    <x v="0"/>
    <n v="41100"/>
    <n v="19678"/>
    <n v="21422"/>
    <n v="8307"/>
    <n v="28922"/>
    <n v="2195"/>
    <s v="Yes"/>
    <n v="63"/>
    <n v="4.9000000000000004"/>
    <x v="1"/>
  </r>
  <r>
    <x v="1297"/>
    <s v="Amit Verma"/>
    <n v="8"/>
    <x v="1"/>
    <s v="O-"/>
    <s v="Hyderabad"/>
    <d v="2022-03-06T00:00:00"/>
    <d v="2022-03-23T00:00:00"/>
    <n v="17"/>
    <x v="0"/>
    <s v="Diabetes Type 2"/>
    <x v="9"/>
    <s v="Dietary Management"/>
    <x v="2"/>
    <s v="Dr. Shalini Gupta"/>
    <n v="206"/>
    <s v="ICU"/>
    <x v="0"/>
    <n v="169080"/>
    <n v="83349"/>
    <n v="85731"/>
    <n v="141427"/>
    <n v="17711"/>
    <n v="8336"/>
    <s v="Yes"/>
    <n v="53"/>
    <n v="2"/>
    <x v="1"/>
  </r>
  <r>
    <x v="1298"/>
    <s v="Kavya Das"/>
    <n v="33"/>
    <x v="1"/>
    <s v="A+"/>
    <s v="Mumbai"/>
    <d v="2022-06-12T00:00:00"/>
    <d v="2022-06-22T00:00:00"/>
    <n v="10"/>
    <x v="2"/>
    <s v="Cancer"/>
    <x v="3"/>
    <s v="Physiotherapy"/>
    <x v="3"/>
    <s v="Dr. Shalini Reddy"/>
    <n v="10"/>
    <s v="ICU"/>
    <x v="4"/>
    <n v="61910"/>
    <n v="0"/>
    <n v="61910"/>
    <n v="32880"/>
    <n v="15341"/>
    <n v="9808"/>
    <s v="No"/>
    <n v="57"/>
    <n v="3.2"/>
    <x v="4"/>
  </r>
  <r>
    <x v="1299"/>
    <s v="Vikram Das"/>
    <n v="84"/>
    <x v="0"/>
    <s v="B-"/>
    <s v="Pune"/>
    <d v="2022-07-24T00:00:00"/>
    <d v="2022-08-10T00:00:00"/>
    <n v="17"/>
    <x v="0"/>
    <s v="Liver Disease"/>
    <x v="0"/>
    <s v="Physiotherapy"/>
    <x v="2"/>
    <s v="Dr. Nisha Mehta"/>
    <n v="232"/>
    <s v="Private"/>
    <x v="3"/>
    <n v="25494"/>
    <n v="17207"/>
    <n v="8287"/>
    <n v="19597"/>
    <n v="1136"/>
    <n v="3218"/>
    <s v="Yes"/>
    <n v="97"/>
    <n v="4.9000000000000004"/>
    <x v="3"/>
  </r>
  <r>
    <x v="1300"/>
    <s v="Nisha Chopra"/>
    <n v="64"/>
    <x v="0"/>
    <s v="A-"/>
    <s v="Bangalore"/>
    <d v="2024-01-07T00:00:00"/>
    <d v="2024-01-10T00:00:00"/>
    <n v="3"/>
    <x v="1"/>
    <s v="Kidney Stone"/>
    <x v="2"/>
    <s v="Dietary Management"/>
    <x v="1"/>
    <s v="Dr. Rakesh Patel"/>
    <n v="473"/>
    <s v="Semi-Private"/>
    <x v="1"/>
    <n v="25692"/>
    <n v="13379"/>
    <n v="12313"/>
    <n v="8138"/>
    <n v="12036"/>
    <n v="1637"/>
    <s v="Yes"/>
    <n v="74"/>
    <n v="4.4000000000000004"/>
    <x v="2"/>
  </r>
  <r>
    <x v="1301"/>
    <s v="Suresh Iyer"/>
    <n v="21"/>
    <x v="0"/>
    <s v="O+"/>
    <s v="Hyderabad"/>
    <d v="2024-09-22T00:00:00"/>
    <d v="2024-10-13T00:00:00"/>
    <n v="21"/>
    <x v="0"/>
    <s v="Liver Disease"/>
    <x v="0"/>
    <s v="Dietary Management"/>
    <x v="0"/>
    <s v="Dr. Kavita Joshi"/>
    <n v="43"/>
    <s v="Private"/>
    <x v="0"/>
    <n v="156632"/>
    <n v="101613"/>
    <n v="55019"/>
    <n v="129160"/>
    <n v="13809"/>
    <n v="10518"/>
    <s v="No"/>
    <n v="94"/>
    <n v="4.5999999999999996"/>
    <x v="1"/>
  </r>
  <r>
    <x v="1302"/>
    <s v="Deepa Gupta"/>
    <n v="6"/>
    <x v="1"/>
    <s v="B+"/>
    <s v="Hyderabad"/>
    <d v="2022-11-02T00:00:00"/>
    <d v="2022-11-11T00:00:00"/>
    <n v="9"/>
    <x v="0"/>
    <s v="Depression"/>
    <x v="5"/>
    <s v="Observation"/>
    <x v="2"/>
    <s v="Dr. Prerna Reddy"/>
    <n v="445"/>
    <s v="ICU"/>
    <x v="0"/>
    <n v="138556"/>
    <n v="57150"/>
    <n v="81406"/>
    <n v="126116"/>
    <n v="3516"/>
    <n v="5418"/>
    <s v="No"/>
    <n v="93"/>
    <n v="4.5"/>
    <x v="3"/>
  </r>
  <r>
    <x v="1303"/>
    <s v="Sonia Pillai"/>
    <n v="9"/>
    <x v="1"/>
    <s v="AB+"/>
    <s v="Kolkata"/>
    <d v="2022-09-07T00:00:00"/>
    <d v="2022-10-07T00:00:00"/>
    <n v="30"/>
    <x v="5"/>
    <s v="Asthma"/>
    <x v="8"/>
    <s v="Dietary Management"/>
    <x v="2"/>
    <s v="Dr. Shalini Joshi"/>
    <n v="4"/>
    <s v="ICU"/>
    <x v="2"/>
    <n v="30262"/>
    <n v="26086"/>
    <n v="4176"/>
    <n v="11424"/>
    <n v="9640"/>
    <n v="7941"/>
    <s v="No"/>
    <n v="87"/>
    <n v="2.4"/>
    <x v="3"/>
  </r>
  <r>
    <x v="1304"/>
    <s v="Ashok Iyer"/>
    <n v="83"/>
    <x v="1"/>
    <s v="O-"/>
    <s v="Kolkata"/>
    <d v="2022-10-20T00:00:00"/>
    <d v="2022-11-18T00:00:00"/>
    <n v="29"/>
    <x v="1"/>
    <s v="UTI"/>
    <x v="2"/>
    <s v="Observation"/>
    <x v="2"/>
    <s v="Dr. Rakesh Patel"/>
    <n v="497"/>
    <s v="General Ward"/>
    <x v="0"/>
    <n v="83575"/>
    <n v="38394"/>
    <n v="45181"/>
    <n v="73638"/>
    <n v="3572"/>
    <n v="5102"/>
    <s v="Yes"/>
    <n v="46"/>
    <n v="2.2999999999999998"/>
    <x v="0"/>
  </r>
  <r>
    <x v="1305"/>
    <s v="Rajesh Kumar"/>
    <n v="44"/>
    <x v="1"/>
    <s v="O-"/>
    <s v="Delhi"/>
    <d v="2023-04-20T00:00:00"/>
    <d v="2023-04-26T00:00:00"/>
    <n v="6"/>
    <x v="0"/>
    <s v="Dengue"/>
    <x v="1"/>
    <s v="Radiation Therapy"/>
    <x v="1"/>
    <s v="Dr. Rakesh Singh"/>
    <n v="231"/>
    <s v="General Ward"/>
    <x v="1"/>
    <n v="117516"/>
    <n v="74942"/>
    <n v="42574"/>
    <n v="99675"/>
    <n v="14568"/>
    <n v="522"/>
    <s v="No"/>
    <n v="97"/>
    <n v="3.2"/>
    <x v="3"/>
  </r>
  <r>
    <x v="1306"/>
    <s v="Deepa Das"/>
    <n v="63"/>
    <x v="1"/>
    <s v="A-"/>
    <s v="Mumbai"/>
    <d v="2023-02-10T00:00:00"/>
    <d v="2023-02-14T00:00:00"/>
    <n v="4"/>
    <x v="5"/>
    <s v="Asthma"/>
    <x v="8"/>
    <s v="Observation"/>
    <x v="3"/>
    <s v="Dr. Nisha Gupta"/>
    <n v="65"/>
    <s v="Semi-Private"/>
    <x v="3"/>
    <n v="124627"/>
    <n v="104334"/>
    <n v="20293"/>
    <n v="91015"/>
    <n v="22672"/>
    <n v="8239"/>
    <s v="No"/>
    <n v="57"/>
    <n v="2.1"/>
    <x v="2"/>
  </r>
  <r>
    <x v="1307"/>
    <s v="Rekha Malhotra"/>
    <n v="38"/>
    <x v="0"/>
    <s v="AB-"/>
    <s v="Mumbai"/>
    <d v="2023-04-16T00:00:00"/>
    <d v="2023-04-24T00:00:00"/>
    <n v="8"/>
    <x v="0"/>
    <s v="Liver Disease"/>
    <x v="0"/>
    <s v="Chemotherapy"/>
    <x v="0"/>
    <s v="Dr. Shalini Singh"/>
    <n v="46"/>
    <s v="Semi-Private"/>
    <x v="3"/>
    <n v="91309"/>
    <n v="55249"/>
    <n v="36060"/>
    <n v="83763"/>
    <n v="3320"/>
    <n v="570"/>
    <s v="No"/>
    <n v="88"/>
    <n v="4.4000000000000004"/>
    <x v="1"/>
  </r>
  <r>
    <x v="1308"/>
    <s v="Kavya Singh"/>
    <n v="76"/>
    <x v="1"/>
    <s v="O-"/>
    <s v="Ahmedabad"/>
    <d v="2024-03-23T00:00:00"/>
    <d v="2024-03-31T00:00:00"/>
    <n v="8"/>
    <x v="6"/>
    <s v="Fracture"/>
    <x v="10"/>
    <s v="Surgery"/>
    <x v="1"/>
    <s v="Dr. Deepak Rao"/>
    <n v="208"/>
    <s v="Private"/>
    <x v="4"/>
    <n v="142382"/>
    <n v="0"/>
    <n v="142382"/>
    <n v="111693"/>
    <n v="26782"/>
    <n v="2050"/>
    <s v="No"/>
    <n v="65"/>
    <n v="2.1"/>
    <x v="1"/>
  </r>
  <r>
    <x v="1309"/>
    <s v="Aditya Patel"/>
    <n v="40"/>
    <x v="0"/>
    <s v="O+"/>
    <s v="Jaipur"/>
    <d v="2024-03-30T00:00:00"/>
    <d v="2024-04-14T00:00:00"/>
    <n v="15"/>
    <x v="0"/>
    <s v="Liver Disease"/>
    <x v="0"/>
    <s v="Counseling"/>
    <x v="0"/>
    <s v="Dr. Shalini Nair"/>
    <n v="303"/>
    <s v="Private"/>
    <x v="1"/>
    <n v="95042"/>
    <n v="38362"/>
    <n v="56680"/>
    <n v="71145"/>
    <n v="17933"/>
    <n v="1636"/>
    <s v="No"/>
    <n v="65"/>
    <n v="4.4000000000000004"/>
    <x v="3"/>
  </r>
  <r>
    <x v="1310"/>
    <s v="Priya Malhotra"/>
    <n v="64"/>
    <x v="1"/>
    <s v="A-"/>
    <s v="Ahmedabad"/>
    <d v="2024-09-22T00:00:00"/>
    <d v="2024-10-17T00:00:00"/>
    <n v="25"/>
    <x v="2"/>
    <s v="Cancer"/>
    <x v="3"/>
    <s v="ICU Care"/>
    <x v="3"/>
    <s v="Dr. Shalini Reddy"/>
    <n v="415"/>
    <s v="Semi-Private"/>
    <x v="2"/>
    <n v="143323"/>
    <n v="126049"/>
    <n v="17274"/>
    <n v="121431"/>
    <n v="18295"/>
    <n v="2191"/>
    <s v="Yes"/>
    <n v="46"/>
    <n v="3.7"/>
    <x v="4"/>
  </r>
  <r>
    <x v="1311"/>
    <s v="Ashok Patel"/>
    <n v="9"/>
    <x v="0"/>
    <s v="A+"/>
    <s v="Bangalore"/>
    <d v="2022-07-10T00:00:00"/>
    <d v="2022-07-19T00:00:00"/>
    <n v="9"/>
    <x v="1"/>
    <s v="UTI"/>
    <x v="2"/>
    <s v="Surgery"/>
    <x v="3"/>
    <s v="Dr. Nisha Rao"/>
    <n v="217"/>
    <s v="ICU"/>
    <x v="4"/>
    <n v="82311"/>
    <n v="0"/>
    <n v="82311"/>
    <n v="64624"/>
    <n v="8614"/>
    <n v="4322"/>
    <s v="No"/>
    <n v="76"/>
    <n v="4.2"/>
    <x v="1"/>
  </r>
  <r>
    <x v="1312"/>
    <s v="Nisha Joshi"/>
    <n v="34"/>
    <x v="1"/>
    <s v="AB-"/>
    <s v="Mumbai"/>
    <d v="2023-03-09T00:00:00"/>
    <d v="2023-04-02T00:00:00"/>
    <n v="24"/>
    <x v="2"/>
    <s v="Cancer"/>
    <x v="3"/>
    <s v="Chemotherapy"/>
    <x v="1"/>
    <s v="Dr. Arun Singh"/>
    <n v="317"/>
    <s v="Semi-Private"/>
    <x v="3"/>
    <n v="131039"/>
    <n v="106835"/>
    <n v="24204"/>
    <n v="110963"/>
    <n v="12402"/>
    <n v="4013"/>
    <s v="No"/>
    <n v="79"/>
    <n v="3.4"/>
    <x v="4"/>
  </r>
  <r>
    <x v="1313"/>
    <s v="Kavya Kumar"/>
    <n v="63"/>
    <x v="1"/>
    <s v="O+"/>
    <s v="Kolkata"/>
    <d v="2022-11-13T00:00:00"/>
    <d v="2022-11-22T00:00:00"/>
    <n v="9"/>
    <x v="6"/>
    <s v="Arthritis"/>
    <x v="11"/>
    <s v="Physiotherapy"/>
    <x v="2"/>
    <s v="Dr. Deepak Kumar"/>
    <n v="434"/>
    <s v="ICU"/>
    <x v="4"/>
    <n v="109680"/>
    <n v="0"/>
    <n v="109680"/>
    <n v="68858"/>
    <n v="28380"/>
    <n v="10686"/>
    <s v="No"/>
    <n v="82"/>
    <n v="4.4000000000000004"/>
    <x v="0"/>
  </r>
  <r>
    <x v="1314"/>
    <s v="Sunil Singh"/>
    <n v="38"/>
    <x v="1"/>
    <s v="B-"/>
    <s v="Hyderabad"/>
    <d v="2023-02-16T00:00:00"/>
    <d v="2023-03-14T00:00:00"/>
    <n v="26"/>
    <x v="0"/>
    <s v="Appendicitis"/>
    <x v="0"/>
    <s v="Dietary Management"/>
    <x v="0"/>
    <s v="Dr. Anjali Sharma"/>
    <n v="221"/>
    <s v="General Ward"/>
    <x v="4"/>
    <n v="132033"/>
    <n v="0"/>
    <n v="132033"/>
    <n v="100377"/>
    <n v="19324"/>
    <n v="11003"/>
    <s v="No"/>
    <n v="54"/>
    <n v="4.5"/>
    <x v="4"/>
  </r>
  <r>
    <x v="1315"/>
    <s v="Divya Gupta"/>
    <n v="20"/>
    <x v="1"/>
    <s v="AB+"/>
    <s v="Bangalore"/>
    <d v="2023-11-26T00:00:00"/>
    <d v="2023-11-27T00:00:00"/>
    <n v="1"/>
    <x v="3"/>
    <s v="Migraine"/>
    <x v="6"/>
    <s v="Counseling"/>
    <x v="2"/>
    <s v="Dr. Nisha Singh"/>
    <n v="202"/>
    <s v="Private"/>
    <x v="3"/>
    <n v="102637"/>
    <n v="82950"/>
    <n v="19687"/>
    <n v="59690"/>
    <n v="27856"/>
    <n v="10208"/>
    <s v="No"/>
    <n v="46"/>
    <n v="4.8"/>
    <x v="1"/>
  </r>
  <r>
    <x v="1316"/>
    <s v="Nisha Bose"/>
    <n v="5"/>
    <x v="1"/>
    <s v="B-"/>
    <s v="Hyderabad"/>
    <d v="2022-09-28T00:00:00"/>
    <d v="2022-10-14T00:00:00"/>
    <n v="16"/>
    <x v="0"/>
    <s v="Appendicitis"/>
    <x v="0"/>
    <s v="Observation"/>
    <x v="0"/>
    <s v="Dr. Shalini Mehta"/>
    <n v="186"/>
    <s v="Private"/>
    <x v="0"/>
    <n v="33956"/>
    <n v="17549"/>
    <n v="16407"/>
    <n v="19355"/>
    <n v="11789"/>
    <n v="890"/>
    <s v="Yes"/>
    <n v="43"/>
    <n v="4"/>
    <x v="3"/>
  </r>
  <r>
    <x v="1317"/>
    <s v="Sunita Patel"/>
    <n v="15"/>
    <x v="0"/>
    <s v="AB+"/>
    <s v="Delhi"/>
    <d v="2024-04-30T00:00:00"/>
    <d v="2024-05-03T00:00:00"/>
    <n v="3"/>
    <x v="0"/>
    <s v="Obesity"/>
    <x v="12"/>
    <s v="Chemotherapy"/>
    <x v="3"/>
    <s v="Dr. Rakesh Rao"/>
    <n v="321"/>
    <s v="General Ward"/>
    <x v="0"/>
    <n v="61818"/>
    <n v="25597"/>
    <n v="36221"/>
    <n v="27995"/>
    <n v="29030"/>
    <n v="4284"/>
    <s v="No"/>
    <n v="72"/>
    <n v="2.4"/>
    <x v="2"/>
  </r>
  <r>
    <x v="1318"/>
    <s v="Arjun Rao"/>
    <n v="53"/>
    <x v="1"/>
    <s v="AB+"/>
    <s v="Ahmedabad"/>
    <d v="2022-09-19T00:00:00"/>
    <d v="2022-09-26T00:00:00"/>
    <n v="7"/>
    <x v="3"/>
    <s v="Stroke"/>
    <x v="6"/>
    <s v="Medication"/>
    <x v="3"/>
    <s v="Dr. Rakesh Nair"/>
    <n v="64"/>
    <s v="ICU"/>
    <x v="3"/>
    <n v="101543"/>
    <n v="90457"/>
    <n v="11086"/>
    <n v="69228"/>
    <n v="21582"/>
    <n v="7261"/>
    <s v="No"/>
    <n v="44"/>
    <n v="3.8"/>
    <x v="2"/>
  </r>
  <r>
    <x v="1319"/>
    <s v="Rahul Das"/>
    <n v="75"/>
    <x v="1"/>
    <s v="B+"/>
    <s v="Mumbai"/>
    <d v="2024-04-21T00:00:00"/>
    <d v="2024-04-28T00:00:00"/>
    <n v="7"/>
    <x v="6"/>
    <s v="Fracture"/>
    <x v="10"/>
    <s v="Observation"/>
    <x v="3"/>
    <s v="Dr. Prerna Gupta"/>
    <n v="197"/>
    <s v="General Ward"/>
    <x v="0"/>
    <n v="26205"/>
    <n v="12540"/>
    <n v="13665"/>
    <n v="12616"/>
    <n v="6096"/>
    <n v="3606"/>
    <s v="Yes"/>
    <n v="80"/>
    <n v="3.3"/>
    <x v="2"/>
  </r>
  <r>
    <x v="1320"/>
    <s v="Pooja Das"/>
    <n v="29"/>
    <x v="0"/>
    <s v="A-"/>
    <s v="Kolkata"/>
    <d v="2024-08-05T00:00:00"/>
    <d v="2024-08-19T00:00:00"/>
    <n v="14"/>
    <x v="5"/>
    <s v="Asthma"/>
    <x v="8"/>
    <s v="Chemotherapy"/>
    <x v="2"/>
    <s v="Dr. Kavita Rao"/>
    <n v="342"/>
    <s v="General Ward"/>
    <x v="1"/>
    <n v="94134"/>
    <n v="41605"/>
    <n v="52529"/>
    <n v="64799"/>
    <n v="22580"/>
    <n v="3443"/>
    <s v="No"/>
    <n v="49"/>
    <n v="4.7"/>
    <x v="4"/>
  </r>
  <r>
    <x v="1321"/>
    <s v="Lata Malhotra"/>
    <n v="18"/>
    <x v="1"/>
    <s v="AB+"/>
    <s v="Lucknow"/>
    <d v="2023-05-08T00:00:00"/>
    <d v="2023-05-23T00:00:00"/>
    <n v="15"/>
    <x v="0"/>
    <s v="Obesity"/>
    <x v="12"/>
    <s v="Dietary Management"/>
    <x v="3"/>
    <s v="Dr. Sameer Mehta"/>
    <n v="161"/>
    <s v="Semi-Private"/>
    <x v="1"/>
    <n v="146935"/>
    <n v="72055"/>
    <n v="74880"/>
    <n v="113651"/>
    <n v="25956"/>
    <n v="4714"/>
    <s v="No"/>
    <n v="88"/>
    <n v="4.9000000000000004"/>
    <x v="4"/>
  </r>
  <r>
    <x v="1322"/>
    <s v="Vijay Pillai"/>
    <n v="60"/>
    <x v="1"/>
    <s v="A-"/>
    <s v="Delhi"/>
    <d v="2023-09-26T00:00:00"/>
    <d v="2023-10-22T00:00:00"/>
    <n v="26"/>
    <x v="2"/>
    <s v="Cancer"/>
    <x v="3"/>
    <s v="Medication"/>
    <x v="0"/>
    <s v="Dr. Rakesh Sharma"/>
    <n v="310"/>
    <s v="General Ward"/>
    <x v="4"/>
    <n v="157810"/>
    <n v="0"/>
    <n v="157810"/>
    <n v="135988"/>
    <n v="16692"/>
    <n v="1895"/>
    <s v="No"/>
    <n v="62"/>
    <n v="3.8"/>
    <x v="3"/>
  </r>
  <r>
    <x v="1323"/>
    <s v="Vijay Chopra"/>
    <n v="26"/>
    <x v="0"/>
    <s v="AB-"/>
    <s v="Lucknow"/>
    <d v="2022-04-17T00:00:00"/>
    <d v="2022-04-23T00:00:00"/>
    <n v="6"/>
    <x v="1"/>
    <s v="Kidney Stone"/>
    <x v="2"/>
    <s v="Surgery"/>
    <x v="2"/>
    <s v="Dr. Arun Singh"/>
    <n v="489"/>
    <s v="ICU"/>
    <x v="0"/>
    <n v="140469"/>
    <n v="63713"/>
    <n v="76756"/>
    <n v="127673"/>
    <n v="6514"/>
    <n v="2404"/>
    <s v="No"/>
    <n v="65"/>
    <n v="3.2"/>
    <x v="3"/>
  </r>
  <r>
    <x v="1324"/>
    <s v="Suresh Gupta"/>
    <n v="29"/>
    <x v="0"/>
    <s v="O+"/>
    <s v="Delhi"/>
    <d v="2022-01-14T00:00:00"/>
    <d v="2022-01-20T00:00:00"/>
    <n v="6"/>
    <x v="0"/>
    <s v="Liver Disease"/>
    <x v="0"/>
    <s v="ICU Care"/>
    <x v="0"/>
    <s v="Dr. Anjali Reddy"/>
    <n v="370"/>
    <s v="ICU"/>
    <x v="1"/>
    <n v="94528"/>
    <n v="65510"/>
    <n v="29018"/>
    <n v="56266"/>
    <n v="20714"/>
    <n v="14108"/>
    <s v="No"/>
    <n v="60"/>
    <n v="4.3"/>
    <x v="3"/>
  </r>
  <r>
    <x v="1325"/>
    <s v="Sanjay Gupta"/>
    <n v="37"/>
    <x v="0"/>
    <s v="O+"/>
    <s v="Delhi"/>
    <d v="2022-05-31T00:00:00"/>
    <d v="2022-06-03T00:00:00"/>
    <n v="3"/>
    <x v="0"/>
    <s v="Typhoid"/>
    <x v="1"/>
    <s v="Observation"/>
    <x v="0"/>
    <s v="Dr. Arun Reddy"/>
    <n v="364"/>
    <s v="ICU"/>
    <x v="0"/>
    <n v="127465"/>
    <n v="83981"/>
    <n v="43484"/>
    <n v="98099"/>
    <n v="13876"/>
    <n v="11197"/>
    <s v="Yes"/>
    <n v="50"/>
    <n v="3.1"/>
    <x v="0"/>
  </r>
  <r>
    <x v="1326"/>
    <s v="Deepa Joshi"/>
    <n v="31"/>
    <x v="1"/>
    <s v="A+"/>
    <s v="Mumbai"/>
    <d v="2022-03-29T00:00:00"/>
    <d v="2022-04-10T00:00:00"/>
    <n v="12"/>
    <x v="3"/>
    <s v="Migraine"/>
    <x v="6"/>
    <s v="Medication"/>
    <x v="2"/>
    <s v="Dr. Shalini Mehta"/>
    <n v="322"/>
    <s v="Private"/>
    <x v="1"/>
    <n v="69741"/>
    <n v="48014"/>
    <n v="21727"/>
    <n v="41520"/>
    <n v="17753"/>
    <n v="8140"/>
    <s v="No"/>
    <n v="50"/>
    <n v="4.4000000000000004"/>
    <x v="3"/>
  </r>
  <r>
    <x v="1327"/>
    <s v="Mukesh Bose"/>
    <n v="71"/>
    <x v="1"/>
    <s v="A-"/>
    <s v="Bangalore"/>
    <d v="2024-06-22T00:00:00"/>
    <d v="2024-06-30T00:00:00"/>
    <n v="8"/>
    <x v="0"/>
    <s v="Anemia"/>
    <x v="4"/>
    <s v="Dialysis"/>
    <x v="3"/>
    <s v="Dr. Sameer Mehta"/>
    <n v="2"/>
    <s v="ICU"/>
    <x v="0"/>
    <n v="24613"/>
    <n v="16084"/>
    <n v="8529"/>
    <n v="6725"/>
    <n v="3098"/>
    <n v="10611"/>
    <s v="No"/>
    <n v="48"/>
    <n v="3.6"/>
    <x v="1"/>
  </r>
  <r>
    <x v="1328"/>
    <s v="Ashok Singh"/>
    <n v="60"/>
    <x v="1"/>
    <s v="AB-"/>
    <s v="Lucknow"/>
    <d v="2024-05-30T00:00:00"/>
    <d v="2024-06-24T00:00:00"/>
    <n v="25"/>
    <x v="3"/>
    <s v="Stroke"/>
    <x v="6"/>
    <s v="ICU Care"/>
    <x v="1"/>
    <s v="Dr. Sameer Rao"/>
    <n v="375"/>
    <s v="Private"/>
    <x v="4"/>
    <n v="108402"/>
    <n v="0"/>
    <n v="108402"/>
    <n v="92036"/>
    <n v="3994"/>
    <n v="11713"/>
    <s v="Yes"/>
    <n v="63"/>
    <n v="4.7"/>
    <x v="3"/>
  </r>
  <r>
    <x v="1329"/>
    <s v="Arjun Kumar"/>
    <n v="84"/>
    <x v="0"/>
    <s v="O+"/>
    <s v="Bangalore"/>
    <d v="2022-09-21T00:00:00"/>
    <d v="2022-10-05T00:00:00"/>
    <n v="14"/>
    <x v="4"/>
    <s v="Heart Attack"/>
    <x v="7"/>
    <s v="Medication"/>
    <x v="1"/>
    <s v="Dr. Kavita Joshi"/>
    <n v="6"/>
    <s v="ICU"/>
    <x v="0"/>
    <n v="54293"/>
    <n v="24218"/>
    <n v="30075"/>
    <n v="38817"/>
    <n v="8884"/>
    <n v="5779"/>
    <s v="No"/>
    <n v="54"/>
    <n v="2"/>
    <x v="2"/>
  </r>
  <r>
    <x v="1330"/>
    <s v="Sunita Nair"/>
    <n v="23"/>
    <x v="0"/>
    <s v="B-"/>
    <s v="Ahmedabad"/>
    <d v="2023-11-09T00:00:00"/>
    <d v="2023-12-05T00:00:00"/>
    <n v="26"/>
    <x v="3"/>
    <s v="Stroke"/>
    <x v="6"/>
    <s v="Surgery"/>
    <x v="0"/>
    <s v="Dr. Shalini Mehta"/>
    <n v="435"/>
    <s v="General Ward"/>
    <x v="1"/>
    <n v="74924"/>
    <n v="34940"/>
    <n v="39984"/>
    <n v="34322"/>
    <n v="29547"/>
    <n v="7308"/>
    <s v="No"/>
    <n v="97"/>
    <n v="4.4000000000000004"/>
    <x v="0"/>
  </r>
  <r>
    <x v="1331"/>
    <s v="Karan Pillai"/>
    <n v="65"/>
    <x v="0"/>
    <s v="A+"/>
    <s v="Chennai"/>
    <d v="2023-02-27T00:00:00"/>
    <d v="2023-03-27T00:00:00"/>
    <n v="28"/>
    <x v="4"/>
    <s v="Hypertension"/>
    <x v="7"/>
    <s v="ICU Care"/>
    <x v="3"/>
    <s v="Dr. Rakesh Patel"/>
    <n v="483"/>
    <s v="General Ward"/>
    <x v="3"/>
    <n v="55955"/>
    <n v="43314"/>
    <n v="12641"/>
    <n v="31106"/>
    <n v="15283"/>
    <n v="6905"/>
    <s v="Yes"/>
    <n v="83"/>
    <n v="3.6"/>
    <x v="1"/>
  </r>
  <r>
    <x v="1332"/>
    <s v="Lata Verma"/>
    <n v="75"/>
    <x v="1"/>
    <s v="A-"/>
    <s v="Pune"/>
    <d v="2022-07-14T00:00:00"/>
    <d v="2022-07-30T00:00:00"/>
    <n v="16"/>
    <x v="0"/>
    <s v="Anemia"/>
    <x v="4"/>
    <s v="Physiotherapy"/>
    <x v="0"/>
    <s v="Dr. Sameer Nair"/>
    <n v="2"/>
    <s v="Semi-Private"/>
    <x v="4"/>
    <n v="41961"/>
    <n v="0"/>
    <n v="41961"/>
    <n v="30137"/>
    <n v="4899"/>
    <n v="6376"/>
    <s v="No"/>
    <n v="41"/>
    <n v="4"/>
    <x v="4"/>
  </r>
  <r>
    <x v="1333"/>
    <s v="Divya Iyer"/>
    <n v="58"/>
    <x v="1"/>
    <s v="B-"/>
    <s v="Delhi"/>
    <d v="2023-11-07T00:00:00"/>
    <d v="2023-12-04T00:00:00"/>
    <n v="27"/>
    <x v="4"/>
    <s v="Heart Attack"/>
    <x v="7"/>
    <s v="ICU Care"/>
    <x v="2"/>
    <s v="Dr. Kavita Mehta"/>
    <n v="69"/>
    <s v="General Ward"/>
    <x v="4"/>
    <n v="176918"/>
    <n v="0"/>
    <n v="176918"/>
    <n v="136914"/>
    <n v="28441"/>
    <n v="9482"/>
    <s v="No"/>
    <n v="81"/>
    <n v="3.3"/>
    <x v="1"/>
  </r>
  <r>
    <x v="1334"/>
    <s v="Kavya Shah"/>
    <n v="39"/>
    <x v="1"/>
    <s v="O+"/>
    <s v="Ahmedabad"/>
    <d v="2024-04-08T00:00:00"/>
    <d v="2024-04-14T00:00:00"/>
    <n v="6"/>
    <x v="0"/>
    <s v="Dengue"/>
    <x v="1"/>
    <s v="Dietary Management"/>
    <x v="3"/>
    <s v="Dr. Arun Patel"/>
    <n v="45"/>
    <s v="General Ward"/>
    <x v="4"/>
    <n v="83429"/>
    <n v="0"/>
    <n v="83429"/>
    <n v="46722"/>
    <n v="27773"/>
    <n v="5818"/>
    <s v="No"/>
    <n v="67"/>
    <n v="4.5"/>
    <x v="4"/>
  </r>
  <r>
    <x v="1335"/>
    <s v="Sunil Pillai"/>
    <n v="75"/>
    <x v="1"/>
    <s v="AB+"/>
    <s v="Mumbai"/>
    <d v="2023-03-29T00:00:00"/>
    <d v="2023-04-01T00:00:00"/>
    <n v="3"/>
    <x v="0"/>
    <s v="COVID-19"/>
    <x v="1"/>
    <s v="Counseling"/>
    <x v="1"/>
    <s v="Dr. Kavita Sharma"/>
    <n v="131"/>
    <s v="Private"/>
    <x v="1"/>
    <n v="155701"/>
    <n v="67780"/>
    <n v="87921"/>
    <n v="138037"/>
    <n v="1229"/>
    <n v="12078"/>
    <s v="No"/>
    <n v="44"/>
    <n v="4.4000000000000004"/>
    <x v="1"/>
  </r>
  <r>
    <x v="1336"/>
    <s v="Ashok Gupta"/>
    <n v="27"/>
    <x v="1"/>
    <s v="O-"/>
    <s v="Pune"/>
    <d v="2023-08-28T00:00:00"/>
    <d v="2023-09-19T00:00:00"/>
    <n v="22"/>
    <x v="1"/>
    <s v="Kidney Stone"/>
    <x v="2"/>
    <s v="Physiotherapy"/>
    <x v="1"/>
    <s v="Dr. Nisha Kumar"/>
    <n v="289"/>
    <s v="ICU"/>
    <x v="3"/>
    <n v="114621"/>
    <n v="72451"/>
    <n v="42170"/>
    <n v="89194"/>
    <n v="15579"/>
    <n v="8625"/>
    <s v="No"/>
    <n v="68"/>
    <n v="5"/>
    <x v="0"/>
  </r>
  <r>
    <x v="1337"/>
    <s v="Kavya Sharma"/>
    <n v="44"/>
    <x v="0"/>
    <s v="AB-"/>
    <s v="Kolkata"/>
    <d v="2022-10-20T00:00:00"/>
    <d v="2022-11-04T00:00:00"/>
    <n v="15"/>
    <x v="5"/>
    <s v="Asthma"/>
    <x v="8"/>
    <s v="Surgery"/>
    <x v="1"/>
    <s v="Dr. Vivek Sharma"/>
    <n v="282"/>
    <s v="Private"/>
    <x v="1"/>
    <n v="144076"/>
    <n v="95588"/>
    <n v="48488"/>
    <n v="126832"/>
    <n v="2277"/>
    <n v="13574"/>
    <s v="No"/>
    <n v="50"/>
    <n v="2.5"/>
    <x v="2"/>
  </r>
  <r>
    <x v="1338"/>
    <s v="Suresh Chopra"/>
    <n v="71"/>
    <x v="0"/>
    <s v="A+"/>
    <s v="Mumbai"/>
    <d v="2024-11-18T00:00:00"/>
    <d v="2024-11-25T00:00:00"/>
    <n v="7"/>
    <x v="5"/>
    <s v="Asthma"/>
    <x v="8"/>
    <s v="Observation"/>
    <x v="1"/>
    <s v="Dr. Sameer Nair"/>
    <n v="326"/>
    <s v="Semi-Private"/>
    <x v="2"/>
    <n v="153444"/>
    <n v="126153"/>
    <n v="27291"/>
    <n v="134982"/>
    <n v="10200"/>
    <n v="6896"/>
    <s v="No"/>
    <n v="86"/>
    <n v="4.5"/>
    <x v="0"/>
  </r>
  <r>
    <x v="1339"/>
    <s v="Vijay Bose"/>
    <n v="78"/>
    <x v="1"/>
    <s v="AB-"/>
    <s v="Delhi"/>
    <d v="2023-11-04T00:00:00"/>
    <d v="2023-11-27T00:00:00"/>
    <n v="23"/>
    <x v="3"/>
    <s v="Migraine"/>
    <x v="6"/>
    <s v="Chemotherapy"/>
    <x v="2"/>
    <s v="Dr. Deepak Gupta"/>
    <n v="384"/>
    <s v="Private"/>
    <x v="0"/>
    <n v="169769"/>
    <n v="88105"/>
    <n v="81664"/>
    <n v="139575"/>
    <n v="12976"/>
    <n v="12523"/>
    <s v="No"/>
    <n v="74"/>
    <n v="4.3"/>
    <x v="1"/>
  </r>
  <r>
    <x v="1340"/>
    <s v="Vijay Reddy"/>
    <n v="78"/>
    <x v="0"/>
    <s v="AB+"/>
    <s v="Chennai"/>
    <d v="2022-04-15T00:00:00"/>
    <d v="2022-05-08T00:00:00"/>
    <n v="23"/>
    <x v="0"/>
    <s v="Obesity"/>
    <x v="12"/>
    <s v="Medication"/>
    <x v="0"/>
    <s v="Dr. Kavita Gupta"/>
    <n v="301"/>
    <s v="Private"/>
    <x v="1"/>
    <n v="117619"/>
    <n v="63369"/>
    <n v="54250"/>
    <n v="82906"/>
    <n v="26619"/>
    <n v="5033"/>
    <s v="No"/>
    <n v="82"/>
    <n v="2.8"/>
    <x v="1"/>
  </r>
  <r>
    <x v="1341"/>
    <s v="Rohan Kumar"/>
    <n v="10"/>
    <x v="0"/>
    <s v="AB+"/>
    <s v="Lucknow"/>
    <d v="2022-12-15T00:00:00"/>
    <d v="2023-01-08T00:00:00"/>
    <n v="24"/>
    <x v="0"/>
    <s v="Anemia"/>
    <x v="4"/>
    <s v="Observation"/>
    <x v="3"/>
    <s v="Dr. Rakesh Reddy"/>
    <n v="153"/>
    <s v="ICU"/>
    <x v="4"/>
    <n v="64854"/>
    <n v="0"/>
    <n v="64854"/>
    <n v="33606"/>
    <n v="23589"/>
    <n v="6906"/>
    <s v="No"/>
    <n v="86"/>
    <n v="2.8"/>
    <x v="1"/>
  </r>
  <r>
    <x v="1342"/>
    <s v="Sanjay Das"/>
    <n v="31"/>
    <x v="0"/>
    <s v="A+"/>
    <s v="Ahmedabad"/>
    <d v="2024-05-28T00:00:00"/>
    <d v="2024-06-09T00:00:00"/>
    <n v="12"/>
    <x v="6"/>
    <s v="Arthritis"/>
    <x v="11"/>
    <s v="Radiation Therapy"/>
    <x v="2"/>
    <s v="Dr. Anjali Kumar"/>
    <n v="214"/>
    <s v="General Ward"/>
    <x v="3"/>
    <n v="156128"/>
    <n v="140093"/>
    <n v="16035"/>
    <n v="130029"/>
    <n v="18244"/>
    <n v="5569"/>
    <s v="No"/>
    <n v="71"/>
    <n v="4.5"/>
    <x v="2"/>
  </r>
  <r>
    <x v="1343"/>
    <s v="Priya Malhotra"/>
    <n v="17"/>
    <x v="0"/>
    <s v="AB-"/>
    <s v="Kolkata"/>
    <d v="2022-07-12T00:00:00"/>
    <d v="2022-08-10T00:00:00"/>
    <n v="29"/>
    <x v="3"/>
    <s v="Stroke"/>
    <x v="6"/>
    <s v="Medication"/>
    <x v="1"/>
    <s v="Dr. Anjali Nair"/>
    <n v="274"/>
    <s v="Semi-Private"/>
    <x v="3"/>
    <n v="57693"/>
    <n v="47000"/>
    <n v="10693"/>
    <n v="46083"/>
    <n v="5869"/>
    <n v="3625"/>
    <s v="No"/>
    <n v="58"/>
    <n v="2"/>
    <x v="2"/>
  </r>
  <r>
    <x v="1344"/>
    <s v="Pooja Iyer"/>
    <n v="80"/>
    <x v="0"/>
    <s v="B+"/>
    <s v="Jaipur"/>
    <d v="2023-11-14T00:00:00"/>
    <d v="2023-12-06T00:00:00"/>
    <n v="22"/>
    <x v="0"/>
    <s v="Diabetes Type 2"/>
    <x v="9"/>
    <s v="Chemotherapy"/>
    <x v="1"/>
    <s v="Dr. Sameer Joshi"/>
    <n v="162"/>
    <s v="Semi-Private"/>
    <x v="0"/>
    <n v="142862"/>
    <n v="91811"/>
    <n v="51051"/>
    <n v="125219"/>
    <n v="8795"/>
    <n v="5637"/>
    <s v="No"/>
    <n v="68"/>
    <n v="2.5"/>
    <x v="0"/>
  </r>
  <r>
    <x v="1345"/>
    <s v="Manoj Patel"/>
    <n v="29"/>
    <x v="1"/>
    <s v="B+"/>
    <s v="Chennai"/>
    <d v="2023-07-03T00:00:00"/>
    <d v="2023-07-19T00:00:00"/>
    <n v="16"/>
    <x v="0"/>
    <s v="Typhoid"/>
    <x v="1"/>
    <s v="Dialysis"/>
    <x v="0"/>
    <s v="Dr. Shalini Kumar"/>
    <n v="454"/>
    <s v="General Ward"/>
    <x v="1"/>
    <n v="102403"/>
    <n v="52271"/>
    <n v="50132"/>
    <n v="68707"/>
    <n v="24277"/>
    <n v="6348"/>
    <s v="No"/>
    <n v="42"/>
    <n v="4.7"/>
    <x v="2"/>
  </r>
  <r>
    <x v="1346"/>
    <s v="Priya Patel"/>
    <n v="57"/>
    <x v="1"/>
    <s v="AB-"/>
    <s v="Hyderabad"/>
    <d v="2022-05-31T00:00:00"/>
    <d v="2022-06-07T00:00:00"/>
    <n v="7"/>
    <x v="0"/>
    <s v="Anemia"/>
    <x v="4"/>
    <s v="Dialysis"/>
    <x v="3"/>
    <s v="Dr. Shalini Singh"/>
    <n v="410"/>
    <s v="ICU"/>
    <x v="3"/>
    <n v="64743"/>
    <n v="49548"/>
    <n v="15195"/>
    <n v="34139"/>
    <n v="26099"/>
    <n v="3123"/>
    <s v="No"/>
    <n v="82"/>
    <n v="3.8"/>
    <x v="2"/>
  </r>
  <r>
    <x v="1347"/>
    <s v="Meera Sharma"/>
    <n v="58"/>
    <x v="0"/>
    <s v="A+"/>
    <s v="Ahmedabad"/>
    <d v="2024-04-09T00:00:00"/>
    <d v="2024-04-13T00:00:00"/>
    <n v="4"/>
    <x v="5"/>
    <s v="Pneumonia"/>
    <x v="8"/>
    <s v="Physiotherapy"/>
    <x v="2"/>
    <s v="Dr. Arun Kumar"/>
    <n v="198"/>
    <s v="Private"/>
    <x v="4"/>
    <n v="149443"/>
    <n v="0"/>
    <n v="149443"/>
    <n v="114902"/>
    <n v="19266"/>
    <n v="11886"/>
    <s v="No"/>
    <n v="40"/>
    <n v="4.8"/>
    <x v="1"/>
  </r>
  <r>
    <x v="1348"/>
    <s v="Nisha Verma"/>
    <n v="48"/>
    <x v="0"/>
    <s v="A+"/>
    <s v="Bangalore"/>
    <d v="2024-04-15T00:00:00"/>
    <d v="2024-04-22T00:00:00"/>
    <n v="7"/>
    <x v="0"/>
    <s v="Dengue"/>
    <x v="1"/>
    <s v="Medication"/>
    <x v="0"/>
    <s v="Dr. Anjali Gupta"/>
    <n v="394"/>
    <s v="Private"/>
    <x v="0"/>
    <n v="95253"/>
    <n v="49816"/>
    <n v="45437"/>
    <n v="65840"/>
    <n v="22173"/>
    <n v="2742"/>
    <s v="No"/>
    <n v="76"/>
    <n v="4.2"/>
    <x v="3"/>
  </r>
  <r>
    <x v="1349"/>
    <s v="Rohan Khanna"/>
    <n v="9"/>
    <x v="1"/>
    <s v="B+"/>
    <s v="Chennai"/>
    <d v="2024-03-30T00:00:00"/>
    <d v="2024-04-18T00:00:00"/>
    <n v="19"/>
    <x v="3"/>
    <s v="Migraine"/>
    <x v="6"/>
    <s v="Observation"/>
    <x v="1"/>
    <s v="Dr. Sameer Mehta"/>
    <n v="77"/>
    <s v="General Ward"/>
    <x v="1"/>
    <n v="141411"/>
    <n v="73551"/>
    <n v="67860"/>
    <n v="121424"/>
    <n v="13272"/>
    <n v="6024"/>
    <s v="No"/>
    <n v="78"/>
    <n v="2.1"/>
    <x v="4"/>
  </r>
  <r>
    <x v="1350"/>
    <s v="Aditya Singh"/>
    <n v="48"/>
    <x v="1"/>
    <s v="B+"/>
    <s v="Mumbai"/>
    <d v="2022-04-25T00:00:00"/>
    <d v="2022-05-02T00:00:00"/>
    <n v="7"/>
    <x v="0"/>
    <s v="Obesity"/>
    <x v="12"/>
    <s v="Dialysis"/>
    <x v="3"/>
    <s v="Dr. Shalini Sharma"/>
    <n v="235"/>
    <s v="ICU"/>
    <x v="1"/>
    <n v="142049"/>
    <n v="64589"/>
    <n v="77460"/>
    <n v="129681"/>
    <n v="6360"/>
    <n v="2376"/>
    <s v="Yes"/>
    <n v="81"/>
    <n v="2.6"/>
    <x v="2"/>
  </r>
  <r>
    <x v="1351"/>
    <s v="Vijay Reddy"/>
    <n v="80"/>
    <x v="1"/>
    <s v="B+"/>
    <s v="Lucknow"/>
    <d v="2024-02-13T00:00:00"/>
    <d v="2024-03-10T00:00:00"/>
    <n v="26"/>
    <x v="0"/>
    <s v="Liver Disease"/>
    <x v="0"/>
    <s v="Surgery"/>
    <x v="1"/>
    <s v="Dr. Nisha Reddy"/>
    <n v="13"/>
    <s v="ICU"/>
    <x v="2"/>
    <n v="61712"/>
    <n v="53058"/>
    <n v="8654"/>
    <n v="46842"/>
    <n v="6679"/>
    <n v="7346"/>
    <s v="No"/>
    <n v="48"/>
    <n v="4.7"/>
    <x v="0"/>
  </r>
  <r>
    <x v="1352"/>
    <s v="Kavya Malhotra"/>
    <n v="61"/>
    <x v="0"/>
    <s v="B+"/>
    <s v="Ahmedabad"/>
    <d v="2022-04-21T00:00:00"/>
    <d v="2022-05-02T00:00:00"/>
    <n v="11"/>
    <x v="1"/>
    <s v="UTI"/>
    <x v="2"/>
    <s v="Counseling"/>
    <x v="3"/>
    <s v="Dr. Anjali Nair"/>
    <n v="275"/>
    <s v="ICU"/>
    <x v="0"/>
    <n v="159580"/>
    <n v="73096"/>
    <n v="86484"/>
    <n v="148524"/>
    <n v="5760"/>
    <n v="1518"/>
    <s v="No"/>
    <n v="82"/>
    <n v="3.6"/>
    <x v="3"/>
  </r>
  <r>
    <x v="1353"/>
    <s v="Rahul Joshi"/>
    <n v="58"/>
    <x v="1"/>
    <s v="O+"/>
    <s v="Hyderabad"/>
    <d v="2024-05-01T00:00:00"/>
    <d v="2024-05-24T00:00:00"/>
    <n v="23"/>
    <x v="0"/>
    <s v="Anemia"/>
    <x v="4"/>
    <s v="Counseling"/>
    <x v="3"/>
    <s v="Dr. Sameer Singh"/>
    <n v="252"/>
    <s v="ICU"/>
    <x v="2"/>
    <n v="154627"/>
    <n v="122777"/>
    <n v="31850"/>
    <n v="114302"/>
    <n v="27819"/>
    <n v="11847"/>
    <s v="No"/>
    <n v="100"/>
    <n v="2.8"/>
    <x v="2"/>
  </r>
  <r>
    <x v="1354"/>
    <s v="Manoj Nair"/>
    <n v="48"/>
    <x v="1"/>
    <s v="O-"/>
    <s v="Ahmedabad"/>
    <d v="2023-03-22T00:00:00"/>
    <d v="2023-04-06T00:00:00"/>
    <n v="15"/>
    <x v="0"/>
    <s v="Depression"/>
    <x v="5"/>
    <s v="Dialysis"/>
    <x v="0"/>
    <s v="Dr. Anjali Nair"/>
    <n v="464"/>
    <s v="Private"/>
    <x v="2"/>
    <n v="138370"/>
    <n v="100314"/>
    <n v="38056"/>
    <n v="120741"/>
    <n v="1118"/>
    <n v="13778"/>
    <s v="No"/>
    <n v="69"/>
    <n v="4.3"/>
    <x v="3"/>
  </r>
  <r>
    <x v="1355"/>
    <s v="Pooja Singh"/>
    <n v="23"/>
    <x v="0"/>
    <s v="B+"/>
    <s v="Jaipur"/>
    <d v="2023-09-20T00:00:00"/>
    <d v="2023-09-25T00:00:00"/>
    <n v="5"/>
    <x v="3"/>
    <s v="Migraine"/>
    <x v="6"/>
    <s v="Medication"/>
    <x v="2"/>
    <s v="Dr. Deepak Mehta"/>
    <n v="458"/>
    <s v="ICU"/>
    <x v="2"/>
    <n v="119968"/>
    <n v="72947"/>
    <n v="47021"/>
    <n v="104000"/>
    <n v="9426"/>
    <n v="2458"/>
    <s v="No"/>
    <n v="95"/>
    <n v="3.5"/>
    <x v="0"/>
  </r>
  <r>
    <x v="1356"/>
    <s v="Pooja Patel"/>
    <n v="47"/>
    <x v="0"/>
    <s v="AB+"/>
    <s v="Jaipur"/>
    <d v="2024-11-21T00:00:00"/>
    <d v="2024-11-22T00:00:00"/>
    <n v="1"/>
    <x v="3"/>
    <s v="Stroke"/>
    <x v="6"/>
    <s v="Observation"/>
    <x v="0"/>
    <s v="Dr. Rakesh Gupta"/>
    <n v="497"/>
    <s v="Private"/>
    <x v="2"/>
    <n v="73950"/>
    <n v="48605"/>
    <n v="25345"/>
    <n v="42839"/>
    <n v="16276"/>
    <n v="10045"/>
    <s v="Yes"/>
    <n v="51"/>
    <n v="4.3"/>
    <x v="1"/>
  </r>
  <r>
    <x v="1357"/>
    <s v="Vikram Pillai"/>
    <n v="51"/>
    <x v="1"/>
    <s v="O-"/>
    <s v="Hyderabad"/>
    <d v="2022-06-20T00:00:00"/>
    <d v="2022-07-17T00:00:00"/>
    <n v="27"/>
    <x v="3"/>
    <s v="Migraine"/>
    <x v="6"/>
    <s v="Surgery"/>
    <x v="1"/>
    <s v="Dr. Shalini Nair"/>
    <n v="349"/>
    <s v="Private"/>
    <x v="1"/>
    <n v="36513"/>
    <n v="24803"/>
    <n v="11710"/>
    <n v="10169"/>
    <n v="18114"/>
    <n v="7708"/>
    <s v="Yes"/>
    <n v="40"/>
    <n v="4.0999999999999996"/>
    <x v="4"/>
  </r>
  <r>
    <x v="1358"/>
    <s v="Meera Kumar"/>
    <n v="51"/>
    <x v="1"/>
    <s v="A+"/>
    <s v="Ahmedabad"/>
    <d v="2024-08-15T00:00:00"/>
    <d v="2024-09-05T00:00:00"/>
    <n v="21"/>
    <x v="0"/>
    <s v="Appendicitis"/>
    <x v="0"/>
    <s v="Radiation Therapy"/>
    <x v="3"/>
    <s v="Dr. Arun Singh"/>
    <n v="116"/>
    <s v="Semi-Private"/>
    <x v="3"/>
    <n v="179356"/>
    <n v="139742"/>
    <n v="39614"/>
    <n v="148647"/>
    <n v="19972"/>
    <n v="6611"/>
    <s v="No"/>
    <n v="49"/>
    <n v="3.9"/>
    <x v="1"/>
  </r>
  <r>
    <x v="1359"/>
    <s v="Pooja Singh"/>
    <n v="11"/>
    <x v="0"/>
    <s v="A-"/>
    <s v="Delhi"/>
    <d v="2022-03-13T00:00:00"/>
    <d v="2022-04-12T00:00:00"/>
    <n v="30"/>
    <x v="0"/>
    <s v="Obesity"/>
    <x v="12"/>
    <s v="Medication"/>
    <x v="0"/>
    <s v="Dr. Arun Patel"/>
    <n v="255"/>
    <s v="Private"/>
    <x v="2"/>
    <n v="60175"/>
    <n v="38788"/>
    <n v="21387"/>
    <n v="51297"/>
    <n v="1387"/>
    <n v="6598"/>
    <s v="No"/>
    <n v="76"/>
    <n v="3.4"/>
    <x v="2"/>
  </r>
  <r>
    <x v="1360"/>
    <s v="Manoj Menon"/>
    <n v="27"/>
    <x v="1"/>
    <s v="A-"/>
    <s v="Mumbai"/>
    <d v="2022-12-19T00:00:00"/>
    <d v="2023-01-08T00:00:00"/>
    <n v="20"/>
    <x v="0"/>
    <s v="Typhoid"/>
    <x v="1"/>
    <s v="Dietary Management"/>
    <x v="0"/>
    <s v="Dr. Rakesh Gupta"/>
    <n v="346"/>
    <s v="Private"/>
    <x v="0"/>
    <n v="141666"/>
    <n v="88463"/>
    <n v="53203"/>
    <n v="115693"/>
    <n v="11528"/>
    <n v="10248"/>
    <s v="No"/>
    <n v="88"/>
    <n v="2.5"/>
    <x v="2"/>
  </r>
  <r>
    <x v="1361"/>
    <s v="Karan Menon"/>
    <n v="38"/>
    <x v="1"/>
    <s v="A+"/>
    <s v="Hyderabad"/>
    <d v="2022-06-20T00:00:00"/>
    <d v="2022-07-03T00:00:00"/>
    <n v="13"/>
    <x v="1"/>
    <s v="UTI"/>
    <x v="2"/>
    <s v="ICU Care"/>
    <x v="2"/>
    <s v="Dr. Anjali Singh"/>
    <n v="21"/>
    <s v="Private"/>
    <x v="2"/>
    <n v="73397"/>
    <n v="63160"/>
    <n v="10237"/>
    <n v="54192"/>
    <n v="8810"/>
    <n v="8013"/>
    <s v="No"/>
    <n v="90"/>
    <n v="4.3"/>
    <x v="0"/>
  </r>
  <r>
    <x v="1362"/>
    <s v="Vijay Menon"/>
    <n v="62"/>
    <x v="0"/>
    <s v="A-"/>
    <s v="Kolkata"/>
    <d v="2022-01-10T00:00:00"/>
    <d v="2022-02-06T00:00:00"/>
    <n v="27"/>
    <x v="6"/>
    <s v="Arthritis"/>
    <x v="11"/>
    <s v="ICU Care"/>
    <x v="0"/>
    <s v="Dr. Prerna Gupta"/>
    <n v="155"/>
    <s v="General Ward"/>
    <x v="4"/>
    <n v="166624"/>
    <n v="0"/>
    <n v="166624"/>
    <n v="141567"/>
    <n v="10773"/>
    <n v="10582"/>
    <s v="No"/>
    <n v="45"/>
    <n v="2.8"/>
    <x v="0"/>
  </r>
  <r>
    <x v="1363"/>
    <s v="Divya Patel"/>
    <n v="70"/>
    <x v="1"/>
    <s v="B-"/>
    <s v="Pune"/>
    <d v="2024-10-27T00:00:00"/>
    <d v="2024-11-09T00:00:00"/>
    <n v="13"/>
    <x v="4"/>
    <s v="Heart Attack"/>
    <x v="7"/>
    <s v="Medication"/>
    <x v="3"/>
    <s v="Dr. Anjali Singh"/>
    <n v="136"/>
    <s v="Private"/>
    <x v="2"/>
    <n v="133446"/>
    <n v="95036"/>
    <n v="38410"/>
    <n v="119486"/>
    <n v="7851"/>
    <n v="3492"/>
    <s v="No"/>
    <n v="49"/>
    <n v="4.9000000000000004"/>
    <x v="0"/>
  </r>
  <r>
    <x v="1364"/>
    <s v="Sneha Kumar"/>
    <n v="19"/>
    <x v="1"/>
    <s v="A+"/>
    <s v="Jaipur"/>
    <d v="2024-02-01T00:00:00"/>
    <d v="2024-02-27T00:00:00"/>
    <n v="26"/>
    <x v="6"/>
    <s v="Fracture"/>
    <x v="10"/>
    <s v="Dialysis"/>
    <x v="0"/>
    <s v="Dr. Vivek Nair"/>
    <n v="313"/>
    <s v="Private"/>
    <x v="1"/>
    <n v="95456"/>
    <n v="45134"/>
    <n v="50322"/>
    <n v="63293"/>
    <n v="27820"/>
    <n v="3218"/>
    <s v="No"/>
    <n v="66"/>
    <n v="2.4"/>
    <x v="2"/>
  </r>
  <r>
    <x v="1365"/>
    <s v="Priya Malhotra"/>
    <n v="30"/>
    <x v="0"/>
    <s v="A+"/>
    <s v="Mumbai"/>
    <d v="2022-11-16T00:00:00"/>
    <d v="2022-11-21T00:00:00"/>
    <n v="5"/>
    <x v="0"/>
    <s v="Anemia"/>
    <x v="4"/>
    <s v="Physiotherapy"/>
    <x v="3"/>
    <s v="Dr. Shalini Gupta"/>
    <n v="340"/>
    <s v="Semi-Private"/>
    <x v="2"/>
    <n v="130572"/>
    <n v="99756"/>
    <n v="30816"/>
    <n v="92804"/>
    <n v="28903"/>
    <n v="5937"/>
    <s v="No"/>
    <n v="76"/>
    <n v="3.6"/>
    <x v="4"/>
  </r>
  <r>
    <x v="1366"/>
    <s v="Sonia Pillai"/>
    <n v="18"/>
    <x v="1"/>
    <s v="A-"/>
    <s v="Hyderabad"/>
    <d v="2024-08-21T00:00:00"/>
    <d v="2024-09-12T00:00:00"/>
    <n v="22"/>
    <x v="5"/>
    <s v="Asthma"/>
    <x v="8"/>
    <s v="Counseling"/>
    <x v="3"/>
    <s v="Dr. Anjali Singh"/>
    <n v="198"/>
    <s v="General Ward"/>
    <x v="4"/>
    <n v="79670"/>
    <n v="0"/>
    <n v="79670"/>
    <n v="50745"/>
    <n v="20132"/>
    <n v="4561"/>
    <s v="No"/>
    <n v="70"/>
    <n v="4.2"/>
    <x v="1"/>
  </r>
  <r>
    <x v="1367"/>
    <s v="Sunita Bose"/>
    <n v="28"/>
    <x v="1"/>
    <s v="O+"/>
    <s v="Kolkata"/>
    <d v="2022-06-10T00:00:00"/>
    <d v="2022-06-25T00:00:00"/>
    <n v="15"/>
    <x v="4"/>
    <s v="Heart Attack"/>
    <x v="7"/>
    <s v="ICU Care"/>
    <x v="1"/>
    <s v="Dr. Rakesh Kumar"/>
    <n v="410"/>
    <s v="Semi-Private"/>
    <x v="1"/>
    <n v="79128"/>
    <n v="46361"/>
    <n v="32767"/>
    <n v="52429"/>
    <n v="14887"/>
    <n v="7807"/>
    <s v="No"/>
    <n v="81"/>
    <n v="3.9"/>
    <x v="0"/>
  </r>
  <r>
    <x v="1368"/>
    <s v="Ritu Das"/>
    <n v="64"/>
    <x v="0"/>
    <s v="O-"/>
    <s v="Hyderabad"/>
    <d v="2023-07-25T00:00:00"/>
    <d v="2023-08-05T00:00:00"/>
    <n v="11"/>
    <x v="6"/>
    <s v="Arthritis"/>
    <x v="11"/>
    <s v="Radiation Therapy"/>
    <x v="3"/>
    <s v="Dr. Prerna Reddy"/>
    <n v="143"/>
    <s v="General Ward"/>
    <x v="2"/>
    <n v="77629"/>
    <n v="56264"/>
    <n v="21365"/>
    <n v="40702"/>
    <n v="24659"/>
    <n v="10023"/>
    <s v="No"/>
    <n v="40"/>
    <n v="4.0999999999999996"/>
    <x v="0"/>
  </r>
  <r>
    <x v="1369"/>
    <s v="Pooja Joshi"/>
    <n v="63"/>
    <x v="0"/>
    <s v="A-"/>
    <s v="Lucknow"/>
    <d v="2023-03-04T00:00:00"/>
    <d v="2023-03-13T00:00:00"/>
    <n v="9"/>
    <x v="3"/>
    <s v="Migraine"/>
    <x v="6"/>
    <s v="Counseling"/>
    <x v="1"/>
    <s v="Dr. Prerna Mehta"/>
    <n v="431"/>
    <s v="Private"/>
    <x v="1"/>
    <n v="116617"/>
    <n v="67779"/>
    <n v="48838"/>
    <n v="80063"/>
    <n v="26808"/>
    <n v="5326"/>
    <s v="No"/>
    <n v="90"/>
    <n v="4"/>
    <x v="4"/>
  </r>
  <r>
    <x v="1370"/>
    <s v="Sneha Singh"/>
    <n v="51"/>
    <x v="0"/>
    <s v="AB+"/>
    <s v="Bangalore"/>
    <d v="2022-09-28T00:00:00"/>
    <d v="2022-10-21T00:00:00"/>
    <n v="23"/>
    <x v="2"/>
    <s v="Cancer"/>
    <x v="3"/>
    <s v="Radiation Therapy"/>
    <x v="1"/>
    <s v="Dr. Vivek Kumar"/>
    <n v="315"/>
    <s v="Private"/>
    <x v="1"/>
    <n v="50399"/>
    <n v="21704"/>
    <n v="28695"/>
    <n v="12931"/>
    <n v="29389"/>
    <n v="5678"/>
    <s v="Yes"/>
    <n v="85"/>
    <n v="2.4"/>
    <x v="1"/>
  </r>
  <r>
    <x v="1371"/>
    <s v="Kavya Reddy"/>
    <n v="11"/>
    <x v="1"/>
    <s v="AB-"/>
    <s v="Bangalore"/>
    <d v="2024-10-04T00:00:00"/>
    <d v="2024-10-07T00:00:00"/>
    <n v="3"/>
    <x v="0"/>
    <s v="Depression"/>
    <x v="5"/>
    <s v="Physiotherapy"/>
    <x v="3"/>
    <s v="Dr. Rakesh Gupta"/>
    <n v="447"/>
    <s v="Private"/>
    <x v="3"/>
    <n v="86415"/>
    <n v="55221"/>
    <n v="31194"/>
    <n v="54296"/>
    <n v="29232"/>
    <n v="1526"/>
    <s v="Yes"/>
    <n v="74"/>
    <n v="4.0999999999999996"/>
    <x v="4"/>
  </r>
  <r>
    <x v="1372"/>
    <s v="Ritu Joshi"/>
    <n v="76"/>
    <x v="0"/>
    <s v="A+"/>
    <s v="Kolkata"/>
    <d v="2024-05-02T00:00:00"/>
    <d v="2024-05-05T00:00:00"/>
    <n v="3"/>
    <x v="0"/>
    <s v="Dengue"/>
    <x v="1"/>
    <s v="ICU Care"/>
    <x v="3"/>
    <s v="Dr. Deepak Joshi"/>
    <n v="193"/>
    <s v="Semi-Private"/>
    <x v="4"/>
    <n v="145233"/>
    <n v="0"/>
    <n v="145233"/>
    <n v="118510"/>
    <n v="11685"/>
    <n v="12110"/>
    <s v="Yes"/>
    <n v="99"/>
    <n v="2.1"/>
    <x v="0"/>
  </r>
  <r>
    <x v="1373"/>
    <s v="Sunita Das"/>
    <n v="27"/>
    <x v="0"/>
    <s v="B+"/>
    <s v="Delhi"/>
    <d v="2022-12-17T00:00:00"/>
    <d v="2023-01-16T00:00:00"/>
    <n v="30"/>
    <x v="6"/>
    <s v="Arthritis"/>
    <x v="11"/>
    <s v="Observation"/>
    <x v="0"/>
    <s v="Dr. Shalini Sharma"/>
    <n v="467"/>
    <s v="Private"/>
    <x v="1"/>
    <n v="105182"/>
    <n v="66092"/>
    <n v="39090"/>
    <n v="76436"/>
    <n v="13783"/>
    <n v="10155"/>
    <s v="No"/>
    <n v="72"/>
    <n v="4.7"/>
    <x v="0"/>
  </r>
  <r>
    <x v="1374"/>
    <s v="Deepa Malhotra"/>
    <n v="9"/>
    <x v="0"/>
    <s v="B+"/>
    <s v="Mumbai"/>
    <d v="2023-05-12T00:00:00"/>
    <d v="2023-05-15T00:00:00"/>
    <n v="3"/>
    <x v="2"/>
    <s v="Cancer"/>
    <x v="3"/>
    <s v="Dietary Management"/>
    <x v="0"/>
    <s v="Dr. Prerna Mehta"/>
    <n v="108"/>
    <s v="Semi-Private"/>
    <x v="2"/>
    <n v="100159"/>
    <n v="75809"/>
    <n v="24350"/>
    <n v="59522"/>
    <n v="29424"/>
    <n v="7587"/>
    <s v="No"/>
    <n v="48"/>
    <n v="4.4000000000000004"/>
    <x v="4"/>
  </r>
  <r>
    <x v="1375"/>
    <s v="Ritu Chopra"/>
    <n v="22"/>
    <x v="0"/>
    <s v="O-"/>
    <s v="Bangalore"/>
    <d v="2024-08-23T00:00:00"/>
    <d v="2024-08-28T00:00:00"/>
    <n v="5"/>
    <x v="6"/>
    <s v="Arthritis"/>
    <x v="11"/>
    <s v="Observation"/>
    <x v="1"/>
    <s v="Dr. Kavita Mehta"/>
    <n v="4"/>
    <s v="ICU"/>
    <x v="3"/>
    <n v="101595"/>
    <n v="90520"/>
    <n v="11075"/>
    <n v="64374"/>
    <n v="28235"/>
    <n v="4901"/>
    <s v="No"/>
    <n v="40"/>
    <n v="3.2"/>
    <x v="0"/>
  </r>
  <r>
    <x v="1376"/>
    <s v="Kavya Reddy"/>
    <n v="39"/>
    <x v="0"/>
    <s v="O-"/>
    <s v="Ahmedabad"/>
    <d v="2023-05-13T00:00:00"/>
    <d v="2023-05-24T00:00:00"/>
    <n v="11"/>
    <x v="0"/>
    <s v="Anemia"/>
    <x v="4"/>
    <s v="Chemotherapy"/>
    <x v="2"/>
    <s v="Dr. Anjali Gupta"/>
    <n v="330"/>
    <s v="General Ward"/>
    <x v="2"/>
    <n v="90868"/>
    <n v="68989"/>
    <n v="21879"/>
    <n v="71765"/>
    <n v="11832"/>
    <n v="3989"/>
    <s v="No"/>
    <n v="70"/>
    <n v="2.7"/>
    <x v="2"/>
  </r>
  <r>
    <x v="1377"/>
    <s v="Vijay Malhotra"/>
    <n v="33"/>
    <x v="1"/>
    <s v="B+"/>
    <s v="Jaipur"/>
    <d v="2023-12-07T00:00:00"/>
    <d v="2024-01-03T00:00:00"/>
    <n v="27"/>
    <x v="0"/>
    <s v="COVID-19"/>
    <x v="1"/>
    <s v="Dialysis"/>
    <x v="2"/>
    <s v="Dr. Rakesh Sharma"/>
    <n v="391"/>
    <s v="Semi-Private"/>
    <x v="4"/>
    <n v="115888"/>
    <n v="0"/>
    <n v="115888"/>
    <n v="94701"/>
    <n v="12067"/>
    <n v="5257"/>
    <s v="No"/>
    <n v="86"/>
    <n v="4.4000000000000004"/>
    <x v="2"/>
  </r>
  <r>
    <x v="1378"/>
    <s v="Sanjay Malhotra"/>
    <n v="63"/>
    <x v="1"/>
    <s v="O+"/>
    <s v="Delhi"/>
    <d v="2022-08-01T00:00:00"/>
    <d v="2022-08-15T00:00:00"/>
    <n v="14"/>
    <x v="0"/>
    <s v="Typhoid"/>
    <x v="1"/>
    <s v="Counseling"/>
    <x v="1"/>
    <s v="Dr. Nisha Rao"/>
    <n v="216"/>
    <s v="Private"/>
    <x v="3"/>
    <n v="147122"/>
    <n v="125410"/>
    <n v="21712"/>
    <n v="125647"/>
    <n v="8629"/>
    <n v="9144"/>
    <s v="No"/>
    <n v="61"/>
    <n v="3.1"/>
    <x v="3"/>
  </r>
  <r>
    <x v="1379"/>
    <s v="Deepa Nair"/>
    <n v="70"/>
    <x v="0"/>
    <s v="AB+"/>
    <s v="Ahmedabad"/>
    <d v="2023-04-13T00:00:00"/>
    <d v="2023-04-20T00:00:00"/>
    <n v="7"/>
    <x v="4"/>
    <s v="Heart Attack"/>
    <x v="7"/>
    <s v="Dietary Management"/>
    <x v="1"/>
    <s v="Dr. Sameer Singh"/>
    <n v="279"/>
    <s v="Private"/>
    <x v="4"/>
    <n v="177283"/>
    <n v="0"/>
    <n v="177283"/>
    <n v="145157"/>
    <n v="16245"/>
    <n v="11796"/>
    <s v="Yes"/>
    <n v="82"/>
    <n v="4.5"/>
    <x v="2"/>
  </r>
  <r>
    <x v="1380"/>
    <s v="Kavya Menon"/>
    <n v="38"/>
    <x v="0"/>
    <s v="O+"/>
    <s v="Bangalore"/>
    <d v="2024-05-13T00:00:00"/>
    <d v="2024-05-22T00:00:00"/>
    <n v="9"/>
    <x v="0"/>
    <s v="Diabetes Type 2"/>
    <x v="9"/>
    <s v="Observation"/>
    <x v="1"/>
    <s v="Dr. Deepak Rao"/>
    <n v="166"/>
    <s v="Semi-Private"/>
    <x v="2"/>
    <n v="45694"/>
    <n v="30506"/>
    <n v="15188"/>
    <n v="27319"/>
    <n v="5219"/>
    <n v="12270"/>
    <s v="No"/>
    <n v="76"/>
    <n v="3.5"/>
    <x v="3"/>
  </r>
  <r>
    <x v="1381"/>
    <s v="Kavya Das"/>
    <n v="68"/>
    <x v="1"/>
    <s v="AB+"/>
    <s v="Bangalore"/>
    <d v="2023-04-04T00:00:00"/>
    <d v="2023-04-12T00:00:00"/>
    <n v="8"/>
    <x v="1"/>
    <s v="Kidney Stone"/>
    <x v="2"/>
    <s v="Counseling"/>
    <x v="1"/>
    <s v="Dr. Nisha Nair"/>
    <n v="397"/>
    <s v="General Ward"/>
    <x v="2"/>
    <n v="172086"/>
    <n v="122145"/>
    <n v="49941"/>
    <n v="146777"/>
    <n v="23074"/>
    <n v="777"/>
    <s v="No"/>
    <n v="69"/>
    <n v="2.8"/>
    <x v="2"/>
  </r>
  <r>
    <x v="1382"/>
    <s v="Amit Chopra"/>
    <n v="63"/>
    <x v="1"/>
    <s v="B+"/>
    <s v="Ahmedabad"/>
    <d v="2024-10-02T00:00:00"/>
    <d v="2024-10-08T00:00:00"/>
    <n v="6"/>
    <x v="6"/>
    <s v="Arthritis"/>
    <x v="11"/>
    <s v="Surgery"/>
    <x v="3"/>
    <s v="Dr. Vivek Kumar"/>
    <n v="312"/>
    <s v="ICU"/>
    <x v="1"/>
    <n v="132492"/>
    <n v="67046"/>
    <n v="65446"/>
    <n v="101492"/>
    <n v="16161"/>
    <n v="11916"/>
    <s v="No"/>
    <n v="76"/>
    <n v="3"/>
    <x v="0"/>
  </r>
  <r>
    <x v="1383"/>
    <s v="Nisha Shah"/>
    <n v="8"/>
    <x v="0"/>
    <s v="O-"/>
    <s v="Chennai"/>
    <d v="2024-03-03T00:00:00"/>
    <d v="2024-03-08T00:00:00"/>
    <n v="5"/>
    <x v="0"/>
    <s v="Obesity"/>
    <x v="12"/>
    <s v="Radiation Therapy"/>
    <x v="1"/>
    <s v="Dr. Rakesh Nair"/>
    <n v="187"/>
    <s v="Private"/>
    <x v="2"/>
    <n v="93208"/>
    <n v="75210"/>
    <n v="17998"/>
    <n v="63787"/>
    <n v="21455"/>
    <n v="6152"/>
    <s v="Yes"/>
    <n v="94"/>
    <n v="4"/>
    <x v="1"/>
  </r>
  <r>
    <x v="1384"/>
    <s v="Vikram Patel"/>
    <n v="63"/>
    <x v="1"/>
    <s v="A-"/>
    <s v="Kolkata"/>
    <d v="2023-10-04T00:00:00"/>
    <d v="2023-10-08T00:00:00"/>
    <n v="4"/>
    <x v="6"/>
    <s v="Fracture"/>
    <x v="10"/>
    <s v="Physiotherapy"/>
    <x v="1"/>
    <s v="Dr. Rakesh Kumar"/>
    <n v="252"/>
    <s v="Private"/>
    <x v="4"/>
    <n v="98337"/>
    <n v="0"/>
    <n v="98337"/>
    <n v="88799"/>
    <n v="5880"/>
    <n v="1483"/>
    <s v="Yes"/>
    <n v="91"/>
    <n v="4"/>
    <x v="4"/>
  </r>
  <r>
    <x v="1385"/>
    <s v="Rajesh Chopra"/>
    <n v="84"/>
    <x v="0"/>
    <s v="AB-"/>
    <s v="Chennai"/>
    <d v="2022-02-22T00:00:00"/>
    <d v="2022-03-11T00:00:00"/>
    <n v="17"/>
    <x v="0"/>
    <s v="Depression"/>
    <x v="5"/>
    <s v="Dialysis"/>
    <x v="1"/>
    <s v="Dr. Kavita Kumar"/>
    <n v="350"/>
    <s v="Semi-Private"/>
    <x v="0"/>
    <n v="61841"/>
    <n v="41026"/>
    <n v="20815"/>
    <n v="29002"/>
    <n v="26748"/>
    <n v="3261"/>
    <s v="No"/>
    <n v="87"/>
    <n v="4.0999999999999996"/>
    <x v="0"/>
  </r>
  <r>
    <x v="1386"/>
    <s v="Suresh Khanna"/>
    <n v="34"/>
    <x v="0"/>
    <s v="A+"/>
    <s v="Lucknow"/>
    <d v="2023-05-29T00:00:00"/>
    <d v="2023-06-01T00:00:00"/>
    <n v="3"/>
    <x v="4"/>
    <s v="Heart Attack"/>
    <x v="7"/>
    <s v="Counseling"/>
    <x v="1"/>
    <s v="Dr. Nisha Mehta"/>
    <n v="182"/>
    <s v="ICU"/>
    <x v="1"/>
    <n v="119007"/>
    <n v="72859"/>
    <n v="46148"/>
    <n v="88095"/>
    <n v="20103"/>
    <n v="9809"/>
    <s v="No"/>
    <n v="92"/>
    <n v="3.4"/>
    <x v="1"/>
  </r>
  <r>
    <x v="1387"/>
    <s v="Rahul Gupta"/>
    <n v="35"/>
    <x v="1"/>
    <s v="O-"/>
    <s v="Hyderabad"/>
    <d v="2024-04-12T00:00:00"/>
    <d v="2024-04-13T00:00:00"/>
    <n v="1"/>
    <x v="6"/>
    <s v="Fracture"/>
    <x v="10"/>
    <s v="Dietary Management"/>
    <x v="1"/>
    <s v="Dr. Prerna Reddy"/>
    <n v="410"/>
    <s v="Private"/>
    <x v="0"/>
    <n v="113161"/>
    <n v="61322"/>
    <n v="51839"/>
    <n v="73678"/>
    <n v="27248"/>
    <n v="8730"/>
    <s v="No"/>
    <n v="78"/>
    <n v="4.3"/>
    <x v="0"/>
  </r>
  <r>
    <x v="1388"/>
    <s v="Pooja Joshi"/>
    <n v="64"/>
    <x v="0"/>
    <s v="AB+"/>
    <s v="Delhi"/>
    <d v="2023-01-16T00:00:00"/>
    <d v="2023-02-01T00:00:00"/>
    <n v="16"/>
    <x v="2"/>
    <s v="Cancer"/>
    <x v="3"/>
    <s v="Physiotherapy"/>
    <x v="1"/>
    <s v="Dr. Prerna Mehta"/>
    <n v="14"/>
    <s v="Semi-Private"/>
    <x v="1"/>
    <n v="71624"/>
    <n v="39447"/>
    <n v="32177"/>
    <n v="27626"/>
    <n v="29929"/>
    <n v="11900"/>
    <s v="No"/>
    <n v="42"/>
    <n v="2.2999999999999998"/>
    <x v="0"/>
  </r>
  <r>
    <x v="1389"/>
    <s v="Rekha Rao"/>
    <n v="76"/>
    <x v="1"/>
    <s v="B+"/>
    <s v="Lucknow"/>
    <d v="2024-12-12T00:00:00"/>
    <d v="2024-12-31T00:00:00"/>
    <n v="19"/>
    <x v="0"/>
    <s v="Diabetes Type 2"/>
    <x v="9"/>
    <s v="Counseling"/>
    <x v="1"/>
    <s v="Dr. Shalini Joshi"/>
    <n v="347"/>
    <s v="ICU"/>
    <x v="4"/>
    <n v="110705"/>
    <n v="0"/>
    <n v="110705"/>
    <n v="99493"/>
    <n v="6170"/>
    <n v="3584"/>
    <s v="No"/>
    <n v="46"/>
    <n v="4"/>
    <x v="0"/>
  </r>
  <r>
    <x v="1390"/>
    <s v="Priya Das"/>
    <n v="24"/>
    <x v="1"/>
    <s v="B-"/>
    <s v="Chennai"/>
    <d v="2023-10-20T00:00:00"/>
    <d v="2023-11-02T00:00:00"/>
    <n v="13"/>
    <x v="0"/>
    <s v="Depression"/>
    <x v="5"/>
    <s v="Surgery"/>
    <x v="0"/>
    <s v="Dr. Sameer Reddy"/>
    <n v="390"/>
    <s v="ICU"/>
    <x v="3"/>
    <n v="142454"/>
    <n v="124417"/>
    <n v="18037"/>
    <n v="133203"/>
    <n v="2764"/>
    <n v="5421"/>
    <s v="Yes"/>
    <n v="94"/>
    <n v="4"/>
    <x v="0"/>
  </r>
  <r>
    <x v="1391"/>
    <s v="Mukesh Iyer"/>
    <n v="16"/>
    <x v="1"/>
    <s v="AB-"/>
    <s v="Hyderabad"/>
    <d v="2022-03-15T00:00:00"/>
    <d v="2022-03-26T00:00:00"/>
    <n v="11"/>
    <x v="4"/>
    <s v="Hypertension"/>
    <x v="7"/>
    <s v="Chemotherapy"/>
    <x v="2"/>
    <s v="Dr. Sameer Sharma"/>
    <n v="391"/>
    <s v="Semi-Private"/>
    <x v="4"/>
    <n v="105034"/>
    <n v="0"/>
    <n v="105034"/>
    <n v="74074"/>
    <n v="20412"/>
    <n v="6527"/>
    <s v="Yes"/>
    <n v="71"/>
    <n v="2.2000000000000002"/>
    <x v="0"/>
  </r>
  <r>
    <x v="1392"/>
    <s v="Meera Chopra"/>
    <n v="49"/>
    <x v="1"/>
    <s v="AB-"/>
    <s v="Ahmedabad"/>
    <d v="2023-12-12T00:00:00"/>
    <d v="2024-01-06T00:00:00"/>
    <n v="25"/>
    <x v="5"/>
    <s v="Pneumonia"/>
    <x v="8"/>
    <s v="Radiation Therapy"/>
    <x v="2"/>
    <s v="Dr. Kavita Patel"/>
    <n v="423"/>
    <s v="ICU"/>
    <x v="0"/>
    <n v="52799"/>
    <n v="31608"/>
    <n v="21191"/>
    <n v="35846"/>
    <n v="13922"/>
    <n v="927"/>
    <s v="No"/>
    <n v="72"/>
    <n v="4.2"/>
    <x v="3"/>
  </r>
  <r>
    <x v="1393"/>
    <s v="Rajesh Patel"/>
    <n v="45"/>
    <x v="0"/>
    <s v="A+"/>
    <s v="Chennai"/>
    <d v="2024-02-16T00:00:00"/>
    <d v="2024-03-15T00:00:00"/>
    <n v="28"/>
    <x v="3"/>
    <s v="Stroke"/>
    <x v="6"/>
    <s v="Observation"/>
    <x v="0"/>
    <s v="Dr. Anjali Sharma"/>
    <n v="7"/>
    <s v="Private"/>
    <x v="1"/>
    <n v="106872"/>
    <n v="55484"/>
    <n v="51388"/>
    <n v="78645"/>
    <n v="14192"/>
    <n v="10284"/>
    <s v="No"/>
    <n v="95"/>
    <n v="4.0999999999999996"/>
    <x v="2"/>
  </r>
  <r>
    <x v="1394"/>
    <s v="Suresh Malhotra"/>
    <n v="12"/>
    <x v="1"/>
    <s v="AB-"/>
    <s v="Delhi"/>
    <d v="2023-10-14T00:00:00"/>
    <d v="2023-10-31T00:00:00"/>
    <n v="17"/>
    <x v="4"/>
    <s v="Hypertension"/>
    <x v="7"/>
    <s v="Dietary Management"/>
    <x v="0"/>
    <s v="Dr. Prerna Singh"/>
    <n v="336"/>
    <s v="General Ward"/>
    <x v="1"/>
    <n v="129393"/>
    <n v="60150"/>
    <n v="69243"/>
    <n v="115324"/>
    <n v="7484"/>
    <n v="4590"/>
    <s v="No"/>
    <n v="41"/>
    <n v="4.4000000000000004"/>
    <x v="4"/>
  </r>
  <r>
    <x v="1395"/>
    <s v="Amit Pillai"/>
    <n v="67"/>
    <x v="0"/>
    <s v="O+"/>
    <s v="Jaipur"/>
    <d v="2024-12-13T00:00:00"/>
    <d v="2024-12-31T00:00:00"/>
    <n v="18"/>
    <x v="3"/>
    <s v="Stroke"/>
    <x v="6"/>
    <s v="Physiotherapy"/>
    <x v="2"/>
    <s v="Dr. Anjali Kumar"/>
    <n v="308"/>
    <s v="General Ward"/>
    <x v="1"/>
    <n v="148943"/>
    <n v="97599"/>
    <n v="51344"/>
    <n v="134207"/>
    <n v="7111"/>
    <n v="2828"/>
    <s v="No"/>
    <n v="74"/>
    <n v="4.5"/>
    <x v="2"/>
  </r>
  <r>
    <x v="1396"/>
    <s v="Sunita Shah"/>
    <n v="75"/>
    <x v="0"/>
    <s v="O+"/>
    <s v="Pune"/>
    <d v="2023-10-10T00:00:00"/>
    <d v="2023-11-07T00:00:00"/>
    <n v="28"/>
    <x v="0"/>
    <s v="Appendicitis"/>
    <x v="0"/>
    <s v="Dietary Management"/>
    <x v="1"/>
    <s v="Dr. Shalini Joshi"/>
    <n v="401"/>
    <s v="General Ward"/>
    <x v="0"/>
    <n v="120970"/>
    <n v="76633"/>
    <n v="44337"/>
    <n v="86478"/>
    <n v="18019"/>
    <n v="14621"/>
    <s v="No"/>
    <n v="71"/>
    <n v="3.6"/>
    <x v="2"/>
  </r>
  <r>
    <x v="1397"/>
    <s v="Ritu Bose"/>
    <n v="30"/>
    <x v="0"/>
    <s v="B-"/>
    <s v="Bangalore"/>
    <d v="2023-05-08T00:00:00"/>
    <d v="2023-05-26T00:00:00"/>
    <n v="18"/>
    <x v="4"/>
    <s v="Hypertension"/>
    <x v="7"/>
    <s v="Dialysis"/>
    <x v="2"/>
    <s v="Dr. Vivek Singh"/>
    <n v="225"/>
    <s v="Private"/>
    <x v="1"/>
    <n v="111260"/>
    <n v="61769"/>
    <n v="49491"/>
    <n v="86579"/>
    <n v="14542"/>
    <n v="7399"/>
    <s v="No"/>
    <n v="100"/>
    <n v="4.0999999999999996"/>
    <x v="3"/>
  </r>
  <r>
    <x v="1398"/>
    <s v="Karan Reddy"/>
    <n v="67"/>
    <x v="1"/>
    <s v="B+"/>
    <s v="Mumbai"/>
    <d v="2024-03-30T00:00:00"/>
    <d v="2024-04-07T00:00:00"/>
    <n v="8"/>
    <x v="0"/>
    <s v="Appendicitis"/>
    <x v="0"/>
    <s v="ICU Care"/>
    <x v="3"/>
    <s v="Dr. Sameer Rao"/>
    <n v="227"/>
    <s v="ICU"/>
    <x v="3"/>
    <n v="27971"/>
    <n v="21091"/>
    <n v="6880"/>
    <n v="14782"/>
    <n v="4992"/>
    <n v="4762"/>
    <s v="Yes"/>
    <n v="46"/>
    <n v="2.2999999999999998"/>
    <x v="1"/>
  </r>
  <r>
    <x v="1399"/>
    <s v="Rohan Singh"/>
    <n v="52"/>
    <x v="0"/>
    <s v="B+"/>
    <s v="Jaipur"/>
    <d v="2022-08-19T00:00:00"/>
    <d v="2022-09-11T00:00:00"/>
    <n v="23"/>
    <x v="1"/>
    <s v="UTI"/>
    <x v="2"/>
    <s v="Observation"/>
    <x v="1"/>
    <s v="Dr. Prerna Joshi"/>
    <n v="276"/>
    <s v="ICU"/>
    <x v="2"/>
    <n v="50378"/>
    <n v="43221"/>
    <n v="7157"/>
    <n v="31732"/>
    <n v="11057"/>
    <n v="6835"/>
    <s v="No"/>
    <n v="44"/>
    <n v="2.2999999999999998"/>
    <x v="0"/>
  </r>
  <r>
    <x v="1400"/>
    <s v="Ananya Chopra"/>
    <n v="7"/>
    <x v="0"/>
    <s v="O-"/>
    <s v="Pune"/>
    <d v="2023-07-07T00:00:00"/>
    <d v="2023-07-20T00:00:00"/>
    <n v="13"/>
    <x v="1"/>
    <s v="Kidney Stone"/>
    <x v="2"/>
    <s v="Physiotherapy"/>
    <x v="0"/>
    <s v="Dr. Deepak Reddy"/>
    <n v="195"/>
    <s v="Private"/>
    <x v="0"/>
    <n v="156492"/>
    <n v="100481"/>
    <n v="56011"/>
    <n v="136027"/>
    <n v="15813"/>
    <n v="1966"/>
    <s v="No"/>
    <n v="96"/>
    <n v="4.4000000000000004"/>
    <x v="1"/>
  </r>
  <r>
    <x v="1401"/>
    <s v="Rajesh Verma"/>
    <n v="40"/>
    <x v="0"/>
    <s v="O-"/>
    <s v="Kolkata"/>
    <d v="2024-05-18T00:00:00"/>
    <d v="2024-05-19T00:00:00"/>
    <n v="1"/>
    <x v="4"/>
    <s v="Hypertension"/>
    <x v="7"/>
    <s v="Medication"/>
    <x v="1"/>
    <s v="Dr. Prerna Rao"/>
    <n v="490"/>
    <s v="ICU"/>
    <x v="0"/>
    <n v="77096"/>
    <n v="52960"/>
    <n v="24136"/>
    <n v="44895"/>
    <n v="17270"/>
    <n v="13204"/>
    <s v="No"/>
    <n v="64"/>
    <n v="4.4000000000000004"/>
    <x v="4"/>
  </r>
  <r>
    <x v="1402"/>
    <s v="Sonia Nair"/>
    <n v="21"/>
    <x v="1"/>
    <s v="AB-"/>
    <s v="Chennai"/>
    <d v="2024-03-10T00:00:00"/>
    <d v="2024-04-05T00:00:00"/>
    <n v="26"/>
    <x v="6"/>
    <s v="Arthritis"/>
    <x v="11"/>
    <s v="Counseling"/>
    <x v="3"/>
    <s v="Dr. Arun Rao"/>
    <n v="167"/>
    <s v="ICU"/>
    <x v="2"/>
    <n v="67423"/>
    <n v="48674"/>
    <n v="18749"/>
    <n v="55771"/>
    <n v="9475"/>
    <n v="981"/>
    <s v="No"/>
    <n v="63"/>
    <n v="2.1"/>
    <x v="3"/>
  </r>
  <r>
    <x v="1403"/>
    <s v="Rahul Mehta"/>
    <n v="57"/>
    <x v="0"/>
    <s v="A+"/>
    <s v="Chennai"/>
    <d v="2023-07-18T00:00:00"/>
    <d v="2023-08-14T00:00:00"/>
    <n v="27"/>
    <x v="6"/>
    <s v="Arthritis"/>
    <x v="11"/>
    <s v="Counseling"/>
    <x v="3"/>
    <s v="Dr. Kavita Gupta"/>
    <n v="417"/>
    <s v="ICU"/>
    <x v="2"/>
    <n v="42025"/>
    <n v="35433"/>
    <n v="6592"/>
    <n v="9088"/>
    <n v="23643"/>
    <n v="7380"/>
    <s v="No"/>
    <n v="61"/>
    <n v="4.0999999999999996"/>
    <x v="0"/>
  </r>
  <r>
    <x v="1404"/>
    <s v="Amit Kumar"/>
    <n v="44"/>
    <x v="1"/>
    <s v="O-"/>
    <s v="Hyderabad"/>
    <d v="2023-08-07T00:00:00"/>
    <d v="2023-08-27T00:00:00"/>
    <n v="20"/>
    <x v="3"/>
    <s v="Migraine"/>
    <x v="6"/>
    <s v="Dietary Management"/>
    <x v="3"/>
    <s v="Dr. Rakesh Mehta"/>
    <n v="428"/>
    <s v="General Ward"/>
    <x v="3"/>
    <n v="135604"/>
    <n v="100672"/>
    <n v="34932"/>
    <n v="97727"/>
    <n v="28680"/>
    <n v="7629"/>
    <s v="No"/>
    <n v="40"/>
    <n v="4.9000000000000004"/>
    <x v="3"/>
  </r>
  <r>
    <x v="1405"/>
    <s v="Pooja Singh"/>
    <n v="62"/>
    <x v="1"/>
    <s v="O+"/>
    <s v="Hyderabad"/>
    <d v="2024-08-02T00:00:00"/>
    <d v="2024-08-21T00:00:00"/>
    <n v="19"/>
    <x v="1"/>
    <s v="UTI"/>
    <x v="2"/>
    <s v="Dietary Management"/>
    <x v="2"/>
    <s v="Dr. Kavita Kumar"/>
    <n v="346"/>
    <s v="General Ward"/>
    <x v="3"/>
    <n v="85910"/>
    <n v="62437"/>
    <n v="23473"/>
    <n v="60799"/>
    <n v="19048"/>
    <n v="4234"/>
    <s v="No"/>
    <n v="72"/>
    <n v="3.8"/>
    <x v="3"/>
  </r>
  <r>
    <x v="1406"/>
    <s v="Sunita Patel"/>
    <n v="11"/>
    <x v="1"/>
    <s v="AB-"/>
    <s v="Mumbai"/>
    <d v="2024-08-10T00:00:00"/>
    <d v="2024-08-28T00:00:00"/>
    <n v="18"/>
    <x v="0"/>
    <s v="Appendicitis"/>
    <x v="0"/>
    <s v="Dietary Management"/>
    <x v="3"/>
    <s v="Dr. Nisha Gupta"/>
    <n v="208"/>
    <s v="General Ward"/>
    <x v="0"/>
    <n v="52702"/>
    <n v="29926"/>
    <n v="22776"/>
    <n v="15735"/>
    <n v="29063"/>
    <n v="4933"/>
    <s v="Yes"/>
    <n v="98"/>
    <n v="4.5999999999999996"/>
    <x v="2"/>
  </r>
  <r>
    <x v="1407"/>
    <s v="Rajesh Reddy"/>
    <n v="45"/>
    <x v="0"/>
    <s v="B+"/>
    <s v="Jaipur"/>
    <d v="2023-02-18T00:00:00"/>
    <d v="2023-03-11T00:00:00"/>
    <n v="21"/>
    <x v="3"/>
    <s v="Stroke"/>
    <x v="6"/>
    <s v="Physiotherapy"/>
    <x v="0"/>
    <s v="Dr. Nisha Joshi"/>
    <n v="338"/>
    <s v="ICU"/>
    <x v="1"/>
    <n v="65102"/>
    <n v="43976"/>
    <n v="21126"/>
    <n v="37687"/>
    <n v="22611"/>
    <n v="3909"/>
    <s v="No"/>
    <n v="60"/>
    <n v="3.1"/>
    <x v="4"/>
  </r>
  <r>
    <x v="1408"/>
    <s v="Manoj Bose"/>
    <n v="17"/>
    <x v="1"/>
    <s v="O-"/>
    <s v="Jaipur"/>
    <d v="2022-09-24T00:00:00"/>
    <d v="2022-10-23T00:00:00"/>
    <n v="29"/>
    <x v="6"/>
    <s v="Fracture"/>
    <x v="10"/>
    <s v="Radiation Therapy"/>
    <x v="1"/>
    <s v="Dr. Deepak Rao"/>
    <n v="143"/>
    <s v="General Ward"/>
    <x v="2"/>
    <n v="169117"/>
    <n v="107355"/>
    <n v="61762"/>
    <n v="132832"/>
    <n v="24845"/>
    <n v="9951"/>
    <s v="No"/>
    <n v="44"/>
    <n v="2.9"/>
    <x v="4"/>
  </r>
  <r>
    <x v="1409"/>
    <s v="Rohan Nair"/>
    <n v="53"/>
    <x v="1"/>
    <s v="A-"/>
    <s v="Lucknow"/>
    <d v="2024-10-30T00:00:00"/>
    <d v="2024-11-07T00:00:00"/>
    <n v="8"/>
    <x v="0"/>
    <s v="Diabetes Type 2"/>
    <x v="9"/>
    <s v="Radiation Therapy"/>
    <x v="3"/>
    <s v="Dr. Rakesh Mehta"/>
    <n v="375"/>
    <s v="Private"/>
    <x v="3"/>
    <n v="104334"/>
    <n v="91310"/>
    <n v="13024"/>
    <n v="60806"/>
    <n v="24975"/>
    <n v="13825"/>
    <s v="No"/>
    <n v="88"/>
    <n v="3"/>
    <x v="2"/>
  </r>
  <r>
    <x v="1410"/>
    <s v="Kavya Bose"/>
    <n v="66"/>
    <x v="0"/>
    <s v="AB-"/>
    <s v="Ahmedabad"/>
    <d v="2022-01-10T00:00:00"/>
    <d v="2022-01-12T00:00:00"/>
    <n v="2"/>
    <x v="0"/>
    <s v="Typhoid"/>
    <x v="1"/>
    <s v="Counseling"/>
    <x v="1"/>
    <s v="Dr. Sameer Kumar"/>
    <n v="125"/>
    <s v="Semi-Private"/>
    <x v="4"/>
    <n v="38660"/>
    <n v="0"/>
    <n v="38660"/>
    <n v="29853"/>
    <n v="6138"/>
    <n v="1917"/>
    <s v="No"/>
    <n v="50"/>
    <n v="4.3"/>
    <x v="4"/>
  </r>
  <r>
    <x v="1411"/>
    <s v="Meera Iyer"/>
    <n v="79"/>
    <x v="1"/>
    <s v="AB+"/>
    <s v="Kolkata"/>
    <d v="2024-04-23T00:00:00"/>
    <d v="2024-05-17T00:00:00"/>
    <n v="24"/>
    <x v="4"/>
    <s v="Hypertension"/>
    <x v="7"/>
    <s v="Counseling"/>
    <x v="0"/>
    <s v="Dr. Nisha Reddy"/>
    <n v="282"/>
    <s v="Semi-Private"/>
    <x v="1"/>
    <n v="121079"/>
    <n v="59599"/>
    <n v="61480"/>
    <n v="99635"/>
    <n v="16052"/>
    <n v="1535"/>
    <s v="No"/>
    <n v="82"/>
    <n v="3.6"/>
    <x v="3"/>
  </r>
  <r>
    <x v="1412"/>
    <s v="Vijay Sharma"/>
    <n v="6"/>
    <x v="1"/>
    <s v="AB-"/>
    <s v="Mumbai"/>
    <d v="2022-02-13T00:00:00"/>
    <d v="2022-02-28T00:00:00"/>
    <n v="15"/>
    <x v="0"/>
    <s v="Diabetes Type 2"/>
    <x v="9"/>
    <s v="Radiation Therapy"/>
    <x v="1"/>
    <s v="Dr. Deepak Nair"/>
    <n v="385"/>
    <s v="ICU"/>
    <x v="3"/>
    <n v="75993"/>
    <n v="63847"/>
    <n v="12146"/>
    <n v="63928"/>
    <n v="6381"/>
    <n v="1099"/>
    <s v="No"/>
    <n v="85"/>
    <n v="2.1"/>
    <x v="0"/>
  </r>
  <r>
    <x v="1413"/>
    <s v="Kavya Nair"/>
    <n v="69"/>
    <x v="0"/>
    <s v="B+"/>
    <s v="Kolkata"/>
    <d v="2024-10-04T00:00:00"/>
    <d v="2024-10-28T00:00:00"/>
    <n v="24"/>
    <x v="1"/>
    <s v="UTI"/>
    <x v="2"/>
    <s v="Radiation Therapy"/>
    <x v="0"/>
    <s v="Dr. Sameer Rao"/>
    <n v="210"/>
    <s v="Private"/>
    <x v="2"/>
    <n v="164516"/>
    <n v="138789"/>
    <n v="25727"/>
    <n v="129458"/>
    <n v="27163"/>
    <n v="5192"/>
    <s v="No"/>
    <n v="68"/>
    <n v="2.4"/>
    <x v="4"/>
  </r>
  <r>
    <x v="1414"/>
    <s v="Karan Shah"/>
    <n v="40"/>
    <x v="1"/>
    <s v="B+"/>
    <s v="Jaipur"/>
    <d v="2022-07-30T00:00:00"/>
    <d v="2022-08-14T00:00:00"/>
    <n v="15"/>
    <x v="0"/>
    <s v="Obesity"/>
    <x v="12"/>
    <s v="Radiation Therapy"/>
    <x v="0"/>
    <s v="Dr. Shalini Kumar"/>
    <n v="2"/>
    <s v="General Ward"/>
    <x v="0"/>
    <n v="112117"/>
    <n v="70234"/>
    <n v="41883"/>
    <n v="85565"/>
    <n v="11939"/>
    <n v="13029"/>
    <s v="Yes"/>
    <n v="67"/>
    <n v="4.9000000000000004"/>
    <x v="4"/>
  </r>
  <r>
    <x v="1415"/>
    <s v="Divya Reddy"/>
    <n v="12"/>
    <x v="1"/>
    <s v="B+"/>
    <s v="Kolkata"/>
    <d v="2023-06-08T00:00:00"/>
    <d v="2023-06-20T00:00:00"/>
    <n v="12"/>
    <x v="4"/>
    <s v="Heart Attack"/>
    <x v="7"/>
    <s v="Radiation Therapy"/>
    <x v="2"/>
    <s v="Dr. Kavita Sharma"/>
    <n v="314"/>
    <s v="General Ward"/>
    <x v="3"/>
    <n v="112804"/>
    <n v="92469"/>
    <n v="20335"/>
    <n v="72609"/>
    <n v="26413"/>
    <n v="12961"/>
    <s v="No"/>
    <n v="45"/>
    <n v="3.3"/>
    <x v="1"/>
  </r>
  <r>
    <x v="1416"/>
    <s v="Vikram Gupta"/>
    <n v="39"/>
    <x v="0"/>
    <s v="AB+"/>
    <s v="Ahmedabad"/>
    <d v="2024-01-24T00:00:00"/>
    <d v="2024-01-28T00:00:00"/>
    <n v="4"/>
    <x v="5"/>
    <s v="Pneumonia"/>
    <x v="8"/>
    <s v="Counseling"/>
    <x v="2"/>
    <s v="Dr. Anjali Rao"/>
    <n v="304"/>
    <s v="General Ward"/>
    <x v="2"/>
    <n v="143885"/>
    <n v="103573"/>
    <n v="40312"/>
    <n v="98889"/>
    <n v="28543"/>
    <n v="14234"/>
    <s v="No"/>
    <n v="66"/>
    <n v="3.8"/>
    <x v="2"/>
  </r>
  <r>
    <x v="1417"/>
    <s v="Suresh Gupta"/>
    <n v="68"/>
    <x v="0"/>
    <s v="B-"/>
    <s v="Chennai"/>
    <d v="2023-06-13T00:00:00"/>
    <d v="2023-06-18T00:00:00"/>
    <n v="5"/>
    <x v="5"/>
    <s v="Pneumonia"/>
    <x v="8"/>
    <s v="ICU Care"/>
    <x v="0"/>
    <s v="Dr. Sameer Nair"/>
    <n v="119"/>
    <s v="ICU"/>
    <x v="0"/>
    <n v="93226"/>
    <n v="42499"/>
    <n v="50727"/>
    <n v="62439"/>
    <n v="17295"/>
    <n v="11545"/>
    <s v="No"/>
    <n v="53"/>
    <n v="2.2999999999999998"/>
    <x v="2"/>
  </r>
  <r>
    <x v="1418"/>
    <s v="Lata Reddy"/>
    <n v="65"/>
    <x v="1"/>
    <s v="A+"/>
    <s v="Jaipur"/>
    <d v="2023-10-02T00:00:00"/>
    <d v="2023-10-07T00:00:00"/>
    <n v="5"/>
    <x v="3"/>
    <s v="Stroke"/>
    <x v="6"/>
    <s v="Medication"/>
    <x v="2"/>
    <s v="Dr. Anjali Sharma"/>
    <n v="137"/>
    <s v="Semi-Private"/>
    <x v="0"/>
    <n v="97330"/>
    <n v="57393"/>
    <n v="39937"/>
    <n v="66137"/>
    <n v="25958"/>
    <n v="3721"/>
    <s v="No"/>
    <n v="91"/>
    <n v="3.5"/>
    <x v="0"/>
  </r>
  <r>
    <x v="1419"/>
    <s v="Rohan Shah"/>
    <n v="56"/>
    <x v="1"/>
    <s v="B+"/>
    <s v="Pune"/>
    <d v="2024-09-24T00:00:00"/>
    <d v="2024-10-23T00:00:00"/>
    <n v="29"/>
    <x v="0"/>
    <s v="Depression"/>
    <x v="5"/>
    <s v="Dialysis"/>
    <x v="0"/>
    <s v="Dr. Kavita Gupta"/>
    <n v="52"/>
    <s v="Private"/>
    <x v="2"/>
    <n v="158492"/>
    <n v="120788"/>
    <n v="37704"/>
    <n v="130178"/>
    <n v="14794"/>
    <n v="9861"/>
    <s v="No"/>
    <n v="81"/>
    <n v="3.9"/>
    <x v="1"/>
  </r>
  <r>
    <x v="1420"/>
    <s v="Nisha Shah"/>
    <n v="44"/>
    <x v="0"/>
    <s v="B+"/>
    <s v="Delhi"/>
    <d v="2024-01-23T00:00:00"/>
    <d v="2024-02-08T00:00:00"/>
    <n v="16"/>
    <x v="0"/>
    <s v="Depression"/>
    <x v="5"/>
    <s v="Radiation Therapy"/>
    <x v="2"/>
    <s v="Dr. Vivek Singh"/>
    <n v="16"/>
    <s v="Private"/>
    <x v="0"/>
    <n v="82937"/>
    <n v="38107"/>
    <n v="44830"/>
    <n v="43133"/>
    <n v="21618"/>
    <n v="13998"/>
    <s v="No"/>
    <n v="78"/>
    <n v="3.3"/>
    <x v="0"/>
  </r>
  <r>
    <x v="1421"/>
    <s v="Nisha Menon"/>
    <n v="31"/>
    <x v="0"/>
    <s v="B+"/>
    <s v="Jaipur"/>
    <d v="2023-03-14T00:00:00"/>
    <d v="2023-04-04T00:00:00"/>
    <n v="21"/>
    <x v="0"/>
    <s v="Obesity"/>
    <x v="12"/>
    <s v="Chemotherapy"/>
    <x v="0"/>
    <s v="Dr. Shalini Rao"/>
    <n v="240"/>
    <s v="Semi-Private"/>
    <x v="0"/>
    <n v="57056"/>
    <n v="26897"/>
    <n v="30159"/>
    <n v="26050"/>
    <n v="23720"/>
    <n v="6599"/>
    <s v="Yes"/>
    <n v="72"/>
    <n v="3.1"/>
    <x v="0"/>
  </r>
  <r>
    <x v="1422"/>
    <s v="Ashok Khanna"/>
    <n v="49"/>
    <x v="0"/>
    <s v="A-"/>
    <s v="Mumbai"/>
    <d v="2022-09-19T00:00:00"/>
    <d v="2022-09-30T00:00:00"/>
    <n v="11"/>
    <x v="4"/>
    <s v="Hypertension"/>
    <x v="7"/>
    <s v="Observation"/>
    <x v="0"/>
    <s v="Dr. Deepak Joshi"/>
    <n v="327"/>
    <s v="General Ward"/>
    <x v="3"/>
    <n v="143230"/>
    <n v="103880"/>
    <n v="39350"/>
    <n v="124994"/>
    <n v="8312"/>
    <n v="5376"/>
    <s v="Yes"/>
    <n v="59"/>
    <n v="4.5"/>
    <x v="0"/>
  </r>
  <r>
    <x v="1423"/>
    <s v="Sunita Pillai"/>
    <n v="59"/>
    <x v="1"/>
    <s v="B+"/>
    <s v="Jaipur"/>
    <d v="2024-01-04T00:00:00"/>
    <d v="2024-01-28T00:00:00"/>
    <n v="24"/>
    <x v="0"/>
    <s v="Liver Disease"/>
    <x v="0"/>
    <s v="Medication"/>
    <x v="2"/>
    <s v="Dr. Deepak Kumar"/>
    <n v="95"/>
    <s v="Private"/>
    <x v="0"/>
    <n v="146634"/>
    <n v="63192"/>
    <n v="83442"/>
    <n v="128129"/>
    <n v="13488"/>
    <n v="3267"/>
    <s v="No"/>
    <n v="88"/>
    <n v="3.2"/>
    <x v="4"/>
  </r>
  <r>
    <x v="1424"/>
    <s v="Deepa Mehta"/>
    <n v="78"/>
    <x v="0"/>
    <s v="B-"/>
    <s v="Lucknow"/>
    <d v="2023-06-11T00:00:00"/>
    <d v="2023-07-01T00:00:00"/>
    <n v="20"/>
    <x v="0"/>
    <s v="Dengue"/>
    <x v="1"/>
    <s v="Dialysis"/>
    <x v="1"/>
    <s v="Dr. Kavita Nair"/>
    <n v="289"/>
    <s v="Private"/>
    <x v="4"/>
    <n v="105064"/>
    <n v="0"/>
    <n v="105064"/>
    <n v="79972"/>
    <n v="14590"/>
    <n v="6435"/>
    <s v="No"/>
    <n v="81"/>
    <n v="3.1"/>
    <x v="3"/>
  </r>
  <r>
    <x v="1425"/>
    <s v="Meera Patel"/>
    <n v="70"/>
    <x v="0"/>
    <s v="B-"/>
    <s v="Mumbai"/>
    <d v="2022-04-20T00:00:00"/>
    <d v="2022-04-25T00:00:00"/>
    <n v="5"/>
    <x v="6"/>
    <s v="Fracture"/>
    <x v="10"/>
    <s v="Physiotherapy"/>
    <x v="0"/>
    <s v="Dr. Kavita Joshi"/>
    <n v="344"/>
    <s v="ICU"/>
    <x v="0"/>
    <n v="77726"/>
    <n v="46406"/>
    <n v="31320"/>
    <n v="48973"/>
    <n v="12499"/>
    <n v="12555"/>
    <s v="No"/>
    <n v="86"/>
    <n v="4.0999999999999996"/>
    <x v="2"/>
  </r>
  <r>
    <x v="1426"/>
    <s v="Ananya Mehta"/>
    <n v="41"/>
    <x v="0"/>
    <s v="O+"/>
    <s v="Lucknow"/>
    <d v="2023-03-14T00:00:00"/>
    <d v="2023-04-03T00:00:00"/>
    <n v="20"/>
    <x v="6"/>
    <s v="Fracture"/>
    <x v="10"/>
    <s v="Observation"/>
    <x v="1"/>
    <s v="Dr. Prerna Rao"/>
    <n v="64"/>
    <s v="General Ward"/>
    <x v="1"/>
    <n v="32871"/>
    <n v="17397"/>
    <n v="15474"/>
    <n v="7720"/>
    <n v="10907"/>
    <n v="9490"/>
    <s v="No"/>
    <n v="86"/>
    <n v="2.1"/>
    <x v="4"/>
  </r>
  <r>
    <x v="1427"/>
    <s v="Suresh Gupta"/>
    <n v="57"/>
    <x v="0"/>
    <s v="O+"/>
    <s v="Ahmedabad"/>
    <d v="2023-02-09T00:00:00"/>
    <d v="2023-03-03T00:00:00"/>
    <n v="22"/>
    <x v="0"/>
    <s v="Typhoid"/>
    <x v="1"/>
    <s v="ICU Care"/>
    <x v="3"/>
    <s v="Dr. Rakesh Patel"/>
    <n v="248"/>
    <s v="ICU"/>
    <x v="2"/>
    <n v="40028"/>
    <n v="25178"/>
    <n v="14850"/>
    <n v="11084"/>
    <n v="20643"/>
    <n v="3741"/>
    <s v="No"/>
    <n v="98"/>
    <n v="4.8"/>
    <x v="1"/>
  </r>
  <r>
    <x v="1428"/>
    <s v="Rajesh Pillai"/>
    <n v="18"/>
    <x v="1"/>
    <s v="O+"/>
    <s v="Pune"/>
    <d v="2024-10-02T00:00:00"/>
    <d v="2024-10-29T00:00:00"/>
    <n v="27"/>
    <x v="2"/>
    <s v="Cancer"/>
    <x v="3"/>
    <s v="Observation"/>
    <x v="0"/>
    <s v="Dr. Shalini Singh"/>
    <n v="131"/>
    <s v="ICU"/>
    <x v="0"/>
    <n v="97685"/>
    <n v="64927"/>
    <n v="32758"/>
    <n v="66291"/>
    <n v="18680"/>
    <n v="7716"/>
    <s v="No"/>
    <n v="90"/>
    <n v="4.7"/>
    <x v="1"/>
  </r>
  <r>
    <x v="1429"/>
    <s v="Vikram Das"/>
    <n v="78"/>
    <x v="1"/>
    <s v="O-"/>
    <s v="Kolkata"/>
    <d v="2024-06-13T00:00:00"/>
    <d v="2024-06-25T00:00:00"/>
    <n v="12"/>
    <x v="6"/>
    <s v="Fracture"/>
    <x v="10"/>
    <s v="Chemotherapy"/>
    <x v="0"/>
    <s v="Dr. Deepak Singh"/>
    <n v="379"/>
    <s v="ICU"/>
    <x v="3"/>
    <n v="63269"/>
    <n v="47498"/>
    <n v="15771"/>
    <n v="28742"/>
    <n v="20445"/>
    <n v="9161"/>
    <s v="No"/>
    <n v="57"/>
    <n v="2.7"/>
    <x v="1"/>
  </r>
  <r>
    <x v="1430"/>
    <s v="Nisha Patel"/>
    <n v="82"/>
    <x v="0"/>
    <s v="O-"/>
    <s v="Lucknow"/>
    <d v="2023-03-15T00:00:00"/>
    <d v="2023-04-01T00:00:00"/>
    <n v="17"/>
    <x v="0"/>
    <s v="Diabetes Type 2"/>
    <x v="9"/>
    <s v="Physiotherapy"/>
    <x v="3"/>
    <s v="Dr. Arun Mehta"/>
    <n v="123"/>
    <s v="General Ward"/>
    <x v="1"/>
    <n v="126203"/>
    <n v="60523"/>
    <n v="65680"/>
    <n v="107218"/>
    <n v="10188"/>
    <n v="6943"/>
    <s v="No"/>
    <n v="89"/>
    <n v="4.5999999999999996"/>
    <x v="1"/>
  </r>
  <r>
    <x v="1431"/>
    <s v="Rohan Das"/>
    <n v="56"/>
    <x v="0"/>
    <s v="B+"/>
    <s v="Delhi"/>
    <d v="2023-01-18T00:00:00"/>
    <d v="2023-02-14T00:00:00"/>
    <n v="27"/>
    <x v="0"/>
    <s v="Appendicitis"/>
    <x v="0"/>
    <s v="Observation"/>
    <x v="1"/>
    <s v="Dr. Kavita Nair"/>
    <n v="232"/>
    <s v="General Ward"/>
    <x v="2"/>
    <n v="163947"/>
    <n v="114605"/>
    <n v="49342"/>
    <n v="141606"/>
    <n v="18888"/>
    <n v="1237"/>
    <s v="No"/>
    <n v="79"/>
    <n v="2.9"/>
    <x v="4"/>
  </r>
  <r>
    <x v="1432"/>
    <s v="Aditya Rao"/>
    <n v="80"/>
    <x v="1"/>
    <s v="B-"/>
    <s v="Ahmedabad"/>
    <d v="2024-04-04T00:00:00"/>
    <d v="2024-04-13T00:00:00"/>
    <n v="9"/>
    <x v="0"/>
    <s v="COVID-19"/>
    <x v="1"/>
    <s v="Radiation Therapy"/>
    <x v="0"/>
    <s v="Dr. Shalini Patel"/>
    <n v="337"/>
    <s v="General Ward"/>
    <x v="3"/>
    <n v="38207"/>
    <n v="32237"/>
    <n v="5970"/>
    <n v="26250"/>
    <n v="7103"/>
    <n v="3406"/>
    <s v="Yes"/>
    <n v="88"/>
    <n v="2.7"/>
    <x v="0"/>
  </r>
  <r>
    <x v="1433"/>
    <s v="Ashok Chopra"/>
    <n v="45"/>
    <x v="0"/>
    <s v="AB+"/>
    <s v="Jaipur"/>
    <d v="2022-05-24T00:00:00"/>
    <d v="2022-06-14T00:00:00"/>
    <n v="21"/>
    <x v="0"/>
    <s v="Obesity"/>
    <x v="12"/>
    <s v="Medication"/>
    <x v="3"/>
    <s v="Dr. Prerna Kumar"/>
    <n v="267"/>
    <s v="Semi-Private"/>
    <x v="0"/>
    <n v="82616"/>
    <n v="43356"/>
    <n v="39260"/>
    <n v="61800"/>
    <n v="13216"/>
    <n v="2646"/>
    <s v="No"/>
    <n v="65"/>
    <n v="2"/>
    <x v="2"/>
  </r>
  <r>
    <x v="1434"/>
    <s v="Arjun Verma"/>
    <n v="45"/>
    <x v="1"/>
    <s v="A+"/>
    <s v="Bangalore"/>
    <d v="2023-11-25T00:00:00"/>
    <d v="2023-12-21T00:00:00"/>
    <n v="26"/>
    <x v="0"/>
    <s v="Typhoid"/>
    <x v="1"/>
    <s v="Counseling"/>
    <x v="1"/>
    <s v="Dr. Prerna Sharma"/>
    <n v="36"/>
    <s v="Semi-Private"/>
    <x v="4"/>
    <n v="136209"/>
    <n v="0"/>
    <n v="136209"/>
    <n v="97751"/>
    <n v="29054"/>
    <n v="8129"/>
    <s v="No"/>
    <n v="45"/>
    <n v="4.7"/>
    <x v="0"/>
  </r>
  <r>
    <x v="1435"/>
    <s v="Priya Chopra"/>
    <n v="16"/>
    <x v="0"/>
    <s v="A-"/>
    <s v="Chennai"/>
    <d v="2024-04-01T00:00:00"/>
    <d v="2024-04-22T00:00:00"/>
    <n v="21"/>
    <x v="1"/>
    <s v="Kidney Stone"/>
    <x v="2"/>
    <s v="ICU Care"/>
    <x v="3"/>
    <s v="Dr. Prerna Rao"/>
    <n v="49"/>
    <s v="Semi-Private"/>
    <x v="1"/>
    <n v="140229"/>
    <n v="77196"/>
    <n v="63033"/>
    <n v="112946"/>
    <n v="18440"/>
    <n v="7676"/>
    <s v="No"/>
    <n v="71"/>
    <n v="2.2000000000000002"/>
    <x v="3"/>
  </r>
  <r>
    <x v="1436"/>
    <s v="Ritu Sharma"/>
    <n v="44"/>
    <x v="1"/>
    <s v="B-"/>
    <s v="Bangalore"/>
    <d v="2024-01-19T00:00:00"/>
    <d v="2024-01-20T00:00:00"/>
    <n v="1"/>
    <x v="0"/>
    <s v="Typhoid"/>
    <x v="1"/>
    <s v="Dietary Management"/>
    <x v="0"/>
    <s v="Dr. Prerna Mehta"/>
    <n v="493"/>
    <s v="Semi-Private"/>
    <x v="0"/>
    <n v="60348"/>
    <n v="29198"/>
    <n v="31150"/>
    <n v="41830"/>
    <n v="3432"/>
    <n v="12991"/>
    <s v="No"/>
    <n v="48"/>
    <n v="2.1"/>
    <x v="1"/>
  </r>
  <r>
    <x v="1437"/>
    <s v="Priya Patel"/>
    <n v="32"/>
    <x v="0"/>
    <s v="A-"/>
    <s v="Ahmedabad"/>
    <d v="2024-10-12T00:00:00"/>
    <d v="2024-10-24T00:00:00"/>
    <n v="12"/>
    <x v="6"/>
    <s v="Arthritis"/>
    <x v="11"/>
    <s v="ICU Care"/>
    <x v="0"/>
    <s v="Dr. Sameer Gupta"/>
    <n v="131"/>
    <s v="General Ward"/>
    <x v="3"/>
    <n v="117790"/>
    <n v="102658"/>
    <n v="15132"/>
    <n v="109707"/>
    <n v="4480"/>
    <n v="1618"/>
    <s v="No"/>
    <n v="87"/>
    <n v="2.4"/>
    <x v="3"/>
  </r>
  <r>
    <x v="1438"/>
    <s v="Rajesh Reddy"/>
    <n v="12"/>
    <x v="0"/>
    <s v="O-"/>
    <s v="Delhi"/>
    <d v="2024-05-29T00:00:00"/>
    <d v="2024-06-09T00:00:00"/>
    <n v="11"/>
    <x v="0"/>
    <s v="Typhoid"/>
    <x v="1"/>
    <s v="Physiotherapy"/>
    <x v="1"/>
    <s v="Dr. Prerna Nair"/>
    <n v="221"/>
    <s v="General Ward"/>
    <x v="2"/>
    <n v="154843"/>
    <n v="133017"/>
    <n v="21826"/>
    <n v="147093"/>
    <n v="3682"/>
    <n v="2489"/>
    <s v="No"/>
    <n v="89"/>
    <n v="2.7"/>
    <x v="0"/>
  </r>
  <r>
    <x v="1439"/>
    <s v="Rekha Menon"/>
    <n v="33"/>
    <x v="1"/>
    <s v="A+"/>
    <s v="Bangalore"/>
    <d v="2023-10-27T00:00:00"/>
    <d v="2023-11-08T00:00:00"/>
    <n v="12"/>
    <x v="0"/>
    <s v="Obesity"/>
    <x v="12"/>
    <s v="Radiation Therapy"/>
    <x v="2"/>
    <s v="Dr. Arun Joshi"/>
    <n v="404"/>
    <s v="Semi-Private"/>
    <x v="0"/>
    <n v="70515"/>
    <n v="40899"/>
    <n v="29616"/>
    <n v="35152"/>
    <n v="26910"/>
    <n v="5161"/>
    <s v="No"/>
    <n v="84"/>
    <n v="3.5"/>
    <x v="0"/>
  </r>
  <r>
    <x v="1440"/>
    <s v="Rekha Kumar"/>
    <n v="7"/>
    <x v="0"/>
    <s v="A-"/>
    <s v="Lucknow"/>
    <d v="2024-04-08T00:00:00"/>
    <d v="2024-05-06T00:00:00"/>
    <n v="28"/>
    <x v="0"/>
    <s v="Depression"/>
    <x v="5"/>
    <s v="Dialysis"/>
    <x v="3"/>
    <s v="Dr. Arun Kumar"/>
    <n v="84"/>
    <s v="General Ward"/>
    <x v="2"/>
    <n v="71261"/>
    <n v="59701"/>
    <n v="11560"/>
    <n v="41957"/>
    <n v="25724"/>
    <n v="1302"/>
    <s v="Yes"/>
    <n v="47"/>
    <n v="3.2"/>
    <x v="1"/>
  </r>
  <r>
    <x v="1441"/>
    <s v="Vijay Kumar"/>
    <n v="76"/>
    <x v="1"/>
    <s v="O+"/>
    <s v="Hyderabad"/>
    <d v="2024-04-13T00:00:00"/>
    <d v="2024-05-10T00:00:00"/>
    <n v="27"/>
    <x v="0"/>
    <s v="Diabetes Type 2"/>
    <x v="9"/>
    <s v="Surgery"/>
    <x v="0"/>
    <s v="Dr. Prerna Singh"/>
    <n v="20"/>
    <s v="Semi-Private"/>
    <x v="4"/>
    <n v="144344"/>
    <n v="0"/>
    <n v="144344"/>
    <n v="116372"/>
    <n v="19478"/>
    <n v="5835"/>
    <s v="No"/>
    <n v="96"/>
    <n v="3.1"/>
    <x v="4"/>
  </r>
  <r>
    <x v="1442"/>
    <s v="Aditya Iyer"/>
    <n v="47"/>
    <x v="1"/>
    <s v="AB+"/>
    <s v="Bangalore"/>
    <d v="2024-07-24T00:00:00"/>
    <d v="2024-08-02T00:00:00"/>
    <n v="9"/>
    <x v="0"/>
    <s v="Dengue"/>
    <x v="1"/>
    <s v="Observation"/>
    <x v="2"/>
    <s v="Dr. Shalini Nair"/>
    <n v="469"/>
    <s v="Private"/>
    <x v="1"/>
    <n v="38994"/>
    <n v="22715"/>
    <n v="16279"/>
    <n v="15648"/>
    <n v="16961"/>
    <n v="4725"/>
    <s v="No"/>
    <n v="59"/>
    <n v="2.4"/>
    <x v="0"/>
  </r>
  <r>
    <x v="1443"/>
    <s v="Sunita Sharma"/>
    <n v="42"/>
    <x v="0"/>
    <s v="AB-"/>
    <s v="Ahmedabad"/>
    <d v="2024-06-01T00:00:00"/>
    <d v="2024-06-07T00:00:00"/>
    <n v="6"/>
    <x v="0"/>
    <s v="Dengue"/>
    <x v="1"/>
    <s v="Counseling"/>
    <x v="3"/>
    <s v="Dr. Anjali Joshi"/>
    <n v="386"/>
    <s v="ICU"/>
    <x v="1"/>
    <n v="70875"/>
    <n v="32502"/>
    <n v="38373"/>
    <n v="27433"/>
    <n v="29774"/>
    <n v="10339"/>
    <s v="Yes"/>
    <n v="100"/>
    <n v="4.5999999999999996"/>
    <x v="1"/>
  </r>
  <r>
    <x v="1444"/>
    <s v="Meera Gupta"/>
    <n v="72"/>
    <x v="0"/>
    <s v="A-"/>
    <s v="Ahmedabad"/>
    <d v="2023-08-25T00:00:00"/>
    <d v="2023-09-16T00:00:00"/>
    <n v="22"/>
    <x v="3"/>
    <s v="Migraine"/>
    <x v="6"/>
    <s v="ICU Care"/>
    <x v="1"/>
    <s v="Dr. Sameer Joshi"/>
    <n v="67"/>
    <s v="ICU"/>
    <x v="3"/>
    <n v="48817"/>
    <n v="34957"/>
    <n v="13860"/>
    <n v="27230"/>
    <n v="4963"/>
    <n v="12928"/>
    <s v="No"/>
    <n v="74"/>
    <n v="3.2"/>
    <x v="3"/>
  </r>
  <r>
    <x v="1445"/>
    <s v="Vijay Mehta"/>
    <n v="44"/>
    <x v="1"/>
    <s v="O+"/>
    <s v="Kolkata"/>
    <d v="2024-04-25T00:00:00"/>
    <d v="2024-05-11T00:00:00"/>
    <n v="16"/>
    <x v="0"/>
    <s v="Diabetes Type 2"/>
    <x v="9"/>
    <s v="Observation"/>
    <x v="3"/>
    <s v="Dr. Vivek Mehta"/>
    <n v="430"/>
    <s v="ICU"/>
    <x v="3"/>
    <n v="88997"/>
    <n v="77343"/>
    <n v="11654"/>
    <n v="82424"/>
    <n v="2468"/>
    <n v="3090"/>
    <s v="No"/>
    <n v="71"/>
    <n v="4.9000000000000004"/>
    <x v="2"/>
  </r>
  <r>
    <x v="1446"/>
    <s v="Rahul Gupta"/>
    <n v="46"/>
    <x v="1"/>
    <s v="O+"/>
    <s v="Bangalore"/>
    <d v="2023-02-20T00:00:00"/>
    <d v="2023-03-03T00:00:00"/>
    <n v="11"/>
    <x v="5"/>
    <s v="Pneumonia"/>
    <x v="8"/>
    <s v="Observation"/>
    <x v="1"/>
    <s v="Dr. Arun Nair"/>
    <n v="165"/>
    <s v="Private"/>
    <x v="1"/>
    <n v="142880"/>
    <n v="64857"/>
    <n v="78023"/>
    <n v="107361"/>
    <n v="29788"/>
    <n v="1524"/>
    <s v="No"/>
    <n v="94"/>
    <n v="2.2000000000000002"/>
    <x v="2"/>
  </r>
  <r>
    <x v="1447"/>
    <s v="Aditya Shah"/>
    <n v="34"/>
    <x v="0"/>
    <s v="B-"/>
    <s v="Delhi"/>
    <d v="2023-01-21T00:00:00"/>
    <d v="2023-02-14T00:00:00"/>
    <n v="24"/>
    <x v="0"/>
    <s v="Appendicitis"/>
    <x v="0"/>
    <s v="Dialysis"/>
    <x v="3"/>
    <s v="Dr. Vivek Sharma"/>
    <n v="169"/>
    <s v="Semi-Private"/>
    <x v="4"/>
    <n v="57590"/>
    <n v="0"/>
    <n v="57590"/>
    <n v="44167"/>
    <n v="8936"/>
    <n v="2948"/>
    <s v="No"/>
    <n v="85"/>
    <n v="2.4"/>
    <x v="0"/>
  </r>
  <r>
    <x v="1448"/>
    <s v="Rahul Gupta"/>
    <n v="79"/>
    <x v="0"/>
    <s v="O+"/>
    <s v="Chennai"/>
    <d v="2022-08-12T00:00:00"/>
    <d v="2022-09-07T00:00:00"/>
    <n v="26"/>
    <x v="5"/>
    <s v="Asthma"/>
    <x v="8"/>
    <s v="Dialysis"/>
    <x v="1"/>
    <s v="Dr. Deepak Gupta"/>
    <n v="263"/>
    <s v="Semi-Private"/>
    <x v="4"/>
    <n v="98532"/>
    <n v="0"/>
    <n v="98532"/>
    <n v="56598"/>
    <n v="23312"/>
    <n v="14308"/>
    <s v="No"/>
    <n v="70"/>
    <n v="3.8"/>
    <x v="0"/>
  </r>
  <r>
    <x v="1449"/>
    <s v="Vikram Rao"/>
    <n v="10"/>
    <x v="1"/>
    <s v="A-"/>
    <s v="Delhi"/>
    <d v="2024-05-24T00:00:00"/>
    <d v="2024-06-23T00:00:00"/>
    <n v="30"/>
    <x v="6"/>
    <s v="Arthritis"/>
    <x v="11"/>
    <s v="Chemotherapy"/>
    <x v="1"/>
    <s v="Dr. Kavita Gupta"/>
    <n v="319"/>
    <s v="General Ward"/>
    <x v="1"/>
    <n v="57590"/>
    <n v="36927"/>
    <n v="20663"/>
    <n v="33586"/>
    <n v="22402"/>
    <n v="753"/>
    <s v="No"/>
    <n v="49"/>
    <n v="4.5999999999999996"/>
    <x v="2"/>
  </r>
  <r>
    <x v="1450"/>
    <s v="Pooja Shah"/>
    <n v="64"/>
    <x v="0"/>
    <s v="B-"/>
    <s v="Pune"/>
    <d v="2024-01-11T00:00:00"/>
    <d v="2024-01-28T00:00:00"/>
    <n v="17"/>
    <x v="0"/>
    <s v="Typhoid"/>
    <x v="1"/>
    <s v="Dialysis"/>
    <x v="3"/>
    <s v="Dr. Sameer Joshi"/>
    <n v="110"/>
    <s v="Private"/>
    <x v="1"/>
    <n v="165442"/>
    <n v="103351"/>
    <n v="62091"/>
    <n v="142017"/>
    <n v="18471"/>
    <n v="2854"/>
    <s v="No"/>
    <n v="92"/>
    <n v="3.9"/>
    <x v="1"/>
  </r>
  <r>
    <x v="1451"/>
    <s v="Deepa Rao"/>
    <n v="28"/>
    <x v="1"/>
    <s v="O-"/>
    <s v="Chennai"/>
    <d v="2023-11-01T00:00:00"/>
    <d v="2023-11-05T00:00:00"/>
    <n v="4"/>
    <x v="6"/>
    <s v="Fracture"/>
    <x v="10"/>
    <s v="Counseling"/>
    <x v="2"/>
    <s v="Dr. Deepak Sharma"/>
    <n v="170"/>
    <s v="General Ward"/>
    <x v="0"/>
    <n v="91896"/>
    <n v="52032"/>
    <n v="39864"/>
    <n v="70998"/>
    <n v="12023"/>
    <n v="6488"/>
    <s v="No"/>
    <n v="72"/>
    <n v="4.9000000000000004"/>
    <x v="2"/>
  </r>
  <r>
    <x v="1452"/>
    <s v="Aditya Nair"/>
    <n v="61"/>
    <x v="0"/>
    <s v="AB-"/>
    <s v="Kolkata"/>
    <d v="2024-02-17T00:00:00"/>
    <d v="2024-03-18T00:00:00"/>
    <n v="30"/>
    <x v="3"/>
    <s v="Migraine"/>
    <x v="6"/>
    <s v="Counseling"/>
    <x v="2"/>
    <s v="Dr. Deepak Nair"/>
    <n v="497"/>
    <s v="ICU"/>
    <x v="4"/>
    <n v="129802"/>
    <n v="0"/>
    <n v="129802"/>
    <n v="89135"/>
    <n v="24159"/>
    <n v="11908"/>
    <s v="No"/>
    <n v="86"/>
    <n v="4"/>
    <x v="3"/>
  </r>
  <r>
    <x v="1453"/>
    <s v="Rajesh Bose"/>
    <n v="45"/>
    <x v="1"/>
    <s v="A-"/>
    <s v="Chennai"/>
    <d v="2024-03-09T00:00:00"/>
    <d v="2024-03-27T00:00:00"/>
    <n v="18"/>
    <x v="1"/>
    <s v="Kidney Stone"/>
    <x v="2"/>
    <s v="Chemotherapy"/>
    <x v="1"/>
    <s v="Dr. Nisha Mehta"/>
    <n v="203"/>
    <s v="Semi-Private"/>
    <x v="2"/>
    <n v="47994"/>
    <n v="39046"/>
    <n v="8948"/>
    <n v="14035"/>
    <n v="16753"/>
    <n v="14285"/>
    <s v="No"/>
    <n v="56"/>
    <n v="4.4000000000000004"/>
    <x v="1"/>
  </r>
  <r>
    <x v="1454"/>
    <s v="Kavya Sharma"/>
    <n v="20"/>
    <x v="1"/>
    <s v="AB+"/>
    <s v="Delhi"/>
    <d v="2023-07-23T00:00:00"/>
    <d v="2023-08-22T00:00:00"/>
    <n v="30"/>
    <x v="1"/>
    <s v="UTI"/>
    <x v="2"/>
    <s v="Physiotherapy"/>
    <x v="0"/>
    <s v="Dr. Rakesh Kumar"/>
    <n v="363"/>
    <s v="ICU"/>
    <x v="4"/>
    <n v="88870"/>
    <n v="0"/>
    <n v="88870"/>
    <n v="76098"/>
    <n v="7708"/>
    <n v="3998"/>
    <s v="No"/>
    <n v="79"/>
    <n v="4.5999999999999996"/>
    <x v="3"/>
  </r>
  <r>
    <x v="1455"/>
    <s v="Lata Kumar"/>
    <n v="51"/>
    <x v="1"/>
    <s v="B-"/>
    <s v="Chennai"/>
    <d v="2023-07-21T00:00:00"/>
    <d v="2023-08-16T00:00:00"/>
    <n v="26"/>
    <x v="0"/>
    <s v="Obesity"/>
    <x v="12"/>
    <s v="Physiotherapy"/>
    <x v="0"/>
    <s v="Dr. Shalini Gupta"/>
    <n v="15"/>
    <s v="General Ward"/>
    <x v="2"/>
    <n v="49290"/>
    <n v="32920"/>
    <n v="16370"/>
    <n v="16982"/>
    <n v="25455"/>
    <n v="3875"/>
    <s v="No"/>
    <n v="78"/>
    <n v="3.5"/>
    <x v="0"/>
  </r>
  <r>
    <x v="1456"/>
    <s v="Manoj Shah"/>
    <n v="75"/>
    <x v="0"/>
    <s v="A-"/>
    <s v="Jaipur"/>
    <d v="2024-12-08T00:00:00"/>
    <d v="2024-12-25T00:00:00"/>
    <n v="17"/>
    <x v="6"/>
    <s v="Fracture"/>
    <x v="10"/>
    <s v="Counseling"/>
    <x v="0"/>
    <s v="Dr. Arun Mehta"/>
    <n v="60"/>
    <s v="Private"/>
    <x v="1"/>
    <n v="75615"/>
    <n v="35176"/>
    <n v="40439"/>
    <n v="45225"/>
    <n v="17355"/>
    <n v="10445"/>
    <s v="No"/>
    <n v="98"/>
    <n v="2.7"/>
    <x v="2"/>
  </r>
  <r>
    <x v="1457"/>
    <s v="Meera Rao"/>
    <n v="79"/>
    <x v="1"/>
    <s v="B-"/>
    <s v="Chennai"/>
    <d v="2022-08-29T00:00:00"/>
    <d v="2022-09-04T00:00:00"/>
    <n v="6"/>
    <x v="4"/>
    <s v="Heart Attack"/>
    <x v="7"/>
    <s v="Chemotherapy"/>
    <x v="3"/>
    <s v="Dr. Rakesh Nair"/>
    <n v="21"/>
    <s v="ICU"/>
    <x v="2"/>
    <n v="102089"/>
    <n v="91285"/>
    <n v="10804"/>
    <n v="80979"/>
    <n v="15760"/>
    <n v="3887"/>
    <s v="No"/>
    <n v="96"/>
    <n v="4.2"/>
    <x v="0"/>
  </r>
  <r>
    <x v="1458"/>
    <s v="Suresh Chopra"/>
    <n v="76"/>
    <x v="0"/>
    <s v="O+"/>
    <s v="Ahmedabad"/>
    <d v="2024-08-23T00:00:00"/>
    <d v="2024-09-16T00:00:00"/>
    <n v="24"/>
    <x v="0"/>
    <s v="Typhoid"/>
    <x v="1"/>
    <s v="Medication"/>
    <x v="0"/>
    <s v="Dr. Arun Reddy"/>
    <n v="207"/>
    <s v="ICU"/>
    <x v="3"/>
    <n v="113016"/>
    <n v="90601"/>
    <n v="22415"/>
    <n v="97602"/>
    <n v="14179"/>
    <n v="705"/>
    <s v="No"/>
    <n v="85"/>
    <n v="2.4"/>
    <x v="0"/>
  </r>
  <r>
    <x v="1459"/>
    <s v="Rekha Gupta"/>
    <n v="20"/>
    <x v="1"/>
    <s v="B+"/>
    <s v="Delhi"/>
    <d v="2023-03-12T00:00:00"/>
    <d v="2023-04-09T00:00:00"/>
    <n v="28"/>
    <x v="6"/>
    <s v="Arthritis"/>
    <x v="11"/>
    <s v="Counseling"/>
    <x v="2"/>
    <s v="Dr. Anjali Nair"/>
    <n v="405"/>
    <s v="Private"/>
    <x v="3"/>
    <n v="62067"/>
    <n v="48388"/>
    <n v="13679"/>
    <n v="40039"/>
    <n v="14980"/>
    <n v="4783"/>
    <s v="No"/>
    <n v="40"/>
    <n v="4.7"/>
    <x v="1"/>
  </r>
  <r>
    <x v="1460"/>
    <s v="Rajesh Iyer"/>
    <n v="60"/>
    <x v="1"/>
    <s v="A+"/>
    <s v="Kolkata"/>
    <d v="2024-04-01T00:00:00"/>
    <d v="2024-04-23T00:00:00"/>
    <n v="22"/>
    <x v="3"/>
    <s v="Migraine"/>
    <x v="6"/>
    <s v="Dialysis"/>
    <x v="3"/>
    <s v="Dr. Kavita Patel"/>
    <n v="94"/>
    <s v="Semi-Private"/>
    <x v="4"/>
    <n v="92944"/>
    <n v="0"/>
    <n v="92944"/>
    <n v="74369"/>
    <n v="7736"/>
    <n v="6071"/>
    <s v="No"/>
    <n v="57"/>
    <n v="3.7"/>
    <x v="0"/>
  </r>
  <r>
    <x v="1461"/>
    <s v="Rahul Kumar"/>
    <n v="71"/>
    <x v="0"/>
    <s v="AB+"/>
    <s v="Pune"/>
    <d v="2022-07-20T00:00:00"/>
    <d v="2022-07-25T00:00:00"/>
    <n v="5"/>
    <x v="5"/>
    <s v="Asthma"/>
    <x v="8"/>
    <s v="Surgery"/>
    <x v="1"/>
    <s v="Dr. Vivek Reddy"/>
    <n v="240"/>
    <s v="General Ward"/>
    <x v="3"/>
    <n v="33038"/>
    <n v="27646"/>
    <n v="5392"/>
    <n v="9974"/>
    <n v="11057"/>
    <n v="9660"/>
    <s v="No"/>
    <n v="100"/>
    <n v="3.6"/>
    <x v="3"/>
  </r>
  <r>
    <x v="1462"/>
    <s v="Manoj Khanna"/>
    <n v="48"/>
    <x v="0"/>
    <s v="O-"/>
    <s v="Jaipur"/>
    <d v="2024-02-02T00:00:00"/>
    <d v="2024-02-21T00:00:00"/>
    <n v="19"/>
    <x v="5"/>
    <s v="Asthma"/>
    <x v="8"/>
    <s v="Surgery"/>
    <x v="2"/>
    <s v="Dr. Anjali Rao"/>
    <n v="387"/>
    <s v="Semi-Private"/>
    <x v="2"/>
    <n v="104017"/>
    <n v="68446"/>
    <n v="35571"/>
    <n v="59676"/>
    <n v="26004"/>
    <n v="14478"/>
    <s v="No"/>
    <n v="61"/>
    <n v="3.7"/>
    <x v="2"/>
  </r>
  <r>
    <x v="1463"/>
    <s v="Meera Chopra"/>
    <n v="64"/>
    <x v="0"/>
    <s v="AB-"/>
    <s v="Ahmedabad"/>
    <d v="2024-09-26T00:00:00"/>
    <d v="2024-10-08T00:00:00"/>
    <n v="12"/>
    <x v="0"/>
    <s v="Obesity"/>
    <x v="12"/>
    <s v="ICU Care"/>
    <x v="0"/>
    <s v="Dr. Prerna Reddy"/>
    <n v="427"/>
    <s v="Private"/>
    <x v="2"/>
    <n v="153048"/>
    <n v="118681"/>
    <n v="34367"/>
    <n v="132277"/>
    <n v="9416"/>
    <n v="10258"/>
    <s v="No"/>
    <n v="92"/>
    <n v="5"/>
    <x v="3"/>
  </r>
  <r>
    <x v="1464"/>
    <s v="Ritu Pillai"/>
    <n v="43"/>
    <x v="1"/>
    <s v="AB+"/>
    <s v="Ahmedabad"/>
    <d v="2022-09-24T00:00:00"/>
    <d v="2022-10-01T00:00:00"/>
    <n v="7"/>
    <x v="3"/>
    <s v="Stroke"/>
    <x v="6"/>
    <s v="Dietary Management"/>
    <x v="1"/>
    <s v="Dr. Anjali Joshi"/>
    <n v="59"/>
    <s v="Private"/>
    <x v="2"/>
    <n v="20670"/>
    <n v="13791"/>
    <n v="6879"/>
    <n v="13692"/>
    <n v="4079"/>
    <n v="1728"/>
    <s v="Yes"/>
    <n v="59"/>
    <n v="3.6"/>
    <x v="3"/>
  </r>
  <r>
    <x v="1465"/>
    <s v="Deepa Rao"/>
    <n v="28"/>
    <x v="1"/>
    <s v="AB+"/>
    <s v="Hyderabad"/>
    <d v="2024-10-19T00:00:00"/>
    <d v="2024-11-08T00:00:00"/>
    <n v="20"/>
    <x v="4"/>
    <s v="Heart Attack"/>
    <x v="7"/>
    <s v="Dialysis"/>
    <x v="1"/>
    <s v="Dr. Prerna Sharma"/>
    <n v="443"/>
    <s v="ICU"/>
    <x v="2"/>
    <n v="148728"/>
    <n v="126070"/>
    <n v="22658"/>
    <n v="105787"/>
    <n v="26471"/>
    <n v="13922"/>
    <s v="No"/>
    <n v="41"/>
    <n v="2.9"/>
    <x v="0"/>
  </r>
  <r>
    <x v="1466"/>
    <s v="Sanjay Singh"/>
    <n v="48"/>
    <x v="0"/>
    <s v="B-"/>
    <s v="Jaipur"/>
    <d v="2022-02-24T00:00:00"/>
    <d v="2022-03-09T00:00:00"/>
    <n v="13"/>
    <x v="0"/>
    <s v="COVID-19"/>
    <x v="1"/>
    <s v="Dietary Management"/>
    <x v="0"/>
    <s v="Dr. Anjali Reddy"/>
    <n v="199"/>
    <s v="ICU"/>
    <x v="0"/>
    <n v="50021"/>
    <n v="21782"/>
    <n v="28239"/>
    <n v="14586"/>
    <n v="20137"/>
    <n v="11568"/>
    <s v="No"/>
    <n v="88"/>
    <n v="2.6"/>
    <x v="2"/>
  </r>
  <r>
    <x v="1467"/>
    <s v="Pooja Rao"/>
    <n v="33"/>
    <x v="1"/>
    <s v="A+"/>
    <s v="Pune"/>
    <d v="2024-11-08T00:00:00"/>
    <d v="2024-12-04T00:00:00"/>
    <n v="26"/>
    <x v="3"/>
    <s v="Migraine"/>
    <x v="6"/>
    <s v="Dietary Management"/>
    <x v="0"/>
    <s v="Dr. Sameer Singh"/>
    <n v="467"/>
    <s v="Private"/>
    <x v="1"/>
    <n v="147201"/>
    <n v="74863"/>
    <n v="72338"/>
    <n v="127938"/>
    <n v="4393"/>
    <n v="11388"/>
    <s v="No"/>
    <n v="79"/>
    <n v="2.6"/>
    <x v="4"/>
  </r>
  <r>
    <x v="1468"/>
    <s v="Sunil Sharma"/>
    <n v="20"/>
    <x v="1"/>
    <s v="O-"/>
    <s v="Hyderabad"/>
    <d v="2022-07-16T00:00:00"/>
    <d v="2022-08-12T00:00:00"/>
    <n v="27"/>
    <x v="0"/>
    <s v="COVID-19"/>
    <x v="1"/>
    <s v="Chemotherapy"/>
    <x v="2"/>
    <s v="Dr. Vivek Sharma"/>
    <n v="419"/>
    <s v="ICU"/>
    <x v="1"/>
    <n v="122248"/>
    <n v="80714"/>
    <n v="41534"/>
    <n v="94215"/>
    <n v="14313"/>
    <n v="8829"/>
    <s v="No"/>
    <n v="66"/>
    <n v="4.3"/>
    <x v="3"/>
  </r>
  <r>
    <x v="1469"/>
    <s v="Sonia Das"/>
    <n v="48"/>
    <x v="0"/>
    <s v="B-"/>
    <s v="Pune"/>
    <d v="2024-10-22T00:00:00"/>
    <d v="2024-11-04T00:00:00"/>
    <n v="13"/>
    <x v="0"/>
    <s v="Typhoid"/>
    <x v="1"/>
    <s v="Dialysis"/>
    <x v="2"/>
    <s v="Dr. Kavita Joshi"/>
    <n v="141"/>
    <s v="Private"/>
    <x v="3"/>
    <n v="33810"/>
    <n v="21811"/>
    <n v="11999"/>
    <n v="18385"/>
    <n v="6512"/>
    <n v="6769"/>
    <s v="No"/>
    <n v="71"/>
    <n v="4"/>
    <x v="1"/>
  </r>
  <r>
    <x v="1470"/>
    <s v="Divya Chopra"/>
    <n v="38"/>
    <x v="0"/>
    <s v="AB-"/>
    <s v="Kolkata"/>
    <d v="2024-02-28T00:00:00"/>
    <d v="2024-03-19T00:00:00"/>
    <n v="20"/>
    <x v="5"/>
    <s v="Asthma"/>
    <x v="8"/>
    <s v="Dialysis"/>
    <x v="0"/>
    <s v="Dr. Prerna Kumar"/>
    <n v="182"/>
    <s v="Semi-Private"/>
    <x v="4"/>
    <n v="148270"/>
    <n v="0"/>
    <n v="148270"/>
    <n v="121222"/>
    <n v="9281"/>
    <n v="14648"/>
    <s v="No"/>
    <n v="85"/>
    <n v="3.9"/>
    <x v="1"/>
  </r>
  <r>
    <x v="1471"/>
    <s v="Aditya Shah"/>
    <n v="35"/>
    <x v="0"/>
    <s v="AB-"/>
    <s v="Bangalore"/>
    <d v="2022-01-12T00:00:00"/>
    <d v="2022-01-30T00:00:00"/>
    <n v="18"/>
    <x v="5"/>
    <s v="Asthma"/>
    <x v="8"/>
    <s v="Dietary Management"/>
    <x v="0"/>
    <s v="Dr. Nisha Reddy"/>
    <n v="329"/>
    <s v="Private"/>
    <x v="4"/>
    <n v="31926"/>
    <n v="0"/>
    <n v="31926"/>
    <n v="12074"/>
    <n v="8766"/>
    <n v="7724"/>
    <s v="No"/>
    <n v="95"/>
    <n v="4.8"/>
    <x v="4"/>
  </r>
  <r>
    <x v="1472"/>
    <s v="Arjun Sharma"/>
    <n v="52"/>
    <x v="1"/>
    <s v="B-"/>
    <s v="Chennai"/>
    <d v="2024-12-28T00:00:00"/>
    <d v="2024-12-31T00:00:00"/>
    <n v="3"/>
    <x v="3"/>
    <s v="Migraine"/>
    <x v="6"/>
    <s v="Chemotherapy"/>
    <x v="2"/>
    <s v="Dr. Shalini Patel"/>
    <n v="127"/>
    <s v="ICU"/>
    <x v="1"/>
    <n v="132909"/>
    <n v="54874"/>
    <n v="78035"/>
    <n v="104555"/>
    <n v="10926"/>
    <n v="12629"/>
    <s v="No"/>
    <n v="91"/>
    <n v="4.3"/>
    <x v="4"/>
  </r>
  <r>
    <x v="1473"/>
    <s v="Kavya Malhotra"/>
    <n v="31"/>
    <x v="1"/>
    <s v="O+"/>
    <s v="Delhi"/>
    <d v="2023-12-22T00:00:00"/>
    <d v="2023-12-23T00:00:00"/>
    <n v="1"/>
    <x v="3"/>
    <s v="Migraine"/>
    <x v="6"/>
    <s v="Physiotherapy"/>
    <x v="3"/>
    <s v="Dr. Arun Kumar"/>
    <n v="53"/>
    <s v="General Ward"/>
    <x v="0"/>
    <n v="136029"/>
    <n v="89889"/>
    <n v="46140"/>
    <n v="111852"/>
    <n v="12828"/>
    <n v="8962"/>
    <s v="No"/>
    <n v="77"/>
    <n v="3.3"/>
    <x v="2"/>
  </r>
  <r>
    <x v="1474"/>
    <s v="Mukesh Rao"/>
    <n v="55"/>
    <x v="0"/>
    <s v="O+"/>
    <s v="Kolkata"/>
    <d v="2023-06-30T00:00:00"/>
    <d v="2023-07-23T00:00:00"/>
    <n v="23"/>
    <x v="3"/>
    <s v="Migraine"/>
    <x v="6"/>
    <s v="Medication"/>
    <x v="2"/>
    <s v="Dr. Kavita Mehta"/>
    <n v="463"/>
    <s v="ICU"/>
    <x v="0"/>
    <n v="144637"/>
    <n v="83657"/>
    <n v="60980"/>
    <n v="129397"/>
    <n v="9665"/>
    <n v="2326"/>
    <s v="No"/>
    <n v="85"/>
    <n v="4.9000000000000004"/>
    <x v="0"/>
  </r>
  <r>
    <x v="1475"/>
    <s v="Deepa Singh"/>
    <n v="11"/>
    <x v="1"/>
    <s v="A+"/>
    <s v="Bangalore"/>
    <d v="2024-09-28T00:00:00"/>
    <d v="2024-10-12T00:00:00"/>
    <n v="14"/>
    <x v="0"/>
    <s v="Diabetes Type 2"/>
    <x v="9"/>
    <s v="Counseling"/>
    <x v="1"/>
    <s v="Dr. Shalini Kumar"/>
    <n v="59"/>
    <s v="ICU"/>
    <x v="4"/>
    <n v="164798"/>
    <n v="0"/>
    <n v="164798"/>
    <n v="140724"/>
    <n v="9597"/>
    <n v="10197"/>
    <s v="No"/>
    <n v="80"/>
    <n v="3.4"/>
    <x v="0"/>
  </r>
  <r>
    <x v="1476"/>
    <s v="Suresh Reddy"/>
    <n v="7"/>
    <x v="0"/>
    <s v="A-"/>
    <s v="Hyderabad"/>
    <d v="2023-05-31T00:00:00"/>
    <d v="2023-06-07T00:00:00"/>
    <n v="7"/>
    <x v="0"/>
    <s v="Dengue"/>
    <x v="1"/>
    <s v="ICU Care"/>
    <x v="3"/>
    <s v="Dr. Anjali Nair"/>
    <n v="303"/>
    <s v="Semi-Private"/>
    <x v="4"/>
    <n v="46641"/>
    <n v="0"/>
    <n v="46641"/>
    <n v="11010"/>
    <n v="27494"/>
    <n v="6135"/>
    <s v="No"/>
    <n v="51"/>
    <n v="4.3"/>
    <x v="3"/>
  </r>
  <r>
    <x v="1477"/>
    <s v="Geeta Chopra"/>
    <n v="72"/>
    <x v="0"/>
    <s v="O-"/>
    <s v="Kolkata"/>
    <d v="2024-08-21T00:00:00"/>
    <d v="2024-08-23T00:00:00"/>
    <n v="2"/>
    <x v="0"/>
    <s v="Typhoid"/>
    <x v="1"/>
    <s v="Counseling"/>
    <x v="1"/>
    <s v="Dr. Sameer Rao"/>
    <n v="94"/>
    <s v="Semi-Private"/>
    <x v="3"/>
    <n v="64610"/>
    <n v="41235"/>
    <n v="23375"/>
    <n v="29865"/>
    <n v="29268"/>
    <n v="4078"/>
    <s v="No"/>
    <n v="56"/>
    <n v="3.1"/>
    <x v="0"/>
  </r>
  <r>
    <x v="1478"/>
    <s v="Arjun Rao"/>
    <n v="18"/>
    <x v="1"/>
    <s v="B-"/>
    <s v="Ahmedabad"/>
    <d v="2024-04-22T00:00:00"/>
    <d v="2024-05-22T00:00:00"/>
    <n v="30"/>
    <x v="6"/>
    <s v="Arthritis"/>
    <x v="11"/>
    <s v="Medication"/>
    <x v="3"/>
    <s v="Dr. Deepak Sharma"/>
    <n v="251"/>
    <s v="General Ward"/>
    <x v="2"/>
    <n v="154197"/>
    <n v="98028"/>
    <n v="56169"/>
    <n v="111027"/>
    <n v="28689"/>
    <n v="11005"/>
    <s v="Yes"/>
    <n v="67"/>
    <n v="2.8"/>
    <x v="4"/>
  </r>
  <r>
    <x v="1479"/>
    <s v="Priya Malhotra"/>
    <n v="72"/>
    <x v="1"/>
    <s v="O+"/>
    <s v="Ahmedabad"/>
    <d v="2024-12-23T00:00:00"/>
    <d v="2024-12-31T00:00:00"/>
    <n v="8"/>
    <x v="5"/>
    <s v="Asthma"/>
    <x v="8"/>
    <s v="Chemotherapy"/>
    <x v="1"/>
    <s v="Dr. Kavita Singh"/>
    <n v="265"/>
    <s v="Private"/>
    <x v="3"/>
    <n v="93917"/>
    <n v="74944"/>
    <n v="18973"/>
    <n v="60854"/>
    <n v="15183"/>
    <n v="14689"/>
    <s v="No"/>
    <n v="40"/>
    <n v="4.5999999999999996"/>
    <x v="1"/>
  </r>
  <r>
    <x v="1480"/>
    <s v="Divya Gupta"/>
    <n v="66"/>
    <x v="1"/>
    <s v="A+"/>
    <s v="Lucknow"/>
    <d v="2022-01-21T00:00:00"/>
    <d v="2022-01-28T00:00:00"/>
    <n v="7"/>
    <x v="0"/>
    <s v="Appendicitis"/>
    <x v="0"/>
    <s v="Counseling"/>
    <x v="2"/>
    <s v="Dr. Vivek Singh"/>
    <n v="126"/>
    <s v="General Ward"/>
    <x v="3"/>
    <n v="171652"/>
    <n v="141413"/>
    <n v="30239"/>
    <n v="134092"/>
    <n v="25386"/>
    <n v="9007"/>
    <s v="No"/>
    <n v="57"/>
    <n v="4.8"/>
    <x v="1"/>
  </r>
  <r>
    <x v="1481"/>
    <s v="Mukesh Patel"/>
    <n v="75"/>
    <x v="0"/>
    <s v="B-"/>
    <s v="Mumbai"/>
    <d v="2023-02-14T00:00:00"/>
    <d v="2023-02-20T00:00:00"/>
    <n v="6"/>
    <x v="0"/>
    <s v="Diabetes Type 2"/>
    <x v="9"/>
    <s v="ICU Care"/>
    <x v="0"/>
    <s v="Dr. Arun Kumar"/>
    <n v="80"/>
    <s v="ICU"/>
    <x v="1"/>
    <n v="40385"/>
    <n v="18080"/>
    <n v="22305"/>
    <n v="19178"/>
    <n v="5069"/>
    <n v="12676"/>
    <s v="No"/>
    <n v="81"/>
    <n v="2.1"/>
    <x v="2"/>
  </r>
  <r>
    <x v="1482"/>
    <s v="Divya Menon"/>
    <n v="84"/>
    <x v="0"/>
    <s v="AB+"/>
    <s v="Chennai"/>
    <d v="2023-03-25T00:00:00"/>
    <d v="2023-03-26T00:00:00"/>
    <n v="1"/>
    <x v="0"/>
    <s v="Liver Disease"/>
    <x v="0"/>
    <s v="Chemotherapy"/>
    <x v="3"/>
    <s v="Dr. Vivek Kumar"/>
    <n v="136"/>
    <s v="General Ward"/>
    <x v="0"/>
    <n v="39863"/>
    <n v="25551"/>
    <n v="14312"/>
    <n v="12694"/>
    <n v="15423"/>
    <n v="10285"/>
    <s v="No"/>
    <n v="90"/>
    <n v="4.5"/>
    <x v="2"/>
  </r>
  <r>
    <x v="1483"/>
    <s v="Sunita Malhotra"/>
    <n v="31"/>
    <x v="1"/>
    <s v="A+"/>
    <s v="Delhi"/>
    <d v="2022-10-26T00:00:00"/>
    <d v="2022-11-23T00:00:00"/>
    <n v="28"/>
    <x v="0"/>
    <s v="Liver Disease"/>
    <x v="0"/>
    <s v="Chemotherapy"/>
    <x v="1"/>
    <s v="Dr. Deepak Kumar"/>
    <n v="3"/>
    <s v="General Ward"/>
    <x v="4"/>
    <n v="52768"/>
    <n v="0"/>
    <n v="52768"/>
    <n v="38560"/>
    <n v="7569"/>
    <n v="1784"/>
    <s v="Yes"/>
    <n v="42"/>
    <n v="4.3"/>
    <x v="4"/>
  </r>
  <r>
    <x v="1484"/>
    <s v="Sonia Das"/>
    <n v="21"/>
    <x v="1"/>
    <s v="O+"/>
    <s v="Jaipur"/>
    <d v="2022-09-12T00:00:00"/>
    <d v="2022-10-08T00:00:00"/>
    <n v="26"/>
    <x v="0"/>
    <s v="Diabetes Type 2"/>
    <x v="9"/>
    <s v="Chemotherapy"/>
    <x v="1"/>
    <s v="Dr. Nisha Singh"/>
    <n v="272"/>
    <s v="Private"/>
    <x v="3"/>
    <n v="90447"/>
    <n v="74795"/>
    <n v="15652"/>
    <n v="62020"/>
    <n v="17915"/>
    <n v="6380"/>
    <s v="No"/>
    <n v="68"/>
    <n v="4.7"/>
    <x v="0"/>
  </r>
  <r>
    <x v="1485"/>
    <s v="Lata Das"/>
    <n v="24"/>
    <x v="0"/>
    <s v="O-"/>
    <s v="Pune"/>
    <d v="2023-04-30T00:00:00"/>
    <d v="2023-05-17T00:00:00"/>
    <n v="17"/>
    <x v="0"/>
    <s v="Appendicitis"/>
    <x v="0"/>
    <s v="Surgery"/>
    <x v="2"/>
    <s v="Dr. Anjali Mehta"/>
    <n v="441"/>
    <s v="Semi-Private"/>
    <x v="1"/>
    <n v="63077"/>
    <n v="36336"/>
    <n v="26741"/>
    <n v="41197"/>
    <n v="15306"/>
    <n v="4997"/>
    <s v="No"/>
    <n v="46"/>
    <n v="3.5"/>
    <x v="2"/>
  </r>
  <r>
    <x v="1486"/>
    <s v="Rekha Shah"/>
    <n v="51"/>
    <x v="0"/>
    <s v="AB+"/>
    <s v="Jaipur"/>
    <d v="2024-12-13T00:00:00"/>
    <d v="2024-12-31T00:00:00"/>
    <n v="18"/>
    <x v="6"/>
    <s v="Fracture"/>
    <x v="10"/>
    <s v="ICU Care"/>
    <x v="1"/>
    <s v="Dr. Kavita Sharma"/>
    <n v="480"/>
    <s v="General Ward"/>
    <x v="1"/>
    <n v="156392"/>
    <n v="102201"/>
    <n v="54191"/>
    <n v="115945"/>
    <n v="24852"/>
    <n v="12406"/>
    <s v="No"/>
    <n v="72"/>
    <n v="3.4"/>
    <x v="3"/>
  </r>
  <r>
    <x v="1487"/>
    <s v="Sunita Verma"/>
    <n v="6"/>
    <x v="0"/>
    <s v="O+"/>
    <s v="Lucknow"/>
    <d v="2022-08-24T00:00:00"/>
    <d v="2022-09-22T00:00:00"/>
    <n v="29"/>
    <x v="0"/>
    <s v="Dengue"/>
    <x v="1"/>
    <s v="Counseling"/>
    <x v="2"/>
    <s v="Dr. Rakesh Singh"/>
    <n v="209"/>
    <s v="Private"/>
    <x v="2"/>
    <n v="84178"/>
    <n v="74063"/>
    <n v="10115"/>
    <n v="67213"/>
    <n v="11893"/>
    <n v="938"/>
    <s v="No"/>
    <n v="99"/>
    <n v="3.1"/>
    <x v="1"/>
  </r>
  <r>
    <x v="1488"/>
    <s v="Divya Mehta"/>
    <n v="52"/>
    <x v="0"/>
    <s v="A-"/>
    <s v="Mumbai"/>
    <d v="2024-11-05T00:00:00"/>
    <d v="2024-11-30T00:00:00"/>
    <n v="25"/>
    <x v="5"/>
    <s v="Pneumonia"/>
    <x v="8"/>
    <s v="Radiation Therapy"/>
    <x v="0"/>
    <s v="Dr. Nisha Singh"/>
    <n v="229"/>
    <s v="ICU"/>
    <x v="3"/>
    <n v="152743"/>
    <n v="108597"/>
    <n v="44146"/>
    <n v="134278"/>
    <n v="9896"/>
    <n v="6596"/>
    <s v="No"/>
    <n v="47"/>
    <n v="2.4"/>
    <x v="0"/>
  </r>
  <r>
    <x v="1489"/>
    <s v="Sunil Gupta"/>
    <n v="41"/>
    <x v="1"/>
    <s v="AB-"/>
    <s v="Lucknow"/>
    <d v="2024-08-20T00:00:00"/>
    <d v="2024-09-09T00:00:00"/>
    <n v="20"/>
    <x v="0"/>
    <s v="Diabetes Type 2"/>
    <x v="9"/>
    <s v="Radiation Therapy"/>
    <x v="1"/>
    <s v="Dr. Rakesh Kumar"/>
    <n v="458"/>
    <s v="Private"/>
    <x v="1"/>
    <n v="115616"/>
    <n v="65989"/>
    <n v="49627"/>
    <n v="79503"/>
    <n v="18937"/>
    <n v="14133"/>
    <s v="No"/>
    <n v="69"/>
    <n v="4.7"/>
    <x v="3"/>
  </r>
  <r>
    <x v="1490"/>
    <s v="Pooja Khanna"/>
    <n v="21"/>
    <x v="1"/>
    <s v="O-"/>
    <s v="Kolkata"/>
    <d v="2024-09-27T00:00:00"/>
    <d v="2024-10-01T00:00:00"/>
    <n v="4"/>
    <x v="5"/>
    <s v="Pneumonia"/>
    <x v="8"/>
    <s v="ICU Care"/>
    <x v="2"/>
    <s v="Dr. Nisha Sharma"/>
    <n v="477"/>
    <s v="Semi-Private"/>
    <x v="3"/>
    <n v="139090"/>
    <n v="99127"/>
    <n v="39963"/>
    <n v="117964"/>
    <n v="15639"/>
    <n v="4817"/>
    <s v="Yes"/>
    <n v="49"/>
    <n v="4.7"/>
    <x v="2"/>
  </r>
  <r>
    <x v="1491"/>
    <s v="Meera Gupta"/>
    <n v="66"/>
    <x v="0"/>
    <s v="O-"/>
    <s v="Chennai"/>
    <d v="2022-05-09T00:00:00"/>
    <d v="2022-05-19T00:00:00"/>
    <n v="10"/>
    <x v="1"/>
    <s v="Kidney Stone"/>
    <x v="2"/>
    <s v="Chemotherapy"/>
    <x v="3"/>
    <s v="Dr. Prerna Gupta"/>
    <n v="465"/>
    <s v="General Ward"/>
    <x v="2"/>
    <n v="113859"/>
    <n v="87296"/>
    <n v="26563"/>
    <n v="93862"/>
    <n v="10270"/>
    <n v="6472"/>
    <s v="No"/>
    <n v="62"/>
    <n v="3.1"/>
    <x v="1"/>
  </r>
  <r>
    <x v="1492"/>
    <s v="Mukesh Shah"/>
    <n v="60"/>
    <x v="1"/>
    <s v="A-"/>
    <s v="Kolkata"/>
    <d v="2023-03-16T00:00:00"/>
    <d v="2023-03-23T00:00:00"/>
    <n v="7"/>
    <x v="1"/>
    <s v="Kidney Stone"/>
    <x v="2"/>
    <s v="Observation"/>
    <x v="0"/>
    <s v="Dr. Deepak Sharma"/>
    <n v="287"/>
    <s v="Private"/>
    <x v="2"/>
    <n v="125308"/>
    <n v="76311"/>
    <n v="48997"/>
    <n v="84042"/>
    <n v="27330"/>
    <n v="12686"/>
    <s v="No"/>
    <n v="85"/>
    <n v="2.2000000000000002"/>
    <x v="2"/>
  </r>
  <r>
    <x v="1493"/>
    <s v="Rahul Bose"/>
    <n v="16"/>
    <x v="0"/>
    <s v="O-"/>
    <s v="Ahmedabad"/>
    <d v="2023-10-20T00:00:00"/>
    <d v="2023-11-14T00:00:00"/>
    <n v="25"/>
    <x v="4"/>
    <s v="Heart Attack"/>
    <x v="7"/>
    <s v="Dietary Management"/>
    <x v="0"/>
    <s v="Dr. Shalini Reddy"/>
    <n v="115"/>
    <s v="ICU"/>
    <x v="1"/>
    <n v="123842"/>
    <n v="81872"/>
    <n v="41970"/>
    <n v="105588"/>
    <n v="2514"/>
    <n v="13253"/>
    <s v="No"/>
    <n v="66"/>
    <n v="2.1"/>
    <x v="0"/>
  </r>
  <r>
    <x v="1494"/>
    <s v="Mukesh Das"/>
    <n v="69"/>
    <x v="0"/>
    <s v="A+"/>
    <s v="Delhi"/>
    <d v="2022-03-10T00:00:00"/>
    <d v="2022-03-22T00:00:00"/>
    <n v="12"/>
    <x v="1"/>
    <s v="Kidney Stone"/>
    <x v="2"/>
    <s v="Chemotherapy"/>
    <x v="1"/>
    <s v="Dr. Prerna Patel"/>
    <n v="190"/>
    <s v="Semi-Private"/>
    <x v="0"/>
    <n v="32743"/>
    <n v="13573"/>
    <n v="19170"/>
    <n v="16458"/>
    <n v="6300"/>
    <n v="7150"/>
    <s v="No"/>
    <n v="52"/>
    <n v="4.0999999999999996"/>
    <x v="2"/>
  </r>
  <r>
    <x v="1495"/>
    <s v="Manoj Mehta"/>
    <n v="78"/>
    <x v="0"/>
    <s v="B-"/>
    <s v="Ahmedabad"/>
    <d v="2022-03-29T00:00:00"/>
    <d v="2022-04-04T00:00:00"/>
    <n v="6"/>
    <x v="4"/>
    <s v="Hypertension"/>
    <x v="7"/>
    <s v="Counseling"/>
    <x v="0"/>
    <s v="Dr. Deepak Mehta"/>
    <n v="484"/>
    <s v="General Ward"/>
    <x v="1"/>
    <n v="174476"/>
    <n v="85344"/>
    <n v="89132"/>
    <n v="144538"/>
    <n v="21150"/>
    <n v="3961"/>
    <s v="No"/>
    <n v="68"/>
    <n v="3.6"/>
    <x v="4"/>
  </r>
  <r>
    <x v="1496"/>
    <s v="Vijay Malhotra"/>
    <n v="60"/>
    <x v="0"/>
    <s v="B-"/>
    <s v="Hyderabad"/>
    <d v="2022-10-04T00:00:00"/>
    <d v="2022-10-28T00:00:00"/>
    <n v="24"/>
    <x v="4"/>
    <s v="Hypertension"/>
    <x v="7"/>
    <s v="Chemotherapy"/>
    <x v="3"/>
    <s v="Dr. Deepak Patel"/>
    <n v="96"/>
    <s v="Private"/>
    <x v="0"/>
    <n v="136079"/>
    <n v="65784"/>
    <n v="70295"/>
    <n v="111104"/>
    <n v="15252"/>
    <n v="5285"/>
    <s v="No"/>
    <n v="66"/>
    <n v="2.9"/>
    <x v="3"/>
  </r>
  <r>
    <x v="1497"/>
    <s v="Rohan Malhotra"/>
    <n v="76"/>
    <x v="1"/>
    <s v="B+"/>
    <s v="Ahmedabad"/>
    <d v="2024-06-08T00:00:00"/>
    <d v="2024-06-22T00:00:00"/>
    <n v="14"/>
    <x v="2"/>
    <s v="Cancer"/>
    <x v="3"/>
    <s v="Dietary Management"/>
    <x v="3"/>
    <s v="Dr. Deepak Patel"/>
    <n v="350"/>
    <s v="ICU"/>
    <x v="3"/>
    <n v="106558"/>
    <n v="73880"/>
    <n v="32678"/>
    <n v="84259"/>
    <n v="9933"/>
    <n v="10484"/>
    <s v="No"/>
    <n v="82"/>
    <n v="2.2999999999999998"/>
    <x v="1"/>
  </r>
  <r>
    <x v="1498"/>
    <s v="Karan Menon"/>
    <n v="32"/>
    <x v="0"/>
    <s v="B-"/>
    <s v="Delhi"/>
    <d v="2023-11-01T00:00:00"/>
    <d v="2023-11-12T00:00:00"/>
    <n v="11"/>
    <x v="0"/>
    <s v="Anemia"/>
    <x v="4"/>
    <s v="Dialysis"/>
    <x v="2"/>
    <s v="Dr. Kavita Rao"/>
    <n v="143"/>
    <s v="General Ward"/>
    <x v="0"/>
    <n v="145372"/>
    <n v="95083"/>
    <n v="50289"/>
    <n v="104314"/>
    <n v="26960"/>
    <n v="13507"/>
    <s v="No"/>
    <n v="91"/>
    <n v="3.1"/>
    <x v="0"/>
  </r>
  <r>
    <x v="1499"/>
    <s v="Karan Chopra"/>
    <n v="58"/>
    <x v="1"/>
    <s v="A-"/>
    <s v="Jaipur"/>
    <d v="2023-01-08T00:00:00"/>
    <d v="2023-02-04T00:00:00"/>
    <n v="27"/>
    <x v="5"/>
    <s v="Pneumonia"/>
    <x v="8"/>
    <s v="Physiotherapy"/>
    <x v="2"/>
    <s v="Dr. Sameer Singh"/>
    <n v="197"/>
    <s v="ICU"/>
    <x v="0"/>
    <n v="64950"/>
    <n v="30029"/>
    <n v="34921"/>
    <n v="53690"/>
    <n v="2718"/>
    <n v="4211"/>
    <s v="No"/>
    <n v="75"/>
    <n v="4.3"/>
    <x v="3"/>
  </r>
  <r>
    <x v="1500"/>
    <s v="Karan Singh"/>
    <n v="31"/>
    <x v="0"/>
    <s v="AB-"/>
    <s v="Hyderabad"/>
    <d v="2024-12-02T00:00:00"/>
    <d v="2024-12-13T00:00:00"/>
    <n v="11"/>
    <x v="0"/>
    <s v="Typhoid"/>
    <x v="1"/>
    <s v="Chemotherapy"/>
    <x v="1"/>
    <s v="Dr. Rakesh Kumar"/>
    <n v="168"/>
    <s v="ICU"/>
    <x v="4"/>
    <n v="156095"/>
    <n v="0"/>
    <n v="156095"/>
    <n v="122795"/>
    <n v="22711"/>
    <n v="7043"/>
    <s v="No"/>
    <n v="69"/>
    <n v="3.5"/>
    <x v="0"/>
  </r>
  <r>
    <x v="1501"/>
    <s v="Sunita Sharma"/>
    <n v="11"/>
    <x v="0"/>
    <s v="O-"/>
    <s v="Delhi"/>
    <d v="2022-09-27T00:00:00"/>
    <d v="2022-10-27T00:00:00"/>
    <n v="30"/>
    <x v="3"/>
    <s v="Migraine"/>
    <x v="6"/>
    <s v="Observation"/>
    <x v="3"/>
    <s v="Dr. Rakesh Rao"/>
    <n v="136"/>
    <s v="Semi-Private"/>
    <x v="3"/>
    <n v="79143"/>
    <n v="56215"/>
    <n v="22928"/>
    <n v="63770"/>
    <n v="6426"/>
    <n v="8149"/>
    <s v="Yes"/>
    <n v="67"/>
    <n v="3.1"/>
    <x v="1"/>
  </r>
  <r>
    <x v="1502"/>
    <s v="Lata Nair"/>
    <n v="27"/>
    <x v="1"/>
    <s v="A+"/>
    <s v="Hyderabad"/>
    <d v="2022-11-06T00:00:00"/>
    <d v="2022-11-09T00:00:00"/>
    <n v="3"/>
    <x v="6"/>
    <s v="Arthritis"/>
    <x v="11"/>
    <s v="Radiation Therapy"/>
    <x v="3"/>
    <s v="Dr. Anjali Patel"/>
    <n v="444"/>
    <s v="Private"/>
    <x v="0"/>
    <n v="34485"/>
    <n v="20328"/>
    <n v="14157"/>
    <n v="18293"/>
    <n v="9177"/>
    <n v="5837"/>
    <s v="Yes"/>
    <n v="73"/>
    <n v="3"/>
    <x v="3"/>
  </r>
  <r>
    <x v="1503"/>
    <s v="Lata Verma"/>
    <n v="57"/>
    <x v="0"/>
    <s v="A-"/>
    <s v="Chennai"/>
    <d v="2023-04-04T00:00:00"/>
    <d v="2023-04-15T00:00:00"/>
    <n v="11"/>
    <x v="0"/>
    <s v="Depression"/>
    <x v="5"/>
    <s v="Medication"/>
    <x v="1"/>
    <s v="Dr. Rakesh Reddy"/>
    <n v="468"/>
    <s v="Semi-Private"/>
    <x v="0"/>
    <n v="177961"/>
    <n v="93114"/>
    <n v="84847"/>
    <n v="136256"/>
    <n v="29443"/>
    <n v="8295"/>
    <s v="No"/>
    <n v="51"/>
    <n v="4.5999999999999996"/>
    <x v="0"/>
  </r>
  <r>
    <x v="1504"/>
    <s v="Manoj Patel"/>
    <n v="40"/>
    <x v="1"/>
    <s v="B-"/>
    <s v="Chennai"/>
    <d v="2022-07-16T00:00:00"/>
    <d v="2022-07-17T00:00:00"/>
    <n v="1"/>
    <x v="3"/>
    <s v="Migraine"/>
    <x v="6"/>
    <s v="Counseling"/>
    <x v="1"/>
    <s v="Dr. Anjali Sharma"/>
    <n v="20"/>
    <s v="Private"/>
    <x v="0"/>
    <n v="65697"/>
    <n v="31546"/>
    <n v="34151"/>
    <n v="38268"/>
    <n v="20763"/>
    <n v="1835"/>
    <s v="No"/>
    <n v="93"/>
    <n v="4"/>
    <x v="1"/>
  </r>
  <r>
    <x v="1505"/>
    <s v="Sanjay Khanna"/>
    <n v="51"/>
    <x v="1"/>
    <s v="O-"/>
    <s v="Bangalore"/>
    <d v="2024-08-26T00:00:00"/>
    <d v="2024-08-27T00:00:00"/>
    <n v="1"/>
    <x v="4"/>
    <s v="Heart Attack"/>
    <x v="7"/>
    <s v="Dietary Management"/>
    <x v="0"/>
    <s v="Dr. Prerna Patel"/>
    <n v="411"/>
    <s v="Private"/>
    <x v="0"/>
    <n v="121532"/>
    <n v="50244"/>
    <n v="71288"/>
    <n v="87976"/>
    <n v="17508"/>
    <n v="13961"/>
    <s v="No"/>
    <n v="40"/>
    <n v="3.9"/>
    <x v="4"/>
  </r>
  <r>
    <x v="1506"/>
    <s v="Geeta Shah"/>
    <n v="20"/>
    <x v="1"/>
    <s v="A+"/>
    <s v="Kolkata"/>
    <d v="2022-06-07T00:00:00"/>
    <d v="2022-06-08T00:00:00"/>
    <n v="1"/>
    <x v="0"/>
    <s v="Liver Disease"/>
    <x v="0"/>
    <s v="Physiotherapy"/>
    <x v="1"/>
    <s v="Dr. Vivek Nair"/>
    <n v="301"/>
    <s v="ICU"/>
    <x v="4"/>
    <n v="129299"/>
    <n v="0"/>
    <n v="129299"/>
    <n v="93906"/>
    <n v="27331"/>
    <n v="3795"/>
    <s v="Yes"/>
    <n v="68"/>
    <n v="2.7"/>
    <x v="2"/>
  </r>
  <r>
    <x v="1507"/>
    <s v="Priya Rao"/>
    <n v="36"/>
    <x v="1"/>
    <s v="B+"/>
    <s v="Ahmedabad"/>
    <d v="2023-08-01T00:00:00"/>
    <d v="2023-08-09T00:00:00"/>
    <n v="8"/>
    <x v="6"/>
    <s v="Fracture"/>
    <x v="10"/>
    <s v="Observation"/>
    <x v="0"/>
    <s v="Dr. Vivek Kumar"/>
    <n v="204"/>
    <s v="General Ward"/>
    <x v="0"/>
    <n v="78990"/>
    <n v="53026"/>
    <n v="25964"/>
    <n v="63107"/>
    <n v="7594"/>
    <n v="7081"/>
    <s v="No"/>
    <n v="61"/>
    <n v="3.5"/>
    <x v="4"/>
  </r>
  <r>
    <x v="1508"/>
    <s v="Vijay Gupta"/>
    <n v="37"/>
    <x v="0"/>
    <s v="O-"/>
    <s v="Pune"/>
    <d v="2023-11-24T00:00:00"/>
    <d v="2023-11-29T00:00:00"/>
    <n v="5"/>
    <x v="0"/>
    <s v="Anemia"/>
    <x v="4"/>
    <s v="Physiotherapy"/>
    <x v="1"/>
    <s v="Dr. Kavita Joshi"/>
    <n v="323"/>
    <s v="ICU"/>
    <x v="2"/>
    <n v="74074"/>
    <n v="46950"/>
    <n v="27124"/>
    <n v="42741"/>
    <n v="15899"/>
    <n v="12362"/>
    <s v="Yes"/>
    <n v="62"/>
    <n v="4.7"/>
    <x v="4"/>
  </r>
  <r>
    <x v="1509"/>
    <s v="Ritu Bose"/>
    <n v="10"/>
    <x v="0"/>
    <s v="A+"/>
    <s v="Pune"/>
    <d v="2024-08-04T00:00:00"/>
    <d v="2024-08-07T00:00:00"/>
    <n v="3"/>
    <x v="6"/>
    <s v="Fracture"/>
    <x v="10"/>
    <s v="Surgery"/>
    <x v="1"/>
    <s v="Dr. Vivek Gupta"/>
    <n v="446"/>
    <s v="Semi-Private"/>
    <x v="0"/>
    <n v="96750"/>
    <n v="55370"/>
    <n v="41380"/>
    <n v="68157"/>
    <n v="12959"/>
    <n v="13597"/>
    <s v="No"/>
    <n v="84"/>
    <n v="4.8"/>
    <x v="3"/>
  </r>
  <r>
    <x v="1510"/>
    <s v="Rajesh Shah"/>
    <n v="39"/>
    <x v="0"/>
    <s v="O-"/>
    <s v="Delhi"/>
    <d v="2024-05-07T00:00:00"/>
    <d v="2024-05-18T00:00:00"/>
    <n v="11"/>
    <x v="0"/>
    <s v="Typhoid"/>
    <x v="1"/>
    <s v="Radiation Therapy"/>
    <x v="3"/>
    <s v="Dr. Kavita Mehta"/>
    <n v="441"/>
    <s v="General Ward"/>
    <x v="1"/>
    <n v="72255"/>
    <n v="32731"/>
    <n v="39524"/>
    <n v="64559"/>
    <n v="2050"/>
    <n v="2923"/>
    <s v="No"/>
    <n v="66"/>
    <n v="4.2"/>
    <x v="1"/>
  </r>
  <r>
    <x v="1511"/>
    <s v="Rajesh Verma"/>
    <n v="19"/>
    <x v="1"/>
    <s v="B+"/>
    <s v="Mumbai"/>
    <d v="2023-09-16T00:00:00"/>
    <d v="2023-09-19T00:00:00"/>
    <n v="3"/>
    <x v="6"/>
    <s v="Fracture"/>
    <x v="10"/>
    <s v="Dialysis"/>
    <x v="1"/>
    <s v="Dr. Nisha Patel"/>
    <n v="26"/>
    <s v="Semi-Private"/>
    <x v="0"/>
    <n v="110067"/>
    <n v="67914"/>
    <n v="42153"/>
    <n v="79562"/>
    <n v="13823"/>
    <n v="13192"/>
    <s v="No"/>
    <n v="66"/>
    <n v="2.6"/>
    <x v="2"/>
  </r>
  <r>
    <x v="1512"/>
    <s v="Aditya Verma"/>
    <n v="66"/>
    <x v="0"/>
    <s v="O+"/>
    <s v="Chennai"/>
    <d v="2024-08-11T00:00:00"/>
    <d v="2024-09-03T00:00:00"/>
    <n v="23"/>
    <x v="0"/>
    <s v="Diabetes Type 2"/>
    <x v="9"/>
    <s v="Dietary Management"/>
    <x v="3"/>
    <s v="Dr. Prerna Joshi"/>
    <n v="395"/>
    <s v="Private"/>
    <x v="0"/>
    <n v="141636"/>
    <n v="60729"/>
    <n v="80907"/>
    <n v="123184"/>
    <n v="15711"/>
    <n v="1040"/>
    <s v="No"/>
    <n v="93"/>
    <n v="4.9000000000000004"/>
    <x v="1"/>
  </r>
  <r>
    <x v="1513"/>
    <s v="Sunil Patel"/>
    <n v="19"/>
    <x v="1"/>
    <s v="O-"/>
    <s v="Lucknow"/>
    <d v="2022-12-14T00:00:00"/>
    <d v="2023-01-01T00:00:00"/>
    <n v="18"/>
    <x v="2"/>
    <s v="Cancer"/>
    <x v="3"/>
    <s v="Dietary Management"/>
    <x v="0"/>
    <s v="Dr. Prerna Gupta"/>
    <n v="329"/>
    <s v="Private"/>
    <x v="3"/>
    <n v="159814"/>
    <n v="124901"/>
    <n v="34913"/>
    <n v="143722"/>
    <n v="4553"/>
    <n v="7938"/>
    <s v="No"/>
    <n v="62"/>
    <n v="3.8"/>
    <x v="4"/>
  </r>
  <r>
    <x v="1514"/>
    <s v="Geeta Reddy"/>
    <n v="77"/>
    <x v="1"/>
    <s v="A+"/>
    <s v="Delhi"/>
    <d v="2022-04-28T00:00:00"/>
    <d v="2022-05-20T00:00:00"/>
    <n v="22"/>
    <x v="1"/>
    <s v="Kidney Stone"/>
    <x v="2"/>
    <s v="Dietary Management"/>
    <x v="1"/>
    <s v="Dr. Vivek Rao"/>
    <n v="394"/>
    <s v="Semi-Private"/>
    <x v="0"/>
    <n v="53679"/>
    <n v="37495"/>
    <n v="16184"/>
    <n v="24303"/>
    <n v="16994"/>
    <n v="10147"/>
    <s v="No"/>
    <n v="81"/>
    <n v="3.5"/>
    <x v="0"/>
  </r>
  <r>
    <x v="1515"/>
    <s v="Divya Nair"/>
    <n v="43"/>
    <x v="1"/>
    <s v="AB+"/>
    <s v="Pune"/>
    <d v="2023-08-30T00:00:00"/>
    <d v="2023-09-29T00:00:00"/>
    <n v="30"/>
    <x v="1"/>
    <s v="Kidney Stone"/>
    <x v="2"/>
    <s v="ICU Care"/>
    <x v="2"/>
    <s v="Dr. Nisha Gupta"/>
    <n v="11"/>
    <s v="ICU"/>
    <x v="3"/>
    <n v="115446"/>
    <n v="82843"/>
    <n v="32603"/>
    <n v="101644"/>
    <n v="1219"/>
    <n v="9946"/>
    <s v="No"/>
    <n v="70"/>
    <n v="3.6"/>
    <x v="1"/>
  </r>
  <r>
    <x v="1516"/>
    <s v="Pooja Gupta"/>
    <n v="28"/>
    <x v="0"/>
    <s v="A-"/>
    <s v="Lucknow"/>
    <d v="2022-11-24T00:00:00"/>
    <d v="2022-12-08T00:00:00"/>
    <n v="14"/>
    <x v="4"/>
    <s v="Hypertension"/>
    <x v="7"/>
    <s v="Observation"/>
    <x v="1"/>
    <s v="Dr. Prerna Nair"/>
    <n v="224"/>
    <s v="General Ward"/>
    <x v="2"/>
    <n v="48499"/>
    <n v="35443"/>
    <n v="13056"/>
    <n v="11917"/>
    <n v="20869"/>
    <n v="13409"/>
    <s v="Yes"/>
    <n v="81"/>
    <n v="2.2000000000000002"/>
    <x v="1"/>
  </r>
  <r>
    <x v="1517"/>
    <s v="Rekha Iyer"/>
    <n v="5"/>
    <x v="1"/>
    <s v="AB-"/>
    <s v="Mumbai"/>
    <d v="2022-04-11T00:00:00"/>
    <d v="2022-05-09T00:00:00"/>
    <n v="28"/>
    <x v="3"/>
    <s v="Stroke"/>
    <x v="6"/>
    <s v="Radiation Therapy"/>
    <x v="0"/>
    <s v="Dr. Sameer Nair"/>
    <n v="13"/>
    <s v="Private"/>
    <x v="1"/>
    <n v="160810"/>
    <n v="105385"/>
    <n v="55425"/>
    <n v="126066"/>
    <n v="16235"/>
    <n v="13988"/>
    <s v="No"/>
    <n v="45"/>
    <n v="2.8"/>
    <x v="0"/>
  </r>
  <r>
    <x v="1518"/>
    <s v="Sunil Gupta"/>
    <n v="54"/>
    <x v="1"/>
    <s v="A-"/>
    <s v="Delhi"/>
    <d v="2023-11-19T00:00:00"/>
    <d v="2023-12-03T00:00:00"/>
    <n v="14"/>
    <x v="0"/>
    <s v="Liver Disease"/>
    <x v="0"/>
    <s v="Dialysis"/>
    <x v="0"/>
    <s v="Dr. Arun Gupta"/>
    <n v="231"/>
    <s v="Semi-Private"/>
    <x v="4"/>
    <n v="127000"/>
    <n v="0"/>
    <n v="127000"/>
    <n v="99900"/>
    <n v="13790"/>
    <n v="11892"/>
    <s v="No"/>
    <n v="92"/>
    <n v="2.5"/>
    <x v="3"/>
  </r>
  <r>
    <x v="1519"/>
    <s v="Nisha Kumar"/>
    <n v="31"/>
    <x v="0"/>
    <s v="AB+"/>
    <s v="Chennai"/>
    <d v="2024-07-30T00:00:00"/>
    <d v="2024-08-25T00:00:00"/>
    <n v="26"/>
    <x v="1"/>
    <s v="UTI"/>
    <x v="2"/>
    <s v="Dietary Management"/>
    <x v="2"/>
    <s v="Dr. Nisha Sharma"/>
    <n v="25"/>
    <s v="ICU"/>
    <x v="4"/>
    <n v="58478"/>
    <n v="0"/>
    <n v="58478"/>
    <n v="32745"/>
    <n v="14907"/>
    <n v="8150"/>
    <s v="No"/>
    <n v="86"/>
    <n v="3.6"/>
    <x v="4"/>
  </r>
  <r>
    <x v="1520"/>
    <s v="Suresh Shah"/>
    <n v="74"/>
    <x v="1"/>
    <s v="B+"/>
    <s v="Delhi"/>
    <d v="2024-09-30T00:00:00"/>
    <d v="2024-10-24T00:00:00"/>
    <n v="24"/>
    <x v="0"/>
    <s v="Typhoid"/>
    <x v="1"/>
    <s v="Counseling"/>
    <x v="0"/>
    <s v="Dr. Rakesh Gupta"/>
    <n v="231"/>
    <s v="Semi-Private"/>
    <x v="4"/>
    <n v="127294"/>
    <n v="0"/>
    <n v="127294"/>
    <n v="92318"/>
    <n v="22450"/>
    <n v="9512"/>
    <s v="No"/>
    <n v="55"/>
    <n v="3.1"/>
    <x v="0"/>
  </r>
  <r>
    <x v="1521"/>
    <s v="Sanjay Iyer"/>
    <n v="65"/>
    <x v="1"/>
    <s v="B+"/>
    <s v="Pune"/>
    <d v="2022-10-24T00:00:00"/>
    <d v="2022-11-18T00:00:00"/>
    <n v="25"/>
    <x v="0"/>
    <s v="Diabetes Type 2"/>
    <x v="9"/>
    <s v="Dietary Management"/>
    <x v="2"/>
    <s v="Dr. Arun Joshi"/>
    <n v="457"/>
    <s v="Private"/>
    <x v="3"/>
    <n v="54409"/>
    <n v="34472"/>
    <n v="19937"/>
    <n v="37266"/>
    <n v="5872"/>
    <n v="6750"/>
    <s v="Yes"/>
    <n v="66"/>
    <n v="4.9000000000000004"/>
    <x v="0"/>
  </r>
  <r>
    <x v="1522"/>
    <s v="Suresh Mehta"/>
    <n v="52"/>
    <x v="1"/>
    <s v="A+"/>
    <s v="Chennai"/>
    <d v="2022-06-06T00:00:00"/>
    <d v="2022-06-14T00:00:00"/>
    <n v="8"/>
    <x v="0"/>
    <s v="Depression"/>
    <x v="5"/>
    <s v="Counseling"/>
    <x v="2"/>
    <s v="Dr. Arun Kumar"/>
    <n v="329"/>
    <s v="ICU"/>
    <x v="1"/>
    <n v="75638"/>
    <n v="38740"/>
    <n v="36898"/>
    <n v="39761"/>
    <n v="17895"/>
    <n v="13571"/>
    <s v="No"/>
    <n v="93"/>
    <n v="3"/>
    <x v="4"/>
  </r>
  <r>
    <x v="1523"/>
    <s v="Manoj Joshi"/>
    <n v="11"/>
    <x v="1"/>
    <s v="O+"/>
    <s v="Jaipur"/>
    <d v="2024-10-02T00:00:00"/>
    <d v="2024-10-11T00:00:00"/>
    <n v="9"/>
    <x v="0"/>
    <s v="Typhoid"/>
    <x v="1"/>
    <s v="Surgery"/>
    <x v="1"/>
    <s v="Dr. Sameer Nair"/>
    <n v="81"/>
    <s v="ICU"/>
    <x v="1"/>
    <n v="83387"/>
    <n v="36412"/>
    <n v="46975"/>
    <n v="56633"/>
    <n v="10515"/>
    <n v="12722"/>
    <s v="No"/>
    <n v="50"/>
    <n v="4.4000000000000004"/>
    <x v="2"/>
  </r>
  <r>
    <x v="1524"/>
    <s v="Sanjay Reddy"/>
    <n v="15"/>
    <x v="0"/>
    <s v="AB-"/>
    <s v="Jaipur"/>
    <d v="2024-06-02T00:00:00"/>
    <d v="2024-06-13T00:00:00"/>
    <n v="11"/>
    <x v="4"/>
    <s v="Hypertension"/>
    <x v="7"/>
    <s v="Dietary Management"/>
    <x v="3"/>
    <s v="Dr. Anjali Kumar"/>
    <n v="429"/>
    <s v="General Ward"/>
    <x v="4"/>
    <n v="123576"/>
    <n v="0"/>
    <n v="123576"/>
    <n v="90368"/>
    <n v="16805"/>
    <n v="11849"/>
    <s v="No"/>
    <n v="89"/>
    <n v="4.5"/>
    <x v="3"/>
  </r>
  <r>
    <x v="1525"/>
    <s v="Sunil Rao"/>
    <n v="31"/>
    <x v="1"/>
    <s v="B+"/>
    <s v="Hyderabad"/>
    <d v="2023-03-10T00:00:00"/>
    <d v="2023-03-20T00:00:00"/>
    <n v="10"/>
    <x v="0"/>
    <s v="Dengue"/>
    <x v="1"/>
    <s v="ICU Care"/>
    <x v="2"/>
    <s v="Dr. Deepak Patel"/>
    <n v="36"/>
    <s v="Private"/>
    <x v="3"/>
    <n v="115430"/>
    <n v="100422"/>
    <n v="15008"/>
    <n v="97200"/>
    <n v="2037"/>
    <n v="14541"/>
    <s v="No"/>
    <n v="43"/>
    <n v="3.9"/>
    <x v="0"/>
  </r>
  <r>
    <x v="1526"/>
    <s v="Priya Mehta"/>
    <n v="53"/>
    <x v="0"/>
    <s v="AB-"/>
    <s v="Pune"/>
    <d v="2024-05-05T00:00:00"/>
    <d v="2024-05-11T00:00:00"/>
    <n v="6"/>
    <x v="0"/>
    <s v="Liver Disease"/>
    <x v="0"/>
    <s v="Chemotherapy"/>
    <x v="2"/>
    <s v="Dr. Shalini Patel"/>
    <n v="209"/>
    <s v="ICU"/>
    <x v="3"/>
    <n v="47610"/>
    <n v="33071"/>
    <n v="14539"/>
    <n v="6248"/>
    <n v="27430"/>
    <n v="9033"/>
    <s v="Yes"/>
    <n v="76"/>
    <n v="4.3"/>
    <x v="2"/>
  </r>
  <r>
    <x v="1527"/>
    <s v="Vijay Iyer"/>
    <n v="39"/>
    <x v="0"/>
    <s v="A-"/>
    <s v="Mumbai"/>
    <d v="2022-05-19T00:00:00"/>
    <d v="2022-05-20T00:00:00"/>
    <n v="1"/>
    <x v="1"/>
    <s v="UTI"/>
    <x v="2"/>
    <s v="Radiation Therapy"/>
    <x v="0"/>
    <s v="Dr. Rakesh Rao"/>
    <n v="99"/>
    <s v="Private"/>
    <x v="4"/>
    <n v="51043"/>
    <n v="0"/>
    <n v="51043"/>
    <n v="44388"/>
    <n v="4759"/>
    <n v="522"/>
    <s v="No"/>
    <n v="91"/>
    <n v="2.2000000000000002"/>
    <x v="0"/>
  </r>
  <r>
    <x v="1528"/>
    <s v="Mukesh Menon"/>
    <n v="58"/>
    <x v="1"/>
    <s v="B-"/>
    <s v="Bangalore"/>
    <d v="2023-05-18T00:00:00"/>
    <d v="2023-05-30T00:00:00"/>
    <n v="12"/>
    <x v="0"/>
    <s v="COVID-19"/>
    <x v="1"/>
    <s v="Chemotherapy"/>
    <x v="3"/>
    <s v="Dr. Deepak Patel"/>
    <n v="52"/>
    <s v="General Ward"/>
    <x v="4"/>
    <n v="154721"/>
    <n v="0"/>
    <n v="154721"/>
    <n v="135936"/>
    <n v="2231"/>
    <n v="14509"/>
    <s v="No"/>
    <n v="63"/>
    <n v="3.2"/>
    <x v="3"/>
  </r>
  <r>
    <x v="1529"/>
    <s v="Rekha Khanna"/>
    <n v="41"/>
    <x v="1"/>
    <s v="AB+"/>
    <s v="Bangalore"/>
    <d v="2023-09-11T00:00:00"/>
    <d v="2023-10-08T00:00:00"/>
    <n v="27"/>
    <x v="0"/>
    <s v="Dengue"/>
    <x v="1"/>
    <s v="Dialysis"/>
    <x v="0"/>
    <s v="Dr. Sameer Sharma"/>
    <n v="467"/>
    <s v="Semi-Private"/>
    <x v="2"/>
    <n v="92294"/>
    <n v="77334"/>
    <n v="14960"/>
    <n v="65428"/>
    <n v="12196"/>
    <n v="12117"/>
    <s v="No"/>
    <n v="84"/>
    <n v="2.5"/>
    <x v="2"/>
  </r>
  <r>
    <x v="1530"/>
    <s v="Sanjay Rao"/>
    <n v="5"/>
    <x v="0"/>
    <s v="A-"/>
    <s v="Ahmedabad"/>
    <d v="2023-05-20T00:00:00"/>
    <d v="2023-06-11T00:00:00"/>
    <n v="22"/>
    <x v="1"/>
    <s v="UTI"/>
    <x v="2"/>
    <s v="Dialysis"/>
    <x v="0"/>
    <s v="Dr. Vivek Sharma"/>
    <n v="471"/>
    <s v="Private"/>
    <x v="4"/>
    <n v="154483"/>
    <n v="0"/>
    <n v="154483"/>
    <n v="128806"/>
    <n v="23451"/>
    <n v="1312"/>
    <s v="No"/>
    <n v="90"/>
    <n v="4.4000000000000004"/>
    <x v="0"/>
  </r>
  <r>
    <x v="1531"/>
    <s v="Arjun Singh"/>
    <n v="11"/>
    <x v="0"/>
    <s v="O-"/>
    <s v="Delhi"/>
    <d v="2024-03-12T00:00:00"/>
    <d v="2024-03-19T00:00:00"/>
    <n v="7"/>
    <x v="0"/>
    <s v="Dengue"/>
    <x v="1"/>
    <s v="Surgery"/>
    <x v="3"/>
    <s v="Dr. Prerna Mehta"/>
    <n v="1"/>
    <s v="Semi-Private"/>
    <x v="0"/>
    <n v="109787"/>
    <n v="55046"/>
    <n v="54741"/>
    <n v="81300"/>
    <n v="21745"/>
    <n v="2248"/>
    <s v="Yes"/>
    <n v="72"/>
    <n v="2.1"/>
    <x v="0"/>
  </r>
  <r>
    <x v="1532"/>
    <s v="Amit Khanna"/>
    <n v="37"/>
    <x v="1"/>
    <s v="O-"/>
    <s v="Hyderabad"/>
    <d v="2022-09-07T00:00:00"/>
    <d v="2022-09-14T00:00:00"/>
    <n v="7"/>
    <x v="3"/>
    <s v="Stroke"/>
    <x v="6"/>
    <s v="Observation"/>
    <x v="0"/>
    <s v="Dr. Nisha Sharma"/>
    <n v="72"/>
    <s v="Private"/>
    <x v="1"/>
    <n v="45104"/>
    <n v="25510"/>
    <n v="19594"/>
    <n v="22652"/>
    <n v="11772"/>
    <n v="7563"/>
    <s v="No"/>
    <n v="79"/>
    <n v="2.2999999999999998"/>
    <x v="1"/>
  </r>
  <r>
    <x v="1533"/>
    <s v="Geeta Bose"/>
    <n v="75"/>
    <x v="1"/>
    <s v="A+"/>
    <s v="Pune"/>
    <d v="2022-12-30T00:00:00"/>
    <d v="2023-01-23T00:00:00"/>
    <n v="24"/>
    <x v="1"/>
    <s v="UTI"/>
    <x v="2"/>
    <s v="Physiotherapy"/>
    <x v="2"/>
    <s v="Dr. Prerna Rao"/>
    <n v="442"/>
    <s v="General Ward"/>
    <x v="2"/>
    <n v="98025"/>
    <n v="73630"/>
    <n v="24395"/>
    <n v="79223"/>
    <n v="6243"/>
    <n v="9845"/>
    <s v="No"/>
    <n v="58"/>
    <n v="2"/>
    <x v="3"/>
  </r>
  <r>
    <x v="1534"/>
    <s v="Suresh Das"/>
    <n v="51"/>
    <x v="0"/>
    <s v="B-"/>
    <s v="Lucknow"/>
    <d v="2022-09-05T00:00:00"/>
    <d v="2022-09-15T00:00:00"/>
    <n v="10"/>
    <x v="4"/>
    <s v="Heart Attack"/>
    <x v="7"/>
    <s v="ICU Care"/>
    <x v="2"/>
    <s v="Dr. Arun Patel"/>
    <n v="425"/>
    <s v="Semi-Private"/>
    <x v="2"/>
    <n v="55380"/>
    <n v="35756"/>
    <n v="19624"/>
    <n v="33330"/>
    <n v="15752"/>
    <n v="5447"/>
    <s v="No"/>
    <n v="72"/>
    <n v="3.9"/>
    <x v="1"/>
  </r>
  <r>
    <x v="1535"/>
    <s v="Pooja Menon"/>
    <n v="69"/>
    <x v="0"/>
    <s v="AB+"/>
    <s v="Pune"/>
    <d v="2023-09-01T00:00:00"/>
    <d v="2023-09-19T00:00:00"/>
    <n v="18"/>
    <x v="6"/>
    <s v="Fracture"/>
    <x v="10"/>
    <s v="Physiotherapy"/>
    <x v="0"/>
    <s v="Dr. Sameer Rao"/>
    <n v="64"/>
    <s v="Semi-Private"/>
    <x v="3"/>
    <n v="154894"/>
    <n v="135368"/>
    <n v="19526"/>
    <n v="124816"/>
    <n v="22889"/>
    <n v="5856"/>
    <s v="No"/>
    <n v="57"/>
    <n v="4.0999999999999996"/>
    <x v="0"/>
  </r>
  <r>
    <x v="1536"/>
    <s v="Sneha Verma"/>
    <n v="29"/>
    <x v="1"/>
    <s v="A-"/>
    <s v="Jaipur"/>
    <d v="2022-02-22T00:00:00"/>
    <d v="2022-03-23T00:00:00"/>
    <n v="29"/>
    <x v="0"/>
    <s v="Appendicitis"/>
    <x v="0"/>
    <s v="Chemotherapy"/>
    <x v="1"/>
    <s v="Dr. Deepak Kumar"/>
    <n v="452"/>
    <s v="Semi-Private"/>
    <x v="0"/>
    <n v="56568"/>
    <n v="35652"/>
    <n v="20916"/>
    <n v="31828"/>
    <n v="12773"/>
    <n v="7096"/>
    <s v="No"/>
    <n v="55"/>
    <n v="2.9"/>
    <x v="0"/>
  </r>
  <r>
    <x v="1537"/>
    <s v="Rohan Sharma"/>
    <n v="21"/>
    <x v="1"/>
    <s v="O+"/>
    <s v="Kolkata"/>
    <d v="2022-12-23T00:00:00"/>
    <d v="2023-01-05T00:00:00"/>
    <n v="13"/>
    <x v="0"/>
    <s v="Typhoid"/>
    <x v="1"/>
    <s v="Chemotherapy"/>
    <x v="2"/>
    <s v="Dr. Arun Mehta"/>
    <n v="161"/>
    <s v="Semi-Private"/>
    <x v="4"/>
    <n v="68850"/>
    <n v="0"/>
    <n v="68850"/>
    <n v="46661"/>
    <n v="8921"/>
    <n v="9296"/>
    <s v="No"/>
    <n v="42"/>
    <n v="4.4000000000000004"/>
    <x v="4"/>
  </r>
  <r>
    <x v="1538"/>
    <s v="Karan Sharma"/>
    <n v="44"/>
    <x v="1"/>
    <s v="B-"/>
    <s v="Lucknow"/>
    <d v="2024-10-07T00:00:00"/>
    <d v="2024-10-28T00:00:00"/>
    <n v="21"/>
    <x v="0"/>
    <s v="Anemia"/>
    <x v="4"/>
    <s v="Radiation Therapy"/>
    <x v="3"/>
    <s v="Dr. Arun Nair"/>
    <n v="359"/>
    <s v="ICU"/>
    <x v="3"/>
    <n v="48935"/>
    <n v="38908"/>
    <n v="10027"/>
    <n v="40151"/>
    <n v="3458"/>
    <n v="1150"/>
    <s v="No"/>
    <n v="58"/>
    <n v="4.5"/>
    <x v="3"/>
  </r>
  <r>
    <x v="1539"/>
    <s v="Aditya Reddy"/>
    <n v="32"/>
    <x v="1"/>
    <s v="O-"/>
    <s v="Delhi"/>
    <d v="2022-02-08T00:00:00"/>
    <d v="2022-03-03T00:00:00"/>
    <n v="23"/>
    <x v="0"/>
    <s v="Liver Disease"/>
    <x v="0"/>
    <s v="Physiotherapy"/>
    <x v="3"/>
    <s v="Dr. Anjali Mehta"/>
    <n v="177"/>
    <s v="Private"/>
    <x v="0"/>
    <n v="136933"/>
    <n v="72720"/>
    <n v="64213"/>
    <n v="118314"/>
    <n v="12349"/>
    <n v="5240"/>
    <s v="No"/>
    <n v="74"/>
    <n v="3.8"/>
    <x v="2"/>
  </r>
  <r>
    <x v="1540"/>
    <s v="Sanjay Joshi"/>
    <n v="67"/>
    <x v="0"/>
    <s v="B-"/>
    <s v="Lucknow"/>
    <d v="2023-10-16T00:00:00"/>
    <d v="2023-11-08T00:00:00"/>
    <n v="23"/>
    <x v="4"/>
    <s v="Heart Attack"/>
    <x v="7"/>
    <s v="Counseling"/>
    <x v="1"/>
    <s v="Dr. Deepak Mehta"/>
    <n v="408"/>
    <s v="Semi-Private"/>
    <x v="3"/>
    <n v="90856"/>
    <n v="75694"/>
    <n v="15162"/>
    <n v="55254"/>
    <n v="22974"/>
    <n v="10765"/>
    <s v="No"/>
    <n v="81"/>
    <n v="3.3"/>
    <x v="3"/>
  </r>
  <r>
    <x v="1541"/>
    <s v="Meera Patel"/>
    <n v="40"/>
    <x v="1"/>
    <s v="B-"/>
    <s v="Pune"/>
    <d v="2024-07-24T00:00:00"/>
    <d v="2024-08-18T00:00:00"/>
    <n v="25"/>
    <x v="2"/>
    <s v="Cancer"/>
    <x v="3"/>
    <s v="Counseling"/>
    <x v="3"/>
    <s v="Dr. Shalini Reddy"/>
    <n v="37"/>
    <s v="General Ward"/>
    <x v="3"/>
    <n v="81034"/>
    <n v="56369"/>
    <n v="24665"/>
    <n v="54043"/>
    <n v="23100"/>
    <n v="1825"/>
    <s v="No"/>
    <n v="69"/>
    <n v="4.2"/>
    <x v="1"/>
  </r>
  <r>
    <x v="1542"/>
    <s v="Aditya Bose"/>
    <n v="5"/>
    <x v="0"/>
    <s v="AB-"/>
    <s v="Pune"/>
    <d v="2022-01-13T00:00:00"/>
    <d v="2022-02-06T00:00:00"/>
    <n v="24"/>
    <x v="0"/>
    <s v="Depression"/>
    <x v="5"/>
    <s v="Dialysis"/>
    <x v="3"/>
    <s v="Dr. Shalini Rao"/>
    <n v="314"/>
    <s v="ICU"/>
    <x v="0"/>
    <n v="123101"/>
    <n v="64609"/>
    <n v="58492"/>
    <n v="95833"/>
    <n v="15944"/>
    <n v="6691"/>
    <s v="No"/>
    <n v="48"/>
    <n v="4.3"/>
    <x v="2"/>
  </r>
  <r>
    <x v="1543"/>
    <s v="Ritu Sharma"/>
    <n v="46"/>
    <x v="0"/>
    <s v="A-"/>
    <s v="Lucknow"/>
    <d v="2023-06-11T00:00:00"/>
    <d v="2023-06-29T00:00:00"/>
    <n v="18"/>
    <x v="5"/>
    <s v="Asthma"/>
    <x v="8"/>
    <s v="Dialysis"/>
    <x v="2"/>
    <s v="Dr. Sameer Kumar"/>
    <n v="299"/>
    <s v="Private"/>
    <x v="4"/>
    <n v="54790"/>
    <n v="0"/>
    <n v="54790"/>
    <n v="31429"/>
    <n v="7427"/>
    <n v="13887"/>
    <s v="No"/>
    <n v="87"/>
    <n v="3"/>
    <x v="3"/>
  </r>
  <r>
    <x v="1544"/>
    <s v="Nisha Rao"/>
    <n v="17"/>
    <x v="0"/>
    <s v="B-"/>
    <s v="Pune"/>
    <d v="2022-08-13T00:00:00"/>
    <d v="2022-09-12T00:00:00"/>
    <n v="30"/>
    <x v="0"/>
    <s v="Appendicitis"/>
    <x v="0"/>
    <s v="Dietary Management"/>
    <x v="0"/>
    <s v="Dr. Anjali Singh"/>
    <n v="176"/>
    <s v="General Ward"/>
    <x v="0"/>
    <n v="136442"/>
    <n v="84627"/>
    <n v="51815"/>
    <n v="117430"/>
    <n v="8516"/>
    <n v="7084"/>
    <s v="Yes"/>
    <n v="94"/>
    <n v="3"/>
    <x v="3"/>
  </r>
  <r>
    <x v="1545"/>
    <s v="Rohan Singh"/>
    <n v="67"/>
    <x v="1"/>
    <s v="AB-"/>
    <s v="Bangalore"/>
    <d v="2022-10-16T00:00:00"/>
    <d v="2022-10-24T00:00:00"/>
    <n v="8"/>
    <x v="5"/>
    <s v="Asthma"/>
    <x v="8"/>
    <s v="Observation"/>
    <x v="0"/>
    <s v="Dr. Deepak Gupta"/>
    <n v="445"/>
    <s v="General Ward"/>
    <x v="0"/>
    <n v="74149"/>
    <n v="32152"/>
    <n v="41997"/>
    <n v="50216"/>
    <n v="8093"/>
    <n v="10876"/>
    <s v="No"/>
    <n v="68"/>
    <n v="2.2000000000000002"/>
    <x v="0"/>
  </r>
  <r>
    <x v="1546"/>
    <s v="Ashok Menon"/>
    <n v="77"/>
    <x v="1"/>
    <s v="O-"/>
    <s v="Hyderabad"/>
    <d v="2024-06-26T00:00:00"/>
    <d v="2024-07-20T00:00:00"/>
    <n v="24"/>
    <x v="0"/>
    <s v="Dengue"/>
    <x v="1"/>
    <s v="Surgery"/>
    <x v="1"/>
    <s v="Dr. Sameer Gupta"/>
    <n v="384"/>
    <s v="Private"/>
    <x v="1"/>
    <n v="142404"/>
    <n v="95033"/>
    <n v="47371"/>
    <n v="115916"/>
    <n v="9000"/>
    <n v="12909"/>
    <s v="No"/>
    <n v="45"/>
    <n v="2.9"/>
    <x v="2"/>
  </r>
  <r>
    <x v="1547"/>
    <s v="Kavya Kumar"/>
    <n v="7"/>
    <x v="0"/>
    <s v="B+"/>
    <s v="Chennai"/>
    <d v="2022-04-21T00:00:00"/>
    <d v="2022-05-18T00:00:00"/>
    <n v="27"/>
    <x v="0"/>
    <s v="Anemia"/>
    <x v="4"/>
    <s v="Dietary Management"/>
    <x v="3"/>
    <s v="Dr. Arun Sharma"/>
    <n v="121"/>
    <s v="General Ward"/>
    <x v="1"/>
    <n v="34852"/>
    <n v="17055"/>
    <n v="17797"/>
    <n v="9905"/>
    <n v="8977"/>
    <n v="12050"/>
    <s v="No"/>
    <n v="85"/>
    <n v="2.2999999999999998"/>
    <x v="3"/>
  </r>
  <r>
    <x v="1548"/>
    <s v="Sonia Patel"/>
    <n v="21"/>
    <x v="1"/>
    <s v="B+"/>
    <s v="Hyderabad"/>
    <d v="2022-06-05T00:00:00"/>
    <d v="2022-06-28T00:00:00"/>
    <n v="23"/>
    <x v="5"/>
    <s v="Asthma"/>
    <x v="8"/>
    <s v="Counseling"/>
    <x v="1"/>
    <s v="Dr. Anjali Sharma"/>
    <n v="69"/>
    <s v="Private"/>
    <x v="3"/>
    <n v="51593"/>
    <n v="39205"/>
    <n v="12388"/>
    <n v="21431"/>
    <n v="14913"/>
    <n v="10894"/>
    <s v="No"/>
    <n v="80"/>
    <n v="2.6"/>
    <x v="3"/>
  </r>
  <r>
    <x v="1549"/>
    <s v="Deepa Iyer"/>
    <n v="82"/>
    <x v="0"/>
    <s v="A+"/>
    <s v="Chennai"/>
    <d v="2022-09-20T00:00:00"/>
    <d v="2022-09-21T00:00:00"/>
    <n v="1"/>
    <x v="5"/>
    <s v="Asthma"/>
    <x v="8"/>
    <s v="Dialysis"/>
    <x v="0"/>
    <s v="Dr. Rakesh Reddy"/>
    <n v="371"/>
    <s v="Semi-Private"/>
    <x v="4"/>
    <n v="93384"/>
    <n v="0"/>
    <n v="93384"/>
    <n v="85068"/>
    <n v="5250"/>
    <n v="2211"/>
    <s v="No"/>
    <n v="44"/>
    <n v="4.5999999999999996"/>
    <x v="3"/>
  </r>
  <r>
    <x v="1550"/>
    <s v="Deepa Chopra"/>
    <n v="5"/>
    <x v="1"/>
    <s v="A+"/>
    <s v="Hyderabad"/>
    <d v="2022-08-15T00:00:00"/>
    <d v="2022-08-22T00:00:00"/>
    <n v="7"/>
    <x v="0"/>
    <s v="Appendicitis"/>
    <x v="0"/>
    <s v="ICU Care"/>
    <x v="3"/>
    <s v="Dr. Nisha Gupta"/>
    <n v="293"/>
    <s v="Private"/>
    <x v="0"/>
    <n v="51963"/>
    <n v="31458"/>
    <n v="20505"/>
    <n v="17405"/>
    <n v="24617"/>
    <n v="8239"/>
    <s v="Yes"/>
    <n v="54"/>
    <n v="3.8"/>
    <x v="1"/>
  </r>
  <r>
    <x v="1551"/>
    <s v="Pooja Malhotra"/>
    <n v="21"/>
    <x v="1"/>
    <s v="AB-"/>
    <s v="Kolkata"/>
    <d v="2022-06-07T00:00:00"/>
    <d v="2022-06-30T00:00:00"/>
    <n v="23"/>
    <x v="6"/>
    <s v="Arthritis"/>
    <x v="11"/>
    <s v="Counseling"/>
    <x v="0"/>
    <s v="Dr. Deepak Gupta"/>
    <n v="252"/>
    <s v="ICU"/>
    <x v="3"/>
    <n v="148654"/>
    <n v="98903"/>
    <n v="49751"/>
    <n v="119807"/>
    <n v="13159"/>
    <n v="14668"/>
    <s v="No"/>
    <n v="82"/>
    <n v="2.2000000000000002"/>
    <x v="2"/>
  </r>
  <r>
    <x v="1552"/>
    <s v="Divya Pillai"/>
    <n v="15"/>
    <x v="1"/>
    <s v="AB-"/>
    <s v="Bangalore"/>
    <d v="2022-03-27T00:00:00"/>
    <d v="2022-04-05T00:00:00"/>
    <n v="9"/>
    <x v="6"/>
    <s v="Arthritis"/>
    <x v="11"/>
    <s v="Chemotherapy"/>
    <x v="1"/>
    <s v="Dr. Rakesh Kumar"/>
    <n v="60"/>
    <s v="Private"/>
    <x v="4"/>
    <n v="132337"/>
    <n v="0"/>
    <n v="132337"/>
    <n v="94543"/>
    <n v="25224"/>
    <n v="8713"/>
    <s v="No"/>
    <n v="91"/>
    <n v="4.5"/>
    <x v="4"/>
  </r>
  <r>
    <x v="1553"/>
    <s v="Ashok Reddy"/>
    <n v="40"/>
    <x v="1"/>
    <s v="A+"/>
    <s v="Ahmedabad"/>
    <d v="2024-04-04T00:00:00"/>
    <d v="2024-04-29T00:00:00"/>
    <n v="25"/>
    <x v="1"/>
    <s v="UTI"/>
    <x v="2"/>
    <s v="Chemotherapy"/>
    <x v="1"/>
    <s v="Dr. Nisha Gupta"/>
    <n v="413"/>
    <s v="Private"/>
    <x v="1"/>
    <n v="118223"/>
    <n v="74501"/>
    <n v="43722"/>
    <n v="91888"/>
    <n v="21310"/>
    <n v="3657"/>
    <s v="No"/>
    <n v="60"/>
    <n v="2.7"/>
    <x v="4"/>
  </r>
  <r>
    <x v="1554"/>
    <s v="Geeta Gupta"/>
    <n v="9"/>
    <x v="0"/>
    <s v="O+"/>
    <s v="Hyderabad"/>
    <d v="2023-01-27T00:00:00"/>
    <d v="2023-02-21T00:00:00"/>
    <n v="25"/>
    <x v="2"/>
    <s v="Cancer"/>
    <x v="3"/>
    <s v="Physiotherapy"/>
    <x v="0"/>
    <s v="Dr. Prerna Rao"/>
    <n v="162"/>
    <s v="Private"/>
    <x v="2"/>
    <n v="133132"/>
    <n v="113726"/>
    <n v="19406"/>
    <n v="112630"/>
    <n v="8467"/>
    <n v="8963"/>
    <s v="No"/>
    <n v="40"/>
    <n v="2.4"/>
    <x v="3"/>
  </r>
  <r>
    <x v="1555"/>
    <s v="Geeta Malhotra"/>
    <n v="14"/>
    <x v="0"/>
    <s v="B-"/>
    <s v="Ahmedabad"/>
    <d v="2023-07-26T00:00:00"/>
    <d v="2023-08-01T00:00:00"/>
    <n v="6"/>
    <x v="0"/>
    <s v="Diabetes Type 2"/>
    <x v="9"/>
    <s v="ICU Care"/>
    <x v="3"/>
    <s v="Dr. Nisha Reddy"/>
    <n v="345"/>
    <s v="Private"/>
    <x v="4"/>
    <n v="120125"/>
    <n v="0"/>
    <n v="120125"/>
    <n v="79033"/>
    <n v="25881"/>
    <n v="14416"/>
    <s v="No"/>
    <n v="100"/>
    <n v="4.8"/>
    <x v="0"/>
  </r>
  <r>
    <x v="1556"/>
    <s v="Sunita Khanna"/>
    <n v="63"/>
    <x v="0"/>
    <s v="B+"/>
    <s v="Bangalore"/>
    <d v="2022-08-05T00:00:00"/>
    <d v="2022-08-30T00:00:00"/>
    <n v="25"/>
    <x v="0"/>
    <s v="Diabetes Type 2"/>
    <x v="9"/>
    <s v="Radiation Therapy"/>
    <x v="2"/>
    <s v="Dr. Arun Singh"/>
    <n v="12"/>
    <s v="Private"/>
    <x v="3"/>
    <n v="43168"/>
    <n v="29722"/>
    <n v="13446"/>
    <n v="22839"/>
    <n v="5089"/>
    <n v="13317"/>
    <s v="Yes"/>
    <n v="68"/>
    <n v="3.1"/>
    <x v="4"/>
  </r>
  <r>
    <x v="1557"/>
    <s v="Ritu Sharma"/>
    <n v="40"/>
    <x v="1"/>
    <s v="A+"/>
    <s v="Hyderabad"/>
    <d v="2024-05-25T00:00:00"/>
    <d v="2024-06-08T00:00:00"/>
    <n v="14"/>
    <x v="0"/>
    <s v="Typhoid"/>
    <x v="1"/>
    <s v="Counseling"/>
    <x v="0"/>
    <s v="Dr. Rakesh Singh"/>
    <n v="77"/>
    <s v="ICU"/>
    <x v="0"/>
    <n v="111057"/>
    <n v="46398"/>
    <n v="64659"/>
    <n v="81636"/>
    <n v="10850"/>
    <n v="13995"/>
    <s v="No"/>
    <n v="75"/>
    <n v="3.2"/>
    <x v="3"/>
  </r>
  <r>
    <x v="1558"/>
    <s v="Sneha Sharma"/>
    <n v="20"/>
    <x v="0"/>
    <s v="AB-"/>
    <s v="Mumbai"/>
    <d v="2023-04-18T00:00:00"/>
    <d v="2023-04-26T00:00:00"/>
    <n v="8"/>
    <x v="4"/>
    <s v="Heart Attack"/>
    <x v="7"/>
    <s v="Radiation Therapy"/>
    <x v="1"/>
    <s v="Dr. Rakesh Singh"/>
    <n v="115"/>
    <s v="General Ward"/>
    <x v="3"/>
    <n v="83570"/>
    <n v="66674"/>
    <n v="16896"/>
    <n v="69034"/>
    <n v="5410"/>
    <n v="5545"/>
    <s v="No"/>
    <n v="76"/>
    <n v="5"/>
    <x v="4"/>
  </r>
  <r>
    <x v="1559"/>
    <s v="Sunita Nair"/>
    <n v="81"/>
    <x v="1"/>
    <s v="B-"/>
    <s v="Mumbai"/>
    <d v="2023-06-19T00:00:00"/>
    <d v="2023-07-15T00:00:00"/>
    <n v="26"/>
    <x v="2"/>
    <s v="Cancer"/>
    <x v="3"/>
    <s v="Surgery"/>
    <x v="0"/>
    <s v="Dr. Anjali Rao"/>
    <n v="305"/>
    <s v="Semi-Private"/>
    <x v="4"/>
    <n v="151179"/>
    <n v="0"/>
    <n v="151179"/>
    <n v="110891"/>
    <n v="28573"/>
    <n v="9898"/>
    <s v="No"/>
    <n v="41"/>
    <n v="2.8"/>
    <x v="0"/>
  </r>
  <r>
    <x v="1560"/>
    <s v="Sneha Kumar"/>
    <n v="29"/>
    <x v="1"/>
    <s v="A-"/>
    <s v="Jaipur"/>
    <d v="2024-05-22T00:00:00"/>
    <d v="2024-06-16T00:00:00"/>
    <n v="25"/>
    <x v="1"/>
    <s v="UTI"/>
    <x v="2"/>
    <s v="Physiotherapy"/>
    <x v="2"/>
    <s v="Dr. Prerna Singh"/>
    <n v="473"/>
    <s v="Private"/>
    <x v="3"/>
    <n v="116961"/>
    <n v="76003"/>
    <n v="40958"/>
    <n v="102408"/>
    <n v="4175"/>
    <n v="8857"/>
    <s v="No"/>
    <n v="45"/>
    <n v="4.7"/>
    <x v="4"/>
  </r>
  <r>
    <x v="1561"/>
    <s v="Priya Sharma"/>
    <n v="36"/>
    <x v="0"/>
    <s v="B-"/>
    <s v="Ahmedabad"/>
    <d v="2023-07-09T00:00:00"/>
    <d v="2023-07-16T00:00:00"/>
    <n v="7"/>
    <x v="5"/>
    <s v="Pneumonia"/>
    <x v="8"/>
    <s v="Observation"/>
    <x v="0"/>
    <s v="Dr. Rakesh Sharma"/>
    <n v="498"/>
    <s v="Private"/>
    <x v="0"/>
    <n v="117035"/>
    <n v="77548"/>
    <n v="39487"/>
    <n v="104599"/>
    <n v="5524"/>
    <n v="5664"/>
    <s v="No"/>
    <n v="53"/>
    <n v="2.4"/>
    <x v="1"/>
  </r>
  <r>
    <x v="1562"/>
    <s v="Rohan Kumar"/>
    <n v="13"/>
    <x v="1"/>
    <s v="A+"/>
    <s v="Bangalore"/>
    <d v="2022-02-26T00:00:00"/>
    <d v="2022-03-11T00:00:00"/>
    <n v="13"/>
    <x v="4"/>
    <s v="Hypertension"/>
    <x v="7"/>
    <s v="Surgery"/>
    <x v="2"/>
    <s v="Dr. Vivek Rao"/>
    <n v="105"/>
    <s v="General Ward"/>
    <x v="2"/>
    <n v="133594"/>
    <n v="83178"/>
    <n v="50416"/>
    <n v="99497"/>
    <n v="29545"/>
    <n v="2606"/>
    <s v="No"/>
    <n v="56"/>
    <n v="2.5"/>
    <x v="4"/>
  </r>
  <r>
    <x v="1563"/>
    <s v="Lata Malhotra"/>
    <n v="36"/>
    <x v="0"/>
    <s v="B-"/>
    <s v="Jaipur"/>
    <d v="2023-06-28T00:00:00"/>
    <d v="2023-07-20T00:00:00"/>
    <n v="22"/>
    <x v="5"/>
    <s v="Pneumonia"/>
    <x v="8"/>
    <s v="Observation"/>
    <x v="1"/>
    <s v="Dr. Prerna Joshi"/>
    <n v="56"/>
    <s v="Private"/>
    <x v="1"/>
    <n v="110594"/>
    <n v="57943"/>
    <n v="52651"/>
    <n v="86548"/>
    <n v="9851"/>
    <n v="12535"/>
    <s v="No"/>
    <n v="74"/>
    <n v="2.8"/>
    <x v="1"/>
  </r>
  <r>
    <x v="1564"/>
    <s v="Amit Mehta"/>
    <n v="61"/>
    <x v="0"/>
    <s v="B+"/>
    <s v="Kolkata"/>
    <d v="2024-12-21T00:00:00"/>
    <d v="2024-12-26T00:00:00"/>
    <n v="5"/>
    <x v="0"/>
    <s v="Liver Disease"/>
    <x v="0"/>
    <s v="Medication"/>
    <x v="1"/>
    <s v="Dr. Rakesh Rao"/>
    <n v="298"/>
    <s v="Private"/>
    <x v="2"/>
    <n v="85379"/>
    <n v="56218"/>
    <n v="29161"/>
    <n v="52965"/>
    <n v="27183"/>
    <n v="3637"/>
    <s v="No"/>
    <n v="77"/>
    <n v="2.7"/>
    <x v="1"/>
  </r>
  <r>
    <x v="1565"/>
    <s v="Arjun Patel"/>
    <n v="31"/>
    <x v="0"/>
    <s v="B+"/>
    <s v="Jaipur"/>
    <d v="2024-11-26T00:00:00"/>
    <d v="2024-11-27T00:00:00"/>
    <n v="1"/>
    <x v="0"/>
    <s v="Dengue"/>
    <x v="1"/>
    <s v="Radiation Therapy"/>
    <x v="3"/>
    <s v="Dr. Arun Gupta"/>
    <n v="367"/>
    <s v="General Ward"/>
    <x v="1"/>
    <n v="158153"/>
    <n v="75561"/>
    <n v="82592"/>
    <n v="123243"/>
    <n v="27486"/>
    <n v="3970"/>
    <s v="No"/>
    <n v="58"/>
    <n v="4.7"/>
    <x v="1"/>
  </r>
  <r>
    <x v="1566"/>
    <s v="Ananya Nair"/>
    <n v="65"/>
    <x v="0"/>
    <s v="AB-"/>
    <s v="Ahmedabad"/>
    <d v="2023-06-03T00:00:00"/>
    <d v="2023-06-13T00:00:00"/>
    <n v="10"/>
    <x v="5"/>
    <s v="Asthma"/>
    <x v="8"/>
    <s v="Observation"/>
    <x v="3"/>
    <s v="Dr. Shalini Reddy"/>
    <n v="18"/>
    <s v="Private"/>
    <x v="3"/>
    <n v="108706"/>
    <n v="79402"/>
    <n v="29304"/>
    <n v="79006"/>
    <n v="27435"/>
    <n v="1366"/>
    <s v="No"/>
    <n v="74"/>
    <n v="4.5999999999999996"/>
    <x v="2"/>
  </r>
  <r>
    <x v="1567"/>
    <s v="Karan Rao"/>
    <n v="74"/>
    <x v="0"/>
    <s v="B+"/>
    <s v="Ahmedabad"/>
    <d v="2024-01-16T00:00:00"/>
    <d v="2024-02-11T00:00:00"/>
    <n v="26"/>
    <x v="1"/>
    <s v="Kidney Stone"/>
    <x v="2"/>
    <s v="Radiation Therapy"/>
    <x v="0"/>
    <s v="Dr. Shalini Reddy"/>
    <n v="403"/>
    <s v="Private"/>
    <x v="4"/>
    <n v="117622"/>
    <n v="0"/>
    <n v="117622"/>
    <n v="104572"/>
    <n v="1678"/>
    <n v="10048"/>
    <s v="Yes"/>
    <n v="41"/>
    <n v="4.7"/>
    <x v="1"/>
  </r>
  <r>
    <x v="1568"/>
    <s v="Aditya Malhotra"/>
    <n v="25"/>
    <x v="0"/>
    <s v="O+"/>
    <s v="Pune"/>
    <d v="2023-02-10T00:00:00"/>
    <d v="2023-03-02T00:00:00"/>
    <n v="20"/>
    <x v="0"/>
    <s v="Anemia"/>
    <x v="4"/>
    <s v="Surgery"/>
    <x v="0"/>
    <s v="Dr. Arun Rao"/>
    <n v="427"/>
    <s v="Semi-Private"/>
    <x v="0"/>
    <n v="92763"/>
    <n v="52791"/>
    <n v="39972"/>
    <n v="71288"/>
    <n v="16359"/>
    <n v="1009"/>
    <s v="No"/>
    <n v="48"/>
    <n v="3.1"/>
    <x v="3"/>
  </r>
  <r>
    <x v="1569"/>
    <s v="Manoj Bose"/>
    <n v="42"/>
    <x v="1"/>
    <s v="A-"/>
    <s v="Kolkata"/>
    <d v="2022-04-27T00:00:00"/>
    <d v="2022-05-04T00:00:00"/>
    <n v="7"/>
    <x v="5"/>
    <s v="Pneumonia"/>
    <x v="8"/>
    <s v="Medication"/>
    <x v="2"/>
    <s v="Dr. Shalini Singh"/>
    <n v="127"/>
    <s v="Private"/>
    <x v="4"/>
    <n v="74635"/>
    <n v="0"/>
    <n v="74635"/>
    <n v="45515"/>
    <n v="16070"/>
    <n v="9622"/>
    <s v="No"/>
    <n v="99"/>
    <n v="2.7"/>
    <x v="3"/>
  </r>
  <r>
    <x v="1570"/>
    <s v="Lata Bose"/>
    <n v="80"/>
    <x v="0"/>
    <s v="AB+"/>
    <s v="Hyderabad"/>
    <d v="2023-11-20T00:00:00"/>
    <d v="2023-12-20T00:00:00"/>
    <n v="30"/>
    <x v="1"/>
    <s v="UTI"/>
    <x v="2"/>
    <s v="ICU Care"/>
    <x v="3"/>
    <s v="Dr. Anjali Nair"/>
    <n v="449"/>
    <s v="General Ward"/>
    <x v="0"/>
    <n v="152421"/>
    <n v="83512"/>
    <n v="68909"/>
    <n v="122604"/>
    <n v="24761"/>
    <n v="3662"/>
    <s v="No"/>
    <n v="83"/>
    <n v="4.2"/>
    <x v="2"/>
  </r>
  <r>
    <x v="1571"/>
    <s v="Sunil Kumar"/>
    <n v="72"/>
    <x v="1"/>
    <s v="B+"/>
    <s v="Bangalore"/>
    <d v="2023-07-28T00:00:00"/>
    <d v="2023-08-26T00:00:00"/>
    <n v="29"/>
    <x v="4"/>
    <s v="Hypertension"/>
    <x v="7"/>
    <s v="Chemotherapy"/>
    <x v="2"/>
    <s v="Dr. Vivek Mehta"/>
    <n v="244"/>
    <s v="ICU"/>
    <x v="2"/>
    <n v="156993"/>
    <n v="127658"/>
    <n v="29335"/>
    <n v="126023"/>
    <n v="14390"/>
    <n v="13864"/>
    <s v="No"/>
    <n v="57"/>
    <n v="4.9000000000000004"/>
    <x v="1"/>
  </r>
  <r>
    <x v="1572"/>
    <s v="Geeta Chopra"/>
    <n v="48"/>
    <x v="0"/>
    <s v="A-"/>
    <s v="Delhi"/>
    <d v="2022-12-01T00:00:00"/>
    <d v="2022-12-19T00:00:00"/>
    <n v="18"/>
    <x v="3"/>
    <s v="Migraine"/>
    <x v="6"/>
    <s v="Counseling"/>
    <x v="1"/>
    <s v="Dr. Prerna Sharma"/>
    <n v="180"/>
    <s v="General Ward"/>
    <x v="0"/>
    <n v="71934"/>
    <n v="29591"/>
    <n v="42343"/>
    <n v="39408"/>
    <n v="18429"/>
    <n v="12271"/>
    <s v="No"/>
    <n v="58"/>
    <n v="4"/>
    <x v="1"/>
  </r>
  <r>
    <x v="1573"/>
    <s v="Sanjay Shah"/>
    <n v="26"/>
    <x v="1"/>
    <s v="AB-"/>
    <s v="Kolkata"/>
    <d v="2024-10-01T00:00:00"/>
    <d v="2024-10-17T00:00:00"/>
    <n v="16"/>
    <x v="5"/>
    <s v="Asthma"/>
    <x v="8"/>
    <s v="Chemotherapy"/>
    <x v="2"/>
    <s v="Dr. Nisha Singh"/>
    <n v="112"/>
    <s v="Semi-Private"/>
    <x v="3"/>
    <n v="95691"/>
    <n v="77953"/>
    <n v="17738"/>
    <n v="55731"/>
    <n v="24966"/>
    <n v="13403"/>
    <s v="No"/>
    <n v="53"/>
    <n v="3.8"/>
    <x v="0"/>
  </r>
  <r>
    <x v="1574"/>
    <s v="Ananya Singh"/>
    <n v="49"/>
    <x v="1"/>
    <s v="A+"/>
    <s v="Mumbai"/>
    <d v="2022-10-10T00:00:00"/>
    <d v="2022-10-23T00:00:00"/>
    <n v="13"/>
    <x v="4"/>
    <s v="Hypertension"/>
    <x v="7"/>
    <s v="Radiation Therapy"/>
    <x v="2"/>
    <s v="Dr. Prerna Singh"/>
    <n v="100"/>
    <s v="Private"/>
    <x v="1"/>
    <n v="149225"/>
    <n v="103170"/>
    <n v="46055"/>
    <n v="106021"/>
    <n v="29744"/>
    <n v="9826"/>
    <s v="No"/>
    <n v="61"/>
    <n v="2.6"/>
    <x v="4"/>
  </r>
  <r>
    <x v="1575"/>
    <s v="Rahul Shah"/>
    <n v="50"/>
    <x v="0"/>
    <s v="B-"/>
    <s v="Delhi"/>
    <d v="2022-02-23T00:00:00"/>
    <d v="2022-03-07T00:00:00"/>
    <n v="12"/>
    <x v="4"/>
    <s v="Heart Attack"/>
    <x v="7"/>
    <s v="Counseling"/>
    <x v="2"/>
    <s v="Dr. Prerna Nair"/>
    <n v="233"/>
    <s v="Semi-Private"/>
    <x v="2"/>
    <n v="112940"/>
    <n v="96269"/>
    <n v="16671"/>
    <n v="99726"/>
    <n v="2695"/>
    <n v="8303"/>
    <s v="No"/>
    <n v="94"/>
    <n v="4.5"/>
    <x v="2"/>
  </r>
  <r>
    <x v="1576"/>
    <s v="Sneha Gupta"/>
    <n v="83"/>
    <x v="0"/>
    <s v="B-"/>
    <s v="Hyderabad"/>
    <d v="2022-06-25T00:00:00"/>
    <d v="2022-07-19T00:00:00"/>
    <n v="24"/>
    <x v="1"/>
    <s v="UTI"/>
    <x v="2"/>
    <s v="ICU Care"/>
    <x v="1"/>
    <s v="Dr. Sameer Gupta"/>
    <n v="343"/>
    <s v="Private"/>
    <x v="1"/>
    <n v="37065"/>
    <n v="20876"/>
    <n v="16189"/>
    <n v="12025"/>
    <n v="18219"/>
    <n v="2947"/>
    <s v="Yes"/>
    <n v="78"/>
    <n v="2.2000000000000002"/>
    <x v="2"/>
  </r>
  <r>
    <x v="1577"/>
    <s v="Ananya Sharma"/>
    <n v="76"/>
    <x v="0"/>
    <s v="A-"/>
    <s v="Bangalore"/>
    <d v="2022-09-06T00:00:00"/>
    <d v="2022-09-23T00:00:00"/>
    <n v="17"/>
    <x v="0"/>
    <s v="Obesity"/>
    <x v="12"/>
    <s v="ICU Care"/>
    <x v="2"/>
    <s v="Dr. Kavita Rao"/>
    <n v="330"/>
    <s v="Private"/>
    <x v="1"/>
    <n v="142408"/>
    <n v="66985"/>
    <n v="75423"/>
    <n v="113403"/>
    <n v="26310"/>
    <n v="1119"/>
    <s v="Yes"/>
    <n v="60"/>
    <n v="4.4000000000000004"/>
    <x v="0"/>
  </r>
  <r>
    <x v="1578"/>
    <s v="Arjun Malhotra"/>
    <n v="49"/>
    <x v="1"/>
    <s v="AB-"/>
    <s v="Pune"/>
    <d v="2024-07-01T00:00:00"/>
    <d v="2024-07-27T00:00:00"/>
    <n v="26"/>
    <x v="0"/>
    <s v="Liver Disease"/>
    <x v="0"/>
    <s v="Chemotherapy"/>
    <x v="2"/>
    <s v="Dr. Kavita Sharma"/>
    <n v="420"/>
    <s v="General Ward"/>
    <x v="3"/>
    <n v="32802"/>
    <n v="24256"/>
    <n v="8546"/>
    <n v="5793"/>
    <n v="20824"/>
    <n v="5136"/>
    <s v="Yes"/>
    <n v="90"/>
    <n v="4.2"/>
    <x v="3"/>
  </r>
  <r>
    <x v="1579"/>
    <s v="Kavya Sharma"/>
    <n v="11"/>
    <x v="0"/>
    <s v="AB+"/>
    <s v="Ahmedabad"/>
    <d v="2023-12-17T00:00:00"/>
    <d v="2024-01-03T00:00:00"/>
    <n v="17"/>
    <x v="0"/>
    <s v="Typhoid"/>
    <x v="1"/>
    <s v="ICU Care"/>
    <x v="3"/>
    <s v="Dr. Arun Rao"/>
    <n v="174"/>
    <s v="General Ward"/>
    <x v="4"/>
    <n v="104742"/>
    <n v="0"/>
    <n v="104742"/>
    <n v="92885"/>
    <n v="2412"/>
    <n v="5360"/>
    <s v="No"/>
    <n v="55"/>
    <n v="3.2"/>
    <x v="0"/>
  </r>
  <r>
    <x v="1580"/>
    <s v="Deepa Chopra"/>
    <n v="21"/>
    <x v="0"/>
    <s v="B+"/>
    <s v="Jaipur"/>
    <d v="2024-05-29T00:00:00"/>
    <d v="2024-06-09T00:00:00"/>
    <n v="11"/>
    <x v="0"/>
    <s v="Appendicitis"/>
    <x v="0"/>
    <s v="Surgery"/>
    <x v="3"/>
    <s v="Dr. Sameer Sharma"/>
    <n v="158"/>
    <s v="Semi-Private"/>
    <x v="1"/>
    <n v="116463"/>
    <n v="78495"/>
    <n v="37968"/>
    <n v="75881"/>
    <n v="26081"/>
    <n v="11348"/>
    <s v="No"/>
    <n v="84"/>
    <n v="2.8"/>
    <x v="4"/>
  </r>
  <r>
    <x v="1581"/>
    <s v="Vikram Kumar"/>
    <n v="67"/>
    <x v="0"/>
    <s v="O+"/>
    <s v="Chennai"/>
    <d v="2023-08-29T00:00:00"/>
    <d v="2023-09-18T00:00:00"/>
    <n v="20"/>
    <x v="3"/>
    <s v="Stroke"/>
    <x v="6"/>
    <s v="Dialysis"/>
    <x v="1"/>
    <s v="Dr. Vivek Joshi"/>
    <n v="230"/>
    <s v="Private"/>
    <x v="2"/>
    <n v="155540"/>
    <n v="119625"/>
    <n v="35915"/>
    <n v="120767"/>
    <n v="19216"/>
    <n v="11621"/>
    <s v="No"/>
    <n v="95"/>
    <n v="4.8"/>
    <x v="1"/>
  </r>
  <r>
    <x v="1582"/>
    <s v="Ritu Verma"/>
    <n v="62"/>
    <x v="0"/>
    <s v="A-"/>
    <s v="Delhi"/>
    <d v="2022-04-22T00:00:00"/>
    <d v="2022-05-05T00:00:00"/>
    <n v="13"/>
    <x v="0"/>
    <s v="Anemia"/>
    <x v="4"/>
    <s v="Physiotherapy"/>
    <x v="0"/>
    <s v="Dr. Rakesh Patel"/>
    <n v="259"/>
    <s v="ICU"/>
    <x v="1"/>
    <n v="103479"/>
    <n v="58092"/>
    <n v="45387"/>
    <n v="66905"/>
    <n v="22401"/>
    <n v="9987"/>
    <s v="No"/>
    <n v="53"/>
    <n v="3.4"/>
    <x v="3"/>
  </r>
  <r>
    <x v="1583"/>
    <s v="Rahul Joshi"/>
    <n v="40"/>
    <x v="1"/>
    <s v="A-"/>
    <s v="Kolkata"/>
    <d v="2023-06-29T00:00:00"/>
    <d v="2023-07-11T00:00:00"/>
    <n v="12"/>
    <x v="0"/>
    <s v="Liver Disease"/>
    <x v="0"/>
    <s v="Physiotherapy"/>
    <x v="3"/>
    <s v="Dr. Kavita Gupta"/>
    <n v="280"/>
    <s v="General Ward"/>
    <x v="4"/>
    <n v="127653"/>
    <n v="0"/>
    <n v="127653"/>
    <n v="120447"/>
    <n v="1089"/>
    <n v="5296"/>
    <s v="No"/>
    <n v="77"/>
    <n v="2.6"/>
    <x v="1"/>
  </r>
  <r>
    <x v="1584"/>
    <s v="Rahul Das"/>
    <n v="62"/>
    <x v="0"/>
    <s v="AB+"/>
    <s v="Lucknow"/>
    <d v="2023-01-01T00:00:00"/>
    <d v="2023-01-15T00:00:00"/>
    <n v="14"/>
    <x v="0"/>
    <s v="Obesity"/>
    <x v="12"/>
    <s v="Medication"/>
    <x v="2"/>
    <s v="Dr. Sameer Gupta"/>
    <n v="488"/>
    <s v="Semi-Private"/>
    <x v="4"/>
    <n v="146258"/>
    <n v="0"/>
    <n v="146258"/>
    <n v="135106"/>
    <n v="4860"/>
    <n v="2809"/>
    <s v="No"/>
    <n v="70"/>
    <n v="5"/>
    <x v="3"/>
  </r>
  <r>
    <x v="1585"/>
    <s v="Vikram Reddy"/>
    <n v="5"/>
    <x v="1"/>
    <s v="O-"/>
    <s v="Ahmedabad"/>
    <d v="2024-11-02T00:00:00"/>
    <d v="2024-11-30T00:00:00"/>
    <n v="28"/>
    <x v="0"/>
    <s v="Obesity"/>
    <x v="12"/>
    <s v="Dietary Management"/>
    <x v="1"/>
    <s v="Dr. Nisha Reddy"/>
    <n v="73"/>
    <s v="Private"/>
    <x v="0"/>
    <n v="131132"/>
    <n v="53229"/>
    <n v="77903"/>
    <n v="94238"/>
    <n v="26414"/>
    <n v="6862"/>
    <s v="No"/>
    <n v="90"/>
    <n v="4.2"/>
    <x v="3"/>
  </r>
  <r>
    <x v="1586"/>
    <s v="Mukesh Verma"/>
    <n v="67"/>
    <x v="1"/>
    <s v="AB+"/>
    <s v="Lucknow"/>
    <d v="2022-04-05T00:00:00"/>
    <d v="2022-04-28T00:00:00"/>
    <n v="23"/>
    <x v="3"/>
    <s v="Stroke"/>
    <x v="6"/>
    <s v="Chemotherapy"/>
    <x v="3"/>
    <s v="Dr. Prerna Reddy"/>
    <n v="421"/>
    <s v="ICU"/>
    <x v="4"/>
    <n v="74514"/>
    <n v="0"/>
    <n v="74514"/>
    <n v="54557"/>
    <n v="5096"/>
    <n v="10138"/>
    <s v="No"/>
    <n v="86"/>
    <n v="4.8"/>
    <x v="1"/>
  </r>
  <r>
    <x v="1587"/>
    <s v="Divya Menon"/>
    <n v="61"/>
    <x v="0"/>
    <s v="A+"/>
    <s v="Ahmedabad"/>
    <d v="2022-03-31T00:00:00"/>
    <d v="2022-04-14T00:00:00"/>
    <n v="14"/>
    <x v="0"/>
    <s v="Diabetes Type 2"/>
    <x v="9"/>
    <s v="Radiation Therapy"/>
    <x v="3"/>
    <s v="Dr. Vivek Patel"/>
    <n v="426"/>
    <s v="Private"/>
    <x v="0"/>
    <n v="108005"/>
    <n v="75372"/>
    <n v="32633"/>
    <n v="69886"/>
    <n v="29569"/>
    <n v="7793"/>
    <s v="No"/>
    <n v="86"/>
    <n v="3.8"/>
    <x v="4"/>
  </r>
  <r>
    <x v="1588"/>
    <s v="Deepa Rao"/>
    <n v="30"/>
    <x v="0"/>
    <s v="AB-"/>
    <s v="Delhi"/>
    <d v="2024-02-21T00:00:00"/>
    <d v="2024-02-29T00:00:00"/>
    <n v="8"/>
    <x v="6"/>
    <s v="Arthritis"/>
    <x v="11"/>
    <s v="Observation"/>
    <x v="2"/>
    <s v="Dr. Prerna Kumar"/>
    <n v="457"/>
    <s v="ICU"/>
    <x v="3"/>
    <n v="115958"/>
    <n v="78444"/>
    <n v="37514"/>
    <n v="83918"/>
    <n v="28277"/>
    <n v="601"/>
    <s v="No"/>
    <n v="72"/>
    <n v="3.3"/>
    <x v="3"/>
  </r>
  <r>
    <x v="1589"/>
    <s v="Arjun Gupta"/>
    <n v="42"/>
    <x v="0"/>
    <s v="O+"/>
    <s v="Delhi"/>
    <d v="2023-07-16T00:00:00"/>
    <d v="2023-07-22T00:00:00"/>
    <n v="6"/>
    <x v="0"/>
    <s v="Typhoid"/>
    <x v="1"/>
    <s v="ICU Care"/>
    <x v="2"/>
    <s v="Dr. Prerna Singh"/>
    <n v="56"/>
    <s v="ICU"/>
    <x v="0"/>
    <n v="137163"/>
    <n v="83095"/>
    <n v="54068"/>
    <n v="114645"/>
    <n v="7790"/>
    <n v="12113"/>
    <s v="No"/>
    <n v="80"/>
    <n v="2.5"/>
    <x v="2"/>
  </r>
  <r>
    <x v="1590"/>
    <s v="Manoj Reddy"/>
    <n v="78"/>
    <x v="1"/>
    <s v="A-"/>
    <s v="Pune"/>
    <d v="2022-02-18T00:00:00"/>
    <d v="2022-02-19T00:00:00"/>
    <n v="1"/>
    <x v="0"/>
    <s v="COVID-19"/>
    <x v="1"/>
    <s v="Chemotherapy"/>
    <x v="2"/>
    <s v="Dr. Arun Singh"/>
    <n v="368"/>
    <s v="Private"/>
    <x v="1"/>
    <n v="109549"/>
    <n v="58720"/>
    <n v="50829"/>
    <n v="72781"/>
    <n v="26577"/>
    <n v="6252"/>
    <s v="No"/>
    <n v="44"/>
    <n v="3.1"/>
    <x v="1"/>
  </r>
  <r>
    <x v="1591"/>
    <s v="Sneha Malhotra"/>
    <n v="53"/>
    <x v="0"/>
    <s v="A+"/>
    <s v="Hyderabad"/>
    <d v="2023-10-09T00:00:00"/>
    <d v="2023-10-23T00:00:00"/>
    <n v="14"/>
    <x v="0"/>
    <s v="Depression"/>
    <x v="5"/>
    <s v="Chemotherapy"/>
    <x v="1"/>
    <s v="Dr. Prerna Joshi"/>
    <n v="352"/>
    <s v="Private"/>
    <x v="4"/>
    <n v="154372"/>
    <n v="0"/>
    <n v="154372"/>
    <n v="120388"/>
    <n v="22394"/>
    <n v="7064"/>
    <s v="No"/>
    <n v="92"/>
    <n v="4"/>
    <x v="4"/>
  </r>
  <r>
    <x v="1592"/>
    <s v="Vijay Chopra"/>
    <n v="52"/>
    <x v="0"/>
    <s v="AB+"/>
    <s v="Kolkata"/>
    <d v="2024-03-31T00:00:00"/>
    <d v="2024-04-28T00:00:00"/>
    <n v="28"/>
    <x v="5"/>
    <s v="Asthma"/>
    <x v="8"/>
    <s v="Observation"/>
    <x v="1"/>
    <s v="Dr. Deepak Kumar"/>
    <n v="65"/>
    <s v="General Ward"/>
    <x v="1"/>
    <n v="136149"/>
    <n v="78399"/>
    <n v="57750"/>
    <n v="94659"/>
    <n v="28848"/>
    <n v="10998"/>
    <s v="No"/>
    <n v="96"/>
    <n v="3"/>
    <x v="2"/>
  </r>
  <r>
    <x v="1593"/>
    <s v="Rahul Bose"/>
    <n v="51"/>
    <x v="1"/>
    <s v="O+"/>
    <s v="Lucknow"/>
    <d v="2024-11-29T00:00:00"/>
    <d v="2024-12-15T00:00:00"/>
    <n v="16"/>
    <x v="6"/>
    <s v="Arthritis"/>
    <x v="11"/>
    <s v="Dietary Management"/>
    <x v="0"/>
    <s v="Dr. Sameer Gupta"/>
    <n v="185"/>
    <s v="Private"/>
    <x v="4"/>
    <n v="53228"/>
    <n v="0"/>
    <n v="53228"/>
    <n v="42157"/>
    <n v="6459"/>
    <n v="581"/>
    <s v="Yes"/>
    <n v="84"/>
    <n v="3.7"/>
    <x v="3"/>
  </r>
  <r>
    <x v="1594"/>
    <s v="Pooja Menon"/>
    <n v="26"/>
    <x v="0"/>
    <s v="B-"/>
    <s v="Jaipur"/>
    <d v="2024-06-03T00:00:00"/>
    <d v="2024-06-29T00:00:00"/>
    <n v="26"/>
    <x v="5"/>
    <s v="Asthma"/>
    <x v="8"/>
    <s v="Medication"/>
    <x v="0"/>
    <s v="Dr. Anjali Mehta"/>
    <n v="157"/>
    <s v="ICU"/>
    <x v="3"/>
    <n v="81764"/>
    <n v="53038"/>
    <n v="28726"/>
    <n v="57997"/>
    <n v="20141"/>
    <n v="1113"/>
    <s v="No"/>
    <n v="56"/>
    <n v="2.7"/>
    <x v="2"/>
  </r>
  <r>
    <x v="1595"/>
    <s v="Rahul Pillai"/>
    <n v="29"/>
    <x v="1"/>
    <s v="B-"/>
    <s v="Mumbai"/>
    <d v="2022-06-11T00:00:00"/>
    <d v="2022-06-15T00:00:00"/>
    <n v="4"/>
    <x v="0"/>
    <s v="Appendicitis"/>
    <x v="0"/>
    <s v="Dialysis"/>
    <x v="1"/>
    <s v="Dr. Vivek Kumar"/>
    <n v="129"/>
    <s v="Private"/>
    <x v="4"/>
    <n v="168724"/>
    <n v="0"/>
    <n v="168724"/>
    <n v="142119"/>
    <n v="17323"/>
    <n v="5739"/>
    <s v="Yes"/>
    <n v="58"/>
    <n v="3.1"/>
    <x v="0"/>
  </r>
  <r>
    <x v="1596"/>
    <s v="Karan Kumar"/>
    <n v="48"/>
    <x v="1"/>
    <s v="O+"/>
    <s v="Chennai"/>
    <d v="2024-04-23T00:00:00"/>
    <d v="2024-05-13T00:00:00"/>
    <n v="20"/>
    <x v="0"/>
    <s v="COVID-19"/>
    <x v="1"/>
    <s v="ICU Care"/>
    <x v="0"/>
    <s v="Dr. Deepak Reddy"/>
    <n v="163"/>
    <s v="General Ward"/>
    <x v="3"/>
    <n v="171489"/>
    <n v="126367"/>
    <n v="45122"/>
    <n v="148184"/>
    <n v="7544"/>
    <n v="11152"/>
    <s v="No"/>
    <n v="82"/>
    <n v="2.7"/>
    <x v="1"/>
  </r>
  <r>
    <x v="1597"/>
    <s v="Karan Khanna"/>
    <n v="84"/>
    <x v="0"/>
    <s v="B-"/>
    <s v="Chennai"/>
    <d v="2023-12-29T00:00:00"/>
    <d v="2024-01-21T00:00:00"/>
    <n v="23"/>
    <x v="0"/>
    <s v="Depression"/>
    <x v="5"/>
    <s v="Dialysis"/>
    <x v="1"/>
    <s v="Dr. Anjali Nair"/>
    <n v="473"/>
    <s v="Semi-Private"/>
    <x v="4"/>
    <n v="122322"/>
    <n v="0"/>
    <n v="122322"/>
    <n v="106469"/>
    <n v="2504"/>
    <n v="11845"/>
    <s v="No"/>
    <n v="87"/>
    <n v="3.7"/>
    <x v="3"/>
  </r>
  <r>
    <x v="1598"/>
    <s v="Vijay Khanna"/>
    <n v="21"/>
    <x v="0"/>
    <s v="AB+"/>
    <s v="Lucknow"/>
    <d v="2023-09-20T00:00:00"/>
    <d v="2023-10-11T00:00:00"/>
    <n v="21"/>
    <x v="0"/>
    <s v="Typhoid"/>
    <x v="1"/>
    <s v="Physiotherapy"/>
    <x v="2"/>
    <s v="Dr. Vivek Nair"/>
    <n v="146"/>
    <s v="Semi-Private"/>
    <x v="3"/>
    <n v="179746"/>
    <n v="134014"/>
    <n v="45732"/>
    <n v="142680"/>
    <n v="29180"/>
    <n v="6429"/>
    <s v="No"/>
    <n v="52"/>
    <n v="3.3"/>
    <x v="0"/>
  </r>
  <r>
    <x v="1599"/>
    <s v="Geeta Menon"/>
    <n v="11"/>
    <x v="1"/>
    <s v="A+"/>
    <s v="Bangalore"/>
    <d v="2024-10-09T00:00:00"/>
    <d v="2024-11-05T00:00:00"/>
    <n v="27"/>
    <x v="6"/>
    <s v="Fracture"/>
    <x v="10"/>
    <s v="Medication"/>
    <x v="3"/>
    <s v="Dr. Sameer Sharma"/>
    <n v="97"/>
    <s v="ICU"/>
    <x v="0"/>
    <n v="42679"/>
    <n v="25227"/>
    <n v="17452"/>
    <n v="31439"/>
    <n v="5214"/>
    <n v="2534"/>
    <s v="No"/>
    <n v="80"/>
    <n v="2.8"/>
    <x v="1"/>
  </r>
  <r>
    <x v="1600"/>
    <s v="Geeta Chopra"/>
    <n v="26"/>
    <x v="0"/>
    <s v="O+"/>
    <s v="Kolkata"/>
    <d v="2023-01-10T00:00:00"/>
    <d v="2023-01-15T00:00:00"/>
    <n v="5"/>
    <x v="0"/>
    <s v="Diabetes Type 2"/>
    <x v="9"/>
    <s v="Observation"/>
    <x v="3"/>
    <s v="Dr. Vivek Joshi"/>
    <n v="112"/>
    <s v="Semi-Private"/>
    <x v="1"/>
    <n v="90908"/>
    <n v="50597"/>
    <n v="40311"/>
    <n v="60610"/>
    <n v="23220"/>
    <n v="6280"/>
    <s v="No"/>
    <n v="86"/>
    <n v="2.4"/>
    <x v="2"/>
  </r>
  <r>
    <x v="1601"/>
    <s v="Amit Reddy"/>
    <n v="73"/>
    <x v="1"/>
    <s v="O+"/>
    <s v="Mumbai"/>
    <d v="2023-04-27T00:00:00"/>
    <d v="2023-04-29T00:00:00"/>
    <n v="2"/>
    <x v="0"/>
    <s v="Typhoid"/>
    <x v="1"/>
    <s v="ICU Care"/>
    <x v="3"/>
    <s v="Dr. Prerna Singh"/>
    <n v="458"/>
    <s v="Semi-Private"/>
    <x v="2"/>
    <n v="81943"/>
    <n v="56480"/>
    <n v="25463"/>
    <n v="41999"/>
    <n v="29971"/>
    <n v="5138"/>
    <s v="No"/>
    <n v="62"/>
    <n v="2.1"/>
    <x v="1"/>
  </r>
  <r>
    <x v="1602"/>
    <s v="Nisha Sharma"/>
    <n v="81"/>
    <x v="1"/>
    <s v="B-"/>
    <s v="Bangalore"/>
    <d v="2024-11-21T00:00:00"/>
    <d v="2024-11-23T00:00:00"/>
    <n v="2"/>
    <x v="0"/>
    <s v="Obesity"/>
    <x v="12"/>
    <s v="Dietary Management"/>
    <x v="0"/>
    <s v="Dr. Arun Mehta"/>
    <n v="136"/>
    <s v="Private"/>
    <x v="2"/>
    <n v="116069"/>
    <n v="70479"/>
    <n v="45590"/>
    <n v="84240"/>
    <n v="26812"/>
    <n v="3813"/>
    <s v="No"/>
    <n v="69"/>
    <n v="3.5"/>
    <x v="0"/>
  </r>
  <r>
    <x v="1603"/>
    <s v="Ananya Reddy"/>
    <n v="47"/>
    <x v="1"/>
    <s v="B+"/>
    <s v="Ahmedabad"/>
    <d v="2024-08-30T00:00:00"/>
    <d v="2024-09-20T00:00:00"/>
    <n v="21"/>
    <x v="2"/>
    <s v="Cancer"/>
    <x v="3"/>
    <s v="Observation"/>
    <x v="3"/>
    <s v="Dr. Nisha Singh"/>
    <n v="226"/>
    <s v="ICU"/>
    <x v="2"/>
    <n v="136071"/>
    <n v="101066"/>
    <n v="35005"/>
    <n v="119706"/>
    <n v="5170"/>
    <n v="7771"/>
    <s v="No"/>
    <n v="60"/>
    <n v="2.9"/>
    <x v="3"/>
  </r>
  <r>
    <x v="1604"/>
    <s v="Deepa Malhotra"/>
    <n v="17"/>
    <x v="1"/>
    <s v="AB+"/>
    <s v="Kolkata"/>
    <d v="2024-05-26T00:00:00"/>
    <d v="2024-05-30T00:00:00"/>
    <n v="4"/>
    <x v="0"/>
    <s v="Dengue"/>
    <x v="1"/>
    <s v="Dietary Management"/>
    <x v="2"/>
    <s v="Dr. Shalini Mehta"/>
    <n v="311"/>
    <s v="Private"/>
    <x v="0"/>
    <n v="153451"/>
    <n v="105653"/>
    <n v="47798"/>
    <n v="126286"/>
    <n v="24193"/>
    <n v="1335"/>
    <s v="No"/>
    <n v="99"/>
    <n v="3.9"/>
    <x v="2"/>
  </r>
  <r>
    <x v="1605"/>
    <s v="Mukesh Nair"/>
    <n v="33"/>
    <x v="1"/>
    <s v="A+"/>
    <s v="Kolkata"/>
    <d v="2022-11-19T00:00:00"/>
    <d v="2022-12-05T00:00:00"/>
    <n v="16"/>
    <x v="0"/>
    <s v="Liver Disease"/>
    <x v="0"/>
    <s v="Dietary Management"/>
    <x v="3"/>
    <s v="Dr. Deepak Mehta"/>
    <n v="457"/>
    <s v="Private"/>
    <x v="3"/>
    <n v="141323"/>
    <n v="120040"/>
    <n v="21283"/>
    <n v="129034"/>
    <n v="7191"/>
    <n v="4026"/>
    <s v="No"/>
    <n v="78"/>
    <n v="4.5999999999999996"/>
    <x v="2"/>
  </r>
  <r>
    <x v="1606"/>
    <s v="Sunil Kumar"/>
    <n v="81"/>
    <x v="1"/>
    <s v="B+"/>
    <s v="Ahmedabad"/>
    <d v="2023-12-11T00:00:00"/>
    <d v="2023-12-31T00:00:00"/>
    <n v="20"/>
    <x v="2"/>
    <s v="Cancer"/>
    <x v="3"/>
    <s v="ICU Care"/>
    <x v="3"/>
    <s v="Dr. Anjali Patel"/>
    <n v="486"/>
    <s v="Private"/>
    <x v="0"/>
    <n v="67818"/>
    <n v="35701"/>
    <n v="32117"/>
    <n v="27092"/>
    <n v="26879"/>
    <n v="12614"/>
    <s v="No"/>
    <n v="51"/>
    <n v="2.1"/>
    <x v="4"/>
  </r>
  <r>
    <x v="1607"/>
    <s v="Rekha Verma"/>
    <n v="81"/>
    <x v="1"/>
    <s v="A+"/>
    <s v="Mumbai"/>
    <d v="2023-07-20T00:00:00"/>
    <d v="2023-08-16T00:00:00"/>
    <n v="27"/>
    <x v="5"/>
    <s v="Asthma"/>
    <x v="8"/>
    <s v="Observation"/>
    <x v="3"/>
    <s v="Dr. Kavita Joshi"/>
    <n v="137"/>
    <s v="Private"/>
    <x v="4"/>
    <n v="95164"/>
    <n v="0"/>
    <n v="95164"/>
    <n v="60119"/>
    <n v="27991"/>
    <n v="3127"/>
    <s v="No"/>
    <n v="56"/>
    <n v="2.4"/>
    <x v="3"/>
  </r>
  <r>
    <x v="1608"/>
    <s v="Rajesh Patel"/>
    <n v="64"/>
    <x v="1"/>
    <s v="B+"/>
    <s v="Ahmedabad"/>
    <d v="2024-03-26T00:00:00"/>
    <d v="2024-04-18T00:00:00"/>
    <n v="23"/>
    <x v="6"/>
    <s v="Arthritis"/>
    <x v="11"/>
    <s v="ICU Care"/>
    <x v="2"/>
    <s v="Dr. Anjali Nair"/>
    <n v="25"/>
    <s v="ICU"/>
    <x v="1"/>
    <n v="121467"/>
    <n v="50641"/>
    <n v="70826"/>
    <n v="88783"/>
    <n v="22910"/>
    <n v="8403"/>
    <s v="No"/>
    <n v="52"/>
    <n v="3.6"/>
    <x v="1"/>
  </r>
  <r>
    <x v="1609"/>
    <s v="Suresh Patel"/>
    <n v="6"/>
    <x v="1"/>
    <s v="A+"/>
    <s v="Mumbai"/>
    <d v="2024-05-16T00:00:00"/>
    <d v="2024-05-23T00:00:00"/>
    <n v="7"/>
    <x v="5"/>
    <s v="Pneumonia"/>
    <x v="8"/>
    <s v="Counseling"/>
    <x v="0"/>
    <s v="Dr. Anjali Gupta"/>
    <n v="453"/>
    <s v="Private"/>
    <x v="4"/>
    <n v="137042"/>
    <n v="0"/>
    <n v="137042"/>
    <n v="110509"/>
    <n v="13113"/>
    <n v="9536"/>
    <s v="Yes"/>
    <n v="50"/>
    <n v="3.7"/>
    <x v="1"/>
  </r>
  <r>
    <x v="1610"/>
    <s v="Sunil Sharma"/>
    <n v="35"/>
    <x v="0"/>
    <s v="O+"/>
    <s v="Kolkata"/>
    <d v="2023-03-20T00:00:00"/>
    <d v="2023-03-28T00:00:00"/>
    <n v="8"/>
    <x v="4"/>
    <s v="Heart Attack"/>
    <x v="7"/>
    <s v="Observation"/>
    <x v="3"/>
    <s v="Dr. Vivek Nair"/>
    <n v="146"/>
    <s v="General Ward"/>
    <x v="4"/>
    <n v="117676"/>
    <n v="0"/>
    <n v="117676"/>
    <n v="82774"/>
    <n v="25528"/>
    <n v="7230"/>
    <s v="No"/>
    <n v="69"/>
    <n v="2.9"/>
    <x v="2"/>
  </r>
  <r>
    <x v="1611"/>
    <s v="Amit Singh"/>
    <n v="70"/>
    <x v="0"/>
    <s v="A-"/>
    <s v="Ahmedabad"/>
    <d v="2024-03-21T00:00:00"/>
    <d v="2024-04-09T00:00:00"/>
    <n v="19"/>
    <x v="3"/>
    <s v="Migraine"/>
    <x v="6"/>
    <s v="Dietary Management"/>
    <x v="3"/>
    <s v="Dr. Shalini Joshi"/>
    <n v="168"/>
    <s v="ICU"/>
    <x v="2"/>
    <n v="56062"/>
    <n v="45500"/>
    <n v="10562"/>
    <n v="15951"/>
    <n v="26743"/>
    <n v="10995"/>
    <s v="No"/>
    <n v="60"/>
    <n v="2.5"/>
    <x v="0"/>
  </r>
  <r>
    <x v="1612"/>
    <s v="Ashok Chopra"/>
    <n v="39"/>
    <x v="0"/>
    <s v="B+"/>
    <s v="Delhi"/>
    <d v="2022-01-18T00:00:00"/>
    <d v="2022-02-06T00:00:00"/>
    <n v="19"/>
    <x v="4"/>
    <s v="Heart Attack"/>
    <x v="7"/>
    <s v="Physiotherapy"/>
    <x v="3"/>
    <s v="Dr. Prerna Singh"/>
    <n v="174"/>
    <s v="Private"/>
    <x v="3"/>
    <n v="144459"/>
    <n v="106314"/>
    <n v="38145"/>
    <n v="101538"/>
    <n v="28498"/>
    <n v="12302"/>
    <s v="Yes"/>
    <n v="71"/>
    <n v="3.2"/>
    <x v="3"/>
  </r>
  <r>
    <x v="1613"/>
    <s v="Rohan Singh"/>
    <n v="41"/>
    <x v="1"/>
    <s v="AB+"/>
    <s v="Hyderabad"/>
    <d v="2023-03-15T00:00:00"/>
    <d v="2023-03-17T00:00:00"/>
    <n v="2"/>
    <x v="4"/>
    <s v="Heart Attack"/>
    <x v="7"/>
    <s v="Radiation Therapy"/>
    <x v="1"/>
    <s v="Dr. Deepak Patel"/>
    <n v="113"/>
    <s v="ICU"/>
    <x v="0"/>
    <n v="83587"/>
    <n v="36491"/>
    <n v="47096"/>
    <n v="51907"/>
    <n v="20344"/>
    <n v="9667"/>
    <s v="No"/>
    <n v="52"/>
    <n v="3.1"/>
    <x v="2"/>
  </r>
  <r>
    <x v="1614"/>
    <s v="Deepa Mehta"/>
    <n v="82"/>
    <x v="1"/>
    <s v="B+"/>
    <s v="Lucknow"/>
    <d v="2024-01-27T00:00:00"/>
    <d v="2024-01-29T00:00:00"/>
    <n v="2"/>
    <x v="6"/>
    <s v="Fracture"/>
    <x v="10"/>
    <s v="Dietary Management"/>
    <x v="0"/>
    <s v="Dr. Sameer Nair"/>
    <n v="134"/>
    <s v="General Ward"/>
    <x v="3"/>
    <n v="155840"/>
    <n v="102767"/>
    <n v="53073"/>
    <n v="118381"/>
    <n v="23179"/>
    <n v="11090"/>
    <s v="Yes"/>
    <n v="74"/>
    <n v="3.4"/>
    <x v="2"/>
  </r>
  <r>
    <x v="1615"/>
    <s v="Sunita Rao"/>
    <n v="68"/>
    <x v="0"/>
    <s v="AB-"/>
    <s v="Lucknow"/>
    <d v="2022-02-19T00:00:00"/>
    <d v="2022-02-21T00:00:00"/>
    <n v="2"/>
    <x v="0"/>
    <s v="COVID-19"/>
    <x v="1"/>
    <s v="Physiotherapy"/>
    <x v="3"/>
    <s v="Dr. Rakesh Joshi"/>
    <n v="221"/>
    <s v="ICU"/>
    <x v="3"/>
    <n v="121462"/>
    <n v="88598"/>
    <n v="32864"/>
    <n v="85899"/>
    <n v="23538"/>
    <n v="9707"/>
    <s v="No"/>
    <n v="40"/>
    <n v="4"/>
    <x v="0"/>
  </r>
  <r>
    <x v="1616"/>
    <s v="Rajesh Rao"/>
    <n v="31"/>
    <x v="0"/>
    <s v="B+"/>
    <s v="Pune"/>
    <d v="2022-02-03T00:00:00"/>
    <d v="2022-02-20T00:00:00"/>
    <n v="17"/>
    <x v="0"/>
    <s v="Dengue"/>
    <x v="1"/>
    <s v="Dietary Management"/>
    <x v="2"/>
    <s v="Dr. Nisha Joshi"/>
    <n v="85"/>
    <s v="ICU"/>
    <x v="0"/>
    <n v="128755"/>
    <n v="59641"/>
    <n v="69114"/>
    <n v="103829"/>
    <n v="13462"/>
    <n v="9766"/>
    <s v="No"/>
    <n v="49"/>
    <n v="3"/>
    <x v="2"/>
  </r>
  <r>
    <x v="1617"/>
    <s v="Meera Reddy"/>
    <n v="85"/>
    <x v="0"/>
    <s v="AB+"/>
    <s v="Jaipur"/>
    <d v="2022-12-06T00:00:00"/>
    <d v="2022-12-22T00:00:00"/>
    <n v="16"/>
    <x v="0"/>
    <s v="Diabetes Type 2"/>
    <x v="9"/>
    <s v="Radiation Therapy"/>
    <x v="2"/>
    <s v="Dr. Kavita Reddy"/>
    <n v="130"/>
    <s v="Private"/>
    <x v="3"/>
    <n v="131236"/>
    <n v="92657"/>
    <n v="38579"/>
    <n v="114101"/>
    <n v="14033"/>
    <n v="2226"/>
    <s v="No"/>
    <n v="59"/>
    <n v="3.8"/>
    <x v="4"/>
  </r>
  <r>
    <x v="1618"/>
    <s v="Rahul Pillai"/>
    <n v="11"/>
    <x v="0"/>
    <s v="AB+"/>
    <s v="Bangalore"/>
    <d v="2024-10-25T00:00:00"/>
    <d v="2024-11-21T00:00:00"/>
    <n v="27"/>
    <x v="0"/>
    <s v="Depression"/>
    <x v="5"/>
    <s v="Counseling"/>
    <x v="0"/>
    <s v="Dr. Shalini Mehta"/>
    <n v="140"/>
    <s v="Private"/>
    <x v="1"/>
    <n v="88786"/>
    <n v="53632"/>
    <n v="35154"/>
    <n v="71799"/>
    <n v="1622"/>
    <n v="12852"/>
    <s v="No"/>
    <n v="81"/>
    <n v="4"/>
    <x v="0"/>
  </r>
  <r>
    <x v="1619"/>
    <s v="Nisha Singh"/>
    <n v="71"/>
    <x v="0"/>
    <s v="O-"/>
    <s v="Kolkata"/>
    <d v="2022-06-27T00:00:00"/>
    <d v="2022-07-05T00:00:00"/>
    <n v="8"/>
    <x v="1"/>
    <s v="UTI"/>
    <x v="2"/>
    <s v="Medication"/>
    <x v="2"/>
    <s v="Dr. Kavita Patel"/>
    <n v="279"/>
    <s v="Semi-Private"/>
    <x v="1"/>
    <n v="26257"/>
    <n v="12613"/>
    <n v="13644"/>
    <n v="12250"/>
    <n v="4974"/>
    <n v="6972"/>
    <s v="No"/>
    <n v="44"/>
    <n v="4.4000000000000004"/>
    <x v="2"/>
  </r>
  <r>
    <x v="1620"/>
    <s v="Meera Bose"/>
    <n v="82"/>
    <x v="1"/>
    <s v="A+"/>
    <s v="Delhi"/>
    <d v="2022-11-20T00:00:00"/>
    <d v="2022-11-26T00:00:00"/>
    <n v="6"/>
    <x v="4"/>
    <s v="Hypertension"/>
    <x v="7"/>
    <s v="Observation"/>
    <x v="2"/>
    <s v="Dr. Prerna Nair"/>
    <n v="392"/>
    <s v="Private"/>
    <x v="0"/>
    <n v="26870"/>
    <n v="12686"/>
    <n v="14184"/>
    <n v="13147"/>
    <n v="1193"/>
    <n v="10775"/>
    <s v="Yes"/>
    <n v="49"/>
    <n v="2.6"/>
    <x v="2"/>
  </r>
  <r>
    <x v="1621"/>
    <s v="Kavya Chopra"/>
    <n v="32"/>
    <x v="1"/>
    <s v="O+"/>
    <s v="Mumbai"/>
    <d v="2022-12-30T00:00:00"/>
    <d v="2023-01-02T00:00:00"/>
    <n v="3"/>
    <x v="4"/>
    <s v="Heart Attack"/>
    <x v="7"/>
    <s v="Medication"/>
    <x v="2"/>
    <s v="Dr. Kavita Patel"/>
    <n v="282"/>
    <s v="ICU"/>
    <x v="3"/>
    <n v="71823"/>
    <n v="47035"/>
    <n v="24788"/>
    <n v="54098"/>
    <n v="2145"/>
    <n v="14160"/>
    <s v="No"/>
    <n v="41"/>
    <n v="4.7"/>
    <x v="2"/>
  </r>
  <r>
    <x v="1622"/>
    <s v="Sneha Malhotra"/>
    <n v="67"/>
    <x v="0"/>
    <s v="AB+"/>
    <s v="Lucknow"/>
    <d v="2022-01-29T00:00:00"/>
    <d v="2022-01-30T00:00:00"/>
    <n v="1"/>
    <x v="4"/>
    <s v="Hypertension"/>
    <x v="7"/>
    <s v="Dietary Management"/>
    <x v="1"/>
    <s v="Dr. Anjali Joshi"/>
    <n v="445"/>
    <s v="Private"/>
    <x v="0"/>
    <n v="78745"/>
    <n v="44009"/>
    <n v="34736"/>
    <n v="50656"/>
    <n v="10634"/>
    <n v="14425"/>
    <s v="No"/>
    <n v="53"/>
    <n v="4.4000000000000004"/>
    <x v="0"/>
  </r>
  <r>
    <x v="1623"/>
    <s v="Sonia Bose"/>
    <n v="19"/>
    <x v="0"/>
    <s v="A-"/>
    <s v="Pune"/>
    <d v="2023-08-07T00:00:00"/>
    <d v="2023-08-31T00:00:00"/>
    <n v="24"/>
    <x v="0"/>
    <s v="Typhoid"/>
    <x v="1"/>
    <s v="Observation"/>
    <x v="1"/>
    <s v="Dr. Prerna Gupta"/>
    <n v="500"/>
    <s v="General Ward"/>
    <x v="1"/>
    <n v="132031"/>
    <n v="58383"/>
    <n v="73648"/>
    <n v="123540"/>
    <n v="1353"/>
    <n v="2685"/>
    <s v="No"/>
    <n v="97"/>
    <n v="2.1"/>
    <x v="1"/>
  </r>
  <r>
    <x v="1624"/>
    <s v="Priya Patel"/>
    <n v="84"/>
    <x v="1"/>
    <s v="A+"/>
    <s v="Jaipur"/>
    <d v="2023-02-18T00:00:00"/>
    <d v="2023-02-28T00:00:00"/>
    <n v="10"/>
    <x v="0"/>
    <s v="Obesity"/>
    <x v="12"/>
    <s v="Physiotherapy"/>
    <x v="2"/>
    <s v="Dr. Sameer Patel"/>
    <n v="195"/>
    <s v="General Ward"/>
    <x v="2"/>
    <n v="145024"/>
    <n v="94756"/>
    <n v="50268"/>
    <n v="103214"/>
    <n v="29217"/>
    <n v="10335"/>
    <s v="No"/>
    <n v="74"/>
    <n v="2.7"/>
    <x v="1"/>
  </r>
  <r>
    <x v="1625"/>
    <s v="Ananya Malhotra"/>
    <n v="54"/>
    <x v="1"/>
    <s v="O-"/>
    <s v="Bangalore"/>
    <d v="2022-03-29T00:00:00"/>
    <d v="2022-04-27T00:00:00"/>
    <n v="29"/>
    <x v="4"/>
    <s v="Heart Attack"/>
    <x v="7"/>
    <s v="Chemotherapy"/>
    <x v="1"/>
    <s v="Dr. Prerna Joshi"/>
    <n v="240"/>
    <s v="Private"/>
    <x v="4"/>
    <n v="81724"/>
    <n v="0"/>
    <n v="81724"/>
    <n v="48417"/>
    <n v="18338"/>
    <n v="12707"/>
    <s v="No"/>
    <n v="64"/>
    <n v="3.5"/>
    <x v="3"/>
  </r>
  <r>
    <x v="1626"/>
    <s v="Sneha Singh"/>
    <n v="56"/>
    <x v="0"/>
    <s v="A-"/>
    <s v="Delhi"/>
    <d v="2024-06-05T00:00:00"/>
    <d v="2024-07-05T00:00:00"/>
    <n v="30"/>
    <x v="0"/>
    <s v="COVID-19"/>
    <x v="1"/>
    <s v="Observation"/>
    <x v="2"/>
    <s v="Dr. Shalini Sharma"/>
    <n v="92"/>
    <s v="Private"/>
    <x v="2"/>
    <n v="112065"/>
    <n v="96645"/>
    <n v="15420"/>
    <n v="92318"/>
    <n v="7186"/>
    <n v="8809"/>
    <s v="No"/>
    <n v="67"/>
    <n v="3.3"/>
    <x v="3"/>
  </r>
  <r>
    <x v="1627"/>
    <s v="Ananya Joshi"/>
    <n v="10"/>
    <x v="0"/>
    <s v="A-"/>
    <s v="Ahmedabad"/>
    <d v="2023-11-24T00:00:00"/>
    <d v="2023-12-01T00:00:00"/>
    <n v="7"/>
    <x v="4"/>
    <s v="Hypertension"/>
    <x v="7"/>
    <s v="Medication"/>
    <x v="3"/>
    <s v="Dr. Kavita Patel"/>
    <n v="312"/>
    <s v="Private"/>
    <x v="2"/>
    <n v="50520"/>
    <n v="37092"/>
    <n v="13428"/>
    <n v="20898"/>
    <n v="22782"/>
    <n v="6115"/>
    <s v="No"/>
    <n v="40"/>
    <n v="3.6"/>
    <x v="0"/>
  </r>
  <r>
    <x v="1628"/>
    <s v="Amit Joshi"/>
    <n v="75"/>
    <x v="0"/>
    <s v="AB+"/>
    <s v="Ahmedabad"/>
    <d v="2024-07-03T00:00:00"/>
    <d v="2024-07-05T00:00:00"/>
    <n v="2"/>
    <x v="2"/>
    <s v="Cancer"/>
    <x v="3"/>
    <s v="Counseling"/>
    <x v="3"/>
    <s v="Dr. Vivek Gupta"/>
    <n v="313"/>
    <s v="ICU"/>
    <x v="2"/>
    <n v="39732"/>
    <n v="35713"/>
    <n v="4019"/>
    <n v="6818"/>
    <n v="19321"/>
    <n v="11232"/>
    <s v="No"/>
    <n v="65"/>
    <n v="2.8"/>
    <x v="1"/>
  </r>
  <r>
    <x v="1629"/>
    <s v="Ashok Patel"/>
    <n v="48"/>
    <x v="1"/>
    <s v="O-"/>
    <s v="Pune"/>
    <d v="2022-01-16T00:00:00"/>
    <d v="2022-01-19T00:00:00"/>
    <n v="3"/>
    <x v="0"/>
    <s v="Typhoid"/>
    <x v="1"/>
    <s v="Radiation Therapy"/>
    <x v="2"/>
    <s v="Dr. Anjali Rao"/>
    <n v="227"/>
    <s v="Semi-Private"/>
    <x v="0"/>
    <n v="166388"/>
    <n v="72436"/>
    <n v="93952"/>
    <n v="148785"/>
    <n v="7140"/>
    <n v="9752"/>
    <s v="No"/>
    <n v="98"/>
    <n v="2.7"/>
    <x v="3"/>
  </r>
  <r>
    <x v="1630"/>
    <s v="Nisha Kumar"/>
    <n v="16"/>
    <x v="1"/>
    <s v="A-"/>
    <s v="Chennai"/>
    <d v="2023-06-08T00:00:00"/>
    <d v="2023-06-09T00:00:00"/>
    <n v="1"/>
    <x v="0"/>
    <s v="Anemia"/>
    <x v="4"/>
    <s v="Observation"/>
    <x v="1"/>
    <s v="Dr. Prerna Rao"/>
    <n v="306"/>
    <s v="General Ward"/>
    <x v="4"/>
    <n v="25882"/>
    <n v="0"/>
    <n v="25882"/>
    <n v="12725"/>
    <n v="6857"/>
    <n v="5461"/>
    <s v="No"/>
    <n v="44"/>
    <n v="2.2000000000000002"/>
    <x v="4"/>
  </r>
  <r>
    <x v="1631"/>
    <s v="Rajesh Nair"/>
    <n v="65"/>
    <x v="1"/>
    <s v="A-"/>
    <s v="Ahmedabad"/>
    <d v="2022-04-11T00:00:00"/>
    <d v="2022-05-03T00:00:00"/>
    <n v="22"/>
    <x v="3"/>
    <s v="Migraine"/>
    <x v="6"/>
    <s v="Counseling"/>
    <x v="3"/>
    <s v="Dr. Anjali Rao"/>
    <n v="224"/>
    <s v="ICU"/>
    <x v="0"/>
    <n v="50789"/>
    <n v="32954"/>
    <n v="17835"/>
    <n v="28478"/>
    <n v="6358"/>
    <n v="13368"/>
    <s v="No"/>
    <n v="82"/>
    <n v="3.8"/>
    <x v="1"/>
  </r>
  <r>
    <x v="1632"/>
    <s v="Rajesh Rao"/>
    <n v="74"/>
    <x v="1"/>
    <s v="B-"/>
    <s v="Jaipur"/>
    <d v="2024-12-03T00:00:00"/>
    <d v="2024-12-07T00:00:00"/>
    <n v="4"/>
    <x v="0"/>
    <s v="Obesity"/>
    <x v="12"/>
    <s v="Surgery"/>
    <x v="1"/>
    <s v="Dr. Rakesh Kumar"/>
    <n v="358"/>
    <s v="ICU"/>
    <x v="3"/>
    <n v="138240"/>
    <n v="120357"/>
    <n v="17883"/>
    <n v="110412"/>
    <n v="16228"/>
    <n v="7692"/>
    <s v="No"/>
    <n v="61"/>
    <n v="2.4"/>
    <x v="0"/>
  </r>
  <r>
    <x v="1633"/>
    <s v="Karan Sharma"/>
    <n v="17"/>
    <x v="0"/>
    <s v="A+"/>
    <s v="Lucknow"/>
    <d v="2022-11-10T00:00:00"/>
    <d v="2022-12-06T00:00:00"/>
    <n v="26"/>
    <x v="0"/>
    <s v="Appendicitis"/>
    <x v="0"/>
    <s v="Observation"/>
    <x v="3"/>
    <s v="Dr. Nisha Patel"/>
    <n v="478"/>
    <s v="ICU"/>
    <x v="3"/>
    <n v="37478"/>
    <n v="29969"/>
    <n v="7509"/>
    <n v="15517"/>
    <n v="5224"/>
    <n v="14988"/>
    <s v="No"/>
    <n v="56"/>
    <n v="4.0999999999999996"/>
    <x v="1"/>
  </r>
  <r>
    <x v="1634"/>
    <s v="Kavya Rao"/>
    <n v="62"/>
    <x v="1"/>
    <s v="AB-"/>
    <s v="Ahmedabad"/>
    <d v="2022-10-06T00:00:00"/>
    <d v="2022-10-17T00:00:00"/>
    <n v="11"/>
    <x v="3"/>
    <s v="Stroke"/>
    <x v="6"/>
    <s v="Medication"/>
    <x v="3"/>
    <s v="Dr. Shalini Mehta"/>
    <n v="273"/>
    <s v="Private"/>
    <x v="1"/>
    <n v="163836"/>
    <n v="100370"/>
    <n v="63466"/>
    <n v="129335"/>
    <n v="26684"/>
    <n v="4362"/>
    <s v="No"/>
    <n v="69"/>
    <n v="4.9000000000000004"/>
    <x v="0"/>
  </r>
  <r>
    <x v="1635"/>
    <s v="Divya Mehta"/>
    <n v="32"/>
    <x v="0"/>
    <s v="AB-"/>
    <s v="Mumbai"/>
    <d v="2022-12-01T00:00:00"/>
    <d v="2022-12-24T00:00:00"/>
    <n v="23"/>
    <x v="5"/>
    <s v="Asthma"/>
    <x v="8"/>
    <s v="Dietary Management"/>
    <x v="2"/>
    <s v="Dr. Shalini Nair"/>
    <n v="206"/>
    <s v="ICU"/>
    <x v="0"/>
    <n v="171340"/>
    <n v="83246"/>
    <n v="88094"/>
    <n v="143545"/>
    <n v="11103"/>
    <n v="13046"/>
    <s v="No"/>
    <n v="48"/>
    <n v="4"/>
    <x v="2"/>
  </r>
  <r>
    <x v="1636"/>
    <s v="Sanjay Pillai"/>
    <n v="34"/>
    <x v="0"/>
    <s v="AB+"/>
    <s v="Pune"/>
    <d v="2022-09-26T00:00:00"/>
    <d v="2022-10-19T00:00:00"/>
    <n v="23"/>
    <x v="2"/>
    <s v="Cancer"/>
    <x v="3"/>
    <s v="Surgery"/>
    <x v="0"/>
    <s v="Dr. Anjali Joshi"/>
    <n v="86"/>
    <s v="Semi-Private"/>
    <x v="3"/>
    <n v="99228"/>
    <n v="84258"/>
    <n v="14970"/>
    <n v="70255"/>
    <n v="11927"/>
    <n v="14697"/>
    <s v="No"/>
    <n v="97"/>
    <n v="2"/>
    <x v="4"/>
  </r>
  <r>
    <x v="1637"/>
    <s v="Rajesh Joshi"/>
    <n v="12"/>
    <x v="1"/>
    <s v="AB+"/>
    <s v="Kolkata"/>
    <d v="2023-02-03T00:00:00"/>
    <d v="2023-02-11T00:00:00"/>
    <n v="8"/>
    <x v="5"/>
    <s v="Asthma"/>
    <x v="8"/>
    <s v="Surgery"/>
    <x v="3"/>
    <s v="Dr. Sameer Patel"/>
    <n v="192"/>
    <s v="ICU"/>
    <x v="0"/>
    <n v="116968"/>
    <n v="53000"/>
    <n v="63968"/>
    <n v="71958"/>
    <n v="29909"/>
    <n v="11789"/>
    <s v="No"/>
    <n v="53"/>
    <n v="3.2"/>
    <x v="0"/>
  </r>
  <r>
    <x v="1638"/>
    <s v="Ritu Khanna"/>
    <n v="28"/>
    <x v="1"/>
    <s v="B-"/>
    <s v="Pune"/>
    <d v="2024-07-29T00:00:00"/>
    <d v="2024-07-31T00:00:00"/>
    <n v="2"/>
    <x v="1"/>
    <s v="UTI"/>
    <x v="2"/>
    <s v="Dialysis"/>
    <x v="3"/>
    <s v="Dr. Nisha Patel"/>
    <n v="379"/>
    <s v="Private"/>
    <x v="0"/>
    <n v="112527"/>
    <n v="47848"/>
    <n v="64679"/>
    <n v="76013"/>
    <n v="29549"/>
    <n v="5259"/>
    <s v="Yes"/>
    <n v="61"/>
    <n v="2.8"/>
    <x v="0"/>
  </r>
  <r>
    <x v="1639"/>
    <s v="Rohan Rao"/>
    <n v="77"/>
    <x v="0"/>
    <s v="AB-"/>
    <s v="Hyderabad"/>
    <d v="2022-12-08T00:00:00"/>
    <d v="2023-01-02T00:00:00"/>
    <n v="25"/>
    <x v="6"/>
    <s v="Fracture"/>
    <x v="10"/>
    <s v="Counseling"/>
    <x v="3"/>
    <s v="Dr. Sameer Singh"/>
    <n v="194"/>
    <s v="Semi-Private"/>
    <x v="1"/>
    <n v="50318"/>
    <n v="29547"/>
    <n v="20771"/>
    <n v="33746"/>
    <n v="13028"/>
    <n v="1722"/>
    <s v="Yes"/>
    <n v="98"/>
    <n v="3.2"/>
    <x v="4"/>
  </r>
  <r>
    <x v="1640"/>
    <s v="Rajesh Menon"/>
    <n v="27"/>
    <x v="0"/>
    <s v="AB+"/>
    <s v="Hyderabad"/>
    <d v="2022-12-31T00:00:00"/>
    <d v="2023-01-19T00:00:00"/>
    <n v="19"/>
    <x v="0"/>
    <s v="Liver Disease"/>
    <x v="0"/>
    <s v="Radiation Therapy"/>
    <x v="2"/>
    <s v="Dr. Rakesh Gupta"/>
    <n v="373"/>
    <s v="Semi-Private"/>
    <x v="4"/>
    <n v="99077"/>
    <n v="0"/>
    <n v="99077"/>
    <n v="61205"/>
    <n v="22358"/>
    <n v="10687"/>
    <s v="No"/>
    <n v="63"/>
    <n v="4.3"/>
    <x v="0"/>
  </r>
  <r>
    <x v="1641"/>
    <s v="Lata Kumar"/>
    <n v="51"/>
    <x v="1"/>
    <s v="A+"/>
    <s v="Mumbai"/>
    <d v="2024-08-09T00:00:00"/>
    <d v="2024-08-20T00:00:00"/>
    <n v="11"/>
    <x v="0"/>
    <s v="Appendicitis"/>
    <x v="0"/>
    <s v="ICU Care"/>
    <x v="1"/>
    <s v="Dr. Deepak Reddy"/>
    <n v="439"/>
    <s v="Private"/>
    <x v="3"/>
    <n v="80275"/>
    <n v="56344"/>
    <n v="23931"/>
    <n v="51510"/>
    <n v="23523"/>
    <n v="4343"/>
    <s v="No"/>
    <n v="96"/>
    <n v="3.7"/>
    <x v="1"/>
  </r>
  <r>
    <x v="1642"/>
    <s v="Amit Mehta"/>
    <n v="14"/>
    <x v="1"/>
    <s v="A-"/>
    <s v="Bangalore"/>
    <d v="2023-05-30T00:00:00"/>
    <d v="2023-06-12T00:00:00"/>
    <n v="13"/>
    <x v="1"/>
    <s v="UTI"/>
    <x v="2"/>
    <s v="Radiation Therapy"/>
    <x v="0"/>
    <s v="Dr. Sameer Singh"/>
    <n v="106"/>
    <s v="General Ward"/>
    <x v="2"/>
    <n v="105050"/>
    <n v="76448"/>
    <n v="28602"/>
    <n v="75425"/>
    <n v="21706"/>
    <n v="7311"/>
    <s v="No"/>
    <n v="77"/>
    <n v="3.2"/>
    <x v="3"/>
  </r>
  <r>
    <x v="1643"/>
    <s v="Karan Menon"/>
    <n v="85"/>
    <x v="0"/>
    <s v="B-"/>
    <s v="Ahmedabad"/>
    <d v="2023-09-26T00:00:00"/>
    <d v="2023-10-16T00:00:00"/>
    <n v="20"/>
    <x v="0"/>
    <s v="Appendicitis"/>
    <x v="0"/>
    <s v="Surgery"/>
    <x v="0"/>
    <s v="Dr. Shalini Sharma"/>
    <n v="198"/>
    <s v="Private"/>
    <x v="2"/>
    <n v="136982"/>
    <n v="100179"/>
    <n v="36803"/>
    <n v="116343"/>
    <n v="3540"/>
    <n v="14418"/>
    <s v="No"/>
    <n v="40"/>
    <n v="2.2999999999999998"/>
    <x v="2"/>
  </r>
  <r>
    <x v="1644"/>
    <s v="Amit Sharma"/>
    <n v="22"/>
    <x v="1"/>
    <s v="A-"/>
    <s v="Kolkata"/>
    <d v="2022-04-01T00:00:00"/>
    <d v="2022-04-02T00:00:00"/>
    <n v="1"/>
    <x v="5"/>
    <s v="Asthma"/>
    <x v="8"/>
    <s v="Physiotherapy"/>
    <x v="0"/>
    <s v="Dr. Sameer Nair"/>
    <n v="476"/>
    <s v="ICU"/>
    <x v="1"/>
    <n v="90510"/>
    <n v="61334"/>
    <n v="29176"/>
    <n v="64463"/>
    <n v="21934"/>
    <n v="2689"/>
    <s v="Yes"/>
    <n v="65"/>
    <n v="4.7"/>
    <x v="1"/>
  </r>
  <r>
    <x v="1645"/>
    <s v="Geeta Menon"/>
    <n v="75"/>
    <x v="0"/>
    <s v="B+"/>
    <s v="Pune"/>
    <d v="2022-03-17T00:00:00"/>
    <d v="2022-04-14T00:00:00"/>
    <n v="28"/>
    <x v="0"/>
    <s v="COVID-19"/>
    <x v="1"/>
    <s v="Observation"/>
    <x v="0"/>
    <s v="Dr. Shalini Rao"/>
    <n v="417"/>
    <s v="ICU"/>
    <x v="1"/>
    <n v="81896"/>
    <n v="48663"/>
    <n v="33233"/>
    <n v="73489"/>
    <n v="6371"/>
    <n v="1031"/>
    <s v="No"/>
    <n v="57"/>
    <n v="4.5"/>
    <x v="2"/>
  </r>
  <r>
    <x v="1646"/>
    <s v="Rohan Chopra"/>
    <n v="6"/>
    <x v="0"/>
    <s v="B-"/>
    <s v="Ahmedabad"/>
    <d v="2022-12-14T00:00:00"/>
    <d v="2022-12-22T00:00:00"/>
    <n v="8"/>
    <x v="0"/>
    <s v="Depression"/>
    <x v="5"/>
    <s v="Surgery"/>
    <x v="3"/>
    <s v="Dr. Shalini Kumar"/>
    <n v="87"/>
    <s v="Private"/>
    <x v="1"/>
    <n v="102762"/>
    <n v="62609"/>
    <n v="40153"/>
    <n v="76633"/>
    <n v="15973"/>
    <n v="5802"/>
    <s v="No"/>
    <n v="88"/>
    <n v="4.7"/>
    <x v="0"/>
  </r>
  <r>
    <x v="1647"/>
    <s v="Arjun Joshi"/>
    <n v="80"/>
    <x v="1"/>
    <s v="A+"/>
    <s v="Pune"/>
    <d v="2023-10-06T00:00:00"/>
    <d v="2023-10-22T00:00:00"/>
    <n v="16"/>
    <x v="0"/>
    <s v="Typhoid"/>
    <x v="1"/>
    <s v="Radiation Therapy"/>
    <x v="2"/>
    <s v="Dr. Vivek Gupta"/>
    <n v="223"/>
    <s v="General Ward"/>
    <x v="3"/>
    <n v="123415"/>
    <n v="75543"/>
    <n v="47872"/>
    <n v="86758"/>
    <n v="24589"/>
    <n v="10752"/>
    <s v="No"/>
    <n v="78"/>
    <n v="2.8"/>
    <x v="0"/>
  </r>
  <r>
    <x v="1648"/>
    <s v="Sneha Verma"/>
    <n v="5"/>
    <x v="0"/>
    <s v="B-"/>
    <s v="Lucknow"/>
    <d v="2022-04-25T00:00:00"/>
    <d v="2022-05-03T00:00:00"/>
    <n v="8"/>
    <x v="0"/>
    <s v="Dengue"/>
    <x v="1"/>
    <s v="Medication"/>
    <x v="2"/>
    <s v="Dr. Deepak Kumar"/>
    <n v="393"/>
    <s v="ICU"/>
    <x v="1"/>
    <n v="133226"/>
    <n v="87447"/>
    <n v="45779"/>
    <n v="105418"/>
    <n v="14943"/>
    <n v="12242"/>
    <s v="No"/>
    <n v="62"/>
    <n v="2.9"/>
    <x v="4"/>
  </r>
  <r>
    <x v="1649"/>
    <s v="Sonia Chopra"/>
    <n v="7"/>
    <x v="0"/>
    <s v="O-"/>
    <s v="Delhi"/>
    <d v="2022-12-18T00:00:00"/>
    <d v="2022-12-21T00:00:00"/>
    <n v="3"/>
    <x v="0"/>
    <s v="Diabetes Type 2"/>
    <x v="9"/>
    <s v="Counseling"/>
    <x v="3"/>
    <s v="Dr. Sameer Joshi"/>
    <n v="85"/>
    <s v="Semi-Private"/>
    <x v="3"/>
    <n v="129026"/>
    <n v="112828"/>
    <n v="16198"/>
    <n v="86474"/>
    <n v="28474"/>
    <n v="11238"/>
    <s v="No"/>
    <n v="96"/>
    <n v="4.4000000000000004"/>
    <x v="1"/>
  </r>
  <r>
    <x v="1650"/>
    <s v="Nisha Iyer"/>
    <n v="42"/>
    <x v="1"/>
    <s v="O-"/>
    <s v="Lucknow"/>
    <d v="2023-04-25T00:00:00"/>
    <d v="2023-05-06T00:00:00"/>
    <n v="11"/>
    <x v="3"/>
    <s v="Migraine"/>
    <x v="6"/>
    <s v="Chemotherapy"/>
    <x v="3"/>
    <s v="Dr. Sameer Singh"/>
    <n v="329"/>
    <s v="Semi-Private"/>
    <x v="3"/>
    <n v="165487"/>
    <n v="101182"/>
    <n v="64305"/>
    <n v="123792"/>
    <n v="26027"/>
    <n v="12458"/>
    <s v="No"/>
    <n v="97"/>
    <n v="3.3"/>
    <x v="1"/>
  </r>
  <r>
    <x v="1651"/>
    <s v="Vijay Verma"/>
    <n v="63"/>
    <x v="1"/>
    <s v="AB-"/>
    <s v="Hyderabad"/>
    <d v="2023-12-24T00:00:00"/>
    <d v="2024-01-17T00:00:00"/>
    <n v="24"/>
    <x v="5"/>
    <s v="Pneumonia"/>
    <x v="8"/>
    <s v="Surgery"/>
    <x v="2"/>
    <s v="Dr. Sameer Kumar"/>
    <n v="481"/>
    <s v="Private"/>
    <x v="3"/>
    <n v="163168"/>
    <n v="101929"/>
    <n v="61239"/>
    <n v="125052"/>
    <n v="26988"/>
    <n v="10208"/>
    <s v="No"/>
    <n v="60"/>
    <n v="4.3"/>
    <x v="2"/>
  </r>
  <r>
    <x v="1652"/>
    <s v="Rekha Bose"/>
    <n v="80"/>
    <x v="1"/>
    <s v="O+"/>
    <s v="Lucknow"/>
    <d v="2024-05-26T00:00:00"/>
    <d v="2024-06-06T00:00:00"/>
    <n v="11"/>
    <x v="4"/>
    <s v="Heart Attack"/>
    <x v="7"/>
    <s v="Dietary Management"/>
    <x v="0"/>
    <s v="Dr. Anjali Singh"/>
    <n v="348"/>
    <s v="General Ward"/>
    <x v="0"/>
    <n v="57559"/>
    <n v="28885"/>
    <n v="28674"/>
    <n v="20786"/>
    <n v="27867"/>
    <n v="4171"/>
    <s v="Yes"/>
    <n v="40"/>
    <n v="2.2000000000000002"/>
    <x v="1"/>
  </r>
  <r>
    <x v="1653"/>
    <s v="Vijay Singh"/>
    <n v="48"/>
    <x v="1"/>
    <s v="B+"/>
    <s v="Hyderabad"/>
    <d v="2022-10-21T00:00:00"/>
    <d v="2022-11-04T00:00:00"/>
    <n v="14"/>
    <x v="0"/>
    <s v="Obesity"/>
    <x v="12"/>
    <s v="Radiation Therapy"/>
    <x v="3"/>
    <s v="Dr. Kavita Nair"/>
    <n v="175"/>
    <s v="General Ward"/>
    <x v="0"/>
    <n v="159248"/>
    <n v="79642"/>
    <n v="79606"/>
    <n v="131372"/>
    <n v="13291"/>
    <n v="12057"/>
    <s v="No"/>
    <n v="66"/>
    <n v="2.2000000000000002"/>
    <x v="2"/>
  </r>
  <r>
    <x v="1654"/>
    <s v="Geeta Khanna"/>
    <n v="26"/>
    <x v="1"/>
    <s v="O+"/>
    <s v="Mumbai"/>
    <d v="2024-11-12T00:00:00"/>
    <d v="2024-11-24T00:00:00"/>
    <n v="12"/>
    <x v="5"/>
    <s v="Pneumonia"/>
    <x v="8"/>
    <s v="Observation"/>
    <x v="2"/>
    <s v="Dr. Kavita Singh"/>
    <n v="454"/>
    <s v="ICU"/>
    <x v="2"/>
    <n v="56241"/>
    <n v="42612"/>
    <n v="13629"/>
    <n v="23074"/>
    <n v="18275"/>
    <n v="10311"/>
    <s v="No"/>
    <n v="49"/>
    <n v="3.6"/>
    <x v="4"/>
  </r>
  <r>
    <x v="1655"/>
    <s v="Mukesh Shah"/>
    <n v="82"/>
    <x v="1"/>
    <s v="B-"/>
    <s v="Jaipur"/>
    <d v="2022-03-26T00:00:00"/>
    <d v="2022-04-05T00:00:00"/>
    <n v="10"/>
    <x v="0"/>
    <s v="Appendicitis"/>
    <x v="0"/>
    <s v="Surgery"/>
    <x v="0"/>
    <s v="Dr. Prerna Joshi"/>
    <n v="25"/>
    <s v="Semi-Private"/>
    <x v="0"/>
    <n v="80992"/>
    <n v="39489"/>
    <n v="41503"/>
    <n v="65661"/>
    <n v="3003"/>
    <n v="8767"/>
    <s v="Yes"/>
    <n v="81"/>
    <n v="2.9"/>
    <x v="4"/>
  </r>
  <r>
    <x v="1656"/>
    <s v="Rajesh Khanna"/>
    <n v="11"/>
    <x v="1"/>
    <s v="A+"/>
    <s v="Lucknow"/>
    <d v="2023-02-12T00:00:00"/>
    <d v="2023-02-15T00:00:00"/>
    <n v="3"/>
    <x v="2"/>
    <s v="Cancer"/>
    <x v="3"/>
    <s v="Counseling"/>
    <x v="1"/>
    <s v="Dr. Sameer Patel"/>
    <n v="17"/>
    <s v="Semi-Private"/>
    <x v="3"/>
    <n v="173260"/>
    <n v="129876"/>
    <n v="43384"/>
    <n v="132276"/>
    <n v="24752"/>
    <n v="12348"/>
    <s v="No"/>
    <n v="69"/>
    <n v="3.4"/>
    <x v="4"/>
  </r>
  <r>
    <x v="1657"/>
    <s v="Amit Malhotra"/>
    <n v="53"/>
    <x v="0"/>
    <s v="O-"/>
    <s v="Pune"/>
    <d v="2023-09-04T00:00:00"/>
    <d v="2023-09-15T00:00:00"/>
    <n v="11"/>
    <x v="0"/>
    <s v="Liver Disease"/>
    <x v="0"/>
    <s v="Chemotherapy"/>
    <x v="3"/>
    <s v="Dr. Deepak Patel"/>
    <n v="315"/>
    <s v="Private"/>
    <x v="4"/>
    <n v="85251"/>
    <n v="0"/>
    <n v="85251"/>
    <n v="57964"/>
    <n v="12738"/>
    <n v="13140"/>
    <s v="Yes"/>
    <n v="43"/>
    <n v="2.4"/>
    <x v="0"/>
  </r>
  <r>
    <x v="1658"/>
    <s v="Suresh Iyer"/>
    <n v="45"/>
    <x v="0"/>
    <s v="B-"/>
    <s v="Chennai"/>
    <d v="2022-04-11T00:00:00"/>
    <d v="2022-04-29T00:00:00"/>
    <n v="18"/>
    <x v="0"/>
    <s v="Liver Disease"/>
    <x v="0"/>
    <s v="Chemotherapy"/>
    <x v="2"/>
    <s v="Dr. Kavita Patel"/>
    <n v="106"/>
    <s v="Private"/>
    <x v="2"/>
    <n v="121168"/>
    <n v="84928"/>
    <n v="36240"/>
    <n v="86612"/>
    <n v="22457"/>
    <n v="9020"/>
    <s v="No"/>
    <n v="69"/>
    <n v="2.1"/>
    <x v="4"/>
  </r>
  <r>
    <x v="1659"/>
    <s v="Rohan Sharma"/>
    <n v="60"/>
    <x v="1"/>
    <s v="AB+"/>
    <s v="Mumbai"/>
    <d v="2024-02-29T00:00:00"/>
    <d v="2024-03-15T00:00:00"/>
    <n v="15"/>
    <x v="1"/>
    <s v="UTI"/>
    <x v="2"/>
    <s v="ICU Care"/>
    <x v="1"/>
    <s v="Dr. Rakesh Singh"/>
    <n v="418"/>
    <s v="ICU"/>
    <x v="3"/>
    <n v="60945"/>
    <n v="46851"/>
    <n v="14094"/>
    <n v="46205"/>
    <n v="4518"/>
    <n v="7382"/>
    <s v="No"/>
    <n v="56"/>
    <n v="4"/>
    <x v="4"/>
  </r>
  <r>
    <x v="1660"/>
    <s v="Manoj Iyer"/>
    <n v="63"/>
    <x v="1"/>
    <s v="A+"/>
    <s v="Bangalore"/>
    <d v="2023-08-01T00:00:00"/>
    <d v="2023-08-03T00:00:00"/>
    <n v="2"/>
    <x v="0"/>
    <s v="Anemia"/>
    <x v="4"/>
    <s v="ICU Care"/>
    <x v="0"/>
    <s v="Dr. Sameer Kumar"/>
    <n v="86"/>
    <s v="General Ward"/>
    <x v="0"/>
    <n v="107293"/>
    <n v="59244"/>
    <n v="48049"/>
    <n v="65002"/>
    <n v="25265"/>
    <n v="13567"/>
    <s v="No"/>
    <n v="69"/>
    <n v="4.3"/>
    <x v="2"/>
  </r>
  <r>
    <x v="1661"/>
    <s v="Nisha Pillai"/>
    <n v="28"/>
    <x v="0"/>
    <s v="A-"/>
    <s v="Lucknow"/>
    <d v="2023-09-07T00:00:00"/>
    <d v="2023-10-04T00:00:00"/>
    <n v="27"/>
    <x v="0"/>
    <s v="Liver Disease"/>
    <x v="0"/>
    <s v="Surgery"/>
    <x v="0"/>
    <s v="Dr. Nisha Rao"/>
    <n v="299"/>
    <s v="General Ward"/>
    <x v="1"/>
    <n v="106627"/>
    <n v="63661"/>
    <n v="42966"/>
    <n v="77429"/>
    <n v="11274"/>
    <n v="14200"/>
    <s v="No"/>
    <n v="59"/>
    <n v="3.3"/>
    <x v="1"/>
  </r>
  <r>
    <x v="1662"/>
    <s v="Vikram Reddy"/>
    <n v="79"/>
    <x v="1"/>
    <s v="A+"/>
    <s v="Hyderabad"/>
    <d v="2022-05-29T00:00:00"/>
    <d v="2022-06-10T00:00:00"/>
    <n v="12"/>
    <x v="4"/>
    <s v="Heart Attack"/>
    <x v="7"/>
    <s v="Physiotherapy"/>
    <x v="0"/>
    <s v="Dr. Anjali Nair"/>
    <n v="188"/>
    <s v="Private"/>
    <x v="4"/>
    <n v="150195"/>
    <n v="0"/>
    <n v="150195"/>
    <n v="134423"/>
    <n v="1305"/>
    <n v="13401"/>
    <s v="No"/>
    <n v="70"/>
    <n v="4.3"/>
    <x v="0"/>
  </r>
  <r>
    <x v="1663"/>
    <s v="Sunita Shah"/>
    <n v="10"/>
    <x v="1"/>
    <s v="O+"/>
    <s v="Kolkata"/>
    <d v="2024-07-13T00:00:00"/>
    <d v="2024-07-15T00:00:00"/>
    <n v="2"/>
    <x v="0"/>
    <s v="Liver Disease"/>
    <x v="0"/>
    <s v="Observation"/>
    <x v="0"/>
    <s v="Dr. Sameer Kumar"/>
    <n v="463"/>
    <s v="General Ward"/>
    <x v="0"/>
    <n v="162777"/>
    <n v="104053"/>
    <n v="58724"/>
    <n v="136991"/>
    <n v="23861"/>
    <n v="956"/>
    <s v="No"/>
    <n v="44"/>
    <n v="3.4"/>
    <x v="3"/>
  </r>
  <r>
    <x v="1664"/>
    <s v="Ashok Bose"/>
    <n v="35"/>
    <x v="0"/>
    <s v="AB+"/>
    <s v="Mumbai"/>
    <d v="2023-05-24T00:00:00"/>
    <d v="2023-05-28T00:00:00"/>
    <n v="4"/>
    <x v="0"/>
    <s v="Anemia"/>
    <x v="4"/>
    <s v="Chemotherapy"/>
    <x v="3"/>
    <s v="Dr. Arun Gupta"/>
    <n v="301"/>
    <s v="Semi-Private"/>
    <x v="2"/>
    <n v="126480"/>
    <n v="88167"/>
    <n v="38313"/>
    <n v="106014"/>
    <n v="9788"/>
    <n v="6235"/>
    <s v="No"/>
    <n v="62"/>
    <n v="2.9"/>
    <x v="2"/>
  </r>
  <r>
    <x v="1665"/>
    <s v="Manoj Das"/>
    <n v="30"/>
    <x v="1"/>
    <s v="AB+"/>
    <s v="Ahmedabad"/>
    <d v="2024-10-25T00:00:00"/>
    <d v="2024-11-05T00:00:00"/>
    <n v="11"/>
    <x v="6"/>
    <s v="Fracture"/>
    <x v="10"/>
    <s v="Medication"/>
    <x v="0"/>
    <s v="Dr. Vivek Nair"/>
    <n v="479"/>
    <s v="General Ward"/>
    <x v="4"/>
    <n v="133902"/>
    <n v="0"/>
    <n v="133902"/>
    <n v="98997"/>
    <n v="25337"/>
    <n v="8169"/>
    <s v="No"/>
    <n v="63"/>
    <n v="4.5"/>
    <x v="4"/>
  </r>
  <r>
    <x v="1666"/>
    <s v="Rahul Khanna"/>
    <n v="58"/>
    <x v="0"/>
    <s v="A+"/>
    <s v="Lucknow"/>
    <d v="2023-05-06T00:00:00"/>
    <d v="2023-05-20T00:00:00"/>
    <n v="14"/>
    <x v="2"/>
    <s v="Cancer"/>
    <x v="3"/>
    <s v="Dialysis"/>
    <x v="0"/>
    <s v="Dr. Arun Kumar"/>
    <n v="292"/>
    <s v="Private"/>
    <x v="4"/>
    <n v="68822"/>
    <n v="0"/>
    <n v="68822"/>
    <n v="36304"/>
    <n v="23793"/>
    <n v="7271"/>
    <s v="No"/>
    <n v="44"/>
    <n v="2.7"/>
    <x v="0"/>
  </r>
  <r>
    <x v="1667"/>
    <s v="Amit Khanna"/>
    <n v="29"/>
    <x v="1"/>
    <s v="B+"/>
    <s v="Hyderabad"/>
    <d v="2024-01-31T00:00:00"/>
    <d v="2024-03-01T00:00:00"/>
    <n v="30"/>
    <x v="6"/>
    <s v="Fracture"/>
    <x v="10"/>
    <s v="Physiotherapy"/>
    <x v="3"/>
    <s v="Dr. Vivek Rao"/>
    <n v="207"/>
    <s v="General Ward"/>
    <x v="1"/>
    <n v="49297"/>
    <n v="33081"/>
    <n v="16216"/>
    <n v="38727"/>
    <n v="3671"/>
    <n v="2880"/>
    <s v="No"/>
    <n v="87"/>
    <n v="4.7"/>
    <x v="0"/>
  </r>
  <r>
    <x v="1668"/>
    <s v="Ashok Chopra"/>
    <n v="79"/>
    <x v="0"/>
    <s v="O+"/>
    <s v="Jaipur"/>
    <d v="2024-09-13T00:00:00"/>
    <d v="2024-10-02T00:00:00"/>
    <n v="19"/>
    <x v="6"/>
    <s v="Arthritis"/>
    <x v="11"/>
    <s v="Observation"/>
    <x v="2"/>
    <s v="Dr. Prerna Rao"/>
    <n v="218"/>
    <s v="Semi-Private"/>
    <x v="2"/>
    <n v="111926"/>
    <n v="75881"/>
    <n v="36045"/>
    <n v="96096"/>
    <n v="6309"/>
    <n v="8604"/>
    <s v="No"/>
    <n v="76"/>
    <n v="4.5999999999999996"/>
    <x v="2"/>
  </r>
  <r>
    <x v="1669"/>
    <s v="Ananya Shah"/>
    <n v="77"/>
    <x v="1"/>
    <s v="AB+"/>
    <s v="Hyderabad"/>
    <d v="2022-09-30T00:00:00"/>
    <d v="2022-10-08T00:00:00"/>
    <n v="8"/>
    <x v="4"/>
    <s v="Hypertension"/>
    <x v="7"/>
    <s v="Physiotherapy"/>
    <x v="0"/>
    <s v="Dr. Rakesh Joshi"/>
    <n v="301"/>
    <s v="General Ward"/>
    <x v="2"/>
    <n v="151905"/>
    <n v="125465"/>
    <n v="26440"/>
    <n v="132888"/>
    <n v="13794"/>
    <n v="3839"/>
    <s v="Yes"/>
    <n v="92"/>
    <n v="3.5"/>
    <x v="4"/>
  </r>
  <r>
    <x v="1670"/>
    <s v="Kavya Malhotra"/>
    <n v="7"/>
    <x v="0"/>
    <s v="O-"/>
    <s v="Chennai"/>
    <d v="2024-03-06T00:00:00"/>
    <d v="2024-03-07T00:00:00"/>
    <n v="1"/>
    <x v="0"/>
    <s v="Anemia"/>
    <x v="4"/>
    <s v="Physiotherapy"/>
    <x v="2"/>
    <s v="Dr. Arun Joshi"/>
    <n v="97"/>
    <s v="Private"/>
    <x v="3"/>
    <n v="150471"/>
    <n v="112417"/>
    <n v="38054"/>
    <n v="128325"/>
    <n v="7752"/>
    <n v="11004"/>
    <s v="No"/>
    <n v="79"/>
    <n v="4.2"/>
    <x v="2"/>
  </r>
  <r>
    <x v="1671"/>
    <s v="Vijay Menon"/>
    <n v="71"/>
    <x v="0"/>
    <s v="A-"/>
    <s v="Mumbai"/>
    <d v="2023-09-03T00:00:00"/>
    <d v="2023-10-02T00:00:00"/>
    <n v="29"/>
    <x v="4"/>
    <s v="Hypertension"/>
    <x v="7"/>
    <s v="Chemotherapy"/>
    <x v="2"/>
    <s v="Dr. Anjali Reddy"/>
    <n v="10"/>
    <s v="Semi-Private"/>
    <x v="0"/>
    <n v="123020"/>
    <n v="75391"/>
    <n v="47629"/>
    <n v="85881"/>
    <n v="26132"/>
    <n v="9081"/>
    <s v="No"/>
    <n v="84"/>
    <n v="5"/>
    <x v="2"/>
  </r>
  <r>
    <x v="1672"/>
    <s v="Geeta Verma"/>
    <n v="21"/>
    <x v="1"/>
    <s v="O-"/>
    <s v="Kolkata"/>
    <d v="2022-06-15T00:00:00"/>
    <d v="2022-06-19T00:00:00"/>
    <n v="4"/>
    <x v="0"/>
    <s v="Depression"/>
    <x v="5"/>
    <s v="Physiotherapy"/>
    <x v="1"/>
    <s v="Dr. Kavita Nair"/>
    <n v="2"/>
    <s v="ICU"/>
    <x v="1"/>
    <n v="124243"/>
    <n v="85725"/>
    <n v="38518"/>
    <n v="91380"/>
    <n v="17566"/>
    <n v="11414"/>
    <s v="No"/>
    <n v="75"/>
    <n v="3"/>
    <x v="3"/>
  </r>
  <r>
    <x v="1673"/>
    <s v="Manoj Kumar"/>
    <n v="17"/>
    <x v="1"/>
    <s v="A-"/>
    <s v="Ahmedabad"/>
    <d v="2024-09-19T00:00:00"/>
    <d v="2024-10-15T00:00:00"/>
    <n v="26"/>
    <x v="0"/>
    <s v="Liver Disease"/>
    <x v="0"/>
    <s v="Chemotherapy"/>
    <x v="0"/>
    <s v="Dr. Vivek Joshi"/>
    <n v="202"/>
    <s v="Semi-Private"/>
    <x v="3"/>
    <n v="109374"/>
    <n v="68041"/>
    <n v="41333"/>
    <n v="84617"/>
    <n v="16733"/>
    <n v="3370"/>
    <s v="No"/>
    <n v="66"/>
    <n v="4.9000000000000004"/>
    <x v="1"/>
  </r>
  <r>
    <x v="1674"/>
    <s v="Sanjay Das"/>
    <n v="40"/>
    <x v="0"/>
    <s v="A+"/>
    <s v="Chennai"/>
    <d v="2023-02-16T00:00:00"/>
    <d v="2023-03-10T00:00:00"/>
    <n v="22"/>
    <x v="0"/>
    <s v="Typhoid"/>
    <x v="1"/>
    <s v="Medication"/>
    <x v="2"/>
    <s v="Dr. Shalini Singh"/>
    <n v="16"/>
    <s v="Semi-Private"/>
    <x v="3"/>
    <n v="116133"/>
    <n v="92893"/>
    <n v="23240"/>
    <n v="99693"/>
    <n v="8166"/>
    <n v="6153"/>
    <s v="Yes"/>
    <n v="52"/>
    <n v="2.5"/>
    <x v="1"/>
  </r>
  <r>
    <x v="1675"/>
    <s v="Geeta Verma"/>
    <n v="21"/>
    <x v="0"/>
    <s v="O-"/>
    <s v="Kolkata"/>
    <d v="2024-07-13T00:00:00"/>
    <d v="2024-08-09T00:00:00"/>
    <n v="27"/>
    <x v="0"/>
    <s v="Appendicitis"/>
    <x v="0"/>
    <s v="ICU Care"/>
    <x v="1"/>
    <s v="Dr. Kavita Sharma"/>
    <n v="190"/>
    <s v="ICU"/>
    <x v="1"/>
    <n v="149161"/>
    <n v="95002"/>
    <n v="54159"/>
    <n v="124216"/>
    <n v="19200"/>
    <n v="1509"/>
    <s v="Yes"/>
    <n v="94"/>
    <n v="4.3"/>
    <x v="1"/>
  </r>
  <r>
    <x v="1676"/>
    <s v="Vikram Rao"/>
    <n v="84"/>
    <x v="0"/>
    <s v="A-"/>
    <s v="Jaipur"/>
    <d v="2023-12-30T00:00:00"/>
    <d v="2024-01-05T00:00:00"/>
    <n v="6"/>
    <x v="0"/>
    <s v="Liver Disease"/>
    <x v="0"/>
    <s v="Chemotherapy"/>
    <x v="2"/>
    <s v="Dr. Arun Patel"/>
    <n v="168"/>
    <s v="General Ward"/>
    <x v="4"/>
    <n v="155369"/>
    <n v="0"/>
    <n v="155369"/>
    <n v="127370"/>
    <n v="15474"/>
    <n v="8637"/>
    <s v="No"/>
    <n v="45"/>
    <n v="2.7"/>
    <x v="3"/>
  </r>
  <r>
    <x v="1677"/>
    <s v="Pooja Shah"/>
    <n v="61"/>
    <x v="0"/>
    <s v="O-"/>
    <s v="Bangalore"/>
    <d v="2024-11-06T00:00:00"/>
    <d v="2024-12-05T00:00:00"/>
    <n v="29"/>
    <x v="4"/>
    <s v="Heart Attack"/>
    <x v="7"/>
    <s v="Observation"/>
    <x v="1"/>
    <s v="Dr. Shalini Kumar"/>
    <n v="337"/>
    <s v="Private"/>
    <x v="1"/>
    <n v="45950"/>
    <n v="26126"/>
    <n v="19824"/>
    <n v="11212"/>
    <n v="29095"/>
    <n v="2646"/>
    <s v="No"/>
    <n v="89"/>
    <n v="2.9"/>
    <x v="1"/>
  </r>
  <r>
    <x v="1678"/>
    <s v="Geeta Verma"/>
    <n v="63"/>
    <x v="0"/>
    <s v="AB+"/>
    <s v="Kolkata"/>
    <d v="2022-06-07T00:00:00"/>
    <d v="2022-07-01T00:00:00"/>
    <n v="24"/>
    <x v="2"/>
    <s v="Cancer"/>
    <x v="3"/>
    <s v="Counseling"/>
    <x v="0"/>
    <s v="Dr. Nisha Kumar"/>
    <n v="9"/>
    <s v="General Ward"/>
    <x v="1"/>
    <n v="62411"/>
    <n v="38450"/>
    <n v="23961"/>
    <n v="28698"/>
    <n v="23853"/>
    <n v="6521"/>
    <s v="No"/>
    <n v="72"/>
    <n v="2.6"/>
    <x v="2"/>
  </r>
  <r>
    <x v="1679"/>
    <s v="Sanjay Shah"/>
    <n v="80"/>
    <x v="1"/>
    <s v="AB+"/>
    <s v="Mumbai"/>
    <d v="2022-08-28T00:00:00"/>
    <d v="2022-09-16T00:00:00"/>
    <n v="19"/>
    <x v="1"/>
    <s v="UTI"/>
    <x v="2"/>
    <s v="Physiotherapy"/>
    <x v="0"/>
    <s v="Dr. Arun Joshi"/>
    <n v="197"/>
    <s v="General Ward"/>
    <x v="1"/>
    <n v="121886"/>
    <n v="50010"/>
    <n v="71876"/>
    <n v="90768"/>
    <n v="22998"/>
    <n v="4264"/>
    <s v="No"/>
    <n v="74"/>
    <n v="2.1"/>
    <x v="4"/>
  </r>
  <r>
    <x v="1680"/>
    <s v="Vikram Sharma"/>
    <n v="22"/>
    <x v="1"/>
    <s v="B-"/>
    <s v="Chennai"/>
    <d v="2022-07-25T00:00:00"/>
    <d v="2022-07-28T00:00:00"/>
    <n v="3"/>
    <x v="4"/>
    <s v="Heart Attack"/>
    <x v="7"/>
    <s v="Dietary Management"/>
    <x v="0"/>
    <s v="Dr. Vivek Gupta"/>
    <n v="220"/>
    <s v="Semi-Private"/>
    <x v="3"/>
    <n v="57435"/>
    <n v="38313"/>
    <n v="19122"/>
    <n v="47963"/>
    <n v="1571"/>
    <n v="3766"/>
    <s v="No"/>
    <n v="72"/>
    <n v="2.7"/>
    <x v="4"/>
  </r>
  <r>
    <x v="1681"/>
    <s v="Nisha Khanna"/>
    <n v="66"/>
    <x v="1"/>
    <s v="AB-"/>
    <s v="Delhi"/>
    <d v="2022-01-06T00:00:00"/>
    <d v="2022-01-18T00:00:00"/>
    <n v="12"/>
    <x v="3"/>
    <s v="Migraine"/>
    <x v="6"/>
    <s v="Radiation Therapy"/>
    <x v="3"/>
    <s v="Dr. Kavita Rao"/>
    <n v="209"/>
    <s v="ICU"/>
    <x v="3"/>
    <n v="33785"/>
    <n v="28569"/>
    <n v="5216"/>
    <n v="13904"/>
    <n v="11408"/>
    <n v="4770"/>
    <s v="No"/>
    <n v="55"/>
    <n v="2.2000000000000002"/>
    <x v="1"/>
  </r>
  <r>
    <x v="1682"/>
    <s v="Geeta Menon"/>
    <n v="5"/>
    <x v="0"/>
    <s v="O+"/>
    <s v="Kolkata"/>
    <d v="2024-12-26T00:00:00"/>
    <d v="2024-12-31T00:00:00"/>
    <n v="5"/>
    <x v="2"/>
    <s v="Cancer"/>
    <x v="3"/>
    <s v="ICU Care"/>
    <x v="0"/>
    <s v="Dr. Deepak Patel"/>
    <n v="30"/>
    <s v="Semi-Private"/>
    <x v="4"/>
    <n v="69442"/>
    <n v="0"/>
    <n v="69442"/>
    <n v="60665"/>
    <n v="4097"/>
    <n v="2738"/>
    <s v="No"/>
    <n v="96"/>
    <n v="3.3"/>
    <x v="1"/>
  </r>
  <r>
    <x v="1683"/>
    <s v="Rohan Bose"/>
    <n v="70"/>
    <x v="1"/>
    <s v="A+"/>
    <s v="Lucknow"/>
    <d v="2023-11-03T00:00:00"/>
    <d v="2023-11-20T00:00:00"/>
    <n v="17"/>
    <x v="0"/>
    <s v="Diabetes Type 2"/>
    <x v="9"/>
    <s v="Medication"/>
    <x v="1"/>
    <s v="Dr. Rakesh Joshi"/>
    <n v="63"/>
    <s v="Private"/>
    <x v="1"/>
    <n v="166684"/>
    <n v="68718"/>
    <n v="97966"/>
    <n v="127380"/>
    <n v="26184"/>
    <n v="12514"/>
    <s v="Yes"/>
    <n v="77"/>
    <n v="4"/>
    <x v="3"/>
  </r>
  <r>
    <x v="1684"/>
    <s v="Sunil Mehta"/>
    <n v="71"/>
    <x v="0"/>
    <s v="O+"/>
    <s v="Kolkata"/>
    <d v="2024-06-22T00:00:00"/>
    <d v="2024-07-22T00:00:00"/>
    <n v="30"/>
    <x v="2"/>
    <s v="Cancer"/>
    <x v="3"/>
    <s v="Radiation Therapy"/>
    <x v="3"/>
    <s v="Dr. Kavita Joshi"/>
    <n v="386"/>
    <s v="Semi-Private"/>
    <x v="1"/>
    <n v="45835"/>
    <n v="19773"/>
    <n v="26062"/>
    <n v="13502"/>
    <n v="19168"/>
    <n v="10402"/>
    <s v="Yes"/>
    <n v="73"/>
    <n v="3"/>
    <x v="0"/>
  </r>
  <r>
    <x v="1685"/>
    <s v="Karan Bose"/>
    <n v="13"/>
    <x v="1"/>
    <s v="B+"/>
    <s v="Delhi"/>
    <d v="2023-02-16T00:00:00"/>
    <d v="2023-02-17T00:00:00"/>
    <n v="1"/>
    <x v="1"/>
    <s v="Kidney Stone"/>
    <x v="2"/>
    <s v="Physiotherapy"/>
    <x v="3"/>
    <s v="Dr. Sameer Kumar"/>
    <n v="323"/>
    <s v="General Ward"/>
    <x v="2"/>
    <n v="59892"/>
    <n v="39463"/>
    <n v="20429"/>
    <n v="27698"/>
    <n v="20101"/>
    <n v="11251"/>
    <s v="No"/>
    <n v="59"/>
    <n v="4.5999999999999996"/>
    <x v="3"/>
  </r>
  <r>
    <x v="1686"/>
    <s v="Sanjay Rao"/>
    <n v="26"/>
    <x v="0"/>
    <s v="A-"/>
    <s v="Bangalore"/>
    <d v="2023-10-05T00:00:00"/>
    <d v="2023-10-24T00:00:00"/>
    <n v="19"/>
    <x v="0"/>
    <s v="COVID-19"/>
    <x v="1"/>
    <s v="Dietary Management"/>
    <x v="1"/>
    <s v="Dr. Kavita Mehta"/>
    <n v="127"/>
    <s v="ICU"/>
    <x v="3"/>
    <n v="159995"/>
    <n v="97738"/>
    <n v="62257"/>
    <n v="127751"/>
    <n v="13752"/>
    <n v="14468"/>
    <s v="No"/>
    <n v="93"/>
    <n v="2.5"/>
    <x v="0"/>
  </r>
  <r>
    <x v="1687"/>
    <s v="Sanjay Verma"/>
    <n v="14"/>
    <x v="1"/>
    <s v="O+"/>
    <s v="Mumbai"/>
    <d v="2023-03-12T00:00:00"/>
    <d v="2023-03-31T00:00:00"/>
    <n v="19"/>
    <x v="0"/>
    <s v="Liver Disease"/>
    <x v="0"/>
    <s v="Counseling"/>
    <x v="2"/>
    <s v="Dr. Deepak Gupta"/>
    <n v="147"/>
    <s v="Private"/>
    <x v="0"/>
    <n v="35718"/>
    <n v="16393"/>
    <n v="19325"/>
    <n v="10596"/>
    <n v="18303"/>
    <n v="2137"/>
    <s v="No"/>
    <n v="84"/>
    <n v="4.3"/>
    <x v="2"/>
  </r>
  <r>
    <x v="1688"/>
    <s v="Rajesh Menon"/>
    <n v="62"/>
    <x v="1"/>
    <s v="B+"/>
    <s v="Kolkata"/>
    <d v="2024-02-22T00:00:00"/>
    <d v="2024-03-01T00:00:00"/>
    <n v="8"/>
    <x v="6"/>
    <s v="Arthritis"/>
    <x v="11"/>
    <s v="Medication"/>
    <x v="0"/>
    <s v="Dr. Prerna Kumar"/>
    <n v="478"/>
    <s v="Private"/>
    <x v="1"/>
    <n v="52278"/>
    <n v="24400"/>
    <n v="27878"/>
    <n v="25930"/>
    <n v="19052"/>
    <n v="5836"/>
    <s v="No"/>
    <n v="46"/>
    <n v="2.2000000000000002"/>
    <x v="4"/>
  </r>
  <r>
    <x v="1689"/>
    <s v="Arjun Khanna"/>
    <n v="12"/>
    <x v="0"/>
    <s v="AB-"/>
    <s v="Ahmedabad"/>
    <d v="2024-04-11T00:00:00"/>
    <d v="2024-05-08T00:00:00"/>
    <n v="27"/>
    <x v="0"/>
    <s v="COVID-19"/>
    <x v="1"/>
    <s v="Surgery"/>
    <x v="2"/>
    <s v="Dr. Deepak Nair"/>
    <n v="311"/>
    <s v="Semi-Private"/>
    <x v="2"/>
    <n v="75521"/>
    <n v="67292"/>
    <n v="8229"/>
    <n v="64682"/>
    <n v="2935"/>
    <n v="3057"/>
    <s v="No"/>
    <n v="60"/>
    <n v="4.4000000000000004"/>
    <x v="1"/>
  </r>
  <r>
    <x v="1690"/>
    <s v="Priya Shah"/>
    <n v="69"/>
    <x v="1"/>
    <s v="B-"/>
    <s v="Mumbai"/>
    <d v="2023-03-05T00:00:00"/>
    <d v="2023-03-19T00:00:00"/>
    <n v="14"/>
    <x v="4"/>
    <s v="Hypertension"/>
    <x v="7"/>
    <s v="Radiation Therapy"/>
    <x v="0"/>
    <s v="Dr. Deepak Gupta"/>
    <n v="57"/>
    <s v="Semi-Private"/>
    <x v="4"/>
    <n v="158438"/>
    <n v="0"/>
    <n v="158438"/>
    <n v="128771"/>
    <n v="22705"/>
    <n v="3366"/>
    <s v="No"/>
    <n v="88"/>
    <n v="4.5999999999999996"/>
    <x v="3"/>
  </r>
  <r>
    <x v="1691"/>
    <s v="Suresh Chopra"/>
    <n v="41"/>
    <x v="0"/>
    <s v="AB-"/>
    <s v="Hyderabad"/>
    <d v="2024-01-15T00:00:00"/>
    <d v="2024-01-19T00:00:00"/>
    <n v="4"/>
    <x v="1"/>
    <s v="UTI"/>
    <x v="2"/>
    <s v="Chemotherapy"/>
    <x v="0"/>
    <s v="Dr. Nisha Mehta"/>
    <n v="182"/>
    <s v="ICU"/>
    <x v="4"/>
    <n v="124645"/>
    <n v="0"/>
    <n v="124645"/>
    <n v="82901"/>
    <n v="23214"/>
    <n v="13785"/>
    <s v="No"/>
    <n v="94"/>
    <n v="3"/>
    <x v="4"/>
  </r>
  <r>
    <x v="1692"/>
    <s v="Rajesh Menon"/>
    <n v="78"/>
    <x v="1"/>
    <s v="A-"/>
    <s v="Jaipur"/>
    <d v="2024-01-19T00:00:00"/>
    <d v="2024-01-23T00:00:00"/>
    <n v="4"/>
    <x v="0"/>
    <s v="Appendicitis"/>
    <x v="0"/>
    <s v="ICU Care"/>
    <x v="0"/>
    <s v="Dr. Anjali Reddy"/>
    <n v="404"/>
    <s v="Semi-Private"/>
    <x v="1"/>
    <n v="108710"/>
    <n v="57437"/>
    <n v="51273"/>
    <n v="95261"/>
    <n v="3443"/>
    <n v="5739"/>
    <s v="No"/>
    <n v="71"/>
    <n v="5"/>
    <x v="1"/>
  </r>
  <r>
    <x v="1693"/>
    <s v="Priya Khanna"/>
    <n v="73"/>
    <x v="1"/>
    <s v="B-"/>
    <s v="Jaipur"/>
    <d v="2023-03-06T00:00:00"/>
    <d v="2023-03-09T00:00:00"/>
    <n v="3"/>
    <x v="0"/>
    <s v="Obesity"/>
    <x v="12"/>
    <s v="Dialysis"/>
    <x v="0"/>
    <s v="Dr. Nisha Sharma"/>
    <n v="91"/>
    <s v="ICU"/>
    <x v="4"/>
    <n v="157385"/>
    <n v="0"/>
    <n v="157385"/>
    <n v="138469"/>
    <n v="15035"/>
    <n v="1345"/>
    <s v="No"/>
    <n v="59"/>
    <n v="4.2"/>
    <x v="1"/>
  </r>
  <r>
    <x v="1694"/>
    <s v="Karan Mehta"/>
    <n v="35"/>
    <x v="1"/>
    <s v="B+"/>
    <s v="Chennai"/>
    <d v="2023-09-08T00:00:00"/>
    <d v="2023-09-28T00:00:00"/>
    <n v="20"/>
    <x v="1"/>
    <s v="Kidney Stone"/>
    <x v="2"/>
    <s v="Dialysis"/>
    <x v="3"/>
    <s v="Dr. Anjali Sharma"/>
    <n v="174"/>
    <s v="General Ward"/>
    <x v="4"/>
    <n v="131132"/>
    <n v="0"/>
    <n v="131132"/>
    <n v="93406"/>
    <n v="24673"/>
    <n v="8208"/>
    <s v="No"/>
    <n v="80"/>
    <n v="2.4"/>
    <x v="2"/>
  </r>
  <r>
    <x v="1695"/>
    <s v="Ritu Pillai"/>
    <n v="5"/>
    <x v="1"/>
    <s v="B+"/>
    <s v="Hyderabad"/>
    <d v="2022-10-25T00:00:00"/>
    <d v="2022-11-09T00:00:00"/>
    <n v="15"/>
    <x v="6"/>
    <s v="Fracture"/>
    <x v="10"/>
    <s v="Surgery"/>
    <x v="0"/>
    <s v="Dr. Sameer Nair"/>
    <n v="466"/>
    <s v="ICU"/>
    <x v="1"/>
    <n v="160457"/>
    <n v="84303"/>
    <n v="76154"/>
    <n v="126292"/>
    <n v="25111"/>
    <n v="4611"/>
    <s v="No"/>
    <n v="100"/>
    <n v="4.7"/>
    <x v="2"/>
  </r>
  <r>
    <x v="1696"/>
    <s v="Rajesh Bose"/>
    <n v="8"/>
    <x v="1"/>
    <s v="O-"/>
    <s v="Hyderabad"/>
    <d v="2024-08-19T00:00:00"/>
    <d v="2024-09-06T00:00:00"/>
    <n v="18"/>
    <x v="0"/>
    <s v="COVID-19"/>
    <x v="1"/>
    <s v="Observation"/>
    <x v="1"/>
    <s v="Dr. Shalini Reddy"/>
    <n v="471"/>
    <s v="General Ward"/>
    <x v="1"/>
    <n v="67654"/>
    <n v="28894"/>
    <n v="38760"/>
    <n v="45636"/>
    <n v="6860"/>
    <n v="12360"/>
    <s v="No"/>
    <n v="51"/>
    <n v="4.8"/>
    <x v="2"/>
  </r>
  <r>
    <x v="1697"/>
    <s v="Vikram Das"/>
    <n v="5"/>
    <x v="0"/>
    <s v="B+"/>
    <s v="Pune"/>
    <d v="2023-05-08T00:00:00"/>
    <d v="2023-05-30T00:00:00"/>
    <n v="22"/>
    <x v="0"/>
    <s v="Obesity"/>
    <x v="12"/>
    <s v="Surgery"/>
    <x v="3"/>
    <s v="Dr. Rakesh Kumar"/>
    <n v="189"/>
    <s v="Private"/>
    <x v="2"/>
    <n v="173717"/>
    <n v="132308"/>
    <n v="41409"/>
    <n v="146336"/>
    <n v="21084"/>
    <n v="3190"/>
    <s v="No"/>
    <n v="99"/>
    <n v="4.7"/>
    <x v="3"/>
  </r>
  <r>
    <x v="1698"/>
    <s v="Rohan Sharma"/>
    <n v="11"/>
    <x v="1"/>
    <s v="O-"/>
    <s v="Kolkata"/>
    <d v="2023-04-06T00:00:00"/>
    <d v="2023-04-07T00:00:00"/>
    <n v="1"/>
    <x v="3"/>
    <s v="Stroke"/>
    <x v="6"/>
    <s v="Counseling"/>
    <x v="2"/>
    <s v="Dr. Vivek Gupta"/>
    <n v="98"/>
    <s v="Private"/>
    <x v="4"/>
    <n v="31279"/>
    <n v="0"/>
    <n v="31279"/>
    <n v="7378"/>
    <n v="11104"/>
    <n v="7819"/>
    <s v="No"/>
    <n v="63"/>
    <n v="3.3"/>
    <x v="4"/>
  </r>
  <r>
    <x v="1699"/>
    <s v="Ashok Das"/>
    <n v="79"/>
    <x v="0"/>
    <s v="B+"/>
    <s v="Delhi"/>
    <d v="2023-02-03T00:00:00"/>
    <d v="2023-02-08T00:00:00"/>
    <n v="5"/>
    <x v="1"/>
    <s v="Kidney Stone"/>
    <x v="2"/>
    <s v="Counseling"/>
    <x v="0"/>
    <s v="Dr. Sameer Nair"/>
    <n v="209"/>
    <s v="Private"/>
    <x v="3"/>
    <n v="109960"/>
    <n v="80433"/>
    <n v="29527"/>
    <n v="81591"/>
    <n v="21483"/>
    <n v="3945"/>
    <s v="Yes"/>
    <n v="83"/>
    <n v="3.6"/>
    <x v="0"/>
  </r>
  <r>
    <x v="1700"/>
    <s v="Ananya Mehta"/>
    <n v="7"/>
    <x v="1"/>
    <s v="O-"/>
    <s v="Jaipur"/>
    <d v="2024-06-18T00:00:00"/>
    <d v="2024-06-24T00:00:00"/>
    <n v="6"/>
    <x v="6"/>
    <s v="Arthritis"/>
    <x v="11"/>
    <s v="Dialysis"/>
    <x v="0"/>
    <s v="Dr. Anjali Reddy"/>
    <n v="202"/>
    <s v="Semi-Private"/>
    <x v="2"/>
    <n v="121736"/>
    <n v="104155"/>
    <n v="17581"/>
    <n v="108973"/>
    <n v="7630"/>
    <n v="4499"/>
    <s v="No"/>
    <n v="42"/>
    <n v="2.2999999999999998"/>
    <x v="2"/>
  </r>
  <r>
    <x v="1701"/>
    <s v="Geeta Chopra"/>
    <n v="24"/>
    <x v="1"/>
    <s v="B-"/>
    <s v="Chennai"/>
    <d v="2024-04-09T00:00:00"/>
    <d v="2024-04-19T00:00:00"/>
    <n v="10"/>
    <x v="0"/>
    <s v="Liver Disease"/>
    <x v="0"/>
    <s v="Counseling"/>
    <x v="3"/>
    <s v="Dr. Anjali Singh"/>
    <n v="293"/>
    <s v="General Ward"/>
    <x v="2"/>
    <n v="152985"/>
    <n v="130951"/>
    <n v="22034"/>
    <n v="118536"/>
    <n v="27444"/>
    <n v="4424"/>
    <s v="No"/>
    <n v="94"/>
    <n v="5"/>
    <x v="3"/>
  </r>
  <r>
    <x v="1702"/>
    <s v="Kavya Kumar"/>
    <n v="12"/>
    <x v="1"/>
    <s v="AB+"/>
    <s v="Kolkata"/>
    <d v="2023-04-27T00:00:00"/>
    <d v="2023-05-22T00:00:00"/>
    <n v="25"/>
    <x v="3"/>
    <s v="Migraine"/>
    <x v="6"/>
    <s v="Physiotherapy"/>
    <x v="2"/>
    <s v="Dr. Deepak Singh"/>
    <n v="186"/>
    <s v="Private"/>
    <x v="4"/>
    <n v="47788"/>
    <n v="0"/>
    <n v="47788"/>
    <n v="23971"/>
    <n v="10506"/>
    <n v="12790"/>
    <s v="No"/>
    <n v="61"/>
    <n v="3.4"/>
    <x v="4"/>
  </r>
  <r>
    <x v="1703"/>
    <s v="Vikram Joshi"/>
    <n v="78"/>
    <x v="0"/>
    <s v="A-"/>
    <s v="Delhi"/>
    <d v="2022-01-04T00:00:00"/>
    <d v="2022-01-21T00:00:00"/>
    <n v="17"/>
    <x v="1"/>
    <s v="UTI"/>
    <x v="2"/>
    <s v="Observation"/>
    <x v="1"/>
    <s v="Dr. Arun Joshi"/>
    <n v="375"/>
    <s v="ICU"/>
    <x v="2"/>
    <n v="46131"/>
    <n v="40010"/>
    <n v="6121"/>
    <n v="20763"/>
    <n v="6985"/>
    <n v="14693"/>
    <s v="No"/>
    <n v="77"/>
    <n v="2.1"/>
    <x v="3"/>
  </r>
  <r>
    <x v="1704"/>
    <s v="Sunil Nair"/>
    <n v="83"/>
    <x v="0"/>
    <s v="B-"/>
    <s v="Jaipur"/>
    <d v="2022-08-05T00:00:00"/>
    <d v="2022-09-04T00:00:00"/>
    <n v="30"/>
    <x v="3"/>
    <s v="Migraine"/>
    <x v="6"/>
    <s v="Dialysis"/>
    <x v="3"/>
    <s v="Dr. Prerna Sharma"/>
    <n v="214"/>
    <s v="ICU"/>
    <x v="3"/>
    <n v="175218"/>
    <n v="157000"/>
    <n v="18218"/>
    <n v="148049"/>
    <n v="18837"/>
    <n v="5216"/>
    <s v="No"/>
    <n v="54"/>
    <n v="4.5"/>
    <x v="2"/>
  </r>
  <r>
    <x v="1705"/>
    <s v="Sonia Singh"/>
    <n v="60"/>
    <x v="0"/>
    <s v="A+"/>
    <s v="Bangalore"/>
    <d v="2023-07-15T00:00:00"/>
    <d v="2023-07-20T00:00:00"/>
    <n v="5"/>
    <x v="3"/>
    <s v="Stroke"/>
    <x v="6"/>
    <s v="Dietary Management"/>
    <x v="2"/>
    <s v="Dr. Nisha Singh"/>
    <n v="381"/>
    <s v="Private"/>
    <x v="2"/>
    <n v="143990"/>
    <n v="114137"/>
    <n v="29853"/>
    <n v="125826"/>
    <n v="3499"/>
    <n v="13611"/>
    <s v="Yes"/>
    <n v="69"/>
    <n v="4.3"/>
    <x v="0"/>
  </r>
  <r>
    <x v="1706"/>
    <s v="Arjun Shah"/>
    <n v="8"/>
    <x v="1"/>
    <s v="B-"/>
    <s v="Mumbai"/>
    <d v="2023-12-10T00:00:00"/>
    <d v="2023-12-31T00:00:00"/>
    <n v="21"/>
    <x v="4"/>
    <s v="Hypertension"/>
    <x v="7"/>
    <s v="Observation"/>
    <x v="0"/>
    <s v="Dr. Prerna Singh"/>
    <n v="277"/>
    <s v="Private"/>
    <x v="0"/>
    <n v="91086"/>
    <n v="50087"/>
    <n v="40999"/>
    <n v="63294"/>
    <n v="22530"/>
    <n v="3763"/>
    <s v="Yes"/>
    <n v="69"/>
    <n v="3.7"/>
    <x v="1"/>
  </r>
  <r>
    <x v="1707"/>
    <s v="Nisha Nair"/>
    <n v="13"/>
    <x v="1"/>
    <s v="B+"/>
    <s v="Hyderabad"/>
    <d v="2022-12-31T00:00:00"/>
    <d v="2023-01-06T00:00:00"/>
    <n v="6"/>
    <x v="4"/>
    <s v="Hypertension"/>
    <x v="7"/>
    <s v="Counseling"/>
    <x v="1"/>
    <s v="Dr. Nisha Mehta"/>
    <n v="25"/>
    <s v="Private"/>
    <x v="0"/>
    <n v="74120"/>
    <n v="41823"/>
    <n v="32297"/>
    <n v="34009"/>
    <n v="28680"/>
    <n v="7716"/>
    <s v="Yes"/>
    <n v="92"/>
    <n v="2.5"/>
    <x v="0"/>
  </r>
  <r>
    <x v="1708"/>
    <s v="Pooja Joshi"/>
    <n v="47"/>
    <x v="1"/>
    <s v="O-"/>
    <s v="Mumbai"/>
    <d v="2024-09-04T00:00:00"/>
    <d v="2024-09-28T00:00:00"/>
    <n v="24"/>
    <x v="2"/>
    <s v="Cancer"/>
    <x v="3"/>
    <s v="Dialysis"/>
    <x v="1"/>
    <s v="Dr. Kavita Rao"/>
    <n v="152"/>
    <s v="Semi-Private"/>
    <x v="2"/>
    <n v="111235"/>
    <n v="78934"/>
    <n v="32301"/>
    <n v="69766"/>
    <n v="27815"/>
    <n v="11772"/>
    <s v="No"/>
    <n v="50"/>
    <n v="3.5"/>
    <x v="0"/>
  </r>
  <r>
    <x v="1709"/>
    <s v="Karan Gupta"/>
    <n v="35"/>
    <x v="1"/>
    <s v="O+"/>
    <s v="Hyderabad"/>
    <d v="2022-04-07T00:00:00"/>
    <d v="2022-05-02T00:00:00"/>
    <n v="25"/>
    <x v="2"/>
    <s v="Cancer"/>
    <x v="3"/>
    <s v="Observation"/>
    <x v="3"/>
    <s v="Dr. Rakesh Reddy"/>
    <n v="306"/>
    <s v="Private"/>
    <x v="0"/>
    <n v="133330"/>
    <n v="60975"/>
    <n v="72355"/>
    <n v="98418"/>
    <n v="25162"/>
    <n v="9094"/>
    <s v="No"/>
    <n v="73"/>
    <n v="3.2"/>
    <x v="1"/>
  </r>
  <r>
    <x v="1710"/>
    <s v="Ashok Kumar"/>
    <n v="41"/>
    <x v="0"/>
    <s v="B-"/>
    <s v="Bangalore"/>
    <d v="2022-04-06T00:00:00"/>
    <d v="2022-04-23T00:00:00"/>
    <n v="17"/>
    <x v="0"/>
    <s v="Dengue"/>
    <x v="1"/>
    <s v="ICU Care"/>
    <x v="1"/>
    <s v="Dr. Rakesh Nair"/>
    <n v="438"/>
    <s v="ICU"/>
    <x v="2"/>
    <n v="116896"/>
    <n v="74273"/>
    <n v="42623"/>
    <n v="92708"/>
    <n v="20154"/>
    <n v="954"/>
    <s v="Yes"/>
    <n v="53"/>
    <n v="3.4"/>
    <x v="2"/>
  </r>
  <r>
    <x v="1711"/>
    <s v="Sneha Patel"/>
    <n v="83"/>
    <x v="1"/>
    <s v="AB-"/>
    <s v="Hyderabad"/>
    <d v="2023-08-15T00:00:00"/>
    <d v="2023-08-24T00:00:00"/>
    <n v="9"/>
    <x v="0"/>
    <s v="Typhoid"/>
    <x v="1"/>
    <s v="Chemotherapy"/>
    <x v="1"/>
    <s v="Dr. Prerna Gupta"/>
    <n v="64"/>
    <s v="ICU"/>
    <x v="4"/>
    <n v="15940"/>
    <n v="0"/>
    <n v="15940"/>
    <n v="7591"/>
    <n v="1968"/>
    <n v="3783"/>
    <s v="No"/>
    <n v="73"/>
    <n v="4"/>
    <x v="0"/>
  </r>
  <r>
    <x v="1712"/>
    <s v="Manoj Nair"/>
    <n v="72"/>
    <x v="0"/>
    <s v="O-"/>
    <s v="Ahmedabad"/>
    <d v="2023-03-03T00:00:00"/>
    <d v="2023-03-19T00:00:00"/>
    <n v="16"/>
    <x v="1"/>
    <s v="UTI"/>
    <x v="2"/>
    <s v="Dietary Management"/>
    <x v="0"/>
    <s v="Dr. Vivek Joshi"/>
    <n v="485"/>
    <s v="General Ward"/>
    <x v="3"/>
    <n v="59146"/>
    <n v="48434"/>
    <n v="10712"/>
    <n v="40415"/>
    <n v="8180"/>
    <n v="6951"/>
    <s v="No"/>
    <n v="94"/>
    <n v="4.5999999999999996"/>
    <x v="4"/>
  </r>
  <r>
    <x v="1713"/>
    <s v="Rohan Kumar"/>
    <n v="23"/>
    <x v="1"/>
    <s v="A-"/>
    <s v="Jaipur"/>
    <d v="2022-01-04T00:00:00"/>
    <d v="2022-01-11T00:00:00"/>
    <n v="7"/>
    <x v="0"/>
    <s v="Anemia"/>
    <x v="4"/>
    <s v="Dietary Management"/>
    <x v="2"/>
    <s v="Dr. Deepak Mehta"/>
    <n v="183"/>
    <s v="Semi-Private"/>
    <x v="1"/>
    <n v="87873"/>
    <n v="50462"/>
    <n v="37411"/>
    <n v="78934"/>
    <n v="1155"/>
    <n v="5515"/>
    <s v="No"/>
    <n v="47"/>
    <n v="3.2"/>
    <x v="2"/>
  </r>
  <r>
    <x v="1714"/>
    <s v="Karan Menon"/>
    <n v="47"/>
    <x v="0"/>
    <s v="AB-"/>
    <s v="Pune"/>
    <d v="2022-09-29T00:00:00"/>
    <d v="2022-10-22T00:00:00"/>
    <n v="23"/>
    <x v="0"/>
    <s v="Anemia"/>
    <x v="4"/>
    <s v="Counseling"/>
    <x v="3"/>
    <s v="Dr. Deepak Sharma"/>
    <n v="112"/>
    <s v="General Ward"/>
    <x v="3"/>
    <n v="83561"/>
    <n v="51879"/>
    <n v="31682"/>
    <n v="56458"/>
    <n v="14119"/>
    <n v="8198"/>
    <s v="No"/>
    <n v="56"/>
    <n v="4.5"/>
    <x v="0"/>
  </r>
  <r>
    <x v="1715"/>
    <s v="Rahul Reddy"/>
    <n v="48"/>
    <x v="1"/>
    <s v="AB-"/>
    <s v="Kolkata"/>
    <d v="2023-07-03T00:00:00"/>
    <d v="2023-07-09T00:00:00"/>
    <n v="6"/>
    <x v="0"/>
    <s v="Liver Disease"/>
    <x v="0"/>
    <s v="Chemotherapy"/>
    <x v="2"/>
    <s v="Dr. Arun Reddy"/>
    <n v="490"/>
    <s v="Private"/>
    <x v="0"/>
    <n v="122955"/>
    <n v="50723"/>
    <n v="72232"/>
    <n v="101126"/>
    <n v="5444"/>
    <n v="12632"/>
    <s v="No"/>
    <n v="62"/>
    <n v="2.6"/>
    <x v="0"/>
  </r>
  <r>
    <x v="1716"/>
    <s v="Lata Pillai"/>
    <n v="64"/>
    <x v="1"/>
    <s v="O+"/>
    <s v="Mumbai"/>
    <d v="2022-07-10T00:00:00"/>
    <d v="2022-07-13T00:00:00"/>
    <n v="3"/>
    <x v="5"/>
    <s v="Asthma"/>
    <x v="8"/>
    <s v="Dietary Management"/>
    <x v="0"/>
    <s v="Dr. Rakesh Gupta"/>
    <n v="169"/>
    <s v="Private"/>
    <x v="3"/>
    <n v="99819"/>
    <n v="85531"/>
    <n v="14288"/>
    <n v="57875"/>
    <n v="23018"/>
    <n v="14744"/>
    <s v="Yes"/>
    <n v="88"/>
    <n v="3.8"/>
    <x v="0"/>
  </r>
  <r>
    <x v="1717"/>
    <s v="Priya Iyer"/>
    <n v="58"/>
    <x v="0"/>
    <s v="A-"/>
    <s v="Lucknow"/>
    <d v="2023-09-27T00:00:00"/>
    <d v="2023-10-09T00:00:00"/>
    <n v="12"/>
    <x v="3"/>
    <s v="Migraine"/>
    <x v="6"/>
    <s v="Dietary Management"/>
    <x v="0"/>
    <s v="Dr. Anjali Reddy"/>
    <n v="313"/>
    <s v="ICU"/>
    <x v="2"/>
    <n v="42285"/>
    <n v="25640"/>
    <n v="16645"/>
    <n v="13210"/>
    <n v="22735"/>
    <n v="3786"/>
    <s v="No"/>
    <n v="98"/>
    <n v="4.7"/>
    <x v="0"/>
  </r>
  <r>
    <x v="1718"/>
    <s v="Mukesh Iyer"/>
    <n v="17"/>
    <x v="1"/>
    <s v="A+"/>
    <s v="Hyderabad"/>
    <d v="2022-08-13T00:00:00"/>
    <d v="2022-09-05T00:00:00"/>
    <n v="23"/>
    <x v="0"/>
    <s v="Typhoid"/>
    <x v="1"/>
    <s v="Observation"/>
    <x v="3"/>
    <s v="Dr. Kavita Sharma"/>
    <n v="243"/>
    <s v="Semi-Private"/>
    <x v="2"/>
    <n v="177594"/>
    <n v="130868"/>
    <n v="46726"/>
    <n v="136821"/>
    <n v="22634"/>
    <n v="13492"/>
    <s v="No"/>
    <n v="44"/>
    <n v="4"/>
    <x v="4"/>
  </r>
  <r>
    <x v="1719"/>
    <s v="Sonia Iyer"/>
    <n v="80"/>
    <x v="1"/>
    <s v="AB+"/>
    <s v="Pune"/>
    <d v="2024-11-02T00:00:00"/>
    <d v="2024-11-17T00:00:00"/>
    <n v="15"/>
    <x v="4"/>
    <s v="Heart Attack"/>
    <x v="7"/>
    <s v="Observation"/>
    <x v="2"/>
    <s v="Dr. Rakesh Patel"/>
    <n v="61"/>
    <s v="General Ward"/>
    <x v="4"/>
    <n v="185225"/>
    <n v="0"/>
    <n v="185225"/>
    <n v="146040"/>
    <n v="29148"/>
    <n v="5936"/>
    <s v="No"/>
    <n v="98"/>
    <n v="4.0999999999999996"/>
    <x v="4"/>
  </r>
  <r>
    <x v="1720"/>
    <s v="Sonia Kumar"/>
    <n v="23"/>
    <x v="0"/>
    <s v="O-"/>
    <s v="Ahmedabad"/>
    <d v="2022-11-24T00:00:00"/>
    <d v="2022-12-12T00:00:00"/>
    <n v="18"/>
    <x v="6"/>
    <s v="Fracture"/>
    <x v="10"/>
    <s v="Physiotherapy"/>
    <x v="1"/>
    <s v="Dr. Sameer Gupta"/>
    <n v="389"/>
    <s v="Private"/>
    <x v="0"/>
    <n v="105183"/>
    <n v="61780"/>
    <n v="43403"/>
    <n v="72699"/>
    <n v="19921"/>
    <n v="11539"/>
    <s v="No"/>
    <n v="80"/>
    <n v="3.6"/>
    <x v="3"/>
  </r>
  <r>
    <x v="1721"/>
    <s v="Geeta Shah"/>
    <n v="76"/>
    <x v="0"/>
    <s v="O-"/>
    <s v="Chennai"/>
    <d v="2024-08-10T00:00:00"/>
    <d v="2024-09-02T00:00:00"/>
    <n v="23"/>
    <x v="2"/>
    <s v="Cancer"/>
    <x v="3"/>
    <s v="Dialysis"/>
    <x v="2"/>
    <s v="Dr. Anjali Joshi"/>
    <n v="105"/>
    <s v="General Ward"/>
    <x v="1"/>
    <n v="115753"/>
    <n v="80018"/>
    <n v="35735"/>
    <n v="89112"/>
    <n v="13072"/>
    <n v="9764"/>
    <s v="Yes"/>
    <n v="92"/>
    <n v="2.4"/>
    <x v="0"/>
  </r>
  <r>
    <x v="1722"/>
    <s v="Ashok Nair"/>
    <n v="37"/>
    <x v="1"/>
    <s v="O+"/>
    <s v="Hyderabad"/>
    <d v="2022-01-05T00:00:00"/>
    <d v="2022-01-06T00:00:00"/>
    <n v="1"/>
    <x v="0"/>
    <s v="Diabetes Type 2"/>
    <x v="9"/>
    <s v="Medication"/>
    <x v="0"/>
    <s v="Dr. Nisha Joshi"/>
    <n v="24"/>
    <s v="Semi-Private"/>
    <x v="0"/>
    <n v="56288"/>
    <n v="27790"/>
    <n v="28498"/>
    <n v="37253"/>
    <n v="2668"/>
    <n v="12404"/>
    <s v="No"/>
    <n v="68"/>
    <n v="4.3"/>
    <x v="0"/>
  </r>
  <r>
    <x v="1723"/>
    <s v="Meera Joshi"/>
    <n v="79"/>
    <x v="0"/>
    <s v="B+"/>
    <s v="Bangalore"/>
    <d v="2024-10-27T00:00:00"/>
    <d v="2024-11-18T00:00:00"/>
    <n v="22"/>
    <x v="0"/>
    <s v="Dengue"/>
    <x v="1"/>
    <s v="Physiotherapy"/>
    <x v="0"/>
    <s v="Dr. Kavita Singh"/>
    <n v="133"/>
    <s v="ICU"/>
    <x v="1"/>
    <n v="81498"/>
    <n v="52084"/>
    <n v="29414"/>
    <n v="44112"/>
    <n v="29304"/>
    <n v="6641"/>
    <s v="No"/>
    <n v="78"/>
    <n v="3.4"/>
    <x v="2"/>
  </r>
  <r>
    <x v="1724"/>
    <s v="Lata Khanna"/>
    <n v="57"/>
    <x v="0"/>
    <s v="O+"/>
    <s v="Ahmedabad"/>
    <d v="2024-01-21T00:00:00"/>
    <d v="2024-02-07T00:00:00"/>
    <n v="17"/>
    <x v="0"/>
    <s v="COVID-19"/>
    <x v="1"/>
    <s v="Chemotherapy"/>
    <x v="0"/>
    <s v="Dr. Prerna Sharma"/>
    <n v="430"/>
    <s v="Private"/>
    <x v="0"/>
    <n v="67132"/>
    <n v="42886"/>
    <n v="24246"/>
    <n v="42453"/>
    <n v="12619"/>
    <n v="11109"/>
    <s v="No"/>
    <n v="71"/>
    <n v="3.4"/>
    <x v="0"/>
  </r>
  <r>
    <x v="1725"/>
    <s v="Amit Mehta"/>
    <n v="56"/>
    <x v="1"/>
    <s v="A-"/>
    <s v="Ahmedabad"/>
    <d v="2023-08-16T00:00:00"/>
    <d v="2023-09-15T00:00:00"/>
    <n v="30"/>
    <x v="2"/>
    <s v="Cancer"/>
    <x v="3"/>
    <s v="Dialysis"/>
    <x v="1"/>
    <s v="Dr. Sameer Kumar"/>
    <n v="194"/>
    <s v="General Ward"/>
    <x v="2"/>
    <n v="92012"/>
    <n v="66497"/>
    <n v="25515"/>
    <n v="81943"/>
    <n v="4962"/>
    <n v="3792"/>
    <s v="No"/>
    <n v="71"/>
    <n v="3.4"/>
    <x v="2"/>
  </r>
  <r>
    <x v="1726"/>
    <s v="Meera Sharma"/>
    <n v="61"/>
    <x v="1"/>
    <s v="B+"/>
    <s v="Ahmedabad"/>
    <d v="2024-08-17T00:00:00"/>
    <d v="2024-08-21T00:00:00"/>
    <n v="4"/>
    <x v="0"/>
    <s v="COVID-19"/>
    <x v="1"/>
    <s v="Chemotherapy"/>
    <x v="3"/>
    <s v="Dr. Arun Joshi"/>
    <n v="448"/>
    <s v="Private"/>
    <x v="0"/>
    <n v="141873"/>
    <n v="86013"/>
    <n v="55860"/>
    <n v="125198"/>
    <n v="6153"/>
    <n v="9830"/>
    <s v="No"/>
    <n v="75"/>
    <n v="3.9"/>
    <x v="4"/>
  </r>
  <r>
    <x v="1727"/>
    <s v="Sonia Khanna"/>
    <n v="64"/>
    <x v="0"/>
    <s v="B+"/>
    <s v="Bangalore"/>
    <d v="2024-06-16T00:00:00"/>
    <d v="2024-06-18T00:00:00"/>
    <n v="2"/>
    <x v="5"/>
    <s v="Pneumonia"/>
    <x v="8"/>
    <s v="Dialysis"/>
    <x v="2"/>
    <s v="Dr. Prerna Joshi"/>
    <n v="328"/>
    <s v="Semi-Private"/>
    <x v="1"/>
    <n v="45825"/>
    <n v="32017"/>
    <n v="13808"/>
    <n v="22496"/>
    <n v="11438"/>
    <n v="8860"/>
    <s v="No"/>
    <n v="70"/>
    <n v="2.4"/>
    <x v="4"/>
  </r>
  <r>
    <x v="1728"/>
    <s v="Priya Rao"/>
    <n v="54"/>
    <x v="0"/>
    <s v="B+"/>
    <s v="Mumbai"/>
    <d v="2023-02-23T00:00:00"/>
    <d v="2023-03-09T00:00:00"/>
    <n v="14"/>
    <x v="0"/>
    <s v="Liver Disease"/>
    <x v="0"/>
    <s v="Observation"/>
    <x v="1"/>
    <s v="Dr. Nisha Kumar"/>
    <n v="17"/>
    <s v="Semi-Private"/>
    <x v="3"/>
    <n v="36193"/>
    <n v="29333"/>
    <n v="6860"/>
    <n v="21952"/>
    <n v="8784"/>
    <n v="4716"/>
    <s v="No"/>
    <n v="70"/>
    <n v="2.7"/>
    <x v="2"/>
  </r>
  <r>
    <x v="1729"/>
    <s v="Vikram Patel"/>
    <n v="60"/>
    <x v="0"/>
    <s v="AB-"/>
    <s v="Kolkata"/>
    <d v="2024-04-11T00:00:00"/>
    <d v="2024-04-22T00:00:00"/>
    <n v="11"/>
    <x v="1"/>
    <s v="UTI"/>
    <x v="2"/>
    <s v="ICU Care"/>
    <x v="2"/>
    <s v="Dr. Sameer Singh"/>
    <n v="81"/>
    <s v="General Ward"/>
    <x v="3"/>
    <n v="94324"/>
    <n v="76439"/>
    <n v="17885"/>
    <n v="77755"/>
    <n v="8250"/>
    <n v="5987"/>
    <s v="No"/>
    <n v="72"/>
    <n v="4.2"/>
    <x v="3"/>
  </r>
  <r>
    <x v="1730"/>
    <s v="Sunil Pillai"/>
    <n v="6"/>
    <x v="0"/>
    <s v="A-"/>
    <s v="Chennai"/>
    <d v="2024-11-29T00:00:00"/>
    <d v="2024-12-01T00:00:00"/>
    <n v="2"/>
    <x v="0"/>
    <s v="Dengue"/>
    <x v="1"/>
    <s v="Chemotherapy"/>
    <x v="2"/>
    <s v="Dr. Prerna Reddy"/>
    <n v="194"/>
    <s v="ICU"/>
    <x v="1"/>
    <n v="126172"/>
    <n v="81967"/>
    <n v="44205"/>
    <n v="105885"/>
    <n v="10719"/>
    <n v="6347"/>
    <s v="Yes"/>
    <n v="47"/>
    <n v="2.9"/>
    <x v="3"/>
  </r>
  <r>
    <x v="1731"/>
    <s v="Sunil Sharma"/>
    <n v="49"/>
    <x v="0"/>
    <s v="AB-"/>
    <s v="Mumbai"/>
    <d v="2024-01-16T00:00:00"/>
    <d v="2024-01-22T00:00:00"/>
    <n v="6"/>
    <x v="0"/>
    <s v="Liver Disease"/>
    <x v="0"/>
    <s v="Medication"/>
    <x v="0"/>
    <s v="Dr. Deepak Gupta"/>
    <n v="456"/>
    <s v="Private"/>
    <x v="4"/>
    <n v="49647"/>
    <n v="0"/>
    <n v="49647"/>
    <n v="29277"/>
    <n v="5151"/>
    <n v="13155"/>
    <s v="No"/>
    <n v="83"/>
    <n v="3.8"/>
    <x v="0"/>
  </r>
  <r>
    <x v="1732"/>
    <s v="Sanjay Khanna"/>
    <n v="27"/>
    <x v="0"/>
    <s v="AB+"/>
    <s v="Lucknow"/>
    <d v="2022-11-05T00:00:00"/>
    <d v="2022-12-03T00:00:00"/>
    <n v="28"/>
    <x v="3"/>
    <s v="Migraine"/>
    <x v="6"/>
    <s v="ICU Care"/>
    <x v="0"/>
    <s v="Dr. Arun Sharma"/>
    <n v="197"/>
    <s v="Semi-Private"/>
    <x v="4"/>
    <n v="106434"/>
    <n v="0"/>
    <n v="106434"/>
    <n v="95659"/>
    <n v="3061"/>
    <n v="6499"/>
    <s v="No"/>
    <n v="88"/>
    <n v="4.9000000000000004"/>
    <x v="4"/>
  </r>
  <r>
    <x v="1733"/>
    <s v="Manoj Shah"/>
    <n v="14"/>
    <x v="1"/>
    <s v="AB-"/>
    <s v="Jaipur"/>
    <d v="2023-05-28T00:00:00"/>
    <d v="2023-06-16T00:00:00"/>
    <n v="19"/>
    <x v="0"/>
    <s v="Dengue"/>
    <x v="1"/>
    <s v="Surgery"/>
    <x v="2"/>
    <s v="Dr. Anjali Reddy"/>
    <n v="137"/>
    <s v="Private"/>
    <x v="4"/>
    <n v="167971"/>
    <n v="0"/>
    <n v="167971"/>
    <n v="143925"/>
    <n v="22180"/>
    <n v="825"/>
    <s v="No"/>
    <n v="71"/>
    <n v="3.3"/>
    <x v="2"/>
  </r>
  <r>
    <x v="1734"/>
    <s v="Sneha Mehta"/>
    <n v="39"/>
    <x v="0"/>
    <s v="A-"/>
    <s v="Kolkata"/>
    <d v="2023-07-22T00:00:00"/>
    <d v="2023-08-13T00:00:00"/>
    <n v="22"/>
    <x v="3"/>
    <s v="Migraine"/>
    <x v="6"/>
    <s v="ICU Care"/>
    <x v="2"/>
    <s v="Dr. Vivek Kumar"/>
    <n v="128"/>
    <s v="Semi-Private"/>
    <x v="0"/>
    <n v="81378"/>
    <n v="54595"/>
    <n v="26783"/>
    <n v="38425"/>
    <n v="28749"/>
    <n v="11561"/>
    <s v="No"/>
    <n v="42"/>
    <n v="4.2"/>
    <x v="0"/>
  </r>
  <r>
    <x v="1735"/>
    <s v="Sneha Sharma"/>
    <n v="18"/>
    <x v="0"/>
    <s v="A-"/>
    <s v="Bangalore"/>
    <d v="2024-06-25T00:00:00"/>
    <d v="2024-06-28T00:00:00"/>
    <n v="3"/>
    <x v="0"/>
    <s v="Liver Disease"/>
    <x v="0"/>
    <s v="Counseling"/>
    <x v="3"/>
    <s v="Dr. Arun Nair"/>
    <n v="308"/>
    <s v="Private"/>
    <x v="0"/>
    <n v="164891"/>
    <n v="93352"/>
    <n v="71539"/>
    <n v="122292"/>
    <n v="26167"/>
    <n v="13458"/>
    <s v="No"/>
    <n v="95"/>
    <n v="3.9"/>
    <x v="3"/>
  </r>
  <r>
    <x v="1736"/>
    <s v="Lata Gupta"/>
    <n v="56"/>
    <x v="1"/>
    <s v="AB-"/>
    <s v="Lucknow"/>
    <d v="2023-05-27T00:00:00"/>
    <d v="2023-05-28T00:00:00"/>
    <n v="1"/>
    <x v="4"/>
    <s v="Hypertension"/>
    <x v="7"/>
    <s v="Medication"/>
    <x v="3"/>
    <s v="Dr. Deepak Nair"/>
    <n v="413"/>
    <s v="General Ward"/>
    <x v="4"/>
    <n v="151445"/>
    <n v="0"/>
    <n v="151445"/>
    <n v="138134"/>
    <n v="2369"/>
    <n v="9453"/>
    <s v="No"/>
    <n v="52"/>
    <n v="2.6"/>
    <x v="3"/>
  </r>
  <r>
    <x v="1737"/>
    <s v="Amit Patel"/>
    <n v="75"/>
    <x v="1"/>
    <s v="A+"/>
    <s v="Pune"/>
    <d v="2024-02-11T00:00:00"/>
    <d v="2024-03-05T00:00:00"/>
    <n v="23"/>
    <x v="2"/>
    <s v="Cancer"/>
    <x v="3"/>
    <s v="Counseling"/>
    <x v="0"/>
    <s v="Dr. Shalini Rao"/>
    <n v="20"/>
    <s v="Semi-Private"/>
    <x v="2"/>
    <n v="76045"/>
    <n v="61634"/>
    <n v="14411"/>
    <n v="66843"/>
    <n v="3244"/>
    <n v="2092"/>
    <s v="No"/>
    <n v="66"/>
    <n v="2.1"/>
    <x v="2"/>
  </r>
  <r>
    <x v="1738"/>
    <s v="Rajesh Singh"/>
    <n v="25"/>
    <x v="0"/>
    <s v="AB+"/>
    <s v="Ahmedabad"/>
    <d v="2024-05-14T00:00:00"/>
    <d v="2024-06-08T00:00:00"/>
    <n v="25"/>
    <x v="5"/>
    <s v="Asthma"/>
    <x v="8"/>
    <s v="Counseling"/>
    <x v="1"/>
    <s v="Dr. Sameer Kumar"/>
    <n v="290"/>
    <s v="Semi-Private"/>
    <x v="3"/>
    <n v="59968"/>
    <n v="47169"/>
    <n v="12799"/>
    <n v="46600"/>
    <n v="2689"/>
    <n v="7988"/>
    <s v="No"/>
    <n v="90"/>
    <n v="4.5"/>
    <x v="0"/>
  </r>
  <r>
    <x v="1739"/>
    <s v="Mukesh Verma"/>
    <n v="81"/>
    <x v="1"/>
    <s v="B+"/>
    <s v="Kolkata"/>
    <d v="2022-01-10T00:00:00"/>
    <d v="2022-02-07T00:00:00"/>
    <n v="28"/>
    <x v="0"/>
    <s v="Obesity"/>
    <x v="12"/>
    <s v="Medication"/>
    <x v="2"/>
    <s v="Dr. Kavita Patel"/>
    <n v="371"/>
    <s v="Private"/>
    <x v="3"/>
    <n v="131671"/>
    <n v="98573"/>
    <n v="33098"/>
    <n v="101847"/>
    <n v="14672"/>
    <n v="11753"/>
    <s v="No"/>
    <n v="47"/>
    <n v="4.3"/>
    <x v="4"/>
  </r>
  <r>
    <x v="1740"/>
    <s v="Nisha Bose"/>
    <n v="70"/>
    <x v="1"/>
    <s v="B-"/>
    <s v="Mumbai"/>
    <d v="2023-08-08T00:00:00"/>
    <d v="2023-08-27T00:00:00"/>
    <n v="19"/>
    <x v="0"/>
    <s v="Liver Disease"/>
    <x v="0"/>
    <s v="Medication"/>
    <x v="3"/>
    <s v="Dr. Kavita Nair"/>
    <n v="292"/>
    <s v="ICU"/>
    <x v="4"/>
    <n v="53680"/>
    <n v="0"/>
    <n v="53680"/>
    <n v="31326"/>
    <n v="14039"/>
    <n v="4934"/>
    <s v="Yes"/>
    <n v="64"/>
    <n v="2.4"/>
    <x v="0"/>
  </r>
  <r>
    <x v="1741"/>
    <s v="Mukesh Verma"/>
    <n v="29"/>
    <x v="1"/>
    <s v="B+"/>
    <s v="Chennai"/>
    <d v="2022-02-17T00:00:00"/>
    <d v="2022-03-05T00:00:00"/>
    <n v="16"/>
    <x v="5"/>
    <s v="Pneumonia"/>
    <x v="8"/>
    <s v="Counseling"/>
    <x v="0"/>
    <s v="Dr. Vivek Singh"/>
    <n v="49"/>
    <s v="Semi-Private"/>
    <x v="3"/>
    <n v="53963"/>
    <n v="45568"/>
    <n v="8395"/>
    <n v="30883"/>
    <n v="8129"/>
    <n v="11469"/>
    <s v="No"/>
    <n v="63"/>
    <n v="3.5"/>
    <x v="1"/>
  </r>
  <r>
    <x v="1742"/>
    <s v="Ritu Chopra"/>
    <n v="20"/>
    <x v="1"/>
    <s v="O-"/>
    <s v="Jaipur"/>
    <d v="2023-02-14T00:00:00"/>
    <d v="2023-03-05T00:00:00"/>
    <n v="19"/>
    <x v="2"/>
    <s v="Cancer"/>
    <x v="3"/>
    <s v="Medication"/>
    <x v="2"/>
    <s v="Dr. Nisha Singh"/>
    <n v="325"/>
    <s v="Private"/>
    <x v="0"/>
    <n v="159664"/>
    <n v="90909"/>
    <n v="68755"/>
    <n v="129210"/>
    <n v="17874"/>
    <n v="9190"/>
    <s v="No"/>
    <n v="47"/>
    <n v="3.8"/>
    <x v="3"/>
  </r>
  <r>
    <x v="1743"/>
    <s v="Pooja Menon"/>
    <n v="54"/>
    <x v="0"/>
    <s v="AB+"/>
    <s v="Lucknow"/>
    <d v="2023-02-06T00:00:00"/>
    <d v="2023-02-12T00:00:00"/>
    <n v="6"/>
    <x v="1"/>
    <s v="Kidney Stone"/>
    <x v="2"/>
    <s v="Observation"/>
    <x v="2"/>
    <s v="Dr. Anjali Joshi"/>
    <n v="353"/>
    <s v="Semi-Private"/>
    <x v="0"/>
    <n v="94248"/>
    <n v="40043"/>
    <n v="54205"/>
    <n v="67912"/>
    <n v="14576"/>
    <n v="9328"/>
    <s v="No"/>
    <n v="61"/>
    <n v="2.7"/>
    <x v="1"/>
  </r>
  <r>
    <x v="1744"/>
    <s v="Sneha Pillai"/>
    <n v="31"/>
    <x v="0"/>
    <s v="O-"/>
    <s v="Ahmedabad"/>
    <d v="2022-03-09T00:00:00"/>
    <d v="2022-03-15T00:00:00"/>
    <n v="6"/>
    <x v="5"/>
    <s v="Pneumonia"/>
    <x v="8"/>
    <s v="Medication"/>
    <x v="1"/>
    <s v="Dr. Anjali Gupta"/>
    <n v="42"/>
    <s v="General Ward"/>
    <x v="3"/>
    <n v="67370"/>
    <n v="57956"/>
    <n v="9414"/>
    <n v="39064"/>
    <n v="19482"/>
    <n v="5352"/>
    <s v="Yes"/>
    <n v="87"/>
    <n v="3.2"/>
    <x v="0"/>
  </r>
  <r>
    <x v="1745"/>
    <s v="Deepa Nair"/>
    <n v="63"/>
    <x v="1"/>
    <s v="O-"/>
    <s v="Chennai"/>
    <d v="2023-07-23T00:00:00"/>
    <d v="2023-07-27T00:00:00"/>
    <n v="4"/>
    <x v="1"/>
    <s v="UTI"/>
    <x v="2"/>
    <s v="Dietary Management"/>
    <x v="1"/>
    <s v="Dr. Arun Reddy"/>
    <n v="96"/>
    <s v="Semi-Private"/>
    <x v="2"/>
    <n v="176921"/>
    <n v="157442"/>
    <n v="19479"/>
    <n v="143566"/>
    <n v="15129"/>
    <n v="14229"/>
    <s v="No"/>
    <n v="80"/>
    <n v="2.1"/>
    <x v="4"/>
  </r>
  <r>
    <x v="1746"/>
    <s v="Pooja Bose"/>
    <n v="37"/>
    <x v="0"/>
    <s v="AB-"/>
    <s v="Bangalore"/>
    <d v="2022-04-16T00:00:00"/>
    <d v="2022-05-09T00:00:00"/>
    <n v="23"/>
    <x v="0"/>
    <s v="Appendicitis"/>
    <x v="0"/>
    <s v="Medication"/>
    <x v="3"/>
    <s v="Dr. Arun Nair"/>
    <n v="118"/>
    <s v="Private"/>
    <x v="0"/>
    <n v="168041"/>
    <n v="87093"/>
    <n v="80948"/>
    <n v="127755"/>
    <n v="28727"/>
    <n v="9639"/>
    <s v="No"/>
    <n v="81"/>
    <n v="3.6"/>
    <x v="4"/>
  </r>
  <r>
    <x v="1747"/>
    <s v="Manoj Bose"/>
    <n v="84"/>
    <x v="0"/>
    <s v="B-"/>
    <s v="Chennai"/>
    <d v="2023-08-02T00:00:00"/>
    <d v="2023-08-07T00:00:00"/>
    <n v="5"/>
    <x v="5"/>
    <s v="Pneumonia"/>
    <x v="8"/>
    <s v="Chemotherapy"/>
    <x v="2"/>
    <s v="Dr. Shalini Mehta"/>
    <n v="69"/>
    <s v="Private"/>
    <x v="0"/>
    <n v="138408"/>
    <n v="74090"/>
    <n v="64318"/>
    <n v="99393"/>
    <n v="26040"/>
    <n v="8569"/>
    <s v="No"/>
    <n v="69"/>
    <n v="2.8"/>
    <x v="4"/>
  </r>
  <r>
    <x v="1748"/>
    <s v="Sunita Verma"/>
    <n v="11"/>
    <x v="1"/>
    <s v="A-"/>
    <s v="Jaipur"/>
    <d v="2024-12-12T00:00:00"/>
    <d v="2024-12-31T00:00:00"/>
    <n v="19"/>
    <x v="1"/>
    <s v="Kidney Stone"/>
    <x v="2"/>
    <s v="Surgery"/>
    <x v="1"/>
    <s v="Dr. Rakesh Nair"/>
    <n v="159"/>
    <s v="ICU"/>
    <x v="2"/>
    <n v="97628"/>
    <n v="74136"/>
    <n v="23492"/>
    <n v="64578"/>
    <n v="24297"/>
    <n v="6700"/>
    <s v="No"/>
    <n v="65"/>
    <n v="4.0999999999999996"/>
    <x v="0"/>
  </r>
  <r>
    <x v="1749"/>
    <s v="Meera Pillai"/>
    <n v="69"/>
    <x v="0"/>
    <s v="B+"/>
    <s v="Mumbai"/>
    <d v="2023-08-08T00:00:00"/>
    <d v="2023-08-23T00:00:00"/>
    <n v="15"/>
    <x v="0"/>
    <s v="Dengue"/>
    <x v="1"/>
    <s v="Counseling"/>
    <x v="2"/>
    <s v="Dr. Nisha Nair"/>
    <n v="406"/>
    <s v="Private"/>
    <x v="3"/>
    <n v="150866"/>
    <n v="116600"/>
    <n v="34266"/>
    <n v="129467"/>
    <n v="2834"/>
    <n v="14925"/>
    <s v="No"/>
    <n v="93"/>
    <n v="2.7"/>
    <x v="0"/>
  </r>
  <r>
    <x v="1750"/>
    <s v="Ananya Das"/>
    <n v="48"/>
    <x v="1"/>
    <s v="B+"/>
    <s v="Mumbai"/>
    <d v="2022-11-04T00:00:00"/>
    <d v="2022-12-04T00:00:00"/>
    <n v="30"/>
    <x v="0"/>
    <s v="Dengue"/>
    <x v="1"/>
    <s v="Observation"/>
    <x v="1"/>
    <s v="Dr. Vivek Gupta"/>
    <n v="304"/>
    <s v="Private"/>
    <x v="3"/>
    <n v="156523"/>
    <n v="125117"/>
    <n v="31406"/>
    <n v="121681"/>
    <n v="22130"/>
    <n v="7909"/>
    <s v="Yes"/>
    <n v="88"/>
    <n v="3.7"/>
    <x v="4"/>
  </r>
  <r>
    <x v="1751"/>
    <s v="Suresh Khanna"/>
    <n v="15"/>
    <x v="1"/>
    <s v="O-"/>
    <s v="Lucknow"/>
    <d v="2023-08-19T00:00:00"/>
    <d v="2023-09-13T00:00:00"/>
    <n v="25"/>
    <x v="0"/>
    <s v="Dengue"/>
    <x v="1"/>
    <s v="Physiotherapy"/>
    <x v="1"/>
    <s v="Dr. Prerna Nair"/>
    <n v="172"/>
    <s v="ICU"/>
    <x v="0"/>
    <n v="93795"/>
    <n v="39977"/>
    <n v="53818"/>
    <n v="65203"/>
    <n v="21727"/>
    <n v="5942"/>
    <s v="No"/>
    <n v="53"/>
    <n v="3.5"/>
    <x v="0"/>
  </r>
  <r>
    <x v="1752"/>
    <s v="Pooja Gupta"/>
    <n v="56"/>
    <x v="1"/>
    <s v="AB+"/>
    <s v="Pune"/>
    <d v="2023-08-22T00:00:00"/>
    <d v="2023-09-16T00:00:00"/>
    <n v="25"/>
    <x v="0"/>
    <s v="Obesity"/>
    <x v="12"/>
    <s v="Radiation Therapy"/>
    <x v="0"/>
    <s v="Dr. Shalini Patel"/>
    <n v="363"/>
    <s v="ICU"/>
    <x v="1"/>
    <n v="89117"/>
    <n v="36190"/>
    <n v="52927"/>
    <n v="45291"/>
    <n v="27545"/>
    <n v="14674"/>
    <s v="No"/>
    <n v="81"/>
    <n v="2.4"/>
    <x v="3"/>
  </r>
  <r>
    <x v="1753"/>
    <s v="Sneha Nair"/>
    <n v="27"/>
    <x v="0"/>
    <s v="AB+"/>
    <s v="Lucknow"/>
    <d v="2022-04-29T00:00:00"/>
    <d v="2022-05-12T00:00:00"/>
    <n v="13"/>
    <x v="4"/>
    <s v="Heart Attack"/>
    <x v="7"/>
    <s v="Surgery"/>
    <x v="3"/>
    <s v="Dr. Anjali Kumar"/>
    <n v="301"/>
    <s v="Private"/>
    <x v="2"/>
    <n v="111723"/>
    <n v="85973"/>
    <n v="25750"/>
    <n v="71416"/>
    <n v="29411"/>
    <n v="10046"/>
    <s v="No"/>
    <n v="46"/>
    <n v="3.9"/>
    <x v="3"/>
  </r>
  <r>
    <x v="1754"/>
    <s v="Sunita Das"/>
    <n v="6"/>
    <x v="1"/>
    <s v="O+"/>
    <s v="Pune"/>
    <d v="2024-11-20T00:00:00"/>
    <d v="2024-12-13T00:00:00"/>
    <n v="23"/>
    <x v="0"/>
    <s v="Typhoid"/>
    <x v="1"/>
    <s v="Dialysis"/>
    <x v="2"/>
    <s v="Dr. Sameer Gupta"/>
    <n v="440"/>
    <s v="Private"/>
    <x v="1"/>
    <n v="130962"/>
    <n v="76711"/>
    <n v="54251"/>
    <n v="108305"/>
    <n v="14878"/>
    <n v="6227"/>
    <s v="No"/>
    <n v="52"/>
    <n v="4.5999999999999996"/>
    <x v="1"/>
  </r>
  <r>
    <x v="1755"/>
    <s v="Sneha Malhotra"/>
    <n v="20"/>
    <x v="0"/>
    <s v="B+"/>
    <s v="Pune"/>
    <d v="2022-05-11T00:00:00"/>
    <d v="2022-05-17T00:00:00"/>
    <n v="6"/>
    <x v="3"/>
    <s v="Stroke"/>
    <x v="6"/>
    <s v="Chemotherapy"/>
    <x v="2"/>
    <s v="Dr. Nisha Reddy"/>
    <n v="484"/>
    <s v="ICU"/>
    <x v="3"/>
    <n v="138247"/>
    <n v="103590"/>
    <n v="34657"/>
    <n v="102816"/>
    <n v="23135"/>
    <n v="7831"/>
    <s v="No"/>
    <n v="97"/>
    <n v="4.2"/>
    <x v="2"/>
  </r>
  <r>
    <x v="1756"/>
    <s v="Karan Verma"/>
    <n v="73"/>
    <x v="0"/>
    <s v="O-"/>
    <s v="Mumbai"/>
    <d v="2023-02-28T00:00:00"/>
    <d v="2023-03-22T00:00:00"/>
    <n v="22"/>
    <x v="6"/>
    <s v="Fracture"/>
    <x v="10"/>
    <s v="Dialysis"/>
    <x v="0"/>
    <s v="Dr. Shalini Patel"/>
    <n v="132"/>
    <s v="General Ward"/>
    <x v="3"/>
    <n v="146408"/>
    <n v="125945"/>
    <n v="20463"/>
    <n v="130143"/>
    <n v="3458"/>
    <n v="10814"/>
    <s v="Yes"/>
    <n v="90"/>
    <n v="3.2"/>
    <x v="0"/>
  </r>
  <r>
    <x v="1757"/>
    <s v="Divya Patel"/>
    <n v="66"/>
    <x v="0"/>
    <s v="AB+"/>
    <s v="Kolkata"/>
    <d v="2024-04-24T00:00:00"/>
    <d v="2024-05-14T00:00:00"/>
    <n v="20"/>
    <x v="0"/>
    <s v="Typhoid"/>
    <x v="1"/>
    <s v="Radiation Therapy"/>
    <x v="2"/>
    <s v="Dr. Prerna Gupta"/>
    <n v="62"/>
    <s v="Semi-Private"/>
    <x v="4"/>
    <n v="89284"/>
    <n v="0"/>
    <n v="89284"/>
    <n v="65362"/>
    <n v="13066"/>
    <n v="6890"/>
    <s v="No"/>
    <n v="91"/>
    <n v="2.7"/>
    <x v="3"/>
  </r>
  <r>
    <x v="1758"/>
    <s v="Suresh Gupta"/>
    <n v="49"/>
    <x v="1"/>
    <s v="AB+"/>
    <s v="Lucknow"/>
    <d v="2024-02-01T00:00:00"/>
    <d v="2024-02-24T00:00:00"/>
    <n v="23"/>
    <x v="5"/>
    <s v="Pneumonia"/>
    <x v="8"/>
    <s v="ICU Care"/>
    <x v="0"/>
    <s v="Dr. Vivek Gupta"/>
    <n v="106"/>
    <s v="Private"/>
    <x v="2"/>
    <n v="162962"/>
    <n v="134254"/>
    <n v="28708"/>
    <n v="129400"/>
    <n v="19357"/>
    <n v="12939"/>
    <s v="No"/>
    <n v="51"/>
    <n v="3.6"/>
    <x v="2"/>
  </r>
  <r>
    <x v="1759"/>
    <s v="Rajesh Menon"/>
    <n v="43"/>
    <x v="0"/>
    <s v="AB+"/>
    <s v="Hyderabad"/>
    <d v="2024-04-30T00:00:00"/>
    <d v="2024-05-24T00:00:00"/>
    <n v="24"/>
    <x v="6"/>
    <s v="Fracture"/>
    <x v="10"/>
    <s v="Observation"/>
    <x v="1"/>
    <s v="Dr. Rakesh Rao"/>
    <n v="358"/>
    <s v="Semi-Private"/>
    <x v="3"/>
    <n v="88387"/>
    <n v="57700"/>
    <n v="30687"/>
    <n v="67006"/>
    <n v="4516"/>
    <n v="13131"/>
    <s v="No"/>
    <n v="68"/>
    <n v="3"/>
    <x v="1"/>
  </r>
  <r>
    <x v="1760"/>
    <s v="Rohan Reddy"/>
    <n v="79"/>
    <x v="1"/>
    <s v="O-"/>
    <s v="Delhi"/>
    <d v="2023-11-21T00:00:00"/>
    <d v="2023-12-04T00:00:00"/>
    <n v="13"/>
    <x v="3"/>
    <s v="Migraine"/>
    <x v="6"/>
    <s v="Medication"/>
    <x v="1"/>
    <s v="Dr. Vivek Reddy"/>
    <n v="200"/>
    <s v="Semi-Private"/>
    <x v="2"/>
    <n v="44613"/>
    <n v="31972"/>
    <n v="12641"/>
    <n v="19107"/>
    <n v="12753"/>
    <n v="11621"/>
    <s v="Yes"/>
    <n v="72"/>
    <n v="3.4"/>
    <x v="3"/>
  </r>
  <r>
    <x v="1761"/>
    <s v="Rekha Rao"/>
    <n v="69"/>
    <x v="1"/>
    <s v="A-"/>
    <s v="Chennai"/>
    <d v="2024-01-16T00:00:00"/>
    <d v="2024-02-10T00:00:00"/>
    <n v="25"/>
    <x v="3"/>
    <s v="Stroke"/>
    <x v="6"/>
    <s v="Chemotherapy"/>
    <x v="0"/>
    <s v="Dr. Nisha Mehta"/>
    <n v="248"/>
    <s v="Semi-Private"/>
    <x v="1"/>
    <n v="125836"/>
    <n v="65154"/>
    <n v="60682"/>
    <n v="88074"/>
    <n v="20029"/>
    <n v="12776"/>
    <s v="No"/>
    <n v="84"/>
    <n v="2.2000000000000002"/>
    <x v="1"/>
  </r>
  <r>
    <x v="1762"/>
    <s v="Deepa Das"/>
    <n v="80"/>
    <x v="1"/>
    <s v="AB-"/>
    <s v="Delhi"/>
    <d v="2023-01-09T00:00:00"/>
    <d v="2023-02-01T00:00:00"/>
    <n v="23"/>
    <x v="0"/>
    <s v="Obesity"/>
    <x v="12"/>
    <s v="Observation"/>
    <x v="1"/>
    <s v="Dr. Nisha Singh"/>
    <n v="361"/>
    <s v="Semi-Private"/>
    <x v="3"/>
    <n v="22910"/>
    <n v="17690"/>
    <n v="5220"/>
    <n v="7481"/>
    <n v="2626"/>
    <n v="11261"/>
    <s v="No"/>
    <n v="84"/>
    <n v="4.5"/>
    <x v="2"/>
  </r>
  <r>
    <x v="1763"/>
    <s v="Vikram Chopra"/>
    <n v="70"/>
    <x v="1"/>
    <s v="AB-"/>
    <s v="Hyderabad"/>
    <d v="2024-05-11T00:00:00"/>
    <d v="2024-05-12T00:00:00"/>
    <n v="1"/>
    <x v="4"/>
    <s v="Heart Attack"/>
    <x v="7"/>
    <s v="Chemotherapy"/>
    <x v="0"/>
    <s v="Dr. Deepak Nair"/>
    <n v="148"/>
    <s v="General Ward"/>
    <x v="4"/>
    <n v="156272"/>
    <n v="0"/>
    <n v="156272"/>
    <n v="135999"/>
    <n v="16795"/>
    <n v="1869"/>
    <s v="No"/>
    <n v="44"/>
    <n v="3.6"/>
    <x v="2"/>
  </r>
  <r>
    <x v="1764"/>
    <s v="Manoj Shah"/>
    <n v="13"/>
    <x v="0"/>
    <s v="AB+"/>
    <s v="Delhi"/>
    <d v="2024-08-26T00:00:00"/>
    <d v="2024-09-09T00:00:00"/>
    <n v="14"/>
    <x v="1"/>
    <s v="Kidney Stone"/>
    <x v="2"/>
    <s v="Counseling"/>
    <x v="2"/>
    <s v="Dr. Sameer Reddy"/>
    <n v="355"/>
    <s v="Private"/>
    <x v="4"/>
    <n v="75226"/>
    <n v="0"/>
    <n v="75226"/>
    <n v="38985"/>
    <n v="23636"/>
    <n v="9458"/>
    <s v="No"/>
    <n v="82"/>
    <n v="2.1"/>
    <x v="4"/>
  </r>
  <r>
    <x v="1765"/>
    <s v="Suresh Sharma"/>
    <n v="24"/>
    <x v="1"/>
    <s v="B+"/>
    <s v="Lucknow"/>
    <d v="2023-04-02T00:00:00"/>
    <d v="2023-04-28T00:00:00"/>
    <n v="26"/>
    <x v="2"/>
    <s v="Cancer"/>
    <x v="3"/>
    <s v="Physiotherapy"/>
    <x v="0"/>
    <s v="Dr. Deepak Rao"/>
    <n v="255"/>
    <s v="General Ward"/>
    <x v="4"/>
    <n v="85830"/>
    <n v="0"/>
    <n v="85830"/>
    <n v="55826"/>
    <n v="12493"/>
    <n v="13653"/>
    <s v="No"/>
    <n v="100"/>
    <n v="2.5"/>
    <x v="0"/>
  </r>
  <r>
    <x v="1766"/>
    <s v="Sunita Rao"/>
    <n v="68"/>
    <x v="0"/>
    <s v="AB+"/>
    <s v="Hyderabad"/>
    <d v="2024-01-08T00:00:00"/>
    <d v="2024-01-19T00:00:00"/>
    <n v="11"/>
    <x v="0"/>
    <s v="Diabetes Type 2"/>
    <x v="9"/>
    <s v="Physiotherapy"/>
    <x v="2"/>
    <s v="Dr. Prerna Sharma"/>
    <n v="473"/>
    <s v="General Ward"/>
    <x v="1"/>
    <n v="135049"/>
    <n v="75344"/>
    <n v="59705"/>
    <n v="97647"/>
    <n v="24788"/>
    <n v="11711"/>
    <s v="Yes"/>
    <n v="74"/>
    <n v="3.4"/>
    <x v="4"/>
  </r>
  <r>
    <x v="1767"/>
    <s v="Geeta Rao"/>
    <n v="49"/>
    <x v="1"/>
    <s v="O-"/>
    <s v="Jaipur"/>
    <d v="2022-08-16T00:00:00"/>
    <d v="2022-09-06T00:00:00"/>
    <n v="21"/>
    <x v="4"/>
    <s v="Hypertension"/>
    <x v="7"/>
    <s v="Counseling"/>
    <x v="1"/>
    <s v="Dr. Prerna Sharma"/>
    <n v="288"/>
    <s v="ICU"/>
    <x v="3"/>
    <n v="168600"/>
    <n v="126427"/>
    <n v="42173"/>
    <n v="133928"/>
    <n v="27336"/>
    <n v="4759"/>
    <s v="Yes"/>
    <n v="53"/>
    <n v="3.3"/>
    <x v="0"/>
  </r>
  <r>
    <x v="1768"/>
    <s v="Pooja Chopra"/>
    <n v="29"/>
    <x v="0"/>
    <s v="O+"/>
    <s v="Kolkata"/>
    <d v="2023-11-08T00:00:00"/>
    <d v="2023-11-16T00:00:00"/>
    <n v="8"/>
    <x v="2"/>
    <s v="Cancer"/>
    <x v="3"/>
    <s v="Dialysis"/>
    <x v="0"/>
    <s v="Dr. Anjali Singh"/>
    <n v="381"/>
    <s v="ICU"/>
    <x v="0"/>
    <n v="85449"/>
    <n v="38184"/>
    <n v="47265"/>
    <n v="57070"/>
    <n v="16712"/>
    <n v="9956"/>
    <s v="No"/>
    <n v="84"/>
    <n v="3.3"/>
    <x v="2"/>
  </r>
  <r>
    <x v="1769"/>
    <s v="Arjun Kumar"/>
    <n v="83"/>
    <x v="1"/>
    <s v="O-"/>
    <s v="Mumbai"/>
    <d v="2023-01-07T00:00:00"/>
    <d v="2023-01-14T00:00:00"/>
    <n v="7"/>
    <x v="0"/>
    <s v="Typhoid"/>
    <x v="1"/>
    <s v="Chemotherapy"/>
    <x v="0"/>
    <s v="Dr. Kavita Singh"/>
    <n v="161"/>
    <s v="General Ward"/>
    <x v="4"/>
    <n v="66132"/>
    <n v="0"/>
    <n v="66132"/>
    <n v="48146"/>
    <n v="4778"/>
    <n v="10335"/>
    <s v="Yes"/>
    <n v="98"/>
    <n v="3.9"/>
    <x v="1"/>
  </r>
  <r>
    <x v="1770"/>
    <s v="Meera Gupta"/>
    <n v="58"/>
    <x v="1"/>
    <s v="AB-"/>
    <s v="Lucknow"/>
    <d v="2024-05-24T00:00:00"/>
    <d v="2024-05-30T00:00:00"/>
    <n v="6"/>
    <x v="0"/>
    <s v="Liver Disease"/>
    <x v="0"/>
    <s v="Dialysis"/>
    <x v="3"/>
    <s v="Dr. Shalini Gupta"/>
    <n v="231"/>
    <s v="Semi-Private"/>
    <x v="3"/>
    <n v="120260"/>
    <n v="99253"/>
    <n v="21007"/>
    <n v="103998"/>
    <n v="1526"/>
    <n v="9873"/>
    <s v="No"/>
    <n v="77"/>
    <n v="2.2999999999999998"/>
    <x v="0"/>
  </r>
  <r>
    <x v="1771"/>
    <s v="Rahul Malhotra"/>
    <n v="43"/>
    <x v="0"/>
    <s v="B-"/>
    <s v="Kolkata"/>
    <d v="2024-06-11T00:00:00"/>
    <d v="2024-06-23T00:00:00"/>
    <n v="12"/>
    <x v="3"/>
    <s v="Stroke"/>
    <x v="6"/>
    <s v="Radiation Therapy"/>
    <x v="3"/>
    <s v="Dr. Deepak Gupta"/>
    <n v="413"/>
    <s v="Private"/>
    <x v="1"/>
    <n v="136498"/>
    <n v="73136"/>
    <n v="63362"/>
    <n v="95794"/>
    <n v="22449"/>
    <n v="14788"/>
    <s v="No"/>
    <n v="91"/>
    <n v="3.9"/>
    <x v="0"/>
  </r>
  <r>
    <x v="1772"/>
    <s v="Rohan Nair"/>
    <n v="38"/>
    <x v="0"/>
    <s v="A-"/>
    <s v="Kolkata"/>
    <d v="2023-05-13T00:00:00"/>
    <d v="2023-06-10T00:00:00"/>
    <n v="28"/>
    <x v="0"/>
    <s v="Obesity"/>
    <x v="12"/>
    <s v="Physiotherapy"/>
    <x v="3"/>
    <s v="Dr. Anjali Singh"/>
    <n v="245"/>
    <s v="ICU"/>
    <x v="3"/>
    <n v="96031"/>
    <n v="59905"/>
    <n v="36126"/>
    <n v="77788"/>
    <n v="8766"/>
    <n v="7685"/>
    <s v="No"/>
    <n v="57"/>
    <n v="3.5"/>
    <x v="4"/>
  </r>
  <r>
    <x v="1773"/>
    <s v="Nisha Chopra"/>
    <n v="14"/>
    <x v="1"/>
    <s v="AB-"/>
    <s v="Pune"/>
    <d v="2024-02-04T00:00:00"/>
    <d v="2024-02-20T00:00:00"/>
    <n v="16"/>
    <x v="0"/>
    <s v="Obesity"/>
    <x v="12"/>
    <s v="Chemotherapy"/>
    <x v="2"/>
    <s v="Dr. Sameer Rao"/>
    <n v="21"/>
    <s v="General Ward"/>
    <x v="2"/>
    <n v="113977"/>
    <n v="78188"/>
    <n v="35789"/>
    <n v="89852"/>
    <n v="20306"/>
    <n v="701"/>
    <s v="No"/>
    <n v="68"/>
    <n v="2.7"/>
    <x v="1"/>
  </r>
  <r>
    <x v="1774"/>
    <s v="Ritu Shah"/>
    <n v="41"/>
    <x v="1"/>
    <s v="O-"/>
    <s v="Lucknow"/>
    <d v="2022-05-18T00:00:00"/>
    <d v="2022-06-06T00:00:00"/>
    <n v="19"/>
    <x v="2"/>
    <s v="Cancer"/>
    <x v="3"/>
    <s v="Dialysis"/>
    <x v="2"/>
    <s v="Dr. Rakesh Joshi"/>
    <n v="65"/>
    <s v="ICU"/>
    <x v="2"/>
    <n v="60406"/>
    <n v="40719"/>
    <n v="19687"/>
    <n v="40318"/>
    <n v="7174"/>
    <n v="10495"/>
    <s v="No"/>
    <n v="43"/>
    <n v="4.3"/>
    <x v="4"/>
  </r>
  <r>
    <x v="1775"/>
    <s v="Amit Reddy"/>
    <n v="30"/>
    <x v="0"/>
    <s v="B-"/>
    <s v="Pune"/>
    <d v="2024-08-25T00:00:00"/>
    <d v="2024-09-05T00:00:00"/>
    <n v="11"/>
    <x v="0"/>
    <s v="Obesity"/>
    <x v="12"/>
    <s v="Medication"/>
    <x v="0"/>
    <s v="Dr. Sameer Nair"/>
    <n v="96"/>
    <s v="General Ward"/>
    <x v="1"/>
    <n v="125356"/>
    <n v="71207"/>
    <n v="54149"/>
    <n v="110732"/>
    <n v="1003"/>
    <n v="9107"/>
    <s v="No"/>
    <n v="60"/>
    <n v="3.9"/>
    <x v="0"/>
  </r>
  <r>
    <x v="1776"/>
    <s v="Rajesh Pillai"/>
    <n v="23"/>
    <x v="0"/>
    <s v="B-"/>
    <s v="Ahmedabad"/>
    <d v="2024-05-20T00:00:00"/>
    <d v="2024-05-28T00:00:00"/>
    <n v="8"/>
    <x v="0"/>
    <s v="Diabetes Type 2"/>
    <x v="9"/>
    <s v="Radiation Therapy"/>
    <x v="0"/>
    <s v="Dr. Kavita Rao"/>
    <n v="329"/>
    <s v="Semi-Private"/>
    <x v="3"/>
    <n v="125913"/>
    <n v="100378"/>
    <n v="25535"/>
    <n v="105878"/>
    <n v="14497"/>
    <n v="946"/>
    <s v="No"/>
    <n v="72"/>
    <n v="4.4000000000000004"/>
    <x v="1"/>
  </r>
  <r>
    <x v="1777"/>
    <s v="Aditya Patel"/>
    <n v="42"/>
    <x v="0"/>
    <s v="O-"/>
    <s v="Mumbai"/>
    <d v="2024-06-27T00:00:00"/>
    <d v="2024-07-20T00:00:00"/>
    <n v="23"/>
    <x v="5"/>
    <s v="Pneumonia"/>
    <x v="8"/>
    <s v="Observation"/>
    <x v="2"/>
    <s v="Dr. Shalini Sharma"/>
    <n v="352"/>
    <s v="General Ward"/>
    <x v="2"/>
    <n v="148059"/>
    <n v="119472"/>
    <n v="28587"/>
    <n v="120721"/>
    <n v="21059"/>
    <n v="4289"/>
    <s v="Yes"/>
    <n v="62"/>
    <n v="2.4"/>
    <x v="0"/>
  </r>
  <r>
    <x v="1778"/>
    <s v="Ananya Shah"/>
    <n v="42"/>
    <x v="0"/>
    <s v="B-"/>
    <s v="Mumbai"/>
    <d v="2023-11-13T00:00:00"/>
    <d v="2023-12-03T00:00:00"/>
    <n v="20"/>
    <x v="1"/>
    <s v="UTI"/>
    <x v="2"/>
    <s v="ICU Care"/>
    <x v="0"/>
    <s v="Dr. Anjali Patel"/>
    <n v="35"/>
    <s v="ICU"/>
    <x v="3"/>
    <n v="110604"/>
    <n v="71824"/>
    <n v="38780"/>
    <n v="88751"/>
    <n v="7661"/>
    <n v="10069"/>
    <s v="No"/>
    <n v="60"/>
    <n v="3.7"/>
    <x v="0"/>
  </r>
  <r>
    <x v="1779"/>
    <s v="Lata Pillai"/>
    <n v="63"/>
    <x v="1"/>
    <s v="O+"/>
    <s v="Mumbai"/>
    <d v="2024-10-10T00:00:00"/>
    <d v="2024-10-21T00:00:00"/>
    <n v="11"/>
    <x v="0"/>
    <s v="Dengue"/>
    <x v="1"/>
    <s v="Counseling"/>
    <x v="1"/>
    <s v="Dr. Nisha Reddy"/>
    <n v="380"/>
    <s v="ICU"/>
    <x v="4"/>
    <n v="148188"/>
    <n v="0"/>
    <n v="148188"/>
    <n v="130100"/>
    <n v="5650"/>
    <n v="7666"/>
    <s v="No"/>
    <n v="79"/>
    <n v="4.8"/>
    <x v="3"/>
  </r>
  <r>
    <x v="1780"/>
    <s v="Vijay Malhotra"/>
    <n v="8"/>
    <x v="0"/>
    <s v="A-"/>
    <s v="Chennai"/>
    <d v="2022-04-04T00:00:00"/>
    <d v="2022-04-18T00:00:00"/>
    <n v="14"/>
    <x v="0"/>
    <s v="Liver Disease"/>
    <x v="0"/>
    <s v="Radiation Therapy"/>
    <x v="2"/>
    <s v="Dr. Prerna Mehta"/>
    <n v="274"/>
    <s v="General Ward"/>
    <x v="4"/>
    <n v="134340"/>
    <n v="0"/>
    <n v="134340"/>
    <n v="106745"/>
    <n v="18940"/>
    <n v="4470"/>
    <s v="No"/>
    <n v="92"/>
    <n v="4.8"/>
    <x v="4"/>
  </r>
  <r>
    <x v="1781"/>
    <s v="Rekha Das"/>
    <n v="47"/>
    <x v="1"/>
    <s v="AB-"/>
    <s v="Lucknow"/>
    <d v="2022-11-15T00:00:00"/>
    <d v="2022-11-19T00:00:00"/>
    <n v="4"/>
    <x v="1"/>
    <s v="UTI"/>
    <x v="2"/>
    <s v="Physiotherapy"/>
    <x v="3"/>
    <s v="Dr. Prerna Reddy"/>
    <n v="243"/>
    <s v="General Ward"/>
    <x v="3"/>
    <n v="88103"/>
    <n v="71059"/>
    <n v="17044"/>
    <n v="68264"/>
    <n v="1082"/>
    <n v="14767"/>
    <s v="No"/>
    <n v="93"/>
    <n v="4.9000000000000004"/>
    <x v="1"/>
  </r>
  <r>
    <x v="1782"/>
    <s v="Arjun Mehta"/>
    <n v="9"/>
    <x v="0"/>
    <s v="O+"/>
    <s v="Jaipur"/>
    <d v="2023-02-23T00:00:00"/>
    <d v="2023-03-23T00:00:00"/>
    <n v="28"/>
    <x v="0"/>
    <s v="Anemia"/>
    <x v="4"/>
    <s v="Surgery"/>
    <x v="0"/>
    <s v="Dr. Anjali Mehta"/>
    <n v="102"/>
    <s v="ICU"/>
    <x v="3"/>
    <n v="124074"/>
    <n v="109221"/>
    <n v="14853"/>
    <n v="93073"/>
    <n v="22846"/>
    <n v="7279"/>
    <s v="No"/>
    <n v="63"/>
    <n v="5"/>
    <x v="1"/>
  </r>
  <r>
    <x v="1783"/>
    <s v="Sanjay Shah"/>
    <n v="62"/>
    <x v="1"/>
    <s v="O-"/>
    <s v="Hyderabad"/>
    <d v="2022-07-25T00:00:00"/>
    <d v="2022-08-20T00:00:00"/>
    <n v="26"/>
    <x v="4"/>
    <s v="Hypertension"/>
    <x v="7"/>
    <s v="Radiation Therapy"/>
    <x v="0"/>
    <s v="Dr. Sameer Kumar"/>
    <n v="7"/>
    <s v="Private"/>
    <x v="2"/>
    <n v="80280"/>
    <n v="63846"/>
    <n v="16434"/>
    <n v="51880"/>
    <n v="11754"/>
    <n v="11779"/>
    <s v="No"/>
    <n v="75"/>
    <n v="2.2000000000000002"/>
    <x v="0"/>
  </r>
  <r>
    <x v="1784"/>
    <s v="Sonia Verma"/>
    <n v="46"/>
    <x v="0"/>
    <s v="B+"/>
    <s v="Chennai"/>
    <d v="2023-12-03T00:00:00"/>
    <d v="2023-12-19T00:00:00"/>
    <n v="16"/>
    <x v="6"/>
    <s v="Arthritis"/>
    <x v="11"/>
    <s v="ICU Care"/>
    <x v="0"/>
    <s v="Dr. Sameer Sharma"/>
    <n v="270"/>
    <s v="General Ward"/>
    <x v="0"/>
    <n v="88884"/>
    <n v="37837"/>
    <n v="51047"/>
    <n v="80531"/>
    <n v="4740"/>
    <n v="768"/>
    <s v="Yes"/>
    <n v="69"/>
    <n v="4.2"/>
    <x v="1"/>
  </r>
  <r>
    <x v="1785"/>
    <s v="Sanjay Reddy"/>
    <n v="19"/>
    <x v="0"/>
    <s v="AB+"/>
    <s v="Mumbai"/>
    <d v="2024-12-07T00:00:00"/>
    <d v="2024-12-29T00:00:00"/>
    <n v="22"/>
    <x v="0"/>
    <s v="Appendicitis"/>
    <x v="0"/>
    <s v="Surgery"/>
    <x v="1"/>
    <s v="Dr. Nisha Kumar"/>
    <n v="323"/>
    <s v="ICU"/>
    <x v="3"/>
    <n v="50930"/>
    <n v="30812"/>
    <n v="20118"/>
    <n v="28417"/>
    <n v="8568"/>
    <n v="11115"/>
    <s v="No"/>
    <n v="82"/>
    <n v="4"/>
    <x v="3"/>
  </r>
  <r>
    <x v="1786"/>
    <s v="Priya Patel"/>
    <n v="44"/>
    <x v="0"/>
    <s v="O+"/>
    <s v="Mumbai"/>
    <d v="2022-10-10T00:00:00"/>
    <d v="2022-10-15T00:00:00"/>
    <n v="5"/>
    <x v="0"/>
    <s v="Typhoid"/>
    <x v="1"/>
    <s v="Observation"/>
    <x v="1"/>
    <s v="Dr. Vivek Singh"/>
    <n v="311"/>
    <s v="Private"/>
    <x v="1"/>
    <n v="91331"/>
    <n v="56783"/>
    <n v="34548"/>
    <n v="68437"/>
    <n v="11880"/>
    <n v="7661"/>
    <s v="No"/>
    <n v="81"/>
    <n v="4.5"/>
    <x v="3"/>
  </r>
  <r>
    <x v="1787"/>
    <s v="Sonia Reddy"/>
    <n v="55"/>
    <x v="1"/>
    <s v="B-"/>
    <s v="Kolkata"/>
    <d v="2023-08-23T00:00:00"/>
    <d v="2023-09-08T00:00:00"/>
    <n v="16"/>
    <x v="5"/>
    <s v="Pneumonia"/>
    <x v="8"/>
    <s v="Dialysis"/>
    <x v="3"/>
    <s v="Dr. Nisha Nair"/>
    <n v="470"/>
    <s v="General Ward"/>
    <x v="3"/>
    <n v="47991"/>
    <n v="32188"/>
    <n v="15803"/>
    <n v="15061"/>
    <n v="18169"/>
    <n v="12452"/>
    <s v="Yes"/>
    <n v="88"/>
    <n v="4.3"/>
    <x v="2"/>
  </r>
  <r>
    <x v="1788"/>
    <s v="Rohan Nair"/>
    <n v="83"/>
    <x v="0"/>
    <s v="AB+"/>
    <s v="Chennai"/>
    <d v="2022-03-14T00:00:00"/>
    <d v="2022-04-08T00:00:00"/>
    <n v="25"/>
    <x v="0"/>
    <s v="Diabetes Type 2"/>
    <x v="9"/>
    <s v="Dialysis"/>
    <x v="3"/>
    <s v="Dr. Kavita Rao"/>
    <n v="465"/>
    <s v="General Ward"/>
    <x v="4"/>
    <n v="196565"/>
    <n v="0"/>
    <n v="196565"/>
    <n v="149215"/>
    <n v="29435"/>
    <n v="12961"/>
    <s v="No"/>
    <n v="66"/>
    <n v="3.5"/>
    <x v="2"/>
  </r>
  <r>
    <x v="1789"/>
    <s v="Ashok Verma"/>
    <n v="18"/>
    <x v="0"/>
    <s v="A+"/>
    <s v="Lucknow"/>
    <d v="2024-02-11T00:00:00"/>
    <d v="2024-02-15T00:00:00"/>
    <n v="4"/>
    <x v="0"/>
    <s v="COVID-19"/>
    <x v="1"/>
    <s v="Dietary Management"/>
    <x v="0"/>
    <s v="Dr. Kavita Patel"/>
    <n v="255"/>
    <s v="General Ward"/>
    <x v="1"/>
    <n v="151995"/>
    <n v="104538"/>
    <n v="47457"/>
    <n v="136356"/>
    <n v="4791"/>
    <n v="7020"/>
    <s v="No"/>
    <n v="46"/>
    <n v="2.7"/>
    <x v="3"/>
  </r>
  <r>
    <x v="1790"/>
    <s v="Kavya Pillai"/>
    <n v="42"/>
    <x v="0"/>
    <s v="A-"/>
    <s v="Bangalore"/>
    <d v="2022-07-16T00:00:00"/>
    <d v="2022-07-28T00:00:00"/>
    <n v="12"/>
    <x v="0"/>
    <s v="Diabetes Type 2"/>
    <x v="9"/>
    <s v="Observation"/>
    <x v="3"/>
    <s v="Dr. Nisha Singh"/>
    <n v="475"/>
    <s v="ICU"/>
    <x v="3"/>
    <n v="68435"/>
    <n v="43354"/>
    <n v="25081"/>
    <n v="45229"/>
    <n v="13114"/>
    <n v="7695"/>
    <s v="No"/>
    <n v="54"/>
    <n v="3.3"/>
    <x v="2"/>
  </r>
  <r>
    <x v="1791"/>
    <s v="Sunil Chopra"/>
    <n v="80"/>
    <x v="0"/>
    <s v="AB+"/>
    <s v="Bangalore"/>
    <d v="2022-11-28T00:00:00"/>
    <d v="2022-12-24T00:00:00"/>
    <n v="26"/>
    <x v="0"/>
    <s v="Obesity"/>
    <x v="12"/>
    <s v="Radiation Therapy"/>
    <x v="3"/>
    <s v="Dr. Anjali Singh"/>
    <n v="187"/>
    <s v="General Ward"/>
    <x v="1"/>
    <n v="56763"/>
    <n v="33210"/>
    <n v="23553"/>
    <n v="20709"/>
    <n v="21672"/>
    <n v="9741"/>
    <s v="No"/>
    <n v="69"/>
    <n v="4.7"/>
    <x v="2"/>
  </r>
  <r>
    <x v="1792"/>
    <s v="Rahul Verma"/>
    <n v="68"/>
    <x v="1"/>
    <s v="AB+"/>
    <s v="Mumbai"/>
    <d v="2023-07-23T00:00:00"/>
    <d v="2023-07-29T00:00:00"/>
    <n v="6"/>
    <x v="3"/>
    <s v="Migraine"/>
    <x v="6"/>
    <s v="Dialysis"/>
    <x v="3"/>
    <s v="Dr. Anjali Patel"/>
    <n v="460"/>
    <s v="ICU"/>
    <x v="4"/>
    <n v="50952"/>
    <n v="0"/>
    <n v="50952"/>
    <n v="14670"/>
    <n v="28792"/>
    <n v="4840"/>
    <s v="No"/>
    <n v="63"/>
    <n v="2.6"/>
    <x v="1"/>
  </r>
  <r>
    <x v="1793"/>
    <s v="Deepa Shah"/>
    <n v="69"/>
    <x v="1"/>
    <s v="AB+"/>
    <s v="Lucknow"/>
    <d v="2023-08-09T00:00:00"/>
    <d v="2023-09-02T00:00:00"/>
    <n v="24"/>
    <x v="1"/>
    <s v="Kidney Stone"/>
    <x v="2"/>
    <s v="Surgery"/>
    <x v="1"/>
    <s v="Dr. Kavita Gupta"/>
    <n v="286"/>
    <s v="General Ward"/>
    <x v="4"/>
    <n v="172618"/>
    <n v="0"/>
    <n v="172618"/>
    <n v="137640"/>
    <n v="16895"/>
    <n v="14073"/>
    <s v="Yes"/>
    <n v="78"/>
    <n v="2.6"/>
    <x v="0"/>
  </r>
  <r>
    <x v="1794"/>
    <s v="Lata Mehta"/>
    <n v="61"/>
    <x v="1"/>
    <s v="AB+"/>
    <s v="Pune"/>
    <d v="2022-12-04T00:00:00"/>
    <d v="2022-12-14T00:00:00"/>
    <n v="10"/>
    <x v="4"/>
    <s v="Heart Attack"/>
    <x v="7"/>
    <s v="Observation"/>
    <x v="1"/>
    <s v="Dr. Anjali Singh"/>
    <n v="338"/>
    <s v="General Ward"/>
    <x v="4"/>
    <n v="146065"/>
    <n v="0"/>
    <n v="146065"/>
    <n v="119441"/>
    <n v="9569"/>
    <n v="14342"/>
    <s v="Yes"/>
    <n v="50"/>
    <n v="3.3"/>
    <x v="3"/>
  </r>
  <r>
    <x v="1795"/>
    <s v="Suresh Shah"/>
    <n v="29"/>
    <x v="0"/>
    <s v="B+"/>
    <s v="Pune"/>
    <d v="2023-12-25T00:00:00"/>
    <d v="2024-01-05T00:00:00"/>
    <n v="11"/>
    <x v="3"/>
    <s v="Migraine"/>
    <x v="6"/>
    <s v="Counseling"/>
    <x v="2"/>
    <s v="Dr. Sameer Joshi"/>
    <n v="369"/>
    <s v="Semi-Private"/>
    <x v="2"/>
    <n v="84153"/>
    <n v="72281"/>
    <n v="11872"/>
    <n v="59479"/>
    <n v="18477"/>
    <n v="4691"/>
    <s v="No"/>
    <n v="44"/>
    <n v="4.5"/>
    <x v="0"/>
  </r>
  <r>
    <x v="1796"/>
    <s v="Sunita Shah"/>
    <n v="39"/>
    <x v="1"/>
    <s v="O-"/>
    <s v="Bangalore"/>
    <d v="2024-09-12T00:00:00"/>
    <d v="2024-09-23T00:00:00"/>
    <n v="11"/>
    <x v="4"/>
    <s v="Hypertension"/>
    <x v="7"/>
    <s v="Observation"/>
    <x v="1"/>
    <s v="Dr. Deepak Singh"/>
    <n v="332"/>
    <s v="Semi-Private"/>
    <x v="2"/>
    <n v="135400"/>
    <n v="87386"/>
    <n v="48014"/>
    <n v="119976"/>
    <n v="6123"/>
    <n v="8213"/>
    <s v="No"/>
    <n v="59"/>
    <n v="2.1"/>
    <x v="2"/>
  </r>
  <r>
    <x v="1797"/>
    <s v="Sunita Menon"/>
    <n v="32"/>
    <x v="0"/>
    <s v="A-"/>
    <s v="Chennai"/>
    <d v="2022-11-07T00:00:00"/>
    <d v="2022-11-21T00:00:00"/>
    <n v="14"/>
    <x v="0"/>
    <s v="Typhoid"/>
    <x v="1"/>
    <s v="Radiation Therapy"/>
    <x v="2"/>
    <s v="Dr. Kavita Mehta"/>
    <n v="450"/>
    <s v="ICU"/>
    <x v="0"/>
    <n v="154638"/>
    <n v="82219"/>
    <n v="72419"/>
    <n v="122656"/>
    <n v="15652"/>
    <n v="12312"/>
    <s v="No"/>
    <n v="79"/>
    <n v="3"/>
    <x v="0"/>
  </r>
  <r>
    <x v="1798"/>
    <s v="Lata Das"/>
    <n v="20"/>
    <x v="0"/>
    <s v="AB+"/>
    <s v="Jaipur"/>
    <d v="2024-07-03T00:00:00"/>
    <d v="2024-07-24T00:00:00"/>
    <n v="21"/>
    <x v="0"/>
    <s v="COVID-19"/>
    <x v="1"/>
    <s v="Dietary Management"/>
    <x v="2"/>
    <s v="Dr. Shalini Singh"/>
    <n v="138"/>
    <s v="Semi-Private"/>
    <x v="2"/>
    <n v="84273"/>
    <n v="66674"/>
    <n v="17599"/>
    <n v="57757"/>
    <n v="14666"/>
    <n v="8511"/>
    <s v="No"/>
    <n v="95"/>
    <n v="4.5"/>
    <x v="4"/>
  </r>
  <r>
    <x v="1799"/>
    <s v="Pooja Das"/>
    <n v="38"/>
    <x v="1"/>
    <s v="O-"/>
    <s v="Chennai"/>
    <d v="2024-04-08T00:00:00"/>
    <d v="2024-04-29T00:00:00"/>
    <n v="21"/>
    <x v="0"/>
    <s v="Anemia"/>
    <x v="4"/>
    <s v="Counseling"/>
    <x v="2"/>
    <s v="Dr. Sameer Sharma"/>
    <n v="98"/>
    <s v="General Ward"/>
    <x v="3"/>
    <n v="76069"/>
    <n v="65593"/>
    <n v="10476"/>
    <n v="37359"/>
    <n v="24368"/>
    <n v="12152"/>
    <s v="No"/>
    <n v="78"/>
    <n v="2"/>
    <x v="2"/>
  </r>
  <r>
    <x v="1800"/>
    <s v="Deepa Patel"/>
    <n v="31"/>
    <x v="1"/>
    <s v="B-"/>
    <s v="Chennai"/>
    <d v="2022-07-28T00:00:00"/>
    <d v="2022-08-18T00:00:00"/>
    <n v="21"/>
    <x v="0"/>
    <s v="Dengue"/>
    <x v="1"/>
    <s v="Counseling"/>
    <x v="1"/>
    <s v="Dr. Prerna Joshi"/>
    <n v="207"/>
    <s v="Private"/>
    <x v="1"/>
    <n v="22687"/>
    <n v="9995"/>
    <n v="12692"/>
    <n v="7970"/>
    <n v="6161"/>
    <n v="4588"/>
    <s v="Yes"/>
    <n v="47"/>
    <n v="4.5999999999999996"/>
    <x v="2"/>
  </r>
  <r>
    <x v="1801"/>
    <s v="Arjun Das"/>
    <n v="83"/>
    <x v="0"/>
    <s v="B-"/>
    <s v="Delhi"/>
    <d v="2022-08-14T00:00:00"/>
    <d v="2022-08-26T00:00:00"/>
    <n v="12"/>
    <x v="5"/>
    <s v="Asthma"/>
    <x v="8"/>
    <s v="Dietary Management"/>
    <x v="0"/>
    <s v="Dr. Deepak Patel"/>
    <n v="185"/>
    <s v="ICU"/>
    <x v="0"/>
    <n v="105713"/>
    <n v="60673"/>
    <n v="45040"/>
    <n v="73181"/>
    <n v="27513"/>
    <n v="1918"/>
    <s v="Yes"/>
    <n v="83"/>
    <n v="3.1"/>
    <x v="4"/>
  </r>
  <r>
    <x v="1802"/>
    <s v="Aditya Das"/>
    <n v="58"/>
    <x v="1"/>
    <s v="B-"/>
    <s v="Kolkata"/>
    <d v="2023-12-25T00:00:00"/>
    <d v="2023-12-27T00:00:00"/>
    <n v="2"/>
    <x v="1"/>
    <s v="UTI"/>
    <x v="2"/>
    <s v="Medication"/>
    <x v="2"/>
    <s v="Dr. Vivek Mehta"/>
    <n v="415"/>
    <s v="Semi-Private"/>
    <x v="4"/>
    <n v="166261"/>
    <n v="0"/>
    <n v="166261"/>
    <n v="134618"/>
    <n v="19094"/>
    <n v="10970"/>
    <s v="Yes"/>
    <n v="99"/>
    <n v="4.9000000000000004"/>
    <x v="3"/>
  </r>
  <r>
    <x v="1803"/>
    <s v="Rajesh Pillai"/>
    <n v="23"/>
    <x v="0"/>
    <s v="A-"/>
    <s v="Chennai"/>
    <d v="2023-11-22T00:00:00"/>
    <d v="2023-11-24T00:00:00"/>
    <n v="2"/>
    <x v="0"/>
    <s v="Anemia"/>
    <x v="4"/>
    <s v="Surgery"/>
    <x v="1"/>
    <s v="Dr. Deepak Singh"/>
    <n v="17"/>
    <s v="General Ward"/>
    <x v="4"/>
    <n v="174631"/>
    <n v="0"/>
    <n v="174631"/>
    <n v="130846"/>
    <n v="28667"/>
    <n v="10552"/>
    <s v="No"/>
    <n v="41"/>
    <n v="3.2"/>
    <x v="0"/>
  </r>
  <r>
    <x v="1804"/>
    <s v="Mukesh Das"/>
    <n v="13"/>
    <x v="1"/>
    <s v="AB-"/>
    <s v="Pune"/>
    <d v="2023-01-12T00:00:00"/>
    <d v="2023-02-09T00:00:00"/>
    <n v="28"/>
    <x v="0"/>
    <s v="Anemia"/>
    <x v="4"/>
    <s v="Observation"/>
    <x v="0"/>
    <s v="Dr. Nisha Sharma"/>
    <n v="274"/>
    <s v="Semi-Private"/>
    <x v="3"/>
    <n v="170540"/>
    <n v="130829"/>
    <n v="39711"/>
    <n v="149793"/>
    <n v="4045"/>
    <n v="12997"/>
    <s v="No"/>
    <n v="99"/>
    <n v="2.5"/>
    <x v="1"/>
  </r>
  <r>
    <x v="1805"/>
    <s v="Priya Malhotra"/>
    <n v="33"/>
    <x v="0"/>
    <s v="B-"/>
    <s v="Mumbai"/>
    <d v="2024-12-12T00:00:00"/>
    <d v="2024-12-31T00:00:00"/>
    <n v="19"/>
    <x v="0"/>
    <s v="COVID-19"/>
    <x v="1"/>
    <s v="Dialysis"/>
    <x v="2"/>
    <s v="Dr. Shalini Sharma"/>
    <n v="100"/>
    <s v="General Ward"/>
    <x v="1"/>
    <n v="52150"/>
    <n v="34088"/>
    <n v="18062"/>
    <n v="45646"/>
    <n v="1857"/>
    <n v="1352"/>
    <s v="No"/>
    <n v="65"/>
    <n v="2.5"/>
    <x v="3"/>
  </r>
  <r>
    <x v="1806"/>
    <s v="Meera Sharma"/>
    <n v="85"/>
    <x v="1"/>
    <s v="O+"/>
    <s v="Ahmedabad"/>
    <d v="2023-08-08T00:00:00"/>
    <d v="2023-08-25T00:00:00"/>
    <n v="17"/>
    <x v="0"/>
    <s v="Dengue"/>
    <x v="1"/>
    <s v="Dietary Management"/>
    <x v="2"/>
    <s v="Dr. Prerna Reddy"/>
    <n v="87"/>
    <s v="ICU"/>
    <x v="0"/>
    <n v="157384"/>
    <n v="70162"/>
    <n v="87222"/>
    <n v="144709"/>
    <n v="4840"/>
    <n v="5909"/>
    <s v="No"/>
    <n v="53"/>
    <n v="2.5"/>
    <x v="0"/>
  </r>
  <r>
    <x v="1807"/>
    <s v="Sunil Joshi"/>
    <n v="46"/>
    <x v="0"/>
    <s v="A+"/>
    <s v="Delhi"/>
    <d v="2023-08-31T00:00:00"/>
    <d v="2023-09-19T00:00:00"/>
    <n v="19"/>
    <x v="2"/>
    <s v="Cancer"/>
    <x v="3"/>
    <s v="Dialysis"/>
    <x v="0"/>
    <s v="Dr. Nisha Singh"/>
    <n v="121"/>
    <s v="General Ward"/>
    <x v="1"/>
    <n v="176388"/>
    <n v="89658"/>
    <n v="86730"/>
    <n v="145772"/>
    <n v="14166"/>
    <n v="13400"/>
    <s v="No"/>
    <n v="74"/>
    <n v="2.2000000000000002"/>
    <x v="4"/>
  </r>
  <r>
    <x v="1808"/>
    <s v="Ashok Iyer"/>
    <n v="27"/>
    <x v="0"/>
    <s v="AB+"/>
    <s v="Chennai"/>
    <d v="2024-03-29T00:00:00"/>
    <d v="2024-04-12T00:00:00"/>
    <n v="14"/>
    <x v="0"/>
    <s v="Liver Disease"/>
    <x v="0"/>
    <s v="Chemotherapy"/>
    <x v="0"/>
    <s v="Dr. Nisha Kumar"/>
    <n v="327"/>
    <s v="Private"/>
    <x v="2"/>
    <n v="117651"/>
    <n v="79203"/>
    <n v="38448"/>
    <n v="78437"/>
    <n v="28249"/>
    <n v="6008"/>
    <s v="No"/>
    <n v="42"/>
    <n v="2"/>
    <x v="4"/>
  </r>
  <r>
    <x v="1809"/>
    <s v="Geeta Malhotra"/>
    <n v="9"/>
    <x v="1"/>
    <s v="B-"/>
    <s v="Delhi"/>
    <d v="2024-06-27T00:00:00"/>
    <d v="2024-07-23T00:00:00"/>
    <n v="26"/>
    <x v="5"/>
    <s v="Pneumonia"/>
    <x v="8"/>
    <s v="Surgery"/>
    <x v="2"/>
    <s v="Dr. Nisha Rao"/>
    <n v="362"/>
    <s v="General Ward"/>
    <x v="4"/>
    <n v="69218"/>
    <n v="0"/>
    <n v="69218"/>
    <n v="55579"/>
    <n v="7864"/>
    <n v="4374"/>
    <s v="No"/>
    <n v="63"/>
    <n v="4"/>
    <x v="0"/>
  </r>
  <r>
    <x v="1810"/>
    <s v="Pooja Nair"/>
    <n v="7"/>
    <x v="1"/>
    <s v="A+"/>
    <s v="Delhi"/>
    <d v="2023-10-02T00:00:00"/>
    <d v="2023-10-15T00:00:00"/>
    <n v="13"/>
    <x v="4"/>
    <s v="Hypertension"/>
    <x v="7"/>
    <s v="Dietary Management"/>
    <x v="2"/>
    <s v="Dr. Kavita Kumar"/>
    <n v="96"/>
    <s v="General Ward"/>
    <x v="3"/>
    <n v="72722"/>
    <n v="44823"/>
    <n v="27899"/>
    <n v="48615"/>
    <n v="6706"/>
    <n v="13762"/>
    <s v="No"/>
    <n v="44"/>
    <n v="5"/>
    <x v="1"/>
  </r>
  <r>
    <x v="1811"/>
    <s v="Vikram Chopra"/>
    <n v="56"/>
    <x v="1"/>
    <s v="B-"/>
    <s v="Delhi"/>
    <d v="2024-02-16T00:00:00"/>
    <d v="2024-02-20T00:00:00"/>
    <n v="4"/>
    <x v="1"/>
    <s v="UTI"/>
    <x v="2"/>
    <s v="Counseling"/>
    <x v="2"/>
    <s v="Dr. Kavita Patel"/>
    <n v="4"/>
    <s v="General Ward"/>
    <x v="3"/>
    <n v="60459"/>
    <n v="47195"/>
    <n v="13264"/>
    <n v="27469"/>
    <n v="23645"/>
    <n v="7854"/>
    <s v="No"/>
    <n v="60"/>
    <n v="3.4"/>
    <x v="1"/>
  </r>
  <r>
    <x v="1812"/>
    <s v="Priya Verma"/>
    <n v="19"/>
    <x v="0"/>
    <s v="A+"/>
    <s v="Jaipur"/>
    <d v="2022-05-31T00:00:00"/>
    <d v="2022-06-20T00:00:00"/>
    <n v="20"/>
    <x v="4"/>
    <s v="Hypertension"/>
    <x v="7"/>
    <s v="ICU Care"/>
    <x v="0"/>
    <s v="Dr. Anjali Reddy"/>
    <n v="327"/>
    <s v="Private"/>
    <x v="0"/>
    <n v="132764"/>
    <n v="56572"/>
    <n v="76192"/>
    <n v="114365"/>
    <n v="8400"/>
    <n v="6476"/>
    <s v="No"/>
    <n v="55"/>
    <n v="3.1"/>
    <x v="1"/>
  </r>
  <r>
    <x v="1813"/>
    <s v="Sneha Reddy"/>
    <n v="8"/>
    <x v="1"/>
    <s v="B+"/>
    <s v="Jaipur"/>
    <d v="2024-02-10T00:00:00"/>
    <d v="2024-02-26T00:00:00"/>
    <n v="16"/>
    <x v="0"/>
    <s v="Appendicitis"/>
    <x v="0"/>
    <s v="Observation"/>
    <x v="0"/>
    <s v="Dr. Nisha Joshi"/>
    <n v="12"/>
    <s v="Semi-Private"/>
    <x v="4"/>
    <n v="66922"/>
    <n v="0"/>
    <n v="66922"/>
    <n v="48937"/>
    <n v="7333"/>
    <n v="6501"/>
    <s v="No"/>
    <n v="58"/>
    <n v="2.2000000000000002"/>
    <x v="1"/>
  </r>
  <r>
    <x v="1814"/>
    <s v="Sanjay Patel"/>
    <n v="52"/>
    <x v="0"/>
    <s v="A-"/>
    <s v="Ahmedabad"/>
    <d v="2023-11-22T00:00:00"/>
    <d v="2023-11-29T00:00:00"/>
    <n v="7"/>
    <x v="5"/>
    <s v="Pneumonia"/>
    <x v="8"/>
    <s v="Radiation Therapy"/>
    <x v="0"/>
    <s v="Dr. Nisha Mehta"/>
    <n v="202"/>
    <s v="General Ward"/>
    <x v="4"/>
    <n v="173207"/>
    <n v="0"/>
    <n v="173207"/>
    <n v="143129"/>
    <n v="16223"/>
    <n v="9062"/>
    <s v="No"/>
    <n v="85"/>
    <n v="2.2999999999999998"/>
    <x v="0"/>
  </r>
  <r>
    <x v="1815"/>
    <s v="Rekha Reddy"/>
    <n v="17"/>
    <x v="0"/>
    <s v="A-"/>
    <s v="Pune"/>
    <d v="2022-08-21T00:00:00"/>
    <d v="2022-08-24T00:00:00"/>
    <n v="3"/>
    <x v="6"/>
    <s v="Fracture"/>
    <x v="10"/>
    <s v="Physiotherapy"/>
    <x v="3"/>
    <s v="Dr. Prerna Mehta"/>
    <n v="150"/>
    <s v="Private"/>
    <x v="4"/>
    <n v="109670"/>
    <n v="0"/>
    <n v="109670"/>
    <n v="85046"/>
    <n v="14646"/>
    <n v="7702"/>
    <s v="Yes"/>
    <n v="83"/>
    <n v="4.8"/>
    <x v="4"/>
  </r>
  <r>
    <x v="1816"/>
    <s v="Rahul Bose"/>
    <n v="38"/>
    <x v="1"/>
    <s v="A+"/>
    <s v="Kolkata"/>
    <d v="2024-04-03T00:00:00"/>
    <d v="2024-04-23T00:00:00"/>
    <n v="20"/>
    <x v="0"/>
    <s v="Dengue"/>
    <x v="1"/>
    <s v="ICU Care"/>
    <x v="1"/>
    <s v="Dr. Deepak Kumar"/>
    <n v="244"/>
    <s v="General Ward"/>
    <x v="0"/>
    <n v="76616"/>
    <n v="52094"/>
    <n v="24522"/>
    <n v="71628"/>
    <n v="1243"/>
    <n v="2502"/>
    <s v="No"/>
    <n v="98"/>
    <n v="2.2999999999999998"/>
    <x v="3"/>
  </r>
  <r>
    <x v="1817"/>
    <s v="Karan Kumar"/>
    <n v="31"/>
    <x v="1"/>
    <s v="A-"/>
    <s v="Delhi"/>
    <d v="2022-09-15T00:00:00"/>
    <d v="2022-09-30T00:00:00"/>
    <n v="15"/>
    <x v="3"/>
    <s v="Stroke"/>
    <x v="6"/>
    <s v="Chemotherapy"/>
    <x v="1"/>
    <s v="Dr. Deepak Patel"/>
    <n v="233"/>
    <s v="Semi-Private"/>
    <x v="2"/>
    <n v="92301"/>
    <n v="65284"/>
    <n v="27017"/>
    <n v="69065"/>
    <n v="11416"/>
    <n v="8202"/>
    <s v="No"/>
    <n v="56"/>
    <n v="2"/>
    <x v="3"/>
  </r>
  <r>
    <x v="1818"/>
    <s v="Sanjay Singh"/>
    <n v="45"/>
    <x v="0"/>
    <s v="B+"/>
    <s v="Kolkata"/>
    <d v="2022-04-28T00:00:00"/>
    <d v="2022-05-21T00:00:00"/>
    <n v="23"/>
    <x v="0"/>
    <s v="COVID-19"/>
    <x v="1"/>
    <s v="Physiotherapy"/>
    <x v="3"/>
    <s v="Dr. Prerna Patel"/>
    <n v="216"/>
    <s v="Private"/>
    <x v="0"/>
    <n v="115774"/>
    <n v="56832"/>
    <n v="58942"/>
    <n v="76102"/>
    <n v="25979"/>
    <n v="11780"/>
    <s v="No"/>
    <n v="93"/>
    <n v="2.2000000000000002"/>
    <x v="3"/>
  </r>
  <r>
    <x v="1819"/>
    <s v="Rohan Bose"/>
    <n v="45"/>
    <x v="0"/>
    <s v="AB+"/>
    <s v="Kolkata"/>
    <d v="2022-10-23T00:00:00"/>
    <d v="2022-11-01T00:00:00"/>
    <n v="9"/>
    <x v="6"/>
    <s v="Arthritis"/>
    <x v="11"/>
    <s v="Physiotherapy"/>
    <x v="2"/>
    <s v="Dr. Arun Joshi"/>
    <n v="459"/>
    <s v="Private"/>
    <x v="0"/>
    <n v="57073"/>
    <n v="38591"/>
    <n v="18482"/>
    <n v="24211"/>
    <n v="27102"/>
    <n v="1798"/>
    <s v="No"/>
    <n v="43"/>
    <n v="2.7"/>
    <x v="0"/>
  </r>
  <r>
    <x v="1820"/>
    <s v="Lata Shah"/>
    <n v="17"/>
    <x v="0"/>
    <s v="B+"/>
    <s v="Chennai"/>
    <d v="2023-07-26T00:00:00"/>
    <d v="2023-08-25T00:00:00"/>
    <n v="30"/>
    <x v="0"/>
    <s v="Anemia"/>
    <x v="4"/>
    <s v="ICU Care"/>
    <x v="2"/>
    <s v="Dr. Prerna Gupta"/>
    <n v="147"/>
    <s v="ICU"/>
    <x v="4"/>
    <n v="112687"/>
    <n v="0"/>
    <n v="112687"/>
    <n v="90131"/>
    <n v="7171"/>
    <n v="12972"/>
    <s v="Yes"/>
    <n v="67"/>
    <n v="4.3"/>
    <x v="1"/>
  </r>
  <r>
    <x v="1821"/>
    <s v="Sanjay Verma"/>
    <n v="6"/>
    <x v="0"/>
    <s v="A+"/>
    <s v="Pune"/>
    <d v="2023-08-13T00:00:00"/>
    <d v="2023-08-17T00:00:00"/>
    <n v="4"/>
    <x v="0"/>
    <s v="Appendicitis"/>
    <x v="0"/>
    <s v="Radiation Therapy"/>
    <x v="1"/>
    <s v="Dr. Kavita Singh"/>
    <n v="329"/>
    <s v="ICU"/>
    <x v="0"/>
    <n v="70672"/>
    <n v="48336"/>
    <n v="22336"/>
    <n v="32573"/>
    <n v="25802"/>
    <n v="11700"/>
    <s v="No"/>
    <n v="94"/>
    <n v="4.0999999999999996"/>
    <x v="4"/>
  </r>
  <r>
    <x v="1822"/>
    <s v="Ritu Khanna"/>
    <n v="78"/>
    <x v="0"/>
    <s v="AB-"/>
    <s v="Kolkata"/>
    <d v="2022-04-20T00:00:00"/>
    <d v="2022-04-24T00:00:00"/>
    <n v="4"/>
    <x v="0"/>
    <s v="Depression"/>
    <x v="5"/>
    <s v="Chemotherapy"/>
    <x v="1"/>
    <s v="Dr. Rakesh Patel"/>
    <n v="357"/>
    <s v="Private"/>
    <x v="4"/>
    <n v="106419"/>
    <n v="0"/>
    <n v="106419"/>
    <n v="79312"/>
    <n v="17005"/>
    <n v="5520"/>
    <s v="No"/>
    <n v="57"/>
    <n v="4.0999999999999996"/>
    <x v="1"/>
  </r>
  <r>
    <x v="1823"/>
    <s v="Rajesh Menon"/>
    <n v="65"/>
    <x v="1"/>
    <s v="AB+"/>
    <s v="Lucknow"/>
    <d v="2024-09-05T00:00:00"/>
    <d v="2024-09-07T00:00:00"/>
    <n v="2"/>
    <x v="0"/>
    <s v="Appendicitis"/>
    <x v="0"/>
    <s v="Counseling"/>
    <x v="3"/>
    <s v="Dr. Sameer Kumar"/>
    <n v="429"/>
    <s v="Semi-Private"/>
    <x v="2"/>
    <n v="176662"/>
    <n v="108583"/>
    <n v="68079"/>
    <n v="131795"/>
    <n v="27116"/>
    <n v="14632"/>
    <s v="No"/>
    <n v="90"/>
    <n v="3.7"/>
    <x v="4"/>
  </r>
  <r>
    <x v="1824"/>
    <s v="Aditya Singh"/>
    <n v="19"/>
    <x v="0"/>
    <s v="AB+"/>
    <s v="Jaipur"/>
    <d v="2024-07-05T00:00:00"/>
    <d v="2024-07-14T00:00:00"/>
    <n v="9"/>
    <x v="4"/>
    <s v="Hypertension"/>
    <x v="7"/>
    <s v="ICU Care"/>
    <x v="2"/>
    <s v="Dr. Shalini Sharma"/>
    <n v="168"/>
    <s v="Private"/>
    <x v="2"/>
    <n v="125206"/>
    <n v="93987"/>
    <n v="31219"/>
    <n v="96776"/>
    <n v="16829"/>
    <n v="9847"/>
    <s v="No"/>
    <n v="68"/>
    <n v="4.2"/>
    <x v="4"/>
  </r>
  <r>
    <x v="1825"/>
    <s v="Karan Das"/>
    <n v="11"/>
    <x v="0"/>
    <s v="B-"/>
    <s v="Lucknow"/>
    <d v="2022-12-19T00:00:00"/>
    <d v="2022-12-29T00:00:00"/>
    <n v="10"/>
    <x v="6"/>
    <s v="Fracture"/>
    <x v="10"/>
    <s v="Surgery"/>
    <x v="1"/>
    <s v="Dr. Shalini Kumar"/>
    <n v="442"/>
    <s v="Private"/>
    <x v="2"/>
    <n v="128868"/>
    <n v="97146"/>
    <n v="31722"/>
    <n v="104937"/>
    <n v="6816"/>
    <n v="12618"/>
    <s v="No"/>
    <n v="79"/>
    <n v="2.1"/>
    <x v="0"/>
  </r>
  <r>
    <x v="1826"/>
    <s v="Geeta Patel"/>
    <n v="55"/>
    <x v="1"/>
    <s v="A-"/>
    <s v="Delhi"/>
    <d v="2022-11-04T00:00:00"/>
    <d v="2022-11-26T00:00:00"/>
    <n v="22"/>
    <x v="0"/>
    <s v="Appendicitis"/>
    <x v="0"/>
    <s v="Dietary Management"/>
    <x v="3"/>
    <s v="Dr. Shalini Mehta"/>
    <n v="450"/>
    <s v="Semi-Private"/>
    <x v="0"/>
    <n v="72723"/>
    <n v="36274"/>
    <n v="36449"/>
    <n v="59963"/>
    <n v="8910"/>
    <n v="1832"/>
    <s v="No"/>
    <n v="48"/>
    <n v="3"/>
    <x v="2"/>
  </r>
  <r>
    <x v="1827"/>
    <s v="Arjun Shah"/>
    <n v="59"/>
    <x v="1"/>
    <s v="AB+"/>
    <s v="Bangalore"/>
    <d v="2024-08-01T00:00:00"/>
    <d v="2024-08-24T00:00:00"/>
    <n v="23"/>
    <x v="0"/>
    <s v="Appendicitis"/>
    <x v="0"/>
    <s v="Surgery"/>
    <x v="2"/>
    <s v="Dr. Rakesh Mehta"/>
    <n v="255"/>
    <s v="ICU"/>
    <x v="0"/>
    <n v="60543"/>
    <n v="28440"/>
    <n v="32103"/>
    <n v="42741"/>
    <n v="7604"/>
    <n v="5669"/>
    <s v="No"/>
    <n v="56"/>
    <n v="2.5"/>
    <x v="3"/>
  </r>
  <r>
    <x v="1828"/>
    <s v="Sunita Rao"/>
    <n v="24"/>
    <x v="1"/>
    <s v="O+"/>
    <s v="Bangalore"/>
    <d v="2022-03-13T00:00:00"/>
    <d v="2022-03-28T00:00:00"/>
    <n v="15"/>
    <x v="0"/>
    <s v="Liver Disease"/>
    <x v="0"/>
    <s v="Radiation Therapy"/>
    <x v="3"/>
    <s v="Dr. Prerna Kumar"/>
    <n v="333"/>
    <s v="ICU"/>
    <x v="2"/>
    <n v="93085"/>
    <n v="83149"/>
    <n v="9936"/>
    <n v="80363"/>
    <n v="5701"/>
    <n v="6109"/>
    <s v="No"/>
    <n v="76"/>
    <n v="2.4"/>
    <x v="1"/>
  </r>
  <r>
    <x v="1829"/>
    <s v="Kavya Sharma"/>
    <n v="78"/>
    <x v="0"/>
    <s v="O-"/>
    <s v="Jaipur"/>
    <d v="2024-10-03T00:00:00"/>
    <d v="2024-10-19T00:00:00"/>
    <n v="16"/>
    <x v="0"/>
    <s v="Liver Disease"/>
    <x v="0"/>
    <s v="Chemotherapy"/>
    <x v="0"/>
    <s v="Dr. Rakesh Mehta"/>
    <n v="251"/>
    <s v="Semi-Private"/>
    <x v="3"/>
    <n v="117420"/>
    <n v="88790"/>
    <n v="28630"/>
    <n v="96287"/>
    <n v="15871"/>
    <n v="2940"/>
    <s v="No"/>
    <n v="67"/>
    <n v="4.9000000000000004"/>
    <x v="3"/>
  </r>
  <r>
    <x v="1830"/>
    <s v="Vikram Iyer"/>
    <n v="24"/>
    <x v="1"/>
    <s v="B-"/>
    <s v="Pune"/>
    <d v="2022-08-01T00:00:00"/>
    <d v="2022-08-05T00:00:00"/>
    <n v="4"/>
    <x v="6"/>
    <s v="Fracture"/>
    <x v="10"/>
    <s v="Chemotherapy"/>
    <x v="1"/>
    <s v="Dr. Prerna Sharma"/>
    <n v="244"/>
    <s v="Private"/>
    <x v="0"/>
    <n v="141278"/>
    <n v="64061"/>
    <n v="77217"/>
    <n v="102768"/>
    <n v="26065"/>
    <n v="11582"/>
    <s v="No"/>
    <n v="76"/>
    <n v="2.8"/>
    <x v="0"/>
  </r>
  <r>
    <x v="1831"/>
    <s v="Ashok Rao"/>
    <n v="18"/>
    <x v="1"/>
    <s v="B-"/>
    <s v="Bangalore"/>
    <d v="2022-09-16T00:00:00"/>
    <d v="2022-09-22T00:00:00"/>
    <n v="6"/>
    <x v="2"/>
    <s v="Cancer"/>
    <x v="3"/>
    <s v="Medication"/>
    <x v="0"/>
    <s v="Dr. Kavita Nair"/>
    <n v="386"/>
    <s v="Private"/>
    <x v="3"/>
    <n v="62590"/>
    <n v="41445"/>
    <n v="21145"/>
    <n v="20527"/>
    <n v="26170"/>
    <n v="12900"/>
    <s v="No"/>
    <n v="46"/>
    <n v="2.7"/>
    <x v="3"/>
  </r>
  <r>
    <x v="1832"/>
    <s v="Arjun Shah"/>
    <n v="76"/>
    <x v="0"/>
    <s v="B-"/>
    <s v="Ahmedabad"/>
    <d v="2022-12-14T00:00:00"/>
    <d v="2022-12-18T00:00:00"/>
    <n v="4"/>
    <x v="2"/>
    <s v="Cancer"/>
    <x v="3"/>
    <s v="Observation"/>
    <x v="2"/>
    <s v="Dr. Sameer Joshi"/>
    <n v="333"/>
    <s v="General Ward"/>
    <x v="1"/>
    <n v="43915"/>
    <n v="23447"/>
    <n v="20468"/>
    <n v="6710"/>
    <n v="21226"/>
    <n v="13766"/>
    <s v="No"/>
    <n v="79"/>
    <n v="2.7"/>
    <x v="4"/>
  </r>
  <r>
    <x v="1833"/>
    <s v="Ashok Pillai"/>
    <n v="43"/>
    <x v="0"/>
    <s v="B-"/>
    <s v="Jaipur"/>
    <d v="2022-01-07T00:00:00"/>
    <d v="2022-01-14T00:00:00"/>
    <n v="7"/>
    <x v="0"/>
    <s v="COVID-19"/>
    <x v="1"/>
    <s v="Radiation Therapy"/>
    <x v="2"/>
    <s v="Dr. Deepak Patel"/>
    <n v="50"/>
    <s v="Semi-Private"/>
    <x v="0"/>
    <n v="138805"/>
    <n v="79460"/>
    <n v="59345"/>
    <n v="121755"/>
    <n v="3005"/>
    <n v="11496"/>
    <s v="No"/>
    <n v="59"/>
    <n v="4.5"/>
    <x v="1"/>
  </r>
  <r>
    <x v="1834"/>
    <s v="Deepa Sharma"/>
    <n v="61"/>
    <x v="0"/>
    <s v="A+"/>
    <s v="Mumbai"/>
    <d v="2023-10-20T00:00:00"/>
    <d v="2023-11-19T00:00:00"/>
    <n v="30"/>
    <x v="2"/>
    <s v="Cancer"/>
    <x v="3"/>
    <s v="ICU Care"/>
    <x v="2"/>
    <s v="Dr. Kavita Singh"/>
    <n v="283"/>
    <s v="General Ward"/>
    <x v="2"/>
    <n v="154306"/>
    <n v="118722"/>
    <n v="35584"/>
    <n v="139001"/>
    <n v="1898"/>
    <n v="11440"/>
    <s v="No"/>
    <n v="73"/>
    <n v="5"/>
    <x v="3"/>
  </r>
  <r>
    <x v="1835"/>
    <s v="Lata Gupta"/>
    <n v="73"/>
    <x v="0"/>
    <s v="AB-"/>
    <s v="Ahmedabad"/>
    <d v="2022-12-06T00:00:00"/>
    <d v="2022-12-17T00:00:00"/>
    <n v="11"/>
    <x v="6"/>
    <s v="Arthritis"/>
    <x v="11"/>
    <s v="ICU Care"/>
    <x v="2"/>
    <s v="Dr. Anjali Patel"/>
    <n v="191"/>
    <s v="ICU"/>
    <x v="4"/>
    <n v="60228"/>
    <n v="0"/>
    <n v="60228"/>
    <n v="31296"/>
    <n v="11522"/>
    <n v="14987"/>
    <s v="No"/>
    <n v="42"/>
    <n v="3.3"/>
    <x v="3"/>
  </r>
  <r>
    <x v="1836"/>
    <s v="Karan Khanna"/>
    <n v="58"/>
    <x v="0"/>
    <s v="A+"/>
    <s v="Kolkata"/>
    <d v="2023-03-13T00:00:00"/>
    <d v="2023-04-07T00:00:00"/>
    <n v="25"/>
    <x v="2"/>
    <s v="Cancer"/>
    <x v="3"/>
    <s v="Surgery"/>
    <x v="1"/>
    <s v="Dr. Vivek Patel"/>
    <n v="54"/>
    <s v="Private"/>
    <x v="4"/>
    <n v="77318"/>
    <n v="0"/>
    <n v="77318"/>
    <n v="62728"/>
    <n v="1837"/>
    <n v="10247"/>
    <s v="No"/>
    <n v="86"/>
    <n v="2.2999999999999998"/>
    <x v="2"/>
  </r>
  <r>
    <x v="1837"/>
    <s v="Rohan Patel"/>
    <n v="34"/>
    <x v="0"/>
    <s v="AB-"/>
    <s v="Lucknow"/>
    <d v="2022-06-08T00:00:00"/>
    <d v="2022-06-23T00:00:00"/>
    <n v="15"/>
    <x v="4"/>
    <s v="Hypertension"/>
    <x v="7"/>
    <s v="Radiation Therapy"/>
    <x v="2"/>
    <s v="Dr. Arun Joshi"/>
    <n v="50"/>
    <s v="Semi-Private"/>
    <x v="2"/>
    <n v="30532"/>
    <n v="19506"/>
    <n v="11026"/>
    <n v="8818"/>
    <n v="10397"/>
    <n v="6579"/>
    <s v="No"/>
    <n v="91"/>
    <n v="2.2999999999999998"/>
    <x v="2"/>
  </r>
  <r>
    <x v="1838"/>
    <s v="Ashok Nair"/>
    <n v="62"/>
    <x v="0"/>
    <s v="B+"/>
    <s v="Hyderabad"/>
    <d v="2024-06-02T00:00:00"/>
    <d v="2024-06-20T00:00:00"/>
    <n v="18"/>
    <x v="5"/>
    <s v="Asthma"/>
    <x v="8"/>
    <s v="Chemotherapy"/>
    <x v="2"/>
    <s v="Dr. Nisha Kumar"/>
    <n v="32"/>
    <s v="ICU"/>
    <x v="4"/>
    <n v="72110"/>
    <n v="0"/>
    <n v="72110"/>
    <n v="40232"/>
    <n v="19859"/>
    <n v="11322"/>
    <s v="No"/>
    <n v="97"/>
    <n v="2.7"/>
    <x v="4"/>
  </r>
  <r>
    <x v="1839"/>
    <s v="Divya Kumar"/>
    <n v="21"/>
    <x v="1"/>
    <s v="AB-"/>
    <s v="Bangalore"/>
    <d v="2022-03-12T00:00:00"/>
    <d v="2022-04-01T00:00:00"/>
    <n v="20"/>
    <x v="1"/>
    <s v="Kidney Stone"/>
    <x v="2"/>
    <s v="Counseling"/>
    <x v="1"/>
    <s v="Dr. Kavita Kumar"/>
    <n v="357"/>
    <s v="Private"/>
    <x v="2"/>
    <n v="163740"/>
    <n v="124751"/>
    <n v="38989"/>
    <n v="145800"/>
    <n v="4234"/>
    <n v="9812"/>
    <s v="No"/>
    <n v="99"/>
    <n v="4.2"/>
    <x v="1"/>
  </r>
  <r>
    <x v="1840"/>
    <s v="Amit Khanna"/>
    <n v="46"/>
    <x v="0"/>
    <s v="A-"/>
    <s v="Ahmedabad"/>
    <d v="2023-06-24T00:00:00"/>
    <d v="2023-07-04T00:00:00"/>
    <n v="10"/>
    <x v="4"/>
    <s v="Heart Attack"/>
    <x v="7"/>
    <s v="ICU Care"/>
    <x v="3"/>
    <s v="Dr. Arun Kumar"/>
    <n v="463"/>
    <s v="General Ward"/>
    <x v="4"/>
    <n v="116403"/>
    <n v="0"/>
    <n v="116403"/>
    <n v="90414"/>
    <n v="14756"/>
    <n v="8435"/>
    <s v="Yes"/>
    <n v="90"/>
    <n v="2.5"/>
    <x v="3"/>
  </r>
  <r>
    <x v="1841"/>
    <s v="Geeta Chopra"/>
    <n v="68"/>
    <x v="0"/>
    <s v="B-"/>
    <s v="Mumbai"/>
    <d v="2022-02-19T00:00:00"/>
    <d v="2022-02-22T00:00:00"/>
    <n v="3"/>
    <x v="2"/>
    <s v="Cancer"/>
    <x v="3"/>
    <s v="Surgery"/>
    <x v="3"/>
    <s v="Dr. Arun Kumar"/>
    <n v="378"/>
    <s v="General Ward"/>
    <x v="3"/>
    <n v="143072"/>
    <n v="122022"/>
    <n v="21050"/>
    <n v="130502"/>
    <n v="1626"/>
    <n v="9853"/>
    <s v="No"/>
    <n v="57"/>
    <n v="4.9000000000000004"/>
    <x v="1"/>
  </r>
  <r>
    <x v="1842"/>
    <s v="Deepa Das"/>
    <n v="37"/>
    <x v="1"/>
    <s v="A+"/>
    <s v="Mumbai"/>
    <d v="2022-03-24T00:00:00"/>
    <d v="2022-04-22T00:00:00"/>
    <n v="29"/>
    <x v="1"/>
    <s v="UTI"/>
    <x v="2"/>
    <s v="Medication"/>
    <x v="3"/>
    <s v="Dr. Vivek Singh"/>
    <n v="435"/>
    <s v="Private"/>
    <x v="4"/>
    <n v="151102"/>
    <n v="0"/>
    <n v="151102"/>
    <n v="126100"/>
    <n v="13617"/>
    <n v="9157"/>
    <s v="No"/>
    <n v="74"/>
    <n v="4.4000000000000004"/>
    <x v="1"/>
  </r>
  <r>
    <x v="1843"/>
    <s v="Ananya Shah"/>
    <n v="57"/>
    <x v="1"/>
    <s v="O+"/>
    <s v="Jaipur"/>
    <d v="2022-10-18T00:00:00"/>
    <d v="2022-11-15T00:00:00"/>
    <n v="28"/>
    <x v="1"/>
    <s v="UTI"/>
    <x v="2"/>
    <s v="Observation"/>
    <x v="2"/>
    <s v="Dr. Nisha Gupta"/>
    <n v="217"/>
    <s v="General Ward"/>
    <x v="2"/>
    <n v="79319"/>
    <n v="61927"/>
    <n v="17392"/>
    <n v="55440"/>
    <n v="18378"/>
    <n v="1147"/>
    <s v="No"/>
    <n v="45"/>
    <n v="5"/>
    <x v="3"/>
  </r>
  <r>
    <x v="1844"/>
    <s v="Ananya Kumar"/>
    <n v="54"/>
    <x v="0"/>
    <s v="B+"/>
    <s v="Pune"/>
    <d v="2022-05-03T00:00:00"/>
    <d v="2022-05-21T00:00:00"/>
    <n v="18"/>
    <x v="0"/>
    <s v="Appendicitis"/>
    <x v="0"/>
    <s v="Dietary Management"/>
    <x v="3"/>
    <s v="Dr. Shalini Sharma"/>
    <n v="158"/>
    <s v="Semi-Private"/>
    <x v="2"/>
    <n v="104134"/>
    <n v="86719"/>
    <n v="17415"/>
    <n v="93656"/>
    <n v="1705"/>
    <n v="7695"/>
    <s v="No"/>
    <n v="80"/>
    <n v="3.3"/>
    <x v="1"/>
  </r>
  <r>
    <x v="1845"/>
    <s v="Meera Bose"/>
    <n v="54"/>
    <x v="1"/>
    <s v="A-"/>
    <s v="Mumbai"/>
    <d v="2023-04-14T00:00:00"/>
    <d v="2023-05-09T00:00:00"/>
    <n v="25"/>
    <x v="4"/>
    <s v="Heart Attack"/>
    <x v="7"/>
    <s v="Surgery"/>
    <x v="0"/>
    <s v="Dr. Vivek Gupta"/>
    <n v="30"/>
    <s v="Semi-Private"/>
    <x v="4"/>
    <n v="104883"/>
    <n v="0"/>
    <n v="104883"/>
    <n v="85554"/>
    <n v="13312"/>
    <n v="2132"/>
    <s v="No"/>
    <n v="98"/>
    <n v="2.9"/>
    <x v="4"/>
  </r>
  <r>
    <x v="1846"/>
    <s v="Sanjay Khanna"/>
    <n v="41"/>
    <x v="0"/>
    <s v="B+"/>
    <s v="Hyderabad"/>
    <d v="2023-09-24T00:00:00"/>
    <d v="2023-09-27T00:00:00"/>
    <n v="3"/>
    <x v="0"/>
    <s v="Depression"/>
    <x v="5"/>
    <s v="Physiotherapy"/>
    <x v="1"/>
    <s v="Dr. Prerna Reddy"/>
    <n v="443"/>
    <s v="ICU"/>
    <x v="0"/>
    <n v="116178"/>
    <n v="73219"/>
    <n v="42959"/>
    <n v="76265"/>
    <n v="25441"/>
    <n v="11687"/>
    <s v="No"/>
    <n v="78"/>
    <n v="4.5"/>
    <x v="2"/>
  </r>
  <r>
    <x v="1847"/>
    <s v="Vijay Iyer"/>
    <n v="63"/>
    <x v="0"/>
    <s v="A-"/>
    <s v="Hyderabad"/>
    <d v="2023-09-06T00:00:00"/>
    <d v="2023-09-23T00:00:00"/>
    <n v="17"/>
    <x v="0"/>
    <s v="Obesity"/>
    <x v="12"/>
    <s v="Medication"/>
    <x v="1"/>
    <s v="Dr. Shalini Singh"/>
    <n v="197"/>
    <s v="Private"/>
    <x v="1"/>
    <n v="92251"/>
    <n v="54733"/>
    <n v="37518"/>
    <n v="71864"/>
    <n v="14276"/>
    <n v="4344"/>
    <s v="No"/>
    <n v="87"/>
    <n v="4.5"/>
    <x v="0"/>
  </r>
  <r>
    <x v="1848"/>
    <s v="Meera Pillai"/>
    <n v="7"/>
    <x v="0"/>
    <s v="B-"/>
    <s v="Ahmedabad"/>
    <d v="2024-03-24T00:00:00"/>
    <d v="2024-04-15T00:00:00"/>
    <n v="22"/>
    <x v="0"/>
    <s v="Typhoid"/>
    <x v="1"/>
    <s v="Dialysis"/>
    <x v="0"/>
    <s v="Dr. Kavita Gupta"/>
    <n v="272"/>
    <s v="General Ward"/>
    <x v="4"/>
    <n v="96300"/>
    <n v="0"/>
    <n v="96300"/>
    <n v="70072"/>
    <n v="9984"/>
    <n v="14532"/>
    <s v="No"/>
    <n v="76"/>
    <n v="2.2999999999999998"/>
    <x v="0"/>
  </r>
  <r>
    <x v="1849"/>
    <s v="Sunil Kumar"/>
    <n v="59"/>
    <x v="1"/>
    <s v="AB-"/>
    <s v="Hyderabad"/>
    <d v="2024-06-23T00:00:00"/>
    <d v="2024-07-07T00:00:00"/>
    <n v="14"/>
    <x v="0"/>
    <s v="COVID-19"/>
    <x v="1"/>
    <s v="Observation"/>
    <x v="0"/>
    <s v="Dr. Arun Rao"/>
    <n v="42"/>
    <s v="General Ward"/>
    <x v="1"/>
    <n v="74486"/>
    <n v="48534"/>
    <n v="25952"/>
    <n v="54735"/>
    <n v="12953"/>
    <n v="3181"/>
    <s v="Yes"/>
    <n v="76"/>
    <n v="4"/>
    <x v="0"/>
  </r>
  <r>
    <x v="1850"/>
    <s v="Suresh Kumar"/>
    <n v="62"/>
    <x v="0"/>
    <s v="AB-"/>
    <s v="Mumbai"/>
    <d v="2024-12-23T00:00:00"/>
    <d v="2024-12-31T00:00:00"/>
    <n v="8"/>
    <x v="1"/>
    <s v="Kidney Stone"/>
    <x v="2"/>
    <s v="Radiation Therapy"/>
    <x v="3"/>
    <s v="Dr. Shalini Patel"/>
    <n v="14"/>
    <s v="Private"/>
    <x v="3"/>
    <n v="104244"/>
    <n v="77712"/>
    <n v="26532"/>
    <n v="60720"/>
    <n v="27099"/>
    <n v="12520"/>
    <s v="No"/>
    <n v="94"/>
    <n v="2.8"/>
    <x v="4"/>
  </r>
  <r>
    <x v="1851"/>
    <s v="Meera Bose"/>
    <n v="19"/>
    <x v="0"/>
    <s v="A+"/>
    <s v="Pune"/>
    <d v="2024-07-11T00:00:00"/>
    <d v="2024-08-08T00:00:00"/>
    <n v="28"/>
    <x v="0"/>
    <s v="COVID-19"/>
    <x v="1"/>
    <s v="Physiotherapy"/>
    <x v="3"/>
    <s v="Dr. Arun Patel"/>
    <n v="185"/>
    <s v="Private"/>
    <x v="4"/>
    <n v="99277"/>
    <n v="0"/>
    <n v="99277"/>
    <n v="72121"/>
    <n v="21240"/>
    <n v="5123"/>
    <s v="No"/>
    <n v="90"/>
    <n v="3.9"/>
    <x v="0"/>
  </r>
  <r>
    <x v="1852"/>
    <s v="Mukesh Pillai"/>
    <n v="46"/>
    <x v="0"/>
    <s v="O-"/>
    <s v="Bangalore"/>
    <d v="2024-01-29T00:00:00"/>
    <d v="2024-02-11T00:00:00"/>
    <n v="13"/>
    <x v="3"/>
    <s v="Stroke"/>
    <x v="6"/>
    <s v="Dialysis"/>
    <x v="3"/>
    <s v="Dr. Deepak Singh"/>
    <n v="183"/>
    <s v="Private"/>
    <x v="4"/>
    <n v="160902"/>
    <n v="0"/>
    <n v="160902"/>
    <n v="129098"/>
    <n v="13791"/>
    <n v="14155"/>
    <s v="No"/>
    <n v="92"/>
    <n v="3"/>
    <x v="1"/>
  </r>
  <r>
    <x v="1853"/>
    <s v="Ananya Sharma"/>
    <n v="47"/>
    <x v="1"/>
    <s v="O-"/>
    <s v="Chennai"/>
    <d v="2022-01-21T00:00:00"/>
    <d v="2022-02-12T00:00:00"/>
    <n v="22"/>
    <x v="0"/>
    <s v="COVID-19"/>
    <x v="1"/>
    <s v="Radiation Therapy"/>
    <x v="0"/>
    <s v="Dr. Sameer Nair"/>
    <n v="321"/>
    <s v="Semi-Private"/>
    <x v="3"/>
    <n v="137243"/>
    <n v="118608"/>
    <n v="18635"/>
    <n v="106993"/>
    <n v="19736"/>
    <n v="5857"/>
    <s v="No"/>
    <n v="100"/>
    <n v="4.2"/>
    <x v="0"/>
  </r>
  <r>
    <x v="1854"/>
    <s v="Rohan Joshi"/>
    <n v="59"/>
    <x v="0"/>
    <s v="A+"/>
    <s v="Chennai"/>
    <d v="2024-04-19T00:00:00"/>
    <d v="2024-05-19T00:00:00"/>
    <n v="30"/>
    <x v="0"/>
    <s v="Anemia"/>
    <x v="4"/>
    <s v="Counseling"/>
    <x v="1"/>
    <s v="Dr. Sameer Gupta"/>
    <n v="223"/>
    <s v="Private"/>
    <x v="4"/>
    <n v="167306"/>
    <n v="0"/>
    <n v="167306"/>
    <n v="146808"/>
    <n v="6651"/>
    <n v="11009"/>
    <s v="No"/>
    <n v="63"/>
    <n v="2.1"/>
    <x v="4"/>
  </r>
  <r>
    <x v="1855"/>
    <s v="Divya Chopra"/>
    <n v="18"/>
    <x v="0"/>
    <s v="O-"/>
    <s v="Chennai"/>
    <d v="2024-09-06T00:00:00"/>
    <d v="2024-09-22T00:00:00"/>
    <n v="16"/>
    <x v="0"/>
    <s v="COVID-19"/>
    <x v="1"/>
    <s v="Dialysis"/>
    <x v="2"/>
    <s v="Dr. Rakesh Gupta"/>
    <n v="55"/>
    <s v="ICU"/>
    <x v="4"/>
    <n v="48178"/>
    <n v="0"/>
    <n v="48178"/>
    <n v="21942"/>
    <n v="20215"/>
    <n v="2330"/>
    <s v="No"/>
    <n v="83"/>
    <n v="3.3"/>
    <x v="1"/>
  </r>
  <r>
    <x v="1856"/>
    <s v="Aditya Bose"/>
    <n v="27"/>
    <x v="0"/>
    <s v="B+"/>
    <s v="Pune"/>
    <d v="2022-03-15T00:00:00"/>
    <d v="2022-03-19T00:00:00"/>
    <n v="4"/>
    <x v="3"/>
    <s v="Migraine"/>
    <x v="6"/>
    <s v="Surgery"/>
    <x v="3"/>
    <s v="Dr. Vivek Rao"/>
    <n v="244"/>
    <s v="General Ward"/>
    <x v="3"/>
    <n v="149093"/>
    <n v="110847"/>
    <n v="38246"/>
    <n v="138595"/>
    <n v="5650"/>
    <n v="3910"/>
    <s v="Yes"/>
    <n v="73"/>
    <n v="2.2000000000000002"/>
    <x v="2"/>
  </r>
  <r>
    <x v="1857"/>
    <s v="Vijay Rao"/>
    <n v="79"/>
    <x v="1"/>
    <s v="B+"/>
    <s v="Chennai"/>
    <d v="2024-09-10T00:00:00"/>
    <d v="2024-09-20T00:00:00"/>
    <n v="10"/>
    <x v="2"/>
    <s v="Cancer"/>
    <x v="3"/>
    <s v="Observation"/>
    <x v="2"/>
    <s v="Dr. Rakesh Rao"/>
    <n v="145"/>
    <s v="General Ward"/>
    <x v="1"/>
    <n v="25470"/>
    <n v="15328"/>
    <n v="10142"/>
    <n v="5991"/>
    <n v="3958"/>
    <n v="11914"/>
    <s v="No"/>
    <n v="98"/>
    <n v="3.8"/>
    <x v="3"/>
  </r>
  <r>
    <x v="1858"/>
    <s v="Sneha Joshi"/>
    <n v="78"/>
    <x v="0"/>
    <s v="AB+"/>
    <s v="Hyderabad"/>
    <d v="2022-03-22T00:00:00"/>
    <d v="2022-03-30T00:00:00"/>
    <n v="8"/>
    <x v="6"/>
    <s v="Fracture"/>
    <x v="10"/>
    <s v="Counseling"/>
    <x v="2"/>
    <s v="Dr. Deepak Gupta"/>
    <n v="307"/>
    <s v="General Ward"/>
    <x v="4"/>
    <n v="145170"/>
    <n v="0"/>
    <n v="145170"/>
    <n v="118939"/>
    <n v="12705"/>
    <n v="10168"/>
    <s v="Yes"/>
    <n v="45"/>
    <n v="4"/>
    <x v="3"/>
  </r>
  <r>
    <x v="1859"/>
    <s v="Lata Mehta"/>
    <n v="34"/>
    <x v="1"/>
    <s v="O-"/>
    <s v="Lucknow"/>
    <d v="2024-02-28T00:00:00"/>
    <d v="2024-03-13T00:00:00"/>
    <n v="14"/>
    <x v="0"/>
    <s v="Anemia"/>
    <x v="4"/>
    <s v="Dialysis"/>
    <x v="2"/>
    <s v="Dr. Kavita Rao"/>
    <n v="486"/>
    <s v="Private"/>
    <x v="0"/>
    <n v="95918"/>
    <n v="63705"/>
    <n v="32213"/>
    <n v="59475"/>
    <n v="24626"/>
    <n v="8391"/>
    <s v="No"/>
    <n v="96"/>
    <n v="5"/>
    <x v="2"/>
  </r>
  <r>
    <x v="1860"/>
    <s v="Arjun Das"/>
    <n v="43"/>
    <x v="0"/>
    <s v="B-"/>
    <s v="Ahmedabad"/>
    <d v="2024-09-08T00:00:00"/>
    <d v="2024-09-16T00:00:00"/>
    <n v="8"/>
    <x v="1"/>
    <s v="UTI"/>
    <x v="2"/>
    <s v="ICU Care"/>
    <x v="1"/>
    <s v="Dr. Kavita Sharma"/>
    <n v="418"/>
    <s v="Semi-Private"/>
    <x v="3"/>
    <n v="160275"/>
    <n v="144028"/>
    <n v="16247"/>
    <n v="129491"/>
    <n v="26897"/>
    <n v="2738"/>
    <s v="No"/>
    <n v="92"/>
    <n v="2.2000000000000002"/>
    <x v="2"/>
  </r>
  <r>
    <x v="1861"/>
    <s v="Nisha Patel"/>
    <n v="47"/>
    <x v="0"/>
    <s v="B-"/>
    <s v="Bangalore"/>
    <d v="2024-05-19T00:00:00"/>
    <d v="2024-06-03T00:00:00"/>
    <n v="15"/>
    <x v="0"/>
    <s v="Liver Disease"/>
    <x v="0"/>
    <s v="Physiotherapy"/>
    <x v="3"/>
    <s v="Dr. Rakesh Nair"/>
    <n v="126"/>
    <s v="ICU"/>
    <x v="0"/>
    <n v="144285"/>
    <n v="90710"/>
    <n v="53575"/>
    <n v="108435"/>
    <n v="19296"/>
    <n v="12275"/>
    <s v="No"/>
    <n v="96"/>
    <n v="2.7"/>
    <x v="0"/>
  </r>
  <r>
    <x v="1862"/>
    <s v="Mukesh Das"/>
    <n v="77"/>
    <x v="0"/>
    <s v="A-"/>
    <s v="Bangalore"/>
    <d v="2024-12-14T00:00:00"/>
    <d v="2024-12-28T00:00:00"/>
    <n v="14"/>
    <x v="0"/>
    <s v="COVID-19"/>
    <x v="1"/>
    <s v="Counseling"/>
    <x v="0"/>
    <s v="Dr. Anjali Singh"/>
    <n v="255"/>
    <s v="ICU"/>
    <x v="1"/>
    <n v="35556"/>
    <n v="18949"/>
    <n v="16607"/>
    <n v="26879"/>
    <n v="2704"/>
    <n v="5326"/>
    <s v="No"/>
    <n v="94"/>
    <n v="4.4000000000000004"/>
    <x v="0"/>
  </r>
  <r>
    <x v="1863"/>
    <s v="Karan Menon"/>
    <n v="53"/>
    <x v="0"/>
    <s v="B+"/>
    <s v="Hyderabad"/>
    <d v="2022-07-25T00:00:00"/>
    <d v="2022-08-18T00:00:00"/>
    <n v="24"/>
    <x v="0"/>
    <s v="Dengue"/>
    <x v="1"/>
    <s v="Chemotherapy"/>
    <x v="1"/>
    <s v="Dr. Deepak Sharma"/>
    <n v="73"/>
    <s v="General Ward"/>
    <x v="4"/>
    <n v="22272"/>
    <n v="0"/>
    <n v="22272"/>
    <n v="10292"/>
    <n v="9646"/>
    <n v="1769"/>
    <s v="No"/>
    <n v="46"/>
    <n v="3.7"/>
    <x v="2"/>
  </r>
  <r>
    <x v="1864"/>
    <s v="Divya Nair"/>
    <n v="36"/>
    <x v="1"/>
    <s v="AB-"/>
    <s v="Mumbai"/>
    <d v="2023-01-04T00:00:00"/>
    <d v="2023-01-18T00:00:00"/>
    <n v="14"/>
    <x v="1"/>
    <s v="Kidney Stone"/>
    <x v="2"/>
    <s v="Counseling"/>
    <x v="1"/>
    <s v="Dr. Rakesh Rao"/>
    <n v="203"/>
    <s v="Semi-Private"/>
    <x v="4"/>
    <n v="94312"/>
    <n v="0"/>
    <n v="94312"/>
    <n v="88322"/>
    <n v="1981"/>
    <n v="1793"/>
    <s v="No"/>
    <n v="97"/>
    <n v="2.2000000000000002"/>
    <x v="3"/>
  </r>
  <r>
    <x v="1865"/>
    <s v="Aditya Kumar"/>
    <n v="46"/>
    <x v="0"/>
    <s v="O-"/>
    <s v="Kolkata"/>
    <d v="2024-06-26T00:00:00"/>
    <d v="2024-07-23T00:00:00"/>
    <n v="27"/>
    <x v="2"/>
    <s v="Cancer"/>
    <x v="3"/>
    <s v="Chemotherapy"/>
    <x v="0"/>
    <s v="Dr. Arun Sharma"/>
    <n v="371"/>
    <s v="General Ward"/>
    <x v="3"/>
    <n v="101613"/>
    <n v="88562"/>
    <n v="13051"/>
    <n v="77150"/>
    <n v="19586"/>
    <n v="3622"/>
    <s v="No"/>
    <n v="66"/>
    <n v="4.9000000000000004"/>
    <x v="4"/>
  </r>
  <r>
    <x v="1866"/>
    <s v="Kavya Sharma"/>
    <n v="28"/>
    <x v="1"/>
    <s v="AB-"/>
    <s v="Chennai"/>
    <d v="2024-07-17T00:00:00"/>
    <d v="2024-07-24T00:00:00"/>
    <n v="7"/>
    <x v="2"/>
    <s v="Cancer"/>
    <x v="3"/>
    <s v="Radiation Therapy"/>
    <x v="1"/>
    <s v="Dr. Prerna Sharma"/>
    <n v="51"/>
    <s v="Private"/>
    <x v="1"/>
    <n v="68785"/>
    <n v="44581"/>
    <n v="24204"/>
    <n v="50037"/>
    <n v="14557"/>
    <n v="3063"/>
    <s v="No"/>
    <n v="79"/>
    <n v="4.5999999999999996"/>
    <x v="2"/>
  </r>
  <r>
    <x v="1867"/>
    <s v="Geeta Nair"/>
    <n v="6"/>
    <x v="1"/>
    <s v="AB+"/>
    <s v="Delhi"/>
    <d v="2023-03-04T00:00:00"/>
    <d v="2023-03-21T00:00:00"/>
    <n v="17"/>
    <x v="3"/>
    <s v="Migraine"/>
    <x v="6"/>
    <s v="Dialysis"/>
    <x v="0"/>
    <s v="Dr. Vivek Sharma"/>
    <n v="88"/>
    <s v="Private"/>
    <x v="2"/>
    <n v="96214"/>
    <n v="78565"/>
    <n v="17649"/>
    <n v="76000"/>
    <n v="9177"/>
    <n v="6093"/>
    <s v="No"/>
    <n v="93"/>
    <n v="3.4"/>
    <x v="3"/>
  </r>
  <r>
    <x v="1868"/>
    <s v="Ashok Pillai"/>
    <n v="8"/>
    <x v="1"/>
    <s v="O+"/>
    <s v="Pune"/>
    <d v="2022-04-18T00:00:00"/>
    <d v="2022-04-21T00:00:00"/>
    <n v="3"/>
    <x v="0"/>
    <s v="Dengue"/>
    <x v="1"/>
    <s v="Surgery"/>
    <x v="1"/>
    <s v="Dr. Shalini Kumar"/>
    <n v="313"/>
    <s v="ICU"/>
    <x v="2"/>
    <n v="70616"/>
    <n v="59293"/>
    <n v="11323"/>
    <n v="44610"/>
    <n v="16791"/>
    <n v="7155"/>
    <s v="No"/>
    <n v="57"/>
    <n v="4.4000000000000004"/>
    <x v="4"/>
  </r>
  <r>
    <x v="1869"/>
    <s v="Meera Menon"/>
    <n v="60"/>
    <x v="0"/>
    <s v="A+"/>
    <s v="Pune"/>
    <d v="2023-06-10T00:00:00"/>
    <d v="2023-07-10T00:00:00"/>
    <n v="30"/>
    <x v="6"/>
    <s v="Arthritis"/>
    <x v="11"/>
    <s v="Observation"/>
    <x v="2"/>
    <s v="Dr. Nisha Gupta"/>
    <n v="180"/>
    <s v="General Ward"/>
    <x v="4"/>
    <n v="65573"/>
    <n v="0"/>
    <n v="65573"/>
    <n v="49339"/>
    <n v="6880"/>
    <n v="5572"/>
    <s v="No"/>
    <n v="88"/>
    <n v="2.2000000000000002"/>
    <x v="0"/>
  </r>
  <r>
    <x v="1870"/>
    <s v="Mukesh Nair"/>
    <n v="69"/>
    <x v="0"/>
    <s v="A-"/>
    <s v="Ahmedabad"/>
    <d v="2023-11-23T00:00:00"/>
    <d v="2023-12-21T00:00:00"/>
    <n v="28"/>
    <x v="5"/>
    <s v="Asthma"/>
    <x v="8"/>
    <s v="Counseling"/>
    <x v="2"/>
    <s v="Dr. Anjali Gupta"/>
    <n v="56"/>
    <s v="General Ward"/>
    <x v="4"/>
    <n v="48934"/>
    <n v="0"/>
    <n v="48934"/>
    <n v="30463"/>
    <n v="13539"/>
    <n v="1409"/>
    <s v="No"/>
    <n v="41"/>
    <n v="4.8"/>
    <x v="0"/>
  </r>
  <r>
    <x v="1871"/>
    <s v="Meera Verma"/>
    <n v="50"/>
    <x v="0"/>
    <s v="A+"/>
    <s v="Jaipur"/>
    <d v="2022-12-15T00:00:00"/>
    <d v="2022-12-28T00:00:00"/>
    <n v="13"/>
    <x v="0"/>
    <s v="Typhoid"/>
    <x v="1"/>
    <s v="Observation"/>
    <x v="3"/>
    <s v="Dr. Arun Singh"/>
    <n v="139"/>
    <s v="Private"/>
    <x v="2"/>
    <n v="107879"/>
    <n v="84927"/>
    <n v="22952"/>
    <n v="83380"/>
    <n v="10142"/>
    <n v="12732"/>
    <s v="No"/>
    <n v="89"/>
    <n v="2.4"/>
    <x v="4"/>
  </r>
  <r>
    <x v="1872"/>
    <s v="Meera Sharma"/>
    <n v="72"/>
    <x v="1"/>
    <s v="O-"/>
    <s v="Mumbai"/>
    <d v="2022-05-13T00:00:00"/>
    <d v="2022-05-24T00:00:00"/>
    <n v="11"/>
    <x v="0"/>
    <s v="Appendicitis"/>
    <x v="0"/>
    <s v="Radiation Therapy"/>
    <x v="0"/>
    <s v="Dr. Sameer Joshi"/>
    <n v="262"/>
    <s v="Private"/>
    <x v="1"/>
    <n v="130841"/>
    <n v="62337"/>
    <n v="68504"/>
    <n v="121456"/>
    <n v="2409"/>
    <n v="5305"/>
    <s v="No"/>
    <n v="76"/>
    <n v="4"/>
    <x v="3"/>
  </r>
  <r>
    <x v="1873"/>
    <s v="Deepa Gupta"/>
    <n v="5"/>
    <x v="0"/>
    <s v="AB+"/>
    <s v="Jaipur"/>
    <d v="2022-06-10T00:00:00"/>
    <d v="2022-06-25T00:00:00"/>
    <n v="15"/>
    <x v="4"/>
    <s v="Hypertension"/>
    <x v="7"/>
    <s v="Observation"/>
    <x v="1"/>
    <s v="Dr. Rakesh Reddy"/>
    <n v="219"/>
    <s v="Private"/>
    <x v="1"/>
    <n v="148742"/>
    <n v="86090"/>
    <n v="62652"/>
    <n v="128838"/>
    <n v="6051"/>
    <n v="11505"/>
    <s v="No"/>
    <n v="69"/>
    <n v="3.2"/>
    <x v="3"/>
  </r>
  <r>
    <x v="1874"/>
    <s v="Sunita Patel"/>
    <n v="45"/>
    <x v="0"/>
    <s v="A-"/>
    <s v="Ahmedabad"/>
    <d v="2022-06-21T00:00:00"/>
    <d v="2022-07-02T00:00:00"/>
    <n v="11"/>
    <x v="0"/>
    <s v="Diabetes Type 2"/>
    <x v="9"/>
    <s v="Radiation Therapy"/>
    <x v="0"/>
    <s v="Dr. Arun Patel"/>
    <n v="353"/>
    <s v="ICU"/>
    <x v="4"/>
    <n v="75908"/>
    <n v="0"/>
    <n v="75908"/>
    <n v="34067"/>
    <n v="24277"/>
    <n v="12666"/>
    <s v="No"/>
    <n v="40"/>
    <n v="4.7"/>
    <x v="4"/>
  </r>
  <r>
    <x v="1875"/>
    <s v="Ritu Nair"/>
    <n v="27"/>
    <x v="0"/>
    <s v="O-"/>
    <s v="Pune"/>
    <d v="2024-07-24T00:00:00"/>
    <d v="2024-08-07T00:00:00"/>
    <n v="14"/>
    <x v="0"/>
    <s v="Appendicitis"/>
    <x v="0"/>
    <s v="Observation"/>
    <x v="0"/>
    <s v="Dr. Anjali Sharma"/>
    <n v="222"/>
    <s v="ICU"/>
    <x v="3"/>
    <n v="66763"/>
    <n v="56048"/>
    <n v="10715"/>
    <n v="39400"/>
    <n v="23546"/>
    <n v="2012"/>
    <s v="No"/>
    <n v="88"/>
    <n v="2.7"/>
    <x v="0"/>
  </r>
  <r>
    <x v="1876"/>
    <s v="Rekha Kumar"/>
    <n v="38"/>
    <x v="1"/>
    <s v="A+"/>
    <s v="Lucknow"/>
    <d v="2022-11-06T00:00:00"/>
    <d v="2022-11-10T00:00:00"/>
    <n v="4"/>
    <x v="1"/>
    <s v="Kidney Stone"/>
    <x v="2"/>
    <s v="Radiation Therapy"/>
    <x v="2"/>
    <s v="Dr. Nisha Rao"/>
    <n v="249"/>
    <s v="Semi-Private"/>
    <x v="0"/>
    <n v="154891"/>
    <n v="98440"/>
    <n v="56451"/>
    <n v="115840"/>
    <n v="28156"/>
    <n v="8099"/>
    <s v="Yes"/>
    <n v="73"/>
    <n v="4"/>
    <x v="3"/>
  </r>
  <r>
    <x v="1877"/>
    <s v="Ananya Patel"/>
    <n v="49"/>
    <x v="0"/>
    <s v="O+"/>
    <s v="Ahmedabad"/>
    <d v="2024-03-11T00:00:00"/>
    <d v="2024-03-30T00:00:00"/>
    <n v="19"/>
    <x v="0"/>
    <s v="Depression"/>
    <x v="5"/>
    <s v="Medication"/>
    <x v="1"/>
    <s v="Dr. Sameer Mehta"/>
    <n v="176"/>
    <s v="ICU"/>
    <x v="0"/>
    <n v="47321"/>
    <n v="20292"/>
    <n v="27029"/>
    <n v="20945"/>
    <n v="18436"/>
    <n v="4041"/>
    <s v="Yes"/>
    <n v="75"/>
    <n v="3.6"/>
    <x v="2"/>
  </r>
  <r>
    <x v="1878"/>
    <s v="Nisha Bose"/>
    <n v="9"/>
    <x v="1"/>
    <s v="AB+"/>
    <s v="Bangalore"/>
    <d v="2022-04-07T00:00:00"/>
    <d v="2022-05-01T00:00:00"/>
    <n v="24"/>
    <x v="3"/>
    <s v="Migraine"/>
    <x v="6"/>
    <s v="Radiation Therapy"/>
    <x v="1"/>
    <s v="Dr. Kavita Kumar"/>
    <n v="475"/>
    <s v="Private"/>
    <x v="1"/>
    <n v="143536"/>
    <n v="71109"/>
    <n v="72427"/>
    <n v="97207"/>
    <n v="29999"/>
    <n v="14965"/>
    <s v="No"/>
    <n v="97"/>
    <n v="3.1"/>
    <x v="3"/>
  </r>
  <r>
    <x v="1879"/>
    <s v="Pooja Khanna"/>
    <n v="24"/>
    <x v="0"/>
    <s v="O-"/>
    <s v="Jaipur"/>
    <d v="2024-03-23T00:00:00"/>
    <d v="2024-04-22T00:00:00"/>
    <n v="30"/>
    <x v="3"/>
    <s v="Stroke"/>
    <x v="6"/>
    <s v="Medication"/>
    <x v="2"/>
    <s v="Dr. Nisha Reddy"/>
    <n v="442"/>
    <s v="ICU"/>
    <x v="1"/>
    <n v="143992"/>
    <n v="84329"/>
    <n v="59663"/>
    <n v="132972"/>
    <n v="7160"/>
    <n v="2864"/>
    <s v="No"/>
    <n v="95"/>
    <n v="2.8"/>
    <x v="3"/>
  </r>
  <r>
    <x v="1880"/>
    <s v="Lata Pillai"/>
    <n v="7"/>
    <x v="0"/>
    <s v="O+"/>
    <s v="Mumbai"/>
    <d v="2024-06-18T00:00:00"/>
    <d v="2024-07-06T00:00:00"/>
    <n v="18"/>
    <x v="0"/>
    <s v="COVID-19"/>
    <x v="1"/>
    <s v="Counseling"/>
    <x v="0"/>
    <s v="Dr. Prerna Nair"/>
    <n v="469"/>
    <s v="Semi-Private"/>
    <x v="4"/>
    <n v="63800"/>
    <n v="0"/>
    <n v="63800"/>
    <n v="35739"/>
    <n v="25729"/>
    <n v="1416"/>
    <s v="No"/>
    <n v="67"/>
    <n v="3.2"/>
    <x v="0"/>
  </r>
  <r>
    <x v="1881"/>
    <s v="Deepa Das"/>
    <n v="41"/>
    <x v="1"/>
    <s v="B-"/>
    <s v="Mumbai"/>
    <d v="2022-01-12T00:00:00"/>
    <d v="2022-01-21T00:00:00"/>
    <n v="9"/>
    <x v="0"/>
    <s v="Anemia"/>
    <x v="4"/>
    <s v="Chemotherapy"/>
    <x v="3"/>
    <s v="Dr. Vivek Sharma"/>
    <n v="363"/>
    <s v="ICU"/>
    <x v="2"/>
    <n v="127921"/>
    <n v="94801"/>
    <n v="33120"/>
    <n v="105614"/>
    <n v="10041"/>
    <n v="9760"/>
    <s v="No"/>
    <n v="40"/>
    <n v="2.9"/>
    <x v="4"/>
  </r>
  <r>
    <x v="1882"/>
    <s v="Mukesh Menon"/>
    <n v="11"/>
    <x v="0"/>
    <s v="B-"/>
    <s v="Mumbai"/>
    <d v="2023-06-23T00:00:00"/>
    <d v="2023-07-09T00:00:00"/>
    <n v="16"/>
    <x v="4"/>
    <s v="Hypertension"/>
    <x v="7"/>
    <s v="Radiation Therapy"/>
    <x v="1"/>
    <s v="Dr. Sameer Gupta"/>
    <n v="218"/>
    <s v="Private"/>
    <x v="4"/>
    <n v="43398"/>
    <n v="0"/>
    <n v="43398"/>
    <n v="34774"/>
    <n v="7162"/>
    <n v="571"/>
    <s v="No"/>
    <n v="80"/>
    <n v="4.4000000000000004"/>
    <x v="3"/>
  </r>
  <r>
    <x v="1883"/>
    <s v="Mukesh Menon"/>
    <n v="74"/>
    <x v="0"/>
    <s v="AB-"/>
    <s v="Pune"/>
    <d v="2023-09-04T00:00:00"/>
    <d v="2023-09-20T00:00:00"/>
    <n v="16"/>
    <x v="3"/>
    <s v="Stroke"/>
    <x v="6"/>
    <s v="Counseling"/>
    <x v="1"/>
    <s v="Dr. Deepak Singh"/>
    <n v="93"/>
    <s v="ICU"/>
    <x v="4"/>
    <n v="32731"/>
    <n v="0"/>
    <n v="32731"/>
    <n v="11386"/>
    <n v="13543"/>
    <n v="3120"/>
    <s v="No"/>
    <n v="60"/>
    <n v="4.4000000000000004"/>
    <x v="4"/>
  </r>
  <r>
    <x v="1884"/>
    <s v="Ananya Shah"/>
    <n v="45"/>
    <x v="1"/>
    <s v="B+"/>
    <s v="Mumbai"/>
    <d v="2024-01-29T00:00:00"/>
    <d v="2024-02-21T00:00:00"/>
    <n v="23"/>
    <x v="5"/>
    <s v="Pneumonia"/>
    <x v="8"/>
    <s v="ICU Care"/>
    <x v="1"/>
    <s v="Dr. Nisha Kumar"/>
    <n v="460"/>
    <s v="General Ward"/>
    <x v="2"/>
    <n v="71861"/>
    <n v="53208"/>
    <n v="18653"/>
    <n v="54422"/>
    <n v="11796"/>
    <n v="3072"/>
    <s v="Yes"/>
    <n v="68"/>
    <n v="3.7"/>
    <x v="4"/>
  </r>
  <r>
    <x v="1885"/>
    <s v="Sunita Shah"/>
    <n v="6"/>
    <x v="0"/>
    <s v="A-"/>
    <s v="Chennai"/>
    <d v="2022-09-04T00:00:00"/>
    <d v="2022-10-03T00:00:00"/>
    <n v="29"/>
    <x v="6"/>
    <s v="Arthritis"/>
    <x v="11"/>
    <s v="Surgery"/>
    <x v="1"/>
    <s v="Dr. Nisha Patel"/>
    <n v="421"/>
    <s v="Private"/>
    <x v="2"/>
    <n v="52771"/>
    <n v="39461"/>
    <n v="13310"/>
    <n v="38338"/>
    <n v="1723"/>
    <n v="12184"/>
    <s v="No"/>
    <n v="42"/>
    <n v="4.9000000000000004"/>
    <x v="1"/>
  </r>
  <r>
    <x v="1886"/>
    <s v="Rahul Verma"/>
    <n v="59"/>
    <x v="1"/>
    <s v="B-"/>
    <s v="Bangalore"/>
    <d v="2024-08-26T00:00:00"/>
    <d v="2024-09-09T00:00:00"/>
    <n v="14"/>
    <x v="0"/>
    <s v="Liver Disease"/>
    <x v="0"/>
    <s v="Observation"/>
    <x v="3"/>
    <s v="Dr. Anjali Reddy"/>
    <n v="262"/>
    <s v="ICU"/>
    <x v="1"/>
    <n v="72139"/>
    <n v="43450"/>
    <n v="28689"/>
    <n v="58232"/>
    <n v="2377"/>
    <n v="9795"/>
    <s v="No"/>
    <n v="53"/>
    <n v="3.8"/>
    <x v="4"/>
  </r>
  <r>
    <x v="1887"/>
    <s v="Priya Shah"/>
    <n v="57"/>
    <x v="1"/>
    <s v="AB+"/>
    <s v="Mumbai"/>
    <d v="2024-06-17T00:00:00"/>
    <d v="2024-06-20T00:00:00"/>
    <n v="3"/>
    <x v="5"/>
    <s v="Pneumonia"/>
    <x v="8"/>
    <s v="Surgery"/>
    <x v="2"/>
    <s v="Dr. Anjali Reddy"/>
    <n v="313"/>
    <s v="Private"/>
    <x v="1"/>
    <n v="47307"/>
    <n v="26518"/>
    <n v="20789"/>
    <n v="27688"/>
    <n v="5486"/>
    <n v="11070"/>
    <s v="No"/>
    <n v="76"/>
    <n v="2.7"/>
    <x v="4"/>
  </r>
  <r>
    <x v="1888"/>
    <s v="Karan Iyer"/>
    <n v="41"/>
    <x v="1"/>
    <s v="AB+"/>
    <s v="Hyderabad"/>
    <d v="2023-03-02T00:00:00"/>
    <d v="2023-03-16T00:00:00"/>
    <n v="14"/>
    <x v="1"/>
    <s v="Kidney Stone"/>
    <x v="2"/>
    <s v="Surgery"/>
    <x v="3"/>
    <s v="Dr. Nisha Rao"/>
    <n v="500"/>
    <s v="Private"/>
    <x v="4"/>
    <n v="148795"/>
    <n v="0"/>
    <n v="148795"/>
    <n v="115287"/>
    <n v="19085"/>
    <n v="12962"/>
    <s v="No"/>
    <n v="88"/>
    <n v="3.6"/>
    <x v="1"/>
  </r>
  <r>
    <x v="1889"/>
    <s v="Sneha Rao"/>
    <n v="53"/>
    <x v="1"/>
    <s v="A-"/>
    <s v="Jaipur"/>
    <d v="2024-07-05T00:00:00"/>
    <d v="2024-07-25T00:00:00"/>
    <n v="20"/>
    <x v="0"/>
    <s v="Depression"/>
    <x v="5"/>
    <s v="Radiation Therapy"/>
    <x v="0"/>
    <s v="Dr. Kavita Reddy"/>
    <n v="500"/>
    <s v="General Ward"/>
    <x v="0"/>
    <n v="65167"/>
    <n v="41911"/>
    <n v="23256"/>
    <n v="57029"/>
    <n v="1256"/>
    <n v="5107"/>
    <s v="No"/>
    <n v="92"/>
    <n v="2.7"/>
    <x v="0"/>
  </r>
  <r>
    <x v="1890"/>
    <s v="Arjun Reddy"/>
    <n v="18"/>
    <x v="0"/>
    <s v="A+"/>
    <s v="Bangalore"/>
    <d v="2023-10-27T00:00:00"/>
    <d v="2023-10-28T00:00:00"/>
    <n v="1"/>
    <x v="0"/>
    <s v="Liver Disease"/>
    <x v="0"/>
    <s v="Radiation Therapy"/>
    <x v="1"/>
    <s v="Dr. Rakesh Sharma"/>
    <n v="13"/>
    <s v="Private"/>
    <x v="0"/>
    <n v="174202"/>
    <n v="96600"/>
    <n v="77602"/>
    <n v="148201"/>
    <n v="15271"/>
    <n v="6718"/>
    <s v="No"/>
    <n v="91"/>
    <n v="3.5"/>
    <x v="2"/>
  </r>
  <r>
    <x v="1891"/>
    <s v="Karan Patel"/>
    <n v="25"/>
    <x v="0"/>
    <s v="O-"/>
    <s v="Ahmedabad"/>
    <d v="2024-11-02T00:00:00"/>
    <d v="2024-11-22T00:00:00"/>
    <n v="20"/>
    <x v="0"/>
    <s v="Anemia"/>
    <x v="4"/>
    <s v="Chemotherapy"/>
    <x v="0"/>
    <s v="Dr. Deepak Sharma"/>
    <n v="183"/>
    <s v="Semi-Private"/>
    <x v="3"/>
    <n v="80352"/>
    <n v="71741"/>
    <n v="8611"/>
    <n v="55733"/>
    <n v="18364"/>
    <n v="1448"/>
    <s v="Yes"/>
    <n v="52"/>
    <n v="4.5999999999999996"/>
    <x v="3"/>
  </r>
  <r>
    <x v="1892"/>
    <s v="Sanjay Malhotra"/>
    <n v="8"/>
    <x v="1"/>
    <s v="B+"/>
    <s v="Hyderabad"/>
    <d v="2024-08-08T00:00:00"/>
    <d v="2024-08-24T00:00:00"/>
    <n v="16"/>
    <x v="0"/>
    <s v="Diabetes Type 2"/>
    <x v="9"/>
    <s v="ICU Care"/>
    <x v="1"/>
    <s v="Dr. Deepak Joshi"/>
    <n v="71"/>
    <s v="General Ward"/>
    <x v="2"/>
    <n v="175179"/>
    <n v="149226"/>
    <n v="25953"/>
    <n v="137909"/>
    <n v="22634"/>
    <n v="10745"/>
    <s v="No"/>
    <n v="73"/>
    <n v="4.8"/>
    <x v="2"/>
  </r>
  <r>
    <x v="1893"/>
    <s v="Arjun Singh"/>
    <n v="59"/>
    <x v="0"/>
    <s v="A+"/>
    <s v="Mumbai"/>
    <d v="2024-02-14T00:00:00"/>
    <d v="2024-03-10T00:00:00"/>
    <n v="25"/>
    <x v="3"/>
    <s v="Migraine"/>
    <x v="6"/>
    <s v="Counseling"/>
    <x v="1"/>
    <s v="Dr. Sameer Gupta"/>
    <n v="302"/>
    <s v="General Ward"/>
    <x v="4"/>
    <n v="69222"/>
    <n v="0"/>
    <n v="69222"/>
    <n v="47842"/>
    <n v="13107"/>
    <n v="3315"/>
    <s v="No"/>
    <n v="64"/>
    <n v="3"/>
    <x v="3"/>
  </r>
  <r>
    <x v="1894"/>
    <s v="Pooja Pillai"/>
    <n v="14"/>
    <x v="0"/>
    <s v="B+"/>
    <s v="Bangalore"/>
    <d v="2023-08-08T00:00:00"/>
    <d v="2023-08-12T00:00:00"/>
    <n v="4"/>
    <x v="0"/>
    <s v="Liver Disease"/>
    <x v="0"/>
    <s v="Radiation Therapy"/>
    <x v="0"/>
    <s v="Dr. Arun Reddy"/>
    <n v="64"/>
    <s v="General Ward"/>
    <x v="1"/>
    <n v="46373"/>
    <n v="26323"/>
    <n v="20050"/>
    <n v="21328"/>
    <n v="18405"/>
    <n v="3975"/>
    <s v="Yes"/>
    <n v="74"/>
    <n v="4.7"/>
    <x v="1"/>
  </r>
  <r>
    <x v="1895"/>
    <s v="Mukesh Nair"/>
    <n v="37"/>
    <x v="0"/>
    <s v="A+"/>
    <s v="Hyderabad"/>
    <d v="2024-12-29T00:00:00"/>
    <d v="2024-12-31T00:00:00"/>
    <n v="2"/>
    <x v="3"/>
    <s v="Stroke"/>
    <x v="6"/>
    <s v="Observation"/>
    <x v="3"/>
    <s v="Dr. Deepak Joshi"/>
    <n v="470"/>
    <s v="ICU"/>
    <x v="0"/>
    <n v="114194"/>
    <n v="53096"/>
    <n v="61098"/>
    <n v="106420"/>
    <n v="2962"/>
    <n v="3494"/>
    <s v="No"/>
    <n v="72"/>
    <n v="4.0999999999999996"/>
    <x v="4"/>
  </r>
  <r>
    <x v="1896"/>
    <s v="Manoj Khanna"/>
    <n v="58"/>
    <x v="0"/>
    <s v="A+"/>
    <s v="Pune"/>
    <d v="2024-09-02T00:00:00"/>
    <d v="2024-09-23T00:00:00"/>
    <n v="21"/>
    <x v="1"/>
    <s v="UTI"/>
    <x v="2"/>
    <s v="Medication"/>
    <x v="0"/>
    <s v="Dr. Deepak Sharma"/>
    <n v="432"/>
    <s v="Semi-Private"/>
    <x v="3"/>
    <n v="163305"/>
    <n v="132573"/>
    <n v="30732"/>
    <n v="142373"/>
    <n v="6668"/>
    <n v="11025"/>
    <s v="No"/>
    <n v="68"/>
    <n v="2.2999999999999998"/>
    <x v="4"/>
  </r>
  <r>
    <x v="1897"/>
    <s v="Geeta Das"/>
    <n v="72"/>
    <x v="0"/>
    <s v="A+"/>
    <s v="Hyderabad"/>
    <d v="2022-06-14T00:00:00"/>
    <d v="2022-06-25T00:00:00"/>
    <n v="11"/>
    <x v="0"/>
    <s v="Dengue"/>
    <x v="1"/>
    <s v="Counseling"/>
    <x v="1"/>
    <s v="Dr. Kavita Gupta"/>
    <n v="103"/>
    <s v="General Ward"/>
    <x v="4"/>
    <n v="72403"/>
    <n v="0"/>
    <n v="72403"/>
    <n v="48801"/>
    <n v="4913"/>
    <n v="14274"/>
    <s v="No"/>
    <n v="64"/>
    <n v="4.9000000000000004"/>
    <x v="1"/>
  </r>
  <r>
    <x v="1898"/>
    <s v="Meera Menon"/>
    <n v="82"/>
    <x v="0"/>
    <s v="O+"/>
    <s v="Chennai"/>
    <d v="2023-02-07T00:00:00"/>
    <d v="2023-03-06T00:00:00"/>
    <n v="27"/>
    <x v="0"/>
    <s v="Appendicitis"/>
    <x v="0"/>
    <s v="Counseling"/>
    <x v="2"/>
    <s v="Dr. Anjali Reddy"/>
    <n v="370"/>
    <s v="General Ward"/>
    <x v="4"/>
    <n v="153809"/>
    <n v="0"/>
    <n v="153809"/>
    <n v="130198"/>
    <n v="14385"/>
    <n v="7622"/>
    <s v="Yes"/>
    <n v="59"/>
    <n v="4.5"/>
    <x v="4"/>
  </r>
  <r>
    <x v="1899"/>
    <s v="Arjun Nair"/>
    <n v="56"/>
    <x v="0"/>
    <s v="A+"/>
    <s v="Delhi"/>
    <d v="2023-11-12T00:00:00"/>
    <d v="2023-11-27T00:00:00"/>
    <n v="15"/>
    <x v="0"/>
    <s v="COVID-19"/>
    <x v="1"/>
    <s v="Observation"/>
    <x v="0"/>
    <s v="Dr. Sameer Patel"/>
    <n v="308"/>
    <s v="ICU"/>
    <x v="1"/>
    <n v="127416"/>
    <n v="75091"/>
    <n v="52325"/>
    <n v="87997"/>
    <n v="28607"/>
    <n v="7503"/>
    <s v="No"/>
    <n v="61"/>
    <n v="4"/>
    <x v="1"/>
  </r>
  <r>
    <x v="1900"/>
    <s v="Vikram Nair"/>
    <n v="47"/>
    <x v="0"/>
    <s v="AB+"/>
    <s v="Ahmedabad"/>
    <d v="2022-12-24T00:00:00"/>
    <d v="2023-01-13T00:00:00"/>
    <n v="20"/>
    <x v="4"/>
    <s v="Heart Attack"/>
    <x v="7"/>
    <s v="Dietary Management"/>
    <x v="1"/>
    <s v="Dr. Anjali Mehta"/>
    <n v="70"/>
    <s v="ICU"/>
    <x v="3"/>
    <n v="86845"/>
    <n v="54684"/>
    <n v="32161"/>
    <n v="76121"/>
    <n v="2431"/>
    <n v="7601"/>
    <s v="No"/>
    <n v="56"/>
    <n v="2.2999999999999998"/>
    <x v="0"/>
  </r>
  <r>
    <x v="1901"/>
    <s v="Ananya Malhotra"/>
    <n v="34"/>
    <x v="0"/>
    <s v="B-"/>
    <s v="Chennai"/>
    <d v="2022-10-04T00:00:00"/>
    <d v="2022-10-30T00:00:00"/>
    <n v="26"/>
    <x v="3"/>
    <s v="Stroke"/>
    <x v="6"/>
    <s v="Dietary Management"/>
    <x v="0"/>
    <s v="Dr. Sameer Mehta"/>
    <n v="184"/>
    <s v="Private"/>
    <x v="3"/>
    <n v="170999"/>
    <n v="131481"/>
    <n v="39518"/>
    <n v="136332"/>
    <n v="25236"/>
    <n v="7402"/>
    <s v="No"/>
    <n v="45"/>
    <n v="2.2000000000000002"/>
    <x v="1"/>
  </r>
  <r>
    <x v="1902"/>
    <s v="Karan Shah"/>
    <n v="68"/>
    <x v="0"/>
    <s v="A+"/>
    <s v="Jaipur"/>
    <d v="2023-10-02T00:00:00"/>
    <d v="2023-10-09T00:00:00"/>
    <n v="7"/>
    <x v="0"/>
    <s v="Typhoid"/>
    <x v="1"/>
    <s v="Dialysis"/>
    <x v="2"/>
    <s v="Dr. Vivek Mehta"/>
    <n v="247"/>
    <s v="Semi-Private"/>
    <x v="4"/>
    <n v="36074"/>
    <n v="0"/>
    <n v="36074"/>
    <n v="6066"/>
    <n v="22218"/>
    <n v="7033"/>
    <s v="Yes"/>
    <n v="44"/>
    <n v="2.4"/>
    <x v="4"/>
  </r>
  <r>
    <x v="1903"/>
    <s v="Pooja Rao"/>
    <n v="54"/>
    <x v="1"/>
    <s v="AB+"/>
    <s v="Delhi"/>
    <d v="2023-08-07T00:00:00"/>
    <d v="2023-08-27T00:00:00"/>
    <n v="20"/>
    <x v="0"/>
    <s v="Diabetes Type 2"/>
    <x v="9"/>
    <s v="Surgery"/>
    <x v="1"/>
    <s v="Dr. Arun Rao"/>
    <n v="55"/>
    <s v="ICU"/>
    <x v="3"/>
    <n v="141125"/>
    <n v="97753"/>
    <n v="43372"/>
    <n v="98223"/>
    <n v="28345"/>
    <n v="11411"/>
    <s v="No"/>
    <n v="99"/>
    <n v="4.2"/>
    <x v="3"/>
  </r>
  <r>
    <x v="1904"/>
    <s v="Priya Kumar"/>
    <n v="65"/>
    <x v="0"/>
    <s v="AB+"/>
    <s v="Bangalore"/>
    <d v="2024-10-02T00:00:00"/>
    <d v="2024-10-26T00:00:00"/>
    <n v="24"/>
    <x v="1"/>
    <s v="UTI"/>
    <x v="2"/>
    <s v="Medication"/>
    <x v="3"/>
    <s v="Dr. Sameer Mehta"/>
    <n v="175"/>
    <s v="ICU"/>
    <x v="0"/>
    <n v="52463"/>
    <n v="23470"/>
    <n v="28993"/>
    <n v="19810"/>
    <n v="17353"/>
    <n v="13176"/>
    <s v="No"/>
    <n v="65"/>
    <n v="3.1"/>
    <x v="4"/>
  </r>
  <r>
    <x v="1905"/>
    <s v="Sanjay Kumar"/>
    <n v="10"/>
    <x v="0"/>
    <s v="A+"/>
    <s v="Jaipur"/>
    <d v="2024-04-07T00:00:00"/>
    <d v="2024-05-02T00:00:00"/>
    <n v="25"/>
    <x v="6"/>
    <s v="Fracture"/>
    <x v="10"/>
    <s v="Radiation Therapy"/>
    <x v="1"/>
    <s v="Dr. Kavita Singh"/>
    <n v="1"/>
    <s v="Semi-Private"/>
    <x v="4"/>
    <n v="25402"/>
    <n v="0"/>
    <n v="25402"/>
    <n v="13788"/>
    <n v="1735"/>
    <n v="7170"/>
    <s v="No"/>
    <n v="69"/>
    <n v="5"/>
    <x v="1"/>
  </r>
  <r>
    <x v="1906"/>
    <s v="Kavya Rao"/>
    <n v="78"/>
    <x v="0"/>
    <s v="AB+"/>
    <s v="Pune"/>
    <d v="2022-10-15T00:00:00"/>
    <d v="2022-11-14T00:00:00"/>
    <n v="30"/>
    <x v="0"/>
    <s v="Anemia"/>
    <x v="4"/>
    <s v="Medication"/>
    <x v="3"/>
    <s v="Dr. Kavita Singh"/>
    <n v="256"/>
    <s v="ICU"/>
    <x v="4"/>
    <n v="37382"/>
    <n v="0"/>
    <n v="37382"/>
    <n v="25848"/>
    <n v="3676"/>
    <n v="7237"/>
    <s v="No"/>
    <n v="63"/>
    <n v="4.0999999999999996"/>
    <x v="1"/>
  </r>
  <r>
    <x v="1907"/>
    <s v="Suresh Pillai"/>
    <n v="73"/>
    <x v="0"/>
    <s v="O-"/>
    <s v="Pune"/>
    <d v="2024-10-07T00:00:00"/>
    <d v="2024-11-06T00:00:00"/>
    <n v="30"/>
    <x v="0"/>
    <s v="Dengue"/>
    <x v="1"/>
    <s v="Physiotherapy"/>
    <x v="1"/>
    <s v="Dr. Rakesh Patel"/>
    <n v="345"/>
    <s v="Private"/>
    <x v="4"/>
    <n v="85787"/>
    <n v="0"/>
    <n v="85787"/>
    <n v="47900"/>
    <n v="26865"/>
    <n v="9173"/>
    <s v="No"/>
    <n v="43"/>
    <n v="4.4000000000000004"/>
    <x v="3"/>
  </r>
  <r>
    <x v="1908"/>
    <s v="Karan Nair"/>
    <n v="34"/>
    <x v="1"/>
    <s v="B-"/>
    <s v="Bangalore"/>
    <d v="2024-10-10T00:00:00"/>
    <d v="2024-10-25T00:00:00"/>
    <n v="15"/>
    <x v="5"/>
    <s v="Asthma"/>
    <x v="8"/>
    <s v="Dialysis"/>
    <x v="2"/>
    <s v="Dr. Kavita Mehta"/>
    <n v="304"/>
    <s v="Private"/>
    <x v="4"/>
    <n v="155001"/>
    <n v="0"/>
    <n v="155001"/>
    <n v="124681"/>
    <n v="18213"/>
    <n v="7521"/>
    <s v="No"/>
    <n v="86"/>
    <n v="2.8"/>
    <x v="3"/>
  </r>
  <r>
    <x v="1909"/>
    <s v="Deepa Bose"/>
    <n v="63"/>
    <x v="1"/>
    <s v="O+"/>
    <s v="Kolkata"/>
    <d v="2023-07-16T00:00:00"/>
    <d v="2023-08-15T00:00:00"/>
    <n v="30"/>
    <x v="0"/>
    <s v="Liver Disease"/>
    <x v="0"/>
    <s v="Physiotherapy"/>
    <x v="2"/>
    <s v="Dr. Rakesh Patel"/>
    <n v="289"/>
    <s v="General Ward"/>
    <x v="3"/>
    <n v="159305"/>
    <n v="96624"/>
    <n v="62681"/>
    <n v="123143"/>
    <n v="21572"/>
    <n v="13480"/>
    <s v="No"/>
    <n v="68"/>
    <n v="3.7"/>
    <x v="1"/>
  </r>
  <r>
    <x v="1910"/>
    <s v="Ananya Menon"/>
    <n v="70"/>
    <x v="1"/>
    <s v="B-"/>
    <s v="Delhi"/>
    <d v="2024-02-16T00:00:00"/>
    <d v="2024-03-08T00:00:00"/>
    <n v="21"/>
    <x v="5"/>
    <s v="Asthma"/>
    <x v="8"/>
    <s v="Surgery"/>
    <x v="2"/>
    <s v="Dr. Deepak Mehta"/>
    <n v="217"/>
    <s v="Private"/>
    <x v="1"/>
    <n v="126312"/>
    <n v="87187"/>
    <n v="39125"/>
    <n v="96397"/>
    <n v="20806"/>
    <n v="8197"/>
    <s v="No"/>
    <n v="51"/>
    <n v="2.9"/>
    <x v="0"/>
  </r>
  <r>
    <x v="1911"/>
    <s v="Rahul Sharma"/>
    <n v="48"/>
    <x v="0"/>
    <s v="AB-"/>
    <s v="Lucknow"/>
    <d v="2022-07-01T00:00:00"/>
    <d v="2022-07-13T00:00:00"/>
    <n v="12"/>
    <x v="6"/>
    <s v="Arthritis"/>
    <x v="11"/>
    <s v="Chemotherapy"/>
    <x v="3"/>
    <s v="Dr. Nisha Joshi"/>
    <n v="180"/>
    <s v="General Ward"/>
    <x v="0"/>
    <n v="80367"/>
    <n v="38783"/>
    <n v="41584"/>
    <n v="63446"/>
    <n v="10398"/>
    <n v="3851"/>
    <s v="No"/>
    <n v="69"/>
    <n v="4.0999999999999996"/>
    <x v="0"/>
  </r>
  <r>
    <x v="1912"/>
    <s v="Vijay Sharma"/>
    <n v="58"/>
    <x v="1"/>
    <s v="A-"/>
    <s v="Chennai"/>
    <d v="2023-11-05T00:00:00"/>
    <d v="2023-11-25T00:00:00"/>
    <n v="20"/>
    <x v="1"/>
    <s v="UTI"/>
    <x v="2"/>
    <s v="ICU Care"/>
    <x v="0"/>
    <s v="Dr. Deepak Singh"/>
    <n v="439"/>
    <s v="Private"/>
    <x v="1"/>
    <n v="46170"/>
    <n v="32275"/>
    <n v="13895"/>
    <n v="10387"/>
    <n v="25327"/>
    <n v="8242"/>
    <s v="No"/>
    <n v="47"/>
    <n v="2.5"/>
    <x v="2"/>
  </r>
  <r>
    <x v="1913"/>
    <s v="Rahul Kumar"/>
    <n v="14"/>
    <x v="1"/>
    <s v="AB+"/>
    <s v="Hyderabad"/>
    <d v="2022-11-08T00:00:00"/>
    <d v="2022-11-12T00:00:00"/>
    <n v="4"/>
    <x v="6"/>
    <s v="Arthritis"/>
    <x v="11"/>
    <s v="ICU Care"/>
    <x v="3"/>
    <s v="Dr. Rakesh Gupta"/>
    <n v="500"/>
    <s v="Semi-Private"/>
    <x v="3"/>
    <n v="136629"/>
    <n v="97140"/>
    <n v="39489"/>
    <n v="124466"/>
    <n v="2698"/>
    <n v="8488"/>
    <s v="Yes"/>
    <n v="41"/>
    <n v="3.9"/>
    <x v="3"/>
  </r>
  <r>
    <x v="1914"/>
    <s v="Rajesh Chopra"/>
    <n v="21"/>
    <x v="0"/>
    <s v="B-"/>
    <s v="Bangalore"/>
    <d v="2024-06-27T00:00:00"/>
    <d v="2024-07-10T00:00:00"/>
    <n v="13"/>
    <x v="4"/>
    <s v="Heart Attack"/>
    <x v="7"/>
    <s v="Chemotherapy"/>
    <x v="2"/>
    <s v="Dr. Vivek Kumar"/>
    <n v="232"/>
    <s v="Semi-Private"/>
    <x v="2"/>
    <n v="165936"/>
    <n v="112272"/>
    <n v="53664"/>
    <n v="135031"/>
    <n v="20869"/>
    <n v="9106"/>
    <s v="No"/>
    <n v="70"/>
    <n v="3.5"/>
    <x v="2"/>
  </r>
  <r>
    <x v="1915"/>
    <s v="Sunil Menon"/>
    <n v="71"/>
    <x v="0"/>
    <s v="AB-"/>
    <s v="Pune"/>
    <d v="2022-11-30T00:00:00"/>
    <d v="2022-12-23T00:00:00"/>
    <n v="23"/>
    <x v="3"/>
    <s v="Stroke"/>
    <x v="6"/>
    <s v="Dietary Management"/>
    <x v="0"/>
    <s v="Dr. Kavita Joshi"/>
    <n v="290"/>
    <s v="General Ward"/>
    <x v="1"/>
    <n v="104378"/>
    <n v="45121"/>
    <n v="59257"/>
    <n v="83785"/>
    <n v="12860"/>
    <n v="5040"/>
    <s v="No"/>
    <n v="77"/>
    <n v="3.6"/>
    <x v="2"/>
  </r>
  <r>
    <x v="1916"/>
    <s v="Arjun Shah"/>
    <n v="62"/>
    <x v="1"/>
    <s v="B+"/>
    <s v="Kolkata"/>
    <d v="2022-10-28T00:00:00"/>
    <d v="2022-11-21T00:00:00"/>
    <n v="24"/>
    <x v="0"/>
    <s v="Liver Disease"/>
    <x v="0"/>
    <s v="Surgery"/>
    <x v="0"/>
    <s v="Dr. Nisha Patel"/>
    <n v="162"/>
    <s v="Private"/>
    <x v="0"/>
    <n v="154338"/>
    <n v="100220"/>
    <n v="54118"/>
    <n v="131267"/>
    <n v="10308"/>
    <n v="7812"/>
    <s v="No"/>
    <n v="46"/>
    <n v="3.1"/>
    <x v="1"/>
  </r>
  <r>
    <x v="1917"/>
    <s v="Geeta Reddy"/>
    <n v="29"/>
    <x v="1"/>
    <s v="A-"/>
    <s v="Ahmedabad"/>
    <d v="2023-04-12T00:00:00"/>
    <d v="2023-04-15T00:00:00"/>
    <n v="3"/>
    <x v="3"/>
    <s v="Stroke"/>
    <x v="6"/>
    <s v="Radiation Therapy"/>
    <x v="3"/>
    <s v="Dr. Vivek Patel"/>
    <n v="316"/>
    <s v="ICU"/>
    <x v="2"/>
    <n v="147600"/>
    <n v="94870"/>
    <n v="52730"/>
    <n v="126842"/>
    <n v="13434"/>
    <n v="6410"/>
    <s v="No"/>
    <n v="91"/>
    <n v="2.1"/>
    <x v="3"/>
  </r>
  <r>
    <x v="1918"/>
    <s v="Ananya Bose"/>
    <n v="72"/>
    <x v="0"/>
    <s v="O+"/>
    <s v="Lucknow"/>
    <d v="2024-01-01T00:00:00"/>
    <d v="2024-01-30T00:00:00"/>
    <n v="29"/>
    <x v="6"/>
    <s v="Arthritis"/>
    <x v="11"/>
    <s v="Medication"/>
    <x v="1"/>
    <s v="Dr. Nisha Patel"/>
    <n v="326"/>
    <s v="Semi-Private"/>
    <x v="4"/>
    <n v="94503"/>
    <n v="0"/>
    <n v="94503"/>
    <n v="64586"/>
    <n v="17801"/>
    <n v="11179"/>
    <s v="No"/>
    <n v="90"/>
    <n v="3.3"/>
    <x v="3"/>
  </r>
  <r>
    <x v="1919"/>
    <s v="Divya Sharma"/>
    <n v="47"/>
    <x v="1"/>
    <s v="AB-"/>
    <s v="Kolkata"/>
    <d v="2023-03-03T00:00:00"/>
    <d v="2023-03-09T00:00:00"/>
    <n v="6"/>
    <x v="0"/>
    <s v="Depression"/>
    <x v="5"/>
    <s v="Dietary Management"/>
    <x v="2"/>
    <s v="Dr. Anjali Singh"/>
    <n v="346"/>
    <s v="ICU"/>
    <x v="0"/>
    <n v="79214"/>
    <n v="39225"/>
    <n v="39989"/>
    <n v="51920"/>
    <n v="13950"/>
    <n v="8947"/>
    <s v="Yes"/>
    <n v="87"/>
    <n v="4.5999999999999996"/>
    <x v="2"/>
  </r>
  <r>
    <x v="1920"/>
    <s v="Sunita Nair"/>
    <n v="31"/>
    <x v="0"/>
    <s v="B+"/>
    <s v="Mumbai"/>
    <d v="2024-06-29T00:00:00"/>
    <d v="2024-07-10T00:00:00"/>
    <n v="11"/>
    <x v="0"/>
    <s v="COVID-19"/>
    <x v="1"/>
    <s v="Chemotherapy"/>
    <x v="1"/>
    <s v="Dr. Rakesh Singh"/>
    <n v="129"/>
    <s v="Private"/>
    <x v="2"/>
    <n v="134093"/>
    <n v="119440"/>
    <n v="14653"/>
    <n v="103463"/>
    <n v="22619"/>
    <n v="4926"/>
    <s v="No"/>
    <n v="88"/>
    <n v="4.3"/>
    <x v="4"/>
  </r>
  <r>
    <x v="1921"/>
    <s v="Ananya Nair"/>
    <n v="30"/>
    <x v="0"/>
    <s v="A+"/>
    <s v="Lucknow"/>
    <d v="2022-10-16T00:00:00"/>
    <d v="2022-11-10T00:00:00"/>
    <n v="25"/>
    <x v="0"/>
    <s v="Typhoid"/>
    <x v="1"/>
    <s v="Surgery"/>
    <x v="3"/>
    <s v="Dr. Anjali Reddy"/>
    <n v="341"/>
    <s v="ICU"/>
    <x v="1"/>
    <n v="108301"/>
    <n v="45231"/>
    <n v="63070"/>
    <n v="91877"/>
    <n v="1181"/>
    <n v="11101"/>
    <s v="No"/>
    <n v="97"/>
    <n v="3.6"/>
    <x v="1"/>
  </r>
  <r>
    <x v="1922"/>
    <s v="Rahul Kumar"/>
    <n v="8"/>
    <x v="1"/>
    <s v="A-"/>
    <s v="Jaipur"/>
    <d v="2024-06-08T00:00:00"/>
    <d v="2024-06-23T00:00:00"/>
    <n v="15"/>
    <x v="5"/>
    <s v="Pneumonia"/>
    <x v="8"/>
    <s v="Radiation Therapy"/>
    <x v="3"/>
    <s v="Dr. Shalini Patel"/>
    <n v="141"/>
    <s v="Private"/>
    <x v="4"/>
    <n v="134278"/>
    <n v="0"/>
    <n v="134278"/>
    <n v="113593"/>
    <n v="15078"/>
    <n v="1764"/>
    <s v="No"/>
    <n v="86"/>
    <n v="3.4"/>
    <x v="4"/>
  </r>
  <r>
    <x v="1923"/>
    <s v="Lata Sharma"/>
    <n v="16"/>
    <x v="0"/>
    <s v="A+"/>
    <s v="Hyderabad"/>
    <d v="2023-04-26T00:00:00"/>
    <d v="2023-05-05T00:00:00"/>
    <n v="9"/>
    <x v="4"/>
    <s v="Hypertension"/>
    <x v="7"/>
    <s v="Medication"/>
    <x v="2"/>
    <s v="Dr. Vivek Kumar"/>
    <n v="176"/>
    <s v="ICU"/>
    <x v="3"/>
    <n v="111335"/>
    <n v="94996"/>
    <n v="16339"/>
    <n v="84717"/>
    <n v="16120"/>
    <n v="6564"/>
    <s v="No"/>
    <n v="93"/>
    <n v="4.8"/>
    <x v="1"/>
  </r>
  <r>
    <x v="1924"/>
    <s v="Geeta Malhotra"/>
    <n v="29"/>
    <x v="1"/>
    <s v="AB-"/>
    <s v="Ahmedabad"/>
    <d v="2023-09-09T00:00:00"/>
    <d v="2023-09-12T00:00:00"/>
    <n v="3"/>
    <x v="0"/>
    <s v="Diabetes Type 2"/>
    <x v="9"/>
    <s v="Medication"/>
    <x v="0"/>
    <s v="Dr. Deepak Kumar"/>
    <n v="315"/>
    <s v="General Ward"/>
    <x v="0"/>
    <n v="81565"/>
    <n v="54433"/>
    <n v="27132"/>
    <n v="68256"/>
    <n v="8984"/>
    <n v="1393"/>
    <s v="No"/>
    <n v="84"/>
    <n v="2.6"/>
    <x v="1"/>
  </r>
  <r>
    <x v="1925"/>
    <s v="Manoj Bose"/>
    <n v="7"/>
    <x v="0"/>
    <s v="A-"/>
    <s v="Kolkata"/>
    <d v="2023-11-16T00:00:00"/>
    <d v="2023-11-24T00:00:00"/>
    <n v="8"/>
    <x v="0"/>
    <s v="COVID-19"/>
    <x v="1"/>
    <s v="Medication"/>
    <x v="3"/>
    <s v="Dr. Kavita Singh"/>
    <n v="85"/>
    <s v="General Ward"/>
    <x v="3"/>
    <n v="161588"/>
    <n v="104173"/>
    <n v="57415"/>
    <n v="143460"/>
    <n v="3303"/>
    <n v="10902"/>
    <s v="No"/>
    <n v="99"/>
    <n v="3.7"/>
    <x v="4"/>
  </r>
  <r>
    <x v="1926"/>
    <s v="Sneha Shah"/>
    <n v="12"/>
    <x v="0"/>
    <s v="A-"/>
    <s v="Mumbai"/>
    <d v="2024-06-03T00:00:00"/>
    <d v="2024-06-16T00:00:00"/>
    <n v="13"/>
    <x v="0"/>
    <s v="Appendicitis"/>
    <x v="0"/>
    <s v="Dietary Management"/>
    <x v="1"/>
    <s v="Dr. Kavita Joshi"/>
    <n v="434"/>
    <s v="ICU"/>
    <x v="2"/>
    <n v="115987"/>
    <n v="73713"/>
    <n v="42274"/>
    <n v="91942"/>
    <n v="19880"/>
    <n v="1460"/>
    <s v="No"/>
    <n v="93"/>
    <n v="3.7"/>
    <x v="4"/>
  </r>
  <r>
    <x v="1927"/>
    <s v="Sunil Menon"/>
    <n v="60"/>
    <x v="1"/>
    <s v="A-"/>
    <s v="Lucknow"/>
    <d v="2023-08-07T00:00:00"/>
    <d v="2023-08-21T00:00:00"/>
    <n v="14"/>
    <x v="0"/>
    <s v="COVID-19"/>
    <x v="1"/>
    <s v="Dietary Management"/>
    <x v="0"/>
    <s v="Dr. Arun Nair"/>
    <n v="237"/>
    <s v="Private"/>
    <x v="1"/>
    <n v="146614"/>
    <n v="65225"/>
    <n v="81389"/>
    <n v="115150"/>
    <n v="28112"/>
    <n v="1634"/>
    <s v="No"/>
    <n v="72"/>
    <n v="2.7"/>
    <x v="0"/>
  </r>
  <r>
    <x v="1928"/>
    <s v="Sunita Bose"/>
    <n v="74"/>
    <x v="0"/>
    <s v="AB-"/>
    <s v="Ahmedabad"/>
    <d v="2024-11-07T00:00:00"/>
    <d v="2024-12-07T00:00:00"/>
    <n v="30"/>
    <x v="6"/>
    <s v="Arthritis"/>
    <x v="11"/>
    <s v="Dialysis"/>
    <x v="2"/>
    <s v="Dr. Anjali Kumar"/>
    <n v="319"/>
    <s v="ICU"/>
    <x v="1"/>
    <n v="142086"/>
    <n v="99300"/>
    <n v="42786"/>
    <n v="107684"/>
    <n v="18625"/>
    <n v="11748"/>
    <s v="No"/>
    <n v="56"/>
    <n v="4.8"/>
    <x v="2"/>
  </r>
  <r>
    <x v="1929"/>
    <s v="Manoj Reddy"/>
    <n v="6"/>
    <x v="1"/>
    <s v="AB-"/>
    <s v="Delhi"/>
    <d v="2023-10-27T00:00:00"/>
    <d v="2023-11-05T00:00:00"/>
    <n v="9"/>
    <x v="0"/>
    <s v="Typhoid"/>
    <x v="1"/>
    <s v="Dietary Management"/>
    <x v="3"/>
    <s v="Dr. Arun Patel"/>
    <n v="416"/>
    <s v="Semi-Private"/>
    <x v="0"/>
    <n v="137948"/>
    <n v="85258"/>
    <n v="52690"/>
    <n v="105832"/>
    <n v="15821"/>
    <n v="14555"/>
    <s v="Yes"/>
    <n v="93"/>
    <n v="3"/>
    <x v="4"/>
  </r>
  <r>
    <x v="1930"/>
    <s v="Vijay Das"/>
    <n v="13"/>
    <x v="0"/>
    <s v="A+"/>
    <s v="Jaipur"/>
    <d v="2022-11-23T00:00:00"/>
    <d v="2022-12-23T00:00:00"/>
    <n v="30"/>
    <x v="0"/>
    <s v="Depression"/>
    <x v="5"/>
    <s v="Dialysis"/>
    <x v="0"/>
    <s v="Dr. Rakesh Rao"/>
    <n v="329"/>
    <s v="General Ward"/>
    <x v="0"/>
    <n v="136968"/>
    <n v="57086"/>
    <n v="79882"/>
    <n v="122802"/>
    <n v="3612"/>
    <n v="7383"/>
    <s v="No"/>
    <n v="80"/>
    <n v="2.5"/>
    <x v="2"/>
  </r>
  <r>
    <x v="1931"/>
    <s v="Sunita Kumar"/>
    <n v="52"/>
    <x v="0"/>
    <s v="B-"/>
    <s v="Ahmedabad"/>
    <d v="2022-06-25T00:00:00"/>
    <d v="2022-07-21T00:00:00"/>
    <n v="26"/>
    <x v="2"/>
    <s v="Cancer"/>
    <x v="3"/>
    <s v="Dietary Management"/>
    <x v="1"/>
    <s v="Dr. Nisha Patel"/>
    <n v="263"/>
    <s v="General Ward"/>
    <x v="0"/>
    <n v="143076"/>
    <n v="58361"/>
    <n v="84715"/>
    <n v="104931"/>
    <n v="27448"/>
    <n v="10006"/>
    <s v="No"/>
    <n v="78"/>
    <n v="2.1"/>
    <x v="4"/>
  </r>
  <r>
    <x v="1932"/>
    <s v="Geeta Rao"/>
    <n v="41"/>
    <x v="0"/>
    <s v="A+"/>
    <s v="Pune"/>
    <d v="2022-05-13T00:00:00"/>
    <d v="2022-05-24T00:00:00"/>
    <n v="11"/>
    <x v="0"/>
    <s v="Appendicitis"/>
    <x v="0"/>
    <s v="Chemotherapy"/>
    <x v="3"/>
    <s v="Dr. Sameer Gupta"/>
    <n v="287"/>
    <s v="General Ward"/>
    <x v="2"/>
    <n v="80621"/>
    <n v="62800"/>
    <n v="17821"/>
    <n v="47083"/>
    <n v="15221"/>
    <n v="13436"/>
    <s v="Yes"/>
    <n v="72"/>
    <n v="4.5"/>
    <x v="4"/>
  </r>
  <r>
    <x v="1933"/>
    <s v="Sunita Patel"/>
    <n v="59"/>
    <x v="1"/>
    <s v="O+"/>
    <s v="Hyderabad"/>
    <d v="2022-06-15T00:00:00"/>
    <d v="2022-06-29T00:00:00"/>
    <n v="14"/>
    <x v="0"/>
    <s v="Anemia"/>
    <x v="4"/>
    <s v="Surgery"/>
    <x v="1"/>
    <s v="Dr. Anjali Gupta"/>
    <n v="351"/>
    <s v="Semi-Private"/>
    <x v="1"/>
    <n v="88687"/>
    <n v="59116"/>
    <n v="29571"/>
    <n v="77956"/>
    <n v="6347"/>
    <n v="532"/>
    <s v="No"/>
    <n v="75"/>
    <n v="4.9000000000000004"/>
    <x v="1"/>
  </r>
  <r>
    <x v="1934"/>
    <s v="Geeta Das"/>
    <n v="49"/>
    <x v="1"/>
    <s v="O+"/>
    <s v="Mumbai"/>
    <d v="2023-06-07T00:00:00"/>
    <d v="2023-06-27T00:00:00"/>
    <n v="20"/>
    <x v="0"/>
    <s v="Typhoid"/>
    <x v="1"/>
    <s v="Dietary Management"/>
    <x v="3"/>
    <s v="Dr. Anjali Mehta"/>
    <n v="146"/>
    <s v="General Ward"/>
    <x v="2"/>
    <n v="73257"/>
    <n v="51987"/>
    <n v="21270"/>
    <n v="65417"/>
    <n v="2924"/>
    <n v="3732"/>
    <s v="No"/>
    <n v="73"/>
    <n v="4.5999999999999996"/>
    <x v="3"/>
  </r>
  <r>
    <x v="1935"/>
    <s v="Sunil Shah"/>
    <n v="80"/>
    <x v="0"/>
    <s v="B+"/>
    <s v="Bangalore"/>
    <d v="2023-09-28T00:00:00"/>
    <d v="2023-10-18T00:00:00"/>
    <n v="20"/>
    <x v="1"/>
    <s v="UTI"/>
    <x v="2"/>
    <s v="Observation"/>
    <x v="3"/>
    <s v="Dr. Prerna Rao"/>
    <n v="139"/>
    <s v="Private"/>
    <x v="1"/>
    <n v="75036"/>
    <n v="43500"/>
    <n v="31536"/>
    <n v="60540"/>
    <n v="6935"/>
    <n v="6445"/>
    <s v="Yes"/>
    <n v="40"/>
    <n v="2.4"/>
    <x v="4"/>
  </r>
  <r>
    <x v="1936"/>
    <s v="Kavya Mehta"/>
    <n v="38"/>
    <x v="1"/>
    <s v="B+"/>
    <s v="Ahmedabad"/>
    <d v="2024-09-22T00:00:00"/>
    <d v="2024-10-15T00:00:00"/>
    <n v="23"/>
    <x v="0"/>
    <s v="Typhoid"/>
    <x v="1"/>
    <s v="Counseling"/>
    <x v="3"/>
    <s v="Dr. Shalini Singh"/>
    <n v="436"/>
    <s v="Semi-Private"/>
    <x v="3"/>
    <n v="152129"/>
    <n v="125114"/>
    <n v="27015"/>
    <n v="137685"/>
    <n v="6646"/>
    <n v="4346"/>
    <s v="No"/>
    <n v="84"/>
    <n v="2.8"/>
    <x v="0"/>
  </r>
  <r>
    <x v="1937"/>
    <s v="Lata Joshi"/>
    <n v="16"/>
    <x v="1"/>
    <s v="A+"/>
    <s v="Delhi"/>
    <d v="2022-09-05T00:00:00"/>
    <d v="2022-09-16T00:00:00"/>
    <n v="11"/>
    <x v="0"/>
    <s v="Dengue"/>
    <x v="1"/>
    <s v="Observation"/>
    <x v="3"/>
    <s v="Dr. Prerna Kumar"/>
    <n v="446"/>
    <s v="General Ward"/>
    <x v="0"/>
    <n v="183995"/>
    <n v="118087"/>
    <n v="65908"/>
    <n v="148043"/>
    <n v="25995"/>
    <n v="6439"/>
    <s v="No"/>
    <n v="97"/>
    <n v="4.8"/>
    <x v="4"/>
  </r>
  <r>
    <x v="1938"/>
    <s v="Nisha Sharma"/>
    <n v="69"/>
    <x v="1"/>
    <s v="AB-"/>
    <s v="Chennai"/>
    <d v="2022-08-29T00:00:00"/>
    <d v="2022-09-13T00:00:00"/>
    <n v="15"/>
    <x v="0"/>
    <s v="Dengue"/>
    <x v="1"/>
    <s v="ICU Care"/>
    <x v="2"/>
    <s v="Dr. Kavita Mehta"/>
    <n v="143"/>
    <s v="Semi-Private"/>
    <x v="4"/>
    <n v="61867"/>
    <n v="0"/>
    <n v="61867"/>
    <n v="42944"/>
    <n v="4145"/>
    <n v="12603"/>
    <s v="No"/>
    <n v="91"/>
    <n v="4.2"/>
    <x v="0"/>
  </r>
  <r>
    <x v="1939"/>
    <s v="Mukesh Khanna"/>
    <n v="46"/>
    <x v="0"/>
    <s v="B+"/>
    <s v="Jaipur"/>
    <d v="2022-01-14T00:00:00"/>
    <d v="2022-01-30T00:00:00"/>
    <n v="16"/>
    <x v="3"/>
    <s v="Stroke"/>
    <x v="6"/>
    <s v="ICU Care"/>
    <x v="1"/>
    <s v="Dr. Arun Joshi"/>
    <n v="364"/>
    <s v="Private"/>
    <x v="4"/>
    <n v="125018"/>
    <n v="0"/>
    <n v="125018"/>
    <n v="90477"/>
    <n v="24607"/>
    <n v="9072"/>
    <s v="No"/>
    <n v="59"/>
    <n v="4.3"/>
    <x v="2"/>
  </r>
  <r>
    <x v="1940"/>
    <s v="Divya Rao"/>
    <n v="10"/>
    <x v="0"/>
    <s v="B+"/>
    <s v="Jaipur"/>
    <d v="2024-02-16T00:00:00"/>
    <d v="2024-02-22T00:00:00"/>
    <n v="6"/>
    <x v="1"/>
    <s v="Kidney Stone"/>
    <x v="2"/>
    <s v="Counseling"/>
    <x v="0"/>
    <s v="Dr. Sameer Rao"/>
    <n v="97"/>
    <s v="ICU"/>
    <x v="2"/>
    <n v="161483"/>
    <n v="127412"/>
    <n v="34071"/>
    <n v="117138"/>
    <n v="29726"/>
    <n v="12831"/>
    <s v="No"/>
    <n v="72"/>
    <n v="4.9000000000000004"/>
    <x v="2"/>
  </r>
  <r>
    <x v="1941"/>
    <s v="Karan Sharma"/>
    <n v="72"/>
    <x v="1"/>
    <s v="O-"/>
    <s v="Pune"/>
    <d v="2022-09-30T00:00:00"/>
    <d v="2022-10-27T00:00:00"/>
    <n v="27"/>
    <x v="5"/>
    <s v="Pneumonia"/>
    <x v="8"/>
    <s v="Physiotherapy"/>
    <x v="2"/>
    <s v="Dr. Prerna Joshi"/>
    <n v="236"/>
    <s v="Private"/>
    <x v="2"/>
    <n v="34098"/>
    <n v="29155"/>
    <n v="4943"/>
    <n v="21650"/>
    <n v="3764"/>
    <n v="6563"/>
    <s v="No"/>
    <n v="68"/>
    <n v="4.2"/>
    <x v="2"/>
  </r>
  <r>
    <x v="1942"/>
    <s v="Ashok Rao"/>
    <n v="17"/>
    <x v="0"/>
    <s v="AB-"/>
    <s v="Ahmedabad"/>
    <d v="2023-11-23T00:00:00"/>
    <d v="2023-12-18T00:00:00"/>
    <n v="25"/>
    <x v="3"/>
    <s v="Migraine"/>
    <x v="6"/>
    <s v="Counseling"/>
    <x v="0"/>
    <s v="Dr. Kavita Gupta"/>
    <n v="46"/>
    <s v="Semi-Private"/>
    <x v="3"/>
    <n v="167717"/>
    <n v="102191"/>
    <n v="65526"/>
    <n v="145804"/>
    <n v="16484"/>
    <n v="629"/>
    <s v="No"/>
    <n v="94"/>
    <n v="3"/>
    <x v="0"/>
  </r>
  <r>
    <x v="1943"/>
    <s v="Ananya Pillai"/>
    <n v="79"/>
    <x v="1"/>
    <s v="B+"/>
    <s v="Bangalore"/>
    <d v="2023-04-02T00:00:00"/>
    <d v="2023-04-24T00:00:00"/>
    <n v="22"/>
    <x v="0"/>
    <s v="Liver Disease"/>
    <x v="0"/>
    <s v="ICU Care"/>
    <x v="0"/>
    <s v="Dr. Nisha Reddy"/>
    <n v="389"/>
    <s v="ICU"/>
    <x v="3"/>
    <n v="111601"/>
    <n v="70770"/>
    <n v="40831"/>
    <n v="75734"/>
    <n v="27425"/>
    <n v="5221"/>
    <s v="No"/>
    <n v="99"/>
    <n v="3.2"/>
    <x v="2"/>
  </r>
  <r>
    <x v="1944"/>
    <s v="Vikram Sharma"/>
    <n v="74"/>
    <x v="1"/>
    <s v="O+"/>
    <s v="Kolkata"/>
    <d v="2023-06-10T00:00:00"/>
    <d v="2023-07-02T00:00:00"/>
    <n v="22"/>
    <x v="5"/>
    <s v="Asthma"/>
    <x v="8"/>
    <s v="Dietary Management"/>
    <x v="0"/>
    <s v="Dr. Prerna Reddy"/>
    <n v="266"/>
    <s v="General Ward"/>
    <x v="3"/>
    <n v="59206"/>
    <n v="36312"/>
    <n v="22894"/>
    <n v="24705"/>
    <n v="19317"/>
    <n v="11604"/>
    <s v="No"/>
    <n v="76"/>
    <n v="3.8"/>
    <x v="2"/>
  </r>
  <r>
    <x v="1945"/>
    <s v="Divya Menon"/>
    <n v="38"/>
    <x v="0"/>
    <s v="A-"/>
    <s v="Mumbai"/>
    <d v="2024-02-27T00:00:00"/>
    <d v="2024-03-20T00:00:00"/>
    <n v="22"/>
    <x v="6"/>
    <s v="Arthritis"/>
    <x v="11"/>
    <s v="Counseling"/>
    <x v="2"/>
    <s v="Dr. Shalini Mehta"/>
    <n v="37"/>
    <s v="ICU"/>
    <x v="0"/>
    <n v="172593"/>
    <n v="84888"/>
    <n v="87705"/>
    <n v="140344"/>
    <n v="24941"/>
    <n v="6688"/>
    <s v="No"/>
    <n v="72"/>
    <n v="3.1"/>
    <x v="4"/>
  </r>
  <r>
    <x v="1946"/>
    <s v="Lata Kumar"/>
    <n v="12"/>
    <x v="1"/>
    <s v="AB+"/>
    <s v="Chennai"/>
    <d v="2022-01-26T00:00:00"/>
    <d v="2022-02-07T00:00:00"/>
    <n v="12"/>
    <x v="3"/>
    <s v="Migraine"/>
    <x v="6"/>
    <s v="ICU Care"/>
    <x v="0"/>
    <s v="Dr. Sameer Kumar"/>
    <n v="321"/>
    <s v="General Ward"/>
    <x v="1"/>
    <n v="133103"/>
    <n v="58838"/>
    <n v="74265"/>
    <n v="105484"/>
    <n v="21103"/>
    <n v="5416"/>
    <s v="No"/>
    <n v="75"/>
    <n v="3.6"/>
    <x v="0"/>
  </r>
  <r>
    <x v="1947"/>
    <s v="Sanjay Sharma"/>
    <n v="75"/>
    <x v="0"/>
    <s v="A+"/>
    <s v="Jaipur"/>
    <d v="2022-05-21T00:00:00"/>
    <d v="2022-05-24T00:00:00"/>
    <n v="3"/>
    <x v="4"/>
    <s v="Hypertension"/>
    <x v="7"/>
    <s v="Surgery"/>
    <x v="3"/>
    <s v="Dr. Shalini Mehta"/>
    <n v="469"/>
    <s v="Semi-Private"/>
    <x v="3"/>
    <n v="37908"/>
    <n v="28560"/>
    <n v="9348"/>
    <n v="11728"/>
    <n v="9011"/>
    <n v="13278"/>
    <s v="No"/>
    <n v="61"/>
    <n v="4.9000000000000004"/>
    <x v="0"/>
  </r>
  <r>
    <x v="1948"/>
    <s v="Deepa Nair"/>
    <n v="39"/>
    <x v="1"/>
    <s v="AB-"/>
    <s v="Bangalore"/>
    <d v="2022-08-20T00:00:00"/>
    <d v="2022-09-16T00:00:00"/>
    <n v="27"/>
    <x v="3"/>
    <s v="Stroke"/>
    <x v="6"/>
    <s v="Observation"/>
    <x v="0"/>
    <s v="Dr. Anjali Joshi"/>
    <n v="109"/>
    <s v="Semi-Private"/>
    <x v="2"/>
    <n v="58024"/>
    <n v="48758"/>
    <n v="9266"/>
    <n v="24902"/>
    <n v="23411"/>
    <n v="8762"/>
    <s v="No"/>
    <n v="97"/>
    <n v="2.9"/>
    <x v="2"/>
  </r>
  <r>
    <x v="1949"/>
    <s v="Priya Iyer"/>
    <n v="65"/>
    <x v="0"/>
    <s v="O-"/>
    <s v="Kolkata"/>
    <d v="2024-11-15T00:00:00"/>
    <d v="2024-12-08T00:00:00"/>
    <n v="23"/>
    <x v="5"/>
    <s v="Asthma"/>
    <x v="8"/>
    <s v="Surgery"/>
    <x v="1"/>
    <s v="Dr. Deepak Sharma"/>
    <n v="34"/>
    <s v="ICU"/>
    <x v="4"/>
    <n v="144276"/>
    <n v="0"/>
    <n v="144276"/>
    <n v="126281"/>
    <n v="6443"/>
    <n v="10303"/>
    <s v="No"/>
    <n v="84"/>
    <n v="4.7"/>
    <x v="3"/>
  </r>
  <r>
    <x v="1950"/>
    <s v="Sneha Joshi"/>
    <n v="54"/>
    <x v="0"/>
    <s v="AB-"/>
    <s v="Hyderabad"/>
    <d v="2024-03-04T00:00:00"/>
    <d v="2024-03-05T00:00:00"/>
    <n v="1"/>
    <x v="3"/>
    <s v="Stroke"/>
    <x v="6"/>
    <s v="Physiotherapy"/>
    <x v="2"/>
    <s v="Dr. Prerna Mehta"/>
    <n v="37"/>
    <s v="ICU"/>
    <x v="1"/>
    <n v="64403"/>
    <n v="31720"/>
    <n v="32683"/>
    <n v="34707"/>
    <n v="15672"/>
    <n v="13386"/>
    <s v="No"/>
    <n v="95"/>
    <n v="2.4"/>
    <x v="1"/>
  </r>
  <r>
    <x v="1951"/>
    <s v="Arjun Pillai"/>
    <n v="75"/>
    <x v="1"/>
    <s v="A-"/>
    <s v="Jaipur"/>
    <d v="2023-10-13T00:00:00"/>
    <d v="2023-11-02T00:00:00"/>
    <n v="20"/>
    <x v="4"/>
    <s v="Heart Attack"/>
    <x v="7"/>
    <s v="Observation"/>
    <x v="2"/>
    <s v="Dr. Arun Singh"/>
    <n v="60"/>
    <s v="ICU"/>
    <x v="4"/>
    <n v="78315"/>
    <n v="0"/>
    <n v="78315"/>
    <n v="39154"/>
    <n v="29360"/>
    <n v="7930"/>
    <s v="No"/>
    <n v="45"/>
    <n v="3.7"/>
    <x v="0"/>
  </r>
  <r>
    <x v="1952"/>
    <s v="Sneha Sharma"/>
    <n v="78"/>
    <x v="0"/>
    <s v="B-"/>
    <s v="Delhi"/>
    <d v="2022-03-29T00:00:00"/>
    <d v="2022-03-30T00:00:00"/>
    <n v="1"/>
    <x v="6"/>
    <s v="Fracture"/>
    <x v="10"/>
    <s v="Dietary Management"/>
    <x v="2"/>
    <s v="Dr. Nisha Patel"/>
    <n v="116"/>
    <s v="ICU"/>
    <x v="0"/>
    <n v="63355"/>
    <n v="26771"/>
    <n v="36584"/>
    <n v="45920"/>
    <n v="7388"/>
    <n v="9400"/>
    <s v="No"/>
    <n v="42"/>
    <n v="2.5"/>
    <x v="0"/>
  </r>
  <r>
    <x v="1953"/>
    <s v="Rajesh Pillai"/>
    <n v="16"/>
    <x v="0"/>
    <s v="A+"/>
    <s v="Delhi"/>
    <d v="2023-07-22T00:00:00"/>
    <d v="2023-08-04T00:00:00"/>
    <n v="13"/>
    <x v="0"/>
    <s v="Liver Disease"/>
    <x v="0"/>
    <s v="Surgery"/>
    <x v="2"/>
    <s v="Dr. Vivek Sharma"/>
    <n v="480"/>
    <s v="ICU"/>
    <x v="3"/>
    <n v="63390"/>
    <n v="50067"/>
    <n v="13323"/>
    <n v="42440"/>
    <n v="17086"/>
    <n v="3067"/>
    <s v="No"/>
    <n v="43"/>
    <n v="4.0999999999999996"/>
    <x v="0"/>
  </r>
  <r>
    <x v="1954"/>
    <s v="Ritu Sharma"/>
    <n v="60"/>
    <x v="1"/>
    <s v="O-"/>
    <s v="Chennai"/>
    <d v="2023-05-09T00:00:00"/>
    <d v="2023-05-16T00:00:00"/>
    <n v="7"/>
    <x v="1"/>
    <s v="Kidney Stone"/>
    <x v="2"/>
    <s v="Surgery"/>
    <x v="0"/>
    <s v="Dr. Sameer Joshi"/>
    <n v="68"/>
    <s v="Private"/>
    <x v="2"/>
    <n v="42624"/>
    <n v="30406"/>
    <n v="12218"/>
    <n v="14349"/>
    <n v="11233"/>
    <n v="14313"/>
    <s v="Yes"/>
    <n v="55"/>
    <n v="2.1"/>
    <x v="1"/>
  </r>
  <r>
    <x v="1955"/>
    <s v="Sunita Singh"/>
    <n v="48"/>
    <x v="1"/>
    <s v="B-"/>
    <s v="Chennai"/>
    <d v="2022-09-15T00:00:00"/>
    <d v="2022-09-16T00:00:00"/>
    <n v="1"/>
    <x v="0"/>
    <s v="Obesity"/>
    <x v="12"/>
    <s v="Radiation Therapy"/>
    <x v="2"/>
    <s v="Dr. Arun Rao"/>
    <n v="428"/>
    <s v="Semi-Private"/>
    <x v="4"/>
    <n v="28519"/>
    <n v="0"/>
    <n v="28519"/>
    <n v="5031"/>
    <n v="16655"/>
    <n v="5569"/>
    <s v="No"/>
    <n v="52"/>
    <n v="3"/>
    <x v="4"/>
  </r>
  <r>
    <x v="1956"/>
    <s v="Pooja Verma"/>
    <n v="35"/>
    <x v="1"/>
    <s v="A+"/>
    <s v="Chennai"/>
    <d v="2024-02-26T00:00:00"/>
    <d v="2024-03-05T00:00:00"/>
    <n v="8"/>
    <x v="6"/>
    <s v="Arthritis"/>
    <x v="11"/>
    <s v="Radiation Therapy"/>
    <x v="3"/>
    <s v="Dr. Kavita Reddy"/>
    <n v="310"/>
    <s v="General Ward"/>
    <x v="1"/>
    <n v="127955"/>
    <n v="78151"/>
    <n v="49804"/>
    <n v="88908"/>
    <n v="29625"/>
    <n v="8763"/>
    <s v="Yes"/>
    <n v="75"/>
    <n v="2.9"/>
    <x v="4"/>
  </r>
  <r>
    <x v="1957"/>
    <s v="Vikram Chopra"/>
    <n v="67"/>
    <x v="0"/>
    <s v="A+"/>
    <s v="Delhi"/>
    <d v="2023-09-28T00:00:00"/>
    <d v="2023-10-12T00:00:00"/>
    <n v="14"/>
    <x v="6"/>
    <s v="Arthritis"/>
    <x v="11"/>
    <s v="Surgery"/>
    <x v="3"/>
    <s v="Dr. Vivek Kumar"/>
    <n v="3"/>
    <s v="General Ward"/>
    <x v="0"/>
    <n v="112611"/>
    <n v="74343"/>
    <n v="38268"/>
    <n v="72023"/>
    <n v="26183"/>
    <n v="10873"/>
    <s v="No"/>
    <n v="85"/>
    <n v="4"/>
    <x v="1"/>
  </r>
  <r>
    <x v="1958"/>
    <s v="Karan Rao"/>
    <n v="25"/>
    <x v="1"/>
    <s v="A-"/>
    <s v="Jaipur"/>
    <d v="2022-08-05T00:00:00"/>
    <d v="2022-08-30T00:00:00"/>
    <n v="25"/>
    <x v="0"/>
    <s v="Liver Disease"/>
    <x v="0"/>
    <s v="Physiotherapy"/>
    <x v="2"/>
    <s v="Dr. Sameer Sharma"/>
    <n v="49"/>
    <s v="ICU"/>
    <x v="4"/>
    <n v="67271"/>
    <n v="0"/>
    <n v="67271"/>
    <n v="32567"/>
    <n v="20662"/>
    <n v="9057"/>
    <s v="No"/>
    <n v="40"/>
    <n v="3.2"/>
    <x v="3"/>
  </r>
  <r>
    <x v="1959"/>
    <s v="Ashok Menon"/>
    <n v="19"/>
    <x v="0"/>
    <s v="O-"/>
    <s v="Mumbai"/>
    <d v="2024-07-23T00:00:00"/>
    <d v="2024-08-03T00:00:00"/>
    <n v="11"/>
    <x v="0"/>
    <s v="Appendicitis"/>
    <x v="0"/>
    <s v="Physiotherapy"/>
    <x v="0"/>
    <s v="Dr. Anjali Gupta"/>
    <n v="325"/>
    <s v="Private"/>
    <x v="2"/>
    <n v="98443"/>
    <n v="78188"/>
    <n v="20255"/>
    <n v="78548"/>
    <n v="14147"/>
    <n v="2042"/>
    <s v="No"/>
    <n v="83"/>
    <n v="3.9"/>
    <x v="0"/>
  </r>
  <r>
    <x v="1960"/>
    <s v="Rajesh Rao"/>
    <n v="30"/>
    <x v="0"/>
    <s v="O-"/>
    <s v="Kolkata"/>
    <d v="2024-10-19T00:00:00"/>
    <d v="2024-11-14T00:00:00"/>
    <n v="26"/>
    <x v="4"/>
    <s v="Heart Attack"/>
    <x v="7"/>
    <s v="Physiotherapy"/>
    <x v="1"/>
    <s v="Dr. Rakesh Nair"/>
    <n v="249"/>
    <s v="General Ward"/>
    <x v="2"/>
    <n v="94776"/>
    <n v="63334"/>
    <n v="31442"/>
    <n v="64603"/>
    <n v="13565"/>
    <n v="13328"/>
    <s v="No"/>
    <n v="88"/>
    <n v="2.9"/>
    <x v="1"/>
  </r>
  <r>
    <x v="1961"/>
    <s v="Deepa Gupta"/>
    <n v="65"/>
    <x v="1"/>
    <s v="AB-"/>
    <s v="Hyderabad"/>
    <d v="2023-11-22T00:00:00"/>
    <d v="2023-11-29T00:00:00"/>
    <n v="7"/>
    <x v="6"/>
    <s v="Fracture"/>
    <x v="10"/>
    <s v="ICU Care"/>
    <x v="3"/>
    <s v="Dr. Nisha Sharma"/>
    <n v="491"/>
    <s v="General Ward"/>
    <x v="2"/>
    <n v="75894"/>
    <n v="67851"/>
    <n v="8043"/>
    <n v="43049"/>
    <n v="21582"/>
    <n v="10612"/>
    <s v="No"/>
    <n v="62"/>
    <n v="2.9"/>
    <x v="2"/>
  </r>
  <r>
    <x v="1962"/>
    <s v="Amit Khanna"/>
    <n v="37"/>
    <x v="1"/>
    <s v="AB-"/>
    <s v="Bangalore"/>
    <d v="2023-06-05T00:00:00"/>
    <d v="2023-06-12T00:00:00"/>
    <n v="7"/>
    <x v="0"/>
    <s v="Anemia"/>
    <x v="4"/>
    <s v="Medication"/>
    <x v="1"/>
    <s v="Dr. Shalini Nair"/>
    <n v="482"/>
    <s v="Semi-Private"/>
    <x v="4"/>
    <n v="108473"/>
    <n v="0"/>
    <n v="108473"/>
    <n v="89777"/>
    <n v="2857"/>
    <n v="11067"/>
    <s v="Yes"/>
    <n v="85"/>
    <n v="3.3"/>
    <x v="1"/>
  </r>
  <r>
    <x v="1963"/>
    <s v="Sunil Patel"/>
    <n v="24"/>
    <x v="1"/>
    <s v="AB+"/>
    <s v="Mumbai"/>
    <d v="2024-06-19T00:00:00"/>
    <d v="2024-06-29T00:00:00"/>
    <n v="10"/>
    <x v="0"/>
    <s v="Appendicitis"/>
    <x v="0"/>
    <s v="Medication"/>
    <x v="0"/>
    <s v="Dr. Arun Mehta"/>
    <n v="89"/>
    <s v="Private"/>
    <x v="0"/>
    <n v="109535"/>
    <n v="49999"/>
    <n v="59536"/>
    <n v="92982"/>
    <n v="11584"/>
    <n v="3812"/>
    <s v="No"/>
    <n v="68"/>
    <n v="3.3"/>
    <x v="2"/>
  </r>
  <r>
    <x v="1964"/>
    <s v="Ritu Sharma"/>
    <n v="78"/>
    <x v="0"/>
    <s v="O+"/>
    <s v="Delhi"/>
    <d v="2024-10-04T00:00:00"/>
    <d v="2024-10-16T00:00:00"/>
    <n v="12"/>
    <x v="5"/>
    <s v="Asthma"/>
    <x v="8"/>
    <s v="Surgery"/>
    <x v="0"/>
    <s v="Dr. Kavita Gupta"/>
    <n v="315"/>
    <s v="General Ward"/>
    <x v="4"/>
    <n v="170232"/>
    <n v="0"/>
    <n v="170232"/>
    <n v="149012"/>
    <n v="9787"/>
    <n v="9584"/>
    <s v="No"/>
    <n v="68"/>
    <n v="2.6"/>
    <x v="2"/>
  </r>
  <r>
    <x v="1965"/>
    <s v="Suresh Menon"/>
    <n v="56"/>
    <x v="1"/>
    <s v="A+"/>
    <s v="Jaipur"/>
    <d v="2022-12-02T00:00:00"/>
    <d v="2022-12-28T00:00:00"/>
    <n v="26"/>
    <x v="0"/>
    <s v="Obesity"/>
    <x v="12"/>
    <s v="ICU Care"/>
    <x v="0"/>
    <s v="Dr. Prerna Mehta"/>
    <n v="416"/>
    <s v="General Ward"/>
    <x v="3"/>
    <n v="102244"/>
    <n v="87011"/>
    <n v="15233"/>
    <n v="79682"/>
    <n v="13663"/>
    <n v="5051"/>
    <s v="No"/>
    <n v="64"/>
    <n v="2.8"/>
    <x v="0"/>
  </r>
  <r>
    <x v="1966"/>
    <s v="Ashok Shah"/>
    <n v="53"/>
    <x v="1"/>
    <s v="O-"/>
    <s v="Mumbai"/>
    <d v="2023-06-20T00:00:00"/>
    <d v="2023-07-20T00:00:00"/>
    <n v="30"/>
    <x v="1"/>
    <s v="Kidney Stone"/>
    <x v="2"/>
    <s v="Surgery"/>
    <x v="3"/>
    <s v="Dr. Kavita Rao"/>
    <n v="298"/>
    <s v="Semi-Private"/>
    <x v="4"/>
    <n v="160395"/>
    <n v="0"/>
    <n v="160395"/>
    <n v="127816"/>
    <n v="29927"/>
    <n v="755"/>
    <s v="No"/>
    <n v="47"/>
    <n v="2"/>
    <x v="0"/>
  </r>
  <r>
    <x v="1967"/>
    <s v="Nisha Verma"/>
    <n v="18"/>
    <x v="0"/>
    <s v="B-"/>
    <s v="Jaipur"/>
    <d v="2022-11-10T00:00:00"/>
    <d v="2022-11-21T00:00:00"/>
    <n v="11"/>
    <x v="0"/>
    <s v="Dengue"/>
    <x v="1"/>
    <s v="Medication"/>
    <x v="2"/>
    <s v="Dr. Sameer Nair"/>
    <n v="390"/>
    <s v="ICU"/>
    <x v="4"/>
    <n v="68966"/>
    <n v="0"/>
    <n v="68966"/>
    <n v="35886"/>
    <n v="18587"/>
    <n v="12993"/>
    <s v="No"/>
    <n v="76"/>
    <n v="4.4000000000000004"/>
    <x v="0"/>
  </r>
  <r>
    <x v="1968"/>
    <s v="Priya Shah"/>
    <n v="28"/>
    <x v="1"/>
    <s v="A+"/>
    <s v="Pune"/>
    <d v="2023-02-03T00:00:00"/>
    <d v="2023-02-04T00:00:00"/>
    <n v="1"/>
    <x v="0"/>
    <s v="Anemia"/>
    <x v="4"/>
    <s v="Chemotherapy"/>
    <x v="1"/>
    <s v="Dr. Deepak Reddy"/>
    <n v="416"/>
    <s v="General Ward"/>
    <x v="0"/>
    <n v="155872"/>
    <n v="96841"/>
    <n v="59031"/>
    <n v="143226"/>
    <n v="10486"/>
    <n v="804"/>
    <s v="No"/>
    <n v="69"/>
    <n v="4.4000000000000004"/>
    <x v="0"/>
  </r>
  <r>
    <x v="1969"/>
    <s v="Vikram Singh"/>
    <n v="79"/>
    <x v="1"/>
    <s v="A+"/>
    <s v="Pune"/>
    <d v="2022-01-27T00:00:00"/>
    <d v="2022-02-24T00:00:00"/>
    <n v="28"/>
    <x v="0"/>
    <s v="Typhoid"/>
    <x v="1"/>
    <s v="Dietary Management"/>
    <x v="0"/>
    <s v="Dr. Arun Rao"/>
    <n v="182"/>
    <s v="ICU"/>
    <x v="4"/>
    <n v="112619"/>
    <n v="0"/>
    <n v="112619"/>
    <n v="85356"/>
    <n v="12414"/>
    <n v="12077"/>
    <s v="Yes"/>
    <n v="67"/>
    <n v="3.8"/>
    <x v="3"/>
  </r>
  <r>
    <x v="1970"/>
    <s v="Mukesh Rao"/>
    <n v="36"/>
    <x v="0"/>
    <s v="AB+"/>
    <s v="Ahmedabad"/>
    <d v="2023-03-01T00:00:00"/>
    <d v="2023-03-19T00:00:00"/>
    <n v="18"/>
    <x v="1"/>
    <s v="UTI"/>
    <x v="2"/>
    <s v="Surgery"/>
    <x v="3"/>
    <s v="Dr. Nisha Joshi"/>
    <n v="254"/>
    <s v="ICU"/>
    <x v="1"/>
    <n v="117982"/>
    <n v="67127"/>
    <n v="50855"/>
    <n v="87434"/>
    <n v="20643"/>
    <n v="8066"/>
    <s v="No"/>
    <n v="66"/>
    <n v="2.7"/>
    <x v="4"/>
  </r>
  <r>
    <x v="1971"/>
    <s v="Suresh Joshi"/>
    <n v="38"/>
    <x v="1"/>
    <s v="AB-"/>
    <s v="Mumbai"/>
    <d v="2023-01-26T00:00:00"/>
    <d v="2023-02-17T00:00:00"/>
    <n v="22"/>
    <x v="0"/>
    <s v="Liver Disease"/>
    <x v="0"/>
    <s v="Dietary Management"/>
    <x v="1"/>
    <s v="Dr. Nisha Joshi"/>
    <n v="208"/>
    <s v="Private"/>
    <x v="2"/>
    <n v="91813"/>
    <n v="63577"/>
    <n v="28236"/>
    <n v="74614"/>
    <n v="3060"/>
    <n v="11726"/>
    <s v="Yes"/>
    <n v="68"/>
    <n v="3.2"/>
    <x v="2"/>
  </r>
  <r>
    <x v="1972"/>
    <s v="Vikram Iyer"/>
    <n v="69"/>
    <x v="0"/>
    <s v="AB+"/>
    <s v="Jaipur"/>
    <d v="2022-06-25T00:00:00"/>
    <d v="2022-07-16T00:00:00"/>
    <n v="21"/>
    <x v="0"/>
    <s v="Anemia"/>
    <x v="4"/>
    <s v="ICU Care"/>
    <x v="1"/>
    <s v="Dr. Shalini Patel"/>
    <n v="242"/>
    <s v="General Ward"/>
    <x v="0"/>
    <n v="99488"/>
    <n v="52562"/>
    <n v="46926"/>
    <n v="75261"/>
    <n v="7097"/>
    <n v="14683"/>
    <s v="No"/>
    <n v="56"/>
    <n v="4.2"/>
    <x v="2"/>
  </r>
  <r>
    <x v="1973"/>
    <s v="Sunil Reddy"/>
    <n v="73"/>
    <x v="1"/>
    <s v="A-"/>
    <s v="Chennai"/>
    <d v="2022-06-04T00:00:00"/>
    <d v="2022-06-21T00:00:00"/>
    <n v="17"/>
    <x v="5"/>
    <s v="Asthma"/>
    <x v="8"/>
    <s v="Dialysis"/>
    <x v="1"/>
    <s v="Dr. Kavita Kumar"/>
    <n v="441"/>
    <s v="ICU"/>
    <x v="2"/>
    <n v="156605"/>
    <n v="113416"/>
    <n v="43189"/>
    <n v="119672"/>
    <n v="25563"/>
    <n v="9700"/>
    <s v="Yes"/>
    <n v="87"/>
    <n v="5"/>
    <x v="4"/>
  </r>
  <r>
    <x v="1974"/>
    <s v="Karan Joshi"/>
    <n v="8"/>
    <x v="0"/>
    <s v="B-"/>
    <s v="Hyderabad"/>
    <d v="2024-08-02T00:00:00"/>
    <d v="2024-08-20T00:00:00"/>
    <n v="18"/>
    <x v="0"/>
    <s v="Typhoid"/>
    <x v="1"/>
    <s v="ICU Care"/>
    <x v="3"/>
    <s v="Dr. Prerna Singh"/>
    <n v="423"/>
    <s v="Private"/>
    <x v="4"/>
    <n v="153700"/>
    <n v="0"/>
    <n v="153700"/>
    <n v="114460"/>
    <n v="29535"/>
    <n v="5502"/>
    <s v="No"/>
    <n v="52"/>
    <n v="2.2000000000000002"/>
    <x v="3"/>
  </r>
  <r>
    <x v="1975"/>
    <s v="Vijay Chopra"/>
    <n v="70"/>
    <x v="0"/>
    <s v="B+"/>
    <s v="Kolkata"/>
    <d v="2024-04-04T00:00:00"/>
    <d v="2024-04-12T00:00:00"/>
    <n v="8"/>
    <x v="0"/>
    <s v="Typhoid"/>
    <x v="1"/>
    <s v="Medication"/>
    <x v="3"/>
    <s v="Dr. Kavita Nair"/>
    <n v="100"/>
    <s v="General Ward"/>
    <x v="2"/>
    <n v="117037"/>
    <n v="86862"/>
    <n v="30175"/>
    <n v="83174"/>
    <n v="18924"/>
    <n v="11442"/>
    <s v="No"/>
    <n v="96"/>
    <n v="2.2999999999999998"/>
    <x v="1"/>
  </r>
  <r>
    <x v="1976"/>
    <s v="Mukesh Khanna"/>
    <n v="6"/>
    <x v="1"/>
    <s v="O+"/>
    <s v="Delhi"/>
    <d v="2024-11-06T00:00:00"/>
    <d v="2024-11-28T00:00:00"/>
    <n v="22"/>
    <x v="0"/>
    <s v="Liver Disease"/>
    <x v="0"/>
    <s v="Physiotherapy"/>
    <x v="3"/>
    <s v="Dr. Rakesh Joshi"/>
    <n v="413"/>
    <s v="Semi-Private"/>
    <x v="1"/>
    <n v="177061"/>
    <n v="74309"/>
    <n v="102752"/>
    <n v="143112"/>
    <n v="26616"/>
    <n v="3293"/>
    <s v="No"/>
    <n v="84"/>
    <n v="3.1"/>
    <x v="0"/>
  </r>
  <r>
    <x v="1977"/>
    <s v="Sunil Mehta"/>
    <n v="60"/>
    <x v="1"/>
    <s v="A-"/>
    <s v="Hyderabad"/>
    <d v="2023-02-04T00:00:00"/>
    <d v="2023-02-27T00:00:00"/>
    <n v="23"/>
    <x v="6"/>
    <s v="Fracture"/>
    <x v="10"/>
    <s v="Surgery"/>
    <x v="2"/>
    <s v="Dr. Anjali Mehta"/>
    <n v="391"/>
    <s v="Semi-Private"/>
    <x v="1"/>
    <n v="89095"/>
    <n v="43804"/>
    <n v="45291"/>
    <n v="57801"/>
    <n v="18042"/>
    <n v="12696"/>
    <s v="Yes"/>
    <n v="54"/>
    <n v="2"/>
    <x v="0"/>
  </r>
  <r>
    <x v="1978"/>
    <s v="Lata Reddy"/>
    <n v="40"/>
    <x v="1"/>
    <s v="A-"/>
    <s v="Kolkata"/>
    <d v="2023-08-10T00:00:00"/>
    <d v="2023-08-26T00:00:00"/>
    <n v="16"/>
    <x v="0"/>
    <s v="Anemia"/>
    <x v="4"/>
    <s v="Dietary Management"/>
    <x v="2"/>
    <s v="Dr. Anjali Reddy"/>
    <n v="288"/>
    <s v="ICU"/>
    <x v="1"/>
    <n v="55065"/>
    <n v="37320"/>
    <n v="17745"/>
    <n v="30102"/>
    <n v="7667"/>
    <n v="14881"/>
    <s v="No"/>
    <n v="48"/>
    <n v="4.7"/>
    <x v="2"/>
  </r>
  <r>
    <x v="1979"/>
    <s v="Rajesh Bose"/>
    <n v="76"/>
    <x v="1"/>
    <s v="A-"/>
    <s v="Pune"/>
    <d v="2023-12-09T00:00:00"/>
    <d v="2024-01-07T00:00:00"/>
    <n v="29"/>
    <x v="3"/>
    <s v="Stroke"/>
    <x v="6"/>
    <s v="Physiotherapy"/>
    <x v="3"/>
    <s v="Dr. Deepak Nair"/>
    <n v="128"/>
    <s v="General Ward"/>
    <x v="0"/>
    <n v="47221"/>
    <n v="19787"/>
    <n v="27434"/>
    <n v="28166"/>
    <n v="7556"/>
    <n v="7013"/>
    <s v="Yes"/>
    <n v="55"/>
    <n v="2.7"/>
    <x v="1"/>
  </r>
  <r>
    <x v="1980"/>
    <s v="Rahul Bose"/>
    <n v="71"/>
    <x v="0"/>
    <s v="AB+"/>
    <s v="Mumbai"/>
    <d v="2022-11-13T00:00:00"/>
    <d v="2022-11-30T00:00:00"/>
    <n v="17"/>
    <x v="0"/>
    <s v="Typhoid"/>
    <x v="1"/>
    <s v="Dietary Management"/>
    <x v="1"/>
    <s v="Dr. Anjali Mehta"/>
    <n v="212"/>
    <s v="Private"/>
    <x v="1"/>
    <n v="145542"/>
    <n v="88555"/>
    <n v="56987"/>
    <n v="138382"/>
    <n v="3325"/>
    <n v="562"/>
    <s v="No"/>
    <n v="45"/>
    <n v="3.3"/>
    <x v="0"/>
  </r>
  <r>
    <x v="1981"/>
    <s v="Rahul Joshi"/>
    <n v="72"/>
    <x v="1"/>
    <s v="AB-"/>
    <s v="Lucknow"/>
    <d v="2023-03-30T00:00:00"/>
    <d v="2023-04-19T00:00:00"/>
    <n v="20"/>
    <x v="0"/>
    <s v="Depression"/>
    <x v="5"/>
    <s v="Dietary Management"/>
    <x v="2"/>
    <s v="Dr. Arun Nair"/>
    <n v="458"/>
    <s v="Semi-Private"/>
    <x v="0"/>
    <n v="154883"/>
    <n v="74680"/>
    <n v="80203"/>
    <n v="122450"/>
    <n v="22176"/>
    <n v="8968"/>
    <s v="No"/>
    <n v="55"/>
    <n v="3.8"/>
    <x v="2"/>
  </r>
  <r>
    <x v="1982"/>
    <s v="Ashok Khanna"/>
    <n v="80"/>
    <x v="1"/>
    <s v="B-"/>
    <s v="Bangalore"/>
    <d v="2022-03-29T00:00:00"/>
    <d v="2022-04-13T00:00:00"/>
    <n v="15"/>
    <x v="4"/>
    <s v="Heart Attack"/>
    <x v="7"/>
    <s v="Counseling"/>
    <x v="0"/>
    <s v="Dr. Prerna Patel"/>
    <n v="175"/>
    <s v="ICU"/>
    <x v="0"/>
    <n v="85890"/>
    <n v="47196"/>
    <n v="38694"/>
    <n v="65607"/>
    <n v="2703"/>
    <n v="13895"/>
    <s v="Yes"/>
    <n v="83"/>
    <n v="3.7"/>
    <x v="4"/>
  </r>
  <r>
    <x v="1983"/>
    <s v="Meera Patel"/>
    <n v="15"/>
    <x v="0"/>
    <s v="A-"/>
    <s v="Bangalore"/>
    <d v="2022-01-02T00:00:00"/>
    <d v="2022-01-11T00:00:00"/>
    <n v="9"/>
    <x v="1"/>
    <s v="UTI"/>
    <x v="2"/>
    <s v="Surgery"/>
    <x v="2"/>
    <s v="Dr. Arun Nair"/>
    <n v="104"/>
    <s v="ICU"/>
    <x v="0"/>
    <n v="109508"/>
    <n v="60354"/>
    <n v="49154"/>
    <n v="79702"/>
    <n v="18973"/>
    <n v="7814"/>
    <s v="No"/>
    <n v="53"/>
    <n v="4.4000000000000004"/>
    <x v="0"/>
  </r>
  <r>
    <x v="1984"/>
    <s v="Rajesh Pillai"/>
    <n v="59"/>
    <x v="1"/>
    <s v="AB-"/>
    <s v="Chennai"/>
    <d v="2022-09-24T00:00:00"/>
    <d v="2022-10-20T00:00:00"/>
    <n v="26"/>
    <x v="0"/>
    <s v="COVID-19"/>
    <x v="1"/>
    <s v="Observation"/>
    <x v="1"/>
    <s v="Dr. Vivek Reddy"/>
    <n v="313"/>
    <s v="Private"/>
    <x v="2"/>
    <n v="92852"/>
    <n v="67596"/>
    <n v="25256"/>
    <n v="67961"/>
    <n v="14357"/>
    <n v="9631"/>
    <s v="No"/>
    <n v="58"/>
    <n v="2.2000000000000002"/>
    <x v="4"/>
  </r>
  <r>
    <x v="1985"/>
    <s v="Sanjay Pillai"/>
    <n v="37"/>
    <x v="1"/>
    <s v="AB+"/>
    <s v="Kolkata"/>
    <d v="2023-05-15T00:00:00"/>
    <d v="2023-06-06T00:00:00"/>
    <n v="22"/>
    <x v="2"/>
    <s v="Cancer"/>
    <x v="3"/>
    <s v="ICU Care"/>
    <x v="0"/>
    <s v="Dr. Prerna Nair"/>
    <n v="140"/>
    <s v="Private"/>
    <x v="0"/>
    <n v="123978"/>
    <n v="76165"/>
    <n v="47813"/>
    <n v="94824"/>
    <n v="16789"/>
    <n v="7920"/>
    <s v="No"/>
    <n v="63"/>
    <n v="3.7"/>
    <x v="0"/>
  </r>
  <r>
    <x v="1986"/>
    <s v="Rohan Verma"/>
    <n v="69"/>
    <x v="1"/>
    <s v="AB+"/>
    <s v="Delhi"/>
    <d v="2024-11-16T00:00:00"/>
    <d v="2024-12-16T00:00:00"/>
    <n v="30"/>
    <x v="3"/>
    <s v="Stroke"/>
    <x v="6"/>
    <s v="Dialysis"/>
    <x v="3"/>
    <s v="Dr. Deepak Rao"/>
    <n v="463"/>
    <s v="Semi-Private"/>
    <x v="0"/>
    <n v="112833"/>
    <n v="54228"/>
    <n v="58605"/>
    <n v="103914"/>
    <n v="2229"/>
    <n v="5121"/>
    <s v="No"/>
    <n v="51"/>
    <n v="3.1"/>
    <x v="4"/>
  </r>
  <r>
    <x v="1987"/>
    <s v="Meera Patel"/>
    <n v="24"/>
    <x v="1"/>
    <s v="AB-"/>
    <s v="Jaipur"/>
    <d v="2022-12-21T00:00:00"/>
    <d v="2023-01-10T00:00:00"/>
    <n v="20"/>
    <x v="0"/>
    <s v="Dengue"/>
    <x v="1"/>
    <s v="Counseling"/>
    <x v="1"/>
    <s v="Dr. Vivek Patel"/>
    <n v="371"/>
    <s v="General Ward"/>
    <x v="0"/>
    <n v="153918"/>
    <n v="96848"/>
    <n v="57070"/>
    <n v="119860"/>
    <n v="24618"/>
    <n v="7234"/>
    <s v="No"/>
    <n v="40"/>
    <n v="2.7"/>
    <x v="0"/>
  </r>
  <r>
    <x v="1988"/>
    <s v="Ashok Sharma"/>
    <n v="43"/>
    <x v="1"/>
    <s v="AB-"/>
    <s v="Hyderabad"/>
    <d v="2022-07-04T00:00:00"/>
    <d v="2022-07-25T00:00:00"/>
    <n v="21"/>
    <x v="4"/>
    <s v="Heart Attack"/>
    <x v="7"/>
    <s v="Dietary Management"/>
    <x v="1"/>
    <s v="Dr. Deepak Joshi"/>
    <n v="164"/>
    <s v="Private"/>
    <x v="2"/>
    <n v="35750"/>
    <n v="28043"/>
    <n v="7707"/>
    <n v="8979"/>
    <n v="18170"/>
    <n v="7269"/>
    <s v="No"/>
    <n v="98"/>
    <n v="4.9000000000000004"/>
    <x v="4"/>
  </r>
  <r>
    <x v="1989"/>
    <s v="Rekha Das"/>
    <n v="31"/>
    <x v="1"/>
    <s v="A-"/>
    <s v="Chennai"/>
    <d v="2022-09-19T00:00:00"/>
    <d v="2022-10-09T00:00:00"/>
    <n v="20"/>
    <x v="1"/>
    <s v="UTI"/>
    <x v="2"/>
    <s v="Physiotherapy"/>
    <x v="0"/>
    <s v="Dr. Nisha Rao"/>
    <n v="149"/>
    <s v="Semi-Private"/>
    <x v="4"/>
    <n v="30052"/>
    <n v="0"/>
    <n v="30052"/>
    <n v="16221"/>
    <n v="3161"/>
    <n v="7111"/>
    <s v="No"/>
    <n v="63"/>
    <n v="3"/>
    <x v="1"/>
  </r>
  <r>
    <x v="1990"/>
    <s v="Arjun Chopra"/>
    <n v="32"/>
    <x v="1"/>
    <s v="A-"/>
    <s v="Mumbai"/>
    <d v="2024-10-11T00:00:00"/>
    <d v="2024-11-02T00:00:00"/>
    <n v="22"/>
    <x v="4"/>
    <s v="Hypertension"/>
    <x v="7"/>
    <s v="Observation"/>
    <x v="1"/>
    <s v="Dr. Nisha Kumar"/>
    <n v="246"/>
    <s v="Semi-Private"/>
    <x v="1"/>
    <n v="89350"/>
    <n v="35918"/>
    <n v="53432"/>
    <n v="79409"/>
    <n v="4794"/>
    <n v="1332"/>
    <s v="Yes"/>
    <n v="67"/>
    <n v="4.8"/>
    <x v="3"/>
  </r>
  <r>
    <x v="1991"/>
    <s v="Pooja Singh"/>
    <n v="48"/>
    <x v="1"/>
    <s v="A-"/>
    <s v="Ahmedabad"/>
    <d v="2024-02-15T00:00:00"/>
    <d v="2024-02-28T00:00:00"/>
    <n v="13"/>
    <x v="4"/>
    <s v="Hypertension"/>
    <x v="7"/>
    <s v="Dialysis"/>
    <x v="3"/>
    <s v="Dr. Nisha Joshi"/>
    <n v="308"/>
    <s v="ICU"/>
    <x v="1"/>
    <n v="51469"/>
    <n v="23875"/>
    <n v="27594"/>
    <n v="28960"/>
    <n v="17720"/>
    <n v="1886"/>
    <s v="No"/>
    <n v="97"/>
    <n v="4.5999999999999996"/>
    <x v="4"/>
  </r>
  <r>
    <x v="1992"/>
    <s v="Rekha Menon"/>
    <n v="62"/>
    <x v="0"/>
    <s v="AB-"/>
    <s v="Pune"/>
    <d v="2024-01-12T00:00:00"/>
    <d v="2024-01-21T00:00:00"/>
    <n v="9"/>
    <x v="3"/>
    <s v="Migraine"/>
    <x v="6"/>
    <s v="Observation"/>
    <x v="2"/>
    <s v="Dr. Rakesh Mehta"/>
    <n v="214"/>
    <s v="General Ward"/>
    <x v="4"/>
    <n v="84234"/>
    <n v="0"/>
    <n v="84234"/>
    <n v="55949"/>
    <n v="8715"/>
    <n v="14771"/>
    <s v="No"/>
    <n v="92"/>
    <n v="3.9"/>
    <x v="0"/>
  </r>
  <r>
    <x v="1993"/>
    <s v="Manoj Iyer"/>
    <n v="60"/>
    <x v="0"/>
    <s v="AB+"/>
    <s v="Mumbai"/>
    <d v="2022-08-25T00:00:00"/>
    <d v="2022-09-11T00:00:00"/>
    <n v="17"/>
    <x v="0"/>
    <s v="COVID-19"/>
    <x v="1"/>
    <s v="Counseling"/>
    <x v="1"/>
    <s v="Dr. Rakesh Patel"/>
    <n v="149"/>
    <s v="General Ward"/>
    <x v="0"/>
    <n v="133478"/>
    <n v="71207"/>
    <n v="62271"/>
    <n v="114847"/>
    <n v="8309"/>
    <n v="5510"/>
    <s v="No"/>
    <n v="48"/>
    <n v="4.4000000000000004"/>
    <x v="4"/>
  </r>
  <r>
    <x v="1994"/>
    <s v="Sneha Iyer"/>
    <n v="35"/>
    <x v="0"/>
    <s v="A+"/>
    <s v="Bangalore"/>
    <d v="2022-11-20T00:00:00"/>
    <d v="2022-12-11T00:00:00"/>
    <n v="21"/>
    <x v="0"/>
    <s v="Liver Disease"/>
    <x v="0"/>
    <s v="Medication"/>
    <x v="3"/>
    <s v="Dr. Rakesh Reddy"/>
    <n v="484"/>
    <s v="General Ward"/>
    <x v="0"/>
    <n v="60625"/>
    <n v="42322"/>
    <n v="18303"/>
    <n v="27221"/>
    <n v="26922"/>
    <n v="3732"/>
    <s v="No"/>
    <n v="61"/>
    <n v="4.5"/>
    <x v="0"/>
  </r>
  <r>
    <x v="1995"/>
    <s v="Divya Menon"/>
    <n v="8"/>
    <x v="1"/>
    <s v="AB-"/>
    <s v="Bangalore"/>
    <d v="2023-12-03T00:00:00"/>
    <d v="2023-12-16T00:00:00"/>
    <n v="13"/>
    <x v="3"/>
    <s v="Migraine"/>
    <x v="6"/>
    <s v="Radiation Therapy"/>
    <x v="2"/>
    <s v="Dr. Kavita Sharma"/>
    <n v="196"/>
    <s v="Semi-Private"/>
    <x v="3"/>
    <n v="131447"/>
    <n v="117325"/>
    <n v="14122"/>
    <n v="96346"/>
    <n v="15638"/>
    <n v="14647"/>
    <s v="No"/>
    <n v="44"/>
    <n v="3.9"/>
    <x v="1"/>
  </r>
  <r>
    <x v="1996"/>
    <s v="Sneha Patel"/>
    <n v="41"/>
    <x v="1"/>
    <s v="B-"/>
    <s v="Kolkata"/>
    <d v="2024-09-21T00:00:00"/>
    <d v="2024-10-06T00:00:00"/>
    <n v="15"/>
    <x v="0"/>
    <s v="Typhoid"/>
    <x v="1"/>
    <s v="Radiation Therapy"/>
    <x v="3"/>
    <s v="Dr. Shalini Reddy"/>
    <n v="381"/>
    <s v="Semi-Private"/>
    <x v="0"/>
    <n v="119630"/>
    <n v="65059"/>
    <n v="54571"/>
    <n v="76122"/>
    <n v="29517"/>
    <n v="10354"/>
    <s v="No"/>
    <n v="77"/>
    <n v="3.3"/>
    <x v="1"/>
  </r>
  <r>
    <x v="1997"/>
    <s v="Amit Malhotra"/>
    <n v="79"/>
    <x v="1"/>
    <s v="B+"/>
    <s v="Mumbai"/>
    <d v="2023-09-19T00:00:00"/>
    <d v="2023-09-30T00:00:00"/>
    <n v="11"/>
    <x v="5"/>
    <s v="Asthma"/>
    <x v="8"/>
    <s v="Physiotherapy"/>
    <x v="3"/>
    <s v="Dr. Rakesh Reddy"/>
    <n v="287"/>
    <s v="Semi-Private"/>
    <x v="3"/>
    <n v="149017"/>
    <n v="132147"/>
    <n v="16870"/>
    <n v="122144"/>
    <n v="14227"/>
    <n v="9862"/>
    <s v="No"/>
    <n v="64"/>
    <n v="3.2"/>
    <x v="1"/>
  </r>
  <r>
    <x v="1998"/>
    <s v="Vijay Pillai"/>
    <n v="71"/>
    <x v="0"/>
    <s v="AB+"/>
    <s v="Lucknow"/>
    <d v="2022-01-17T00:00:00"/>
    <d v="2022-02-03T00:00:00"/>
    <n v="17"/>
    <x v="0"/>
    <s v="Typhoid"/>
    <x v="1"/>
    <s v="Observation"/>
    <x v="2"/>
    <s v="Dr. Shalini Patel"/>
    <n v="489"/>
    <s v="Private"/>
    <x v="2"/>
    <n v="177625"/>
    <n v="137699"/>
    <n v="39926"/>
    <n v="146356"/>
    <n v="23698"/>
    <n v="4421"/>
    <s v="No"/>
    <n v="97"/>
    <n v="3.9"/>
    <x v="0"/>
  </r>
  <r>
    <x v="1999"/>
    <s v="Priya Rao"/>
    <n v="42"/>
    <x v="0"/>
    <s v="AB-"/>
    <s v="Hyderabad"/>
    <d v="2023-01-17T00:00:00"/>
    <d v="2023-02-01T00:00:00"/>
    <n v="15"/>
    <x v="0"/>
    <s v="Diabetes Type 2"/>
    <x v="9"/>
    <s v="Physiotherapy"/>
    <x v="3"/>
    <s v="Dr. Rakesh Singh"/>
    <n v="176"/>
    <s v="Semi-Private"/>
    <x v="3"/>
    <n v="120815"/>
    <n v="81642"/>
    <n v="39173"/>
    <n v="112994"/>
    <n v="3088"/>
    <n v="1497"/>
    <s v="No"/>
    <n v="50"/>
    <n v="3.6"/>
    <x v="1"/>
  </r>
  <r>
    <x v="2000"/>
    <s v="Mukesh Patel"/>
    <n v="63"/>
    <x v="0"/>
    <s v="A-"/>
    <s v="Lucknow"/>
    <d v="2023-05-19T00:00:00"/>
    <d v="2023-06-08T00:00:00"/>
    <n v="20"/>
    <x v="0"/>
    <s v="Appendicitis"/>
    <x v="0"/>
    <s v="Observation"/>
    <x v="1"/>
    <s v="Dr. Kavita Gupta"/>
    <n v="280"/>
    <s v="Semi-Private"/>
    <x v="1"/>
    <n v="31142"/>
    <n v="17345"/>
    <n v="13797"/>
    <n v="13123"/>
    <n v="8483"/>
    <n v="5646"/>
    <s v="No"/>
    <n v="84"/>
    <n v="2.2999999999999998"/>
    <x v="3"/>
  </r>
  <r>
    <x v="2001"/>
    <s v="Ritu Shah"/>
    <n v="73"/>
    <x v="0"/>
    <s v="AB-"/>
    <s v="Ahmedabad"/>
    <d v="2022-01-01T00:00:00"/>
    <d v="2022-01-30T00:00:00"/>
    <n v="29"/>
    <x v="0"/>
    <s v="Typhoid"/>
    <x v="1"/>
    <s v="Medication"/>
    <x v="1"/>
    <s v="Dr. Kavita Rao"/>
    <n v="335"/>
    <s v="Semi-Private"/>
    <x v="1"/>
    <n v="73152"/>
    <n v="47641"/>
    <n v="25511"/>
    <n v="50440"/>
    <n v="11561"/>
    <n v="6950"/>
    <s v="No"/>
    <n v="70"/>
    <n v="4.0999999999999996"/>
    <x v="1"/>
  </r>
  <r>
    <x v="2002"/>
    <s v="Vijay Chopra"/>
    <n v="36"/>
    <x v="1"/>
    <s v="AB-"/>
    <s v="Ahmedabad"/>
    <d v="2022-05-18T00:00:00"/>
    <d v="2022-06-04T00:00:00"/>
    <n v="17"/>
    <x v="3"/>
    <s v="Migraine"/>
    <x v="6"/>
    <s v="Observation"/>
    <x v="0"/>
    <s v="Dr. Anjali Nair"/>
    <n v="211"/>
    <s v="General Ward"/>
    <x v="3"/>
    <n v="100920"/>
    <n v="66838"/>
    <n v="34082"/>
    <n v="65930"/>
    <n v="27067"/>
    <n v="4210"/>
    <s v="No"/>
    <n v="55"/>
    <n v="2"/>
    <x v="2"/>
  </r>
  <r>
    <x v="2003"/>
    <s v="Vikram Khanna"/>
    <n v="21"/>
    <x v="0"/>
    <s v="AB+"/>
    <s v="Hyderabad"/>
    <d v="2022-02-25T00:00:00"/>
    <d v="2022-03-17T00:00:00"/>
    <n v="20"/>
    <x v="5"/>
    <s v="Asthma"/>
    <x v="8"/>
    <s v="Observation"/>
    <x v="3"/>
    <s v="Dr. Rakesh Rao"/>
    <n v="250"/>
    <s v="ICU"/>
    <x v="2"/>
    <n v="105260"/>
    <n v="71651"/>
    <n v="33609"/>
    <n v="86999"/>
    <n v="8372"/>
    <n v="6957"/>
    <s v="No"/>
    <n v="55"/>
    <n v="4.5"/>
    <x v="0"/>
  </r>
  <r>
    <x v="2004"/>
    <s v="Rajesh Verma"/>
    <n v="41"/>
    <x v="1"/>
    <s v="B+"/>
    <s v="Delhi"/>
    <d v="2024-08-10T00:00:00"/>
    <d v="2024-08-23T00:00:00"/>
    <n v="13"/>
    <x v="4"/>
    <s v="Heart Attack"/>
    <x v="7"/>
    <s v="Counseling"/>
    <x v="1"/>
    <s v="Dr. Prerna Mehta"/>
    <n v="443"/>
    <s v="Semi-Private"/>
    <x v="4"/>
    <n v="154243"/>
    <n v="0"/>
    <n v="154243"/>
    <n v="138085"/>
    <n v="6358"/>
    <n v="9226"/>
    <s v="No"/>
    <n v="90"/>
    <n v="4"/>
    <x v="2"/>
  </r>
  <r>
    <x v="2005"/>
    <s v="Ashok Sharma"/>
    <n v="50"/>
    <x v="1"/>
    <s v="AB+"/>
    <s v="Pune"/>
    <d v="2022-02-23T00:00:00"/>
    <d v="2022-03-05T00:00:00"/>
    <n v="10"/>
    <x v="1"/>
    <s v="Kidney Stone"/>
    <x v="2"/>
    <s v="Counseling"/>
    <x v="0"/>
    <s v="Dr. Shalini Joshi"/>
    <n v="307"/>
    <s v="General Ward"/>
    <x v="2"/>
    <n v="52135"/>
    <n v="34224"/>
    <n v="17911"/>
    <n v="25874"/>
    <n v="20697"/>
    <n v="3275"/>
    <s v="No"/>
    <n v="60"/>
    <n v="2.4"/>
    <x v="1"/>
  </r>
  <r>
    <x v="2006"/>
    <s v="Aditya Nair"/>
    <n v="20"/>
    <x v="0"/>
    <s v="AB-"/>
    <s v="Pune"/>
    <d v="2024-11-18T00:00:00"/>
    <d v="2024-12-11T00:00:00"/>
    <n v="23"/>
    <x v="5"/>
    <s v="Asthma"/>
    <x v="8"/>
    <s v="Radiation Therapy"/>
    <x v="0"/>
    <s v="Dr. Deepak Joshi"/>
    <n v="500"/>
    <s v="General Ward"/>
    <x v="0"/>
    <n v="162596"/>
    <n v="104273"/>
    <n v="58323"/>
    <n v="130927"/>
    <n v="15714"/>
    <n v="13839"/>
    <s v="No"/>
    <n v="93"/>
    <n v="3"/>
    <x v="0"/>
  </r>
  <r>
    <x v="2007"/>
    <s v="Deepa Gupta"/>
    <n v="7"/>
    <x v="1"/>
    <s v="O+"/>
    <s v="Hyderabad"/>
    <d v="2023-10-19T00:00:00"/>
    <d v="2023-11-03T00:00:00"/>
    <n v="15"/>
    <x v="3"/>
    <s v="Migraine"/>
    <x v="6"/>
    <s v="Surgery"/>
    <x v="0"/>
    <s v="Dr. Sameer Rao"/>
    <n v="431"/>
    <s v="Private"/>
    <x v="2"/>
    <n v="126039"/>
    <n v="83708"/>
    <n v="42331"/>
    <n v="113637"/>
    <n v="10219"/>
    <n v="1570"/>
    <s v="No"/>
    <n v="44"/>
    <n v="3.9"/>
    <x v="4"/>
  </r>
  <r>
    <x v="2008"/>
    <s v="Mukesh Reddy"/>
    <n v="28"/>
    <x v="0"/>
    <s v="O-"/>
    <s v="Bangalore"/>
    <d v="2023-03-11T00:00:00"/>
    <d v="2023-03-20T00:00:00"/>
    <n v="9"/>
    <x v="0"/>
    <s v="Anemia"/>
    <x v="4"/>
    <s v="ICU Care"/>
    <x v="3"/>
    <s v="Dr. Vivek Patel"/>
    <n v="66"/>
    <s v="General Ward"/>
    <x v="0"/>
    <n v="173628"/>
    <n v="93149"/>
    <n v="80479"/>
    <n v="146988"/>
    <n v="10189"/>
    <n v="12582"/>
    <s v="No"/>
    <n v="56"/>
    <n v="2.9"/>
    <x v="3"/>
  </r>
  <r>
    <x v="2009"/>
    <s v="Rahul Menon"/>
    <n v="70"/>
    <x v="1"/>
    <s v="A-"/>
    <s v="Hyderabad"/>
    <d v="2023-03-07T00:00:00"/>
    <d v="2023-04-03T00:00:00"/>
    <n v="27"/>
    <x v="0"/>
    <s v="Dengue"/>
    <x v="1"/>
    <s v="ICU Care"/>
    <x v="3"/>
    <s v="Dr. Sameer Kumar"/>
    <n v="323"/>
    <s v="ICU"/>
    <x v="0"/>
    <n v="186219"/>
    <n v="119521"/>
    <n v="66698"/>
    <n v="144709"/>
    <n v="22900"/>
    <n v="14647"/>
    <s v="No"/>
    <n v="71"/>
    <n v="4.0999999999999996"/>
    <x v="0"/>
  </r>
  <r>
    <x v="2010"/>
    <s v="Rahul Reddy"/>
    <n v="69"/>
    <x v="0"/>
    <s v="AB-"/>
    <s v="Pune"/>
    <d v="2022-05-30T00:00:00"/>
    <d v="2022-06-07T00:00:00"/>
    <n v="8"/>
    <x v="5"/>
    <s v="Asthma"/>
    <x v="8"/>
    <s v="Radiation Therapy"/>
    <x v="3"/>
    <s v="Dr. Shalini Patel"/>
    <n v="258"/>
    <s v="Private"/>
    <x v="2"/>
    <n v="146774"/>
    <n v="127020"/>
    <n v="19754"/>
    <n v="103121"/>
    <n v="23898"/>
    <n v="14867"/>
    <s v="Yes"/>
    <n v="56"/>
    <n v="2.2000000000000002"/>
    <x v="1"/>
  </r>
  <r>
    <x v="2011"/>
    <s v="Sunita Verma"/>
    <n v="39"/>
    <x v="0"/>
    <s v="O-"/>
    <s v="Delhi"/>
    <d v="2022-09-26T00:00:00"/>
    <d v="2022-09-28T00:00:00"/>
    <n v="2"/>
    <x v="3"/>
    <s v="Migraine"/>
    <x v="6"/>
    <s v="Medication"/>
    <x v="0"/>
    <s v="Dr. Prerna Patel"/>
    <n v="320"/>
    <s v="Private"/>
    <x v="1"/>
    <n v="147333"/>
    <n v="65808"/>
    <n v="81525"/>
    <n v="124100"/>
    <n v="8160"/>
    <n v="10972"/>
    <s v="No"/>
    <n v="40"/>
    <n v="2.7"/>
    <x v="1"/>
  </r>
  <r>
    <x v="2012"/>
    <s v="Ritu Nair"/>
    <n v="53"/>
    <x v="0"/>
    <s v="B-"/>
    <s v="Lucknow"/>
    <d v="2023-05-28T00:00:00"/>
    <d v="2023-06-06T00:00:00"/>
    <n v="9"/>
    <x v="5"/>
    <s v="Pneumonia"/>
    <x v="8"/>
    <s v="Medication"/>
    <x v="3"/>
    <s v="Dr. Rakesh Sharma"/>
    <n v="32"/>
    <s v="Semi-Private"/>
    <x v="0"/>
    <n v="60218"/>
    <n v="41355"/>
    <n v="18863"/>
    <n v="33171"/>
    <n v="19841"/>
    <n v="6315"/>
    <s v="No"/>
    <n v="55"/>
    <n v="2"/>
    <x v="1"/>
  </r>
  <r>
    <x v="2013"/>
    <s v="Sunita Mehta"/>
    <n v="79"/>
    <x v="1"/>
    <s v="A+"/>
    <s v="Chennai"/>
    <d v="2023-07-11T00:00:00"/>
    <d v="2023-08-01T00:00:00"/>
    <n v="21"/>
    <x v="3"/>
    <s v="Stroke"/>
    <x v="6"/>
    <s v="Dietary Management"/>
    <x v="2"/>
    <s v="Dr. Vivek Mehta"/>
    <n v="13"/>
    <s v="Private"/>
    <x v="4"/>
    <n v="135355"/>
    <n v="0"/>
    <n v="135355"/>
    <n v="101387"/>
    <n v="24162"/>
    <n v="6172"/>
    <s v="No"/>
    <n v="96"/>
    <n v="3.5"/>
    <x v="0"/>
  </r>
  <r>
    <x v="2014"/>
    <s v="Meera Shah"/>
    <n v="54"/>
    <x v="0"/>
    <s v="AB-"/>
    <s v="Jaipur"/>
    <d v="2023-03-26T00:00:00"/>
    <d v="2023-04-22T00:00:00"/>
    <n v="27"/>
    <x v="2"/>
    <s v="Cancer"/>
    <x v="3"/>
    <s v="Chemotherapy"/>
    <x v="3"/>
    <s v="Dr. Kavita Patel"/>
    <n v="16"/>
    <s v="Private"/>
    <x v="2"/>
    <n v="176184"/>
    <n v="145979"/>
    <n v="30205"/>
    <n v="146425"/>
    <n v="17534"/>
    <n v="8830"/>
    <s v="No"/>
    <n v="73"/>
    <n v="4.8"/>
    <x v="0"/>
  </r>
  <r>
    <x v="2015"/>
    <s v="Rekha Sharma"/>
    <n v="77"/>
    <x v="0"/>
    <s v="AB-"/>
    <s v="Bangalore"/>
    <d v="2024-11-09T00:00:00"/>
    <d v="2024-11-17T00:00:00"/>
    <n v="8"/>
    <x v="0"/>
    <s v="Liver Disease"/>
    <x v="0"/>
    <s v="Counseling"/>
    <x v="2"/>
    <s v="Dr. Arun Patel"/>
    <n v="288"/>
    <s v="ICU"/>
    <x v="4"/>
    <n v="160352"/>
    <n v="0"/>
    <n v="160352"/>
    <n v="142004"/>
    <n v="10581"/>
    <n v="7122"/>
    <s v="No"/>
    <n v="88"/>
    <n v="2.9"/>
    <x v="4"/>
  </r>
  <r>
    <x v="2016"/>
    <s v="Ananya Verma"/>
    <n v="53"/>
    <x v="0"/>
    <s v="A+"/>
    <s v="Chennai"/>
    <d v="2022-11-17T00:00:00"/>
    <d v="2022-12-02T00:00:00"/>
    <n v="15"/>
    <x v="0"/>
    <s v="Appendicitis"/>
    <x v="0"/>
    <s v="Counseling"/>
    <x v="0"/>
    <s v="Dr. Nisha Nair"/>
    <n v="232"/>
    <s v="Private"/>
    <x v="2"/>
    <n v="181881"/>
    <n v="111014"/>
    <n v="70867"/>
    <n v="149747"/>
    <n v="29530"/>
    <n v="1022"/>
    <s v="No"/>
    <n v="82"/>
    <n v="4.7"/>
    <x v="3"/>
  </r>
  <r>
    <x v="2017"/>
    <s v="Rohan Chopra"/>
    <n v="79"/>
    <x v="1"/>
    <s v="AB-"/>
    <s v="Hyderabad"/>
    <d v="2023-03-03T00:00:00"/>
    <d v="2023-03-22T00:00:00"/>
    <n v="19"/>
    <x v="4"/>
    <s v="Hypertension"/>
    <x v="7"/>
    <s v="Dialysis"/>
    <x v="3"/>
    <s v="Dr. Anjali Gupta"/>
    <n v="98"/>
    <s v="Semi-Private"/>
    <x v="2"/>
    <n v="68230"/>
    <n v="57819"/>
    <n v="10411"/>
    <n v="44071"/>
    <n v="10760"/>
    <n v="10807"/>
    <s v="No"/>
    <n v="40"/>
    <n v="4"/>
    <x v="2"/>
  </r>
  <r>
    <x v="2018"/>
    <s v="Rajesh Kumar"/>
    <n v="78"/>
    <x v="0"/>
    <s v="A-"/>
    <s v="Jaipur"/>
    <d v="2022-01-01T00:00:00"/>
    <d v="2022-01-05T00:00:00"/>
    <n v="4"/>
    <x v="6"/>
    <s v="Fracture"/>
    <x v="10"/>
    <s v="Medication"/>
    <x v="2"/>
    <s v="Dr. Vivek Gupta"/>
    <n v="466"/>
    <s v="Semi-Private"/>
    <x v="1"/>
    <n v="58498"/>
    <n v="39682"/>
    <n v="18816"/>
    <n v="23878"/>
    <n v="25083"/>
    <n v="6968"/>
    <s v="No"/>
    <n v="45"/>
    <n v="4.9000000000000004"/>
    <x v="4"/>
  </r>
  <r>
    <x v="2019"/>
    <s v="Pooja Khanna"/>
    <n v="40"/>
    <x v="0"/>
    <s v="A-"/>
    <s v="Mumbai"/>
    <d v="2024-09-27T00:00:00"/>
    <d v="2024-10-20T00:00:00"/>
    <n v="23"/>
    <x v="0"/>
    <s v="Obesity"/>
    <x v="12"/>
    <s v="ICU Care"/>
    <x v="2"/>
    <s v="Dr. Anjali Kumar"/>
    <n v="216"/>
    <s v="Private"/>
    <x v="0"/>
    <n v="36286"/>
    <n v="24896"/>
    <n v="11390"/>
    <n v="11537"/>
    <n v="18816"/>
    <n v="4562"/>
    <s v="No"/>
    <n v="88"/>
    <n v="4.3"/>
    <x v="3"/>
  </r>
  <r>
    <x v="2020"/>
    <s v="Rajesh Sharma"/>
    <n v="14"/>
    <x v="0"/>
    <s v="A-"/>
    <s v="Jaipur"/>
    <d v="2023-03-30T00:00:00"/>
    <d v="2023-04-05T00:00:00"/>
    <n v="6"/>
    <x v="6"/>
    <s v="Fracture"/>
    <x v="10"/>
    <s v="Physiotherapy"/>
    <x v="1"/>
    <s v="Dr. Arun Gupta"/>
    <n v="152"/>
    <s v="General Ward"/>
    <x v="3"/>
    <n v="142872"/>
    <n v="94758"/>
    <n v="48114"/>
    <n v="103972"/>
    <n v="24309"/>
    <n v="11898"/>
    <s v="Yes"/>
    <n v="64"/>
    <n v="2.1"/>
    <x v="1"/>
  </r>
  <r>
    <x v="2021"/>
    <s v="Vikram Pillai"/>
    <n v="35"/>
    <x v="1"/>
    <s v="AB+"/>
    <s v="Ahmedabad"/>
    <d v="2022-10-15T00:00:00"/>
    <d v="2022-10-22T00:00:00"/>
    <n v="7"/>
    <x v="5"/>
    <s v="Pneumonia"/>
    <x v="8"/>
    <s v="Observation"/>
    <x v="3"/>
    <s v="Dr. Rakesh Gupta"/>
    <n v="60"/>
    <s v="General Ward"/>
    <x v="3"/>
    <n v="52504"/>
    <n v="38276"/>
    <n v="14228"/>
    <n v="17646"/>
    <n v="26910"/>
    <n v="6946"/>
    <s v="No"/>
    <n v="55"/>
    <n v="3.5"/>
    <x v="4"/>
  </r>
  <r>
    <x v="2022"/>
    <s v="Arjun Pillai"/>
    <n v="84"/>
    <x v="1"/>
    <s v="A-"/>
    <s v="Hyderabad"/>
    <d v="2022-09-08T00:00:00"/>
    <d v="2022-09-26T00:00:00"/>
    <n v="18"/>
    <x v="0"/>
    <s v="Appendicitis"/>
    <x v="0"/>
    <s v="Medication"/>
    <x v="0"/>
    <s v="Dr. Sameer Rao"/>
    <n v="14"/>
    <s v="Private"/>
    <x v="3"/>
    <n v="171949"/>
    <n v="136973"/>
    <n v="34976"/>
    <n v="144739"/>
    <n v="24592"/>
    <n v="1261"/>
    <s v="No"/>
    <n v="87"/>
    <n v="3"/>
    <x v="4"/>
  </r>
  <r>
    <x v="2023"/>
    <s v="Rohan Malhotra"/>
    <n v="59"/>
    <x v="0"/>
    <s v="O-"/>
    <s v="Ahmedabad"/>
    <d v="2024-01-17T00:00:00"/>
    <d v="2024-02-01T00:00:00"/>
    <n v="15"/>
    <x v="0"/>
    <s v="Obesity"/>
    <x v="12"/>
    <s v="Chemotherapy"/>
    <x v="2"/>
    <s v="Dr. Vivek Gupta"/>
    <n v="446"/>
    <s v="Private"/>
    <x v="1"/>
    <n v="114137"/>
    <n v="74193"/>
    <n v="39944"/>
    <n v="78270"/>
    <n v="26172"/>
    <n v="8515"/>
    <s v="Yes"/>
    <n v="77"/>
    <n v="4.3"/>
    <x v="0"/>
  </r>
  <r>
    <x v="2024"/>
    <s v="Sanjay Mehta"/>
    <n v="66"/>
    <x v="0"/>
    <s v="AB+"/>
    <s v="Pune"/>
    <d v="2022-11-29T00:00:00"/>
    <d v="2022-12-06T00:00:00"/>
    <n v="7"/>
    <x v="0"/>
    <s v="Diabetes Type 2"/>
    <x v="9"/>
    <s v="Medication"/>
    <x v="3"/>
    <s v="Dr. Nisha Reddy"/>
    <n v="100"/>
    <s v="Private"/>
    <x v="0"/>
    <n v="36629"/>
    <n v="16565"/>
    <n v="20064"/>
    <n v="11502"/>
    <n v="9642"/>
    <n v="10524"/>
    <s v="No"/>
    <n v="94"/>
    <n v="2.1"/>
    <x v="3"/>
  </r>
  <r>
    <x v="2025"/>
    <s v="Vikram Chopra"/>
    <n v="64"/>
    <x v="0"/>
    <s v="O-"/>
    <s v="Hyderabad"/>
    <d v="2024-07-03T00:00:00"/>
    <d v="2024-07-15T00:00:00"/>
    <n v="12"/>
    <x v="3"/>
    <s v="Stroke"/>
    <x v="6"/>
    <s v="Observation"/>
    <x v="3"/>
    <s v="Dr. Prerna Joshi"/>
    <n v="108"/>
    <s v="Semi-Private"/>
    <x v="4"/>
    <n v="40430"/>
    <n v="0"/>
    <n v="40430"/>
    <n v="26146"/>
    <n v="4411"/>
    <n v="8218"/>
    <s v="No"/>
    <n v="80"/>
    <n v="2.6"/>
    <x v="2"/>
  </r>
  <r>
    <x v="2026"/>
    <s v="Ashok Shah"/>
    <n v="69"/>
    <x v="1"/>
    <s v="A-"/>
    <s v="Ahmedabad"/>
    <d v="2022-12-25T00:00:00"/>
    <d v="2023-01-07T00:00:00"/>
    <n v="13"/>
    <x v="2"/>
    <s v="Cancer"/>
    <x v="3"/>
    <s v="Medication"/>
    <x v="1"/>
    <s v="Dr. Rakesh Nair"/>
    <n v="478"/>
    <s v="General Ward"/>
    <x v="1"/>
    <n v="173199"/>
    <n v="74856"/>
    <n v="98343"/>
    <n v="140141"/>
    <n v="24379"/>
    <n v="7532"/>
    <s v="No"/>
    <n v="72"/>
    <n v="2.1"/>
    <x v="1"/>
  </r>
  <r>
    <x v="2027"/>
    <s v="Manoj Reddy"/>
    <n v="12"/>
    <x v="0"/>
    <s v="O-"/>
    <s v="Ahmedabad"/>
    <d v="2024-09-17T00:00:00"/>
    <d v="2024-09-22T00:00:00"/>
    <n v="5"/>
    <x v="6"/>
    <s v="Fracture"/>
    <x v="10"/>
    <s v="Physiotherapy"/>
    <x v="0"/>
    <s v="Dr. Prerna Joshi"/>
    <n v="265"/>
    <s v="General Ward"/>
    <x v="2"/>
    <n v="166911"/>
    <n v="150182"/>
    <n v="16729"/>
    <n v="144146"/>
    <n v="4104"/>
    <n v="14443"/>
    <s v="No"/>
    <n v="54"/>
    <n v="4.7"/>
    <x v="2"/>
  </r>
  <r>
    <x v="2028"/>
    <s v="Rahul Verma"/>
    <n v="24"/>
    <x v="0"/>
    <s v="AB-"/>
    <s v="Chennai"/>
    <d v="2024-07-13T00:00:00"/>
    <d v="2024-07-17T00:00:00"/>
    <n v="4"/>
    <x v="6"/>
    <s v="Fracture"/>
    <x v="10"/>
    <s v="Radiation Therapy"/>
    <x v="1"/>
    <s v="Dr. Vivek Nair"/>
    <n v="211"/>
    <s v="ICU"/>
    <x v="4"/>
    <n v="157212"/>
    <n v="0"/>
    <n v="157212"/>
    <n v="114886"/>
    <n v="25188"/>
    <n v="14122"/>
    <s v="Yes"/>
    <n v="70"/>
    <n v="4.7"/>
    <x v="1"/>
  </r>
  <r>
    <x v="2029"/>
    <s v="Rekha Menon"/>
    <n v="44"/>
    <x v="0"/>
    <s v="O-"/>
    <s v="Chennai"/>
    <d v="2024-08-13T00:00:00"/>
    <d v="2024-08-23T00:00:00"/>
    <n v="10"/>
    <x v="4"/>
    <s v="Heart Attack"/>
    <x v="7"/>
    <s v="Physiotherapy"/>
    <x v="3"/>
    <s v="Dr. Anjali Gupta"/>
    <n v="474"/>
    <s v="ICU"/>
    <x v="1"/>
    <n v="169017"/>
    <n v="102112"/>
    <n v="66905"/>
    <n v="133794"/>
    <n v="24509"/>
    <n v="8403"/>
    <s v="No"/>
    <n v="45"/>
    <n v="3.2"/>
    <x v="4"/>
  </r>
  <r>
    <x v="2030"/>
    <s v="Priya Reddy"/>
    <n v="25"/>
    <x v="1"/>
    <s v="AB-"/>
    <s v="Mumbai"/>
    <d v="2022-07-24T00:00:00"/>
    <d v="2022-08-02T00:00:00"/>
    <n v="9"/>
    <x v="4"/>
    <s v="Hypertension"/>
    <x v="7"/>
    <s v="ICU Care"/>
    <x v="1"/>
    <s v="Dr. Anjali Patel"/>
    <n v="180"/>
    <s v="General Ward"/>
    <x v="1"/>
    <n v="143234"/>
    <n v="63345"/>
    <n v="79889"/>
    <n v="104609"/>
    <n v="24868"/>
    <n v="11435"/>
    <s v="Yes"/>
    <n v="59"/>
    <n v="3.5"/>
    <x v="4"/>
  </r>
  <r>
    <x v="2031"/>
    <s v="Vikram Verma"/>
    <n v="80"/>
    <x v="0"/>
    <s v="A-"/>
    <s v="Delhi"/>
    <d v="2024-01-11T00:00:00"/>
    <d v="2024-02-01T00:00:00"/>
    <n v="21"/>
    <x v="0"/>
    <s v="Liver Disease"/>
    <x v="0"/>
    <s v="Chemotherapy"/>
    <x v="2"/>
    <s v="Dr. Deepak Singh"/>
    <n v="47"/>
    <s v="ICU"/>
    <x v="0"/>
    <n v="33290"/>
    <n v="20658"/>
    <n v="12632"/>
    <n v="9537"/>
    <n v="15234"/>
    <n v="3534"/>
    <s v="No"/>
    <n v="60"/>
    <n v="4.2"/>
    <x v="4"/>
  </r>
  <r>
    <x v="2032"/>
    <s v="Karan Patel"/>
    <n v="29"/>
    <x v="1"/>
    <s v="A+"/>
    <s v="Pune"/>
    <d v="2022-06-21T00:00:00"/>
    <d v="2022-07-12T00:00:00"/>
    <n v="21"/>
    <x v="6"/>
    <s v="Arthritis"/>
    <x v="11"/>
    <s v="Dialysis"/>
    <x v="2"/>
    <s v="Dr. Rakesh Rao"/>
    <n v="105"/>
    <s v="ICU"/>
    <x v="0"/>
    <n v="114739"/>
    <n v="69729"/>
    <n v="45010"/>
    <n v="89340"/>
    <n v="15257"/>
    <n v="9141"/>
    <s v="No"/>
    <n v="71"/>
    <n v="3.3"/>
    <x v="2"/>
  </r>
  <r>
    <x v="2033"/>
    <s v="Deepa Bose"/>
    <n v="23"/>
    <x v="0"/>
    <s v="O+"/>
    <s v="Delhi"/>
    <d v="2024-05-19T00:00:00"/>
    <d v="2024-06-03T00:00:00"/>
    <n v="15"/>
    <x v="3"/>
    <s v="Migraine"/>
    <x v="6"/>
    <s v="Surgery"/>
    <x v="0"/>
    <s v="Dr. Rakesh Reddy"/>
    <n v="11"/>
    <s v="ICU"/>
    <x v="4"/>
    <n v="151672"/>
    <n v="0"/>
    <n v="151672"/>
    <n v="136013"/>
    <n v="10876"/>
    <n v="2637"/>
    <s v="Yes"/>
    <n v="73"/>
    <n v="2.7"/>
    <x v="1"/>
  </r>
  <r>
    <x v="2034"/>
    <s v="Arjun Bose"/>
    <n v="8"/>
    <x v="1"/>
    <s v="O-"/>
    <s v="Delhi"/>
    <d v="2024-05-11T00:00:00"/>
    <d v="2024-06-02T00:00:00"/>
    <n v="22"/>
    <x v="4"/>
    <s v="Heart Attack"/>
    <x v="7"/>
    <s v="Dietary Management"/>
    <x v="1"/>
    <s v="Dr. Deepak Singh"/>
    <n v="179"/>
    <s v="Private"/>
    <x v="1"/>
    <n v="65718"/>
    <n v="35687"/>
    <n v="30031"/>
    <n v="45465"/>
    <n v="13374"/>
    <n v="2791"/>
    <s v="No"/>
    <n v="46"/>
    <n v="4.5999999999999996"/>
    <x v="2"/>
  </r>
  <r>
    <x v="2035"/>
    <s v="Amit Das"/>
    <n v="17"/>
    <x v="1"/>
    <s v="AB-"/>
    <s v="Kolkata"/>
    <d v="2024-04-04T00:00:00"/>
    <d v="2024-04-12T00:00:00"/>
    <n v="8"/>
    <x v="5"/>
    <s v="Asthma"/>
    <x v="8"/>
    <s v="Dialysis"/>
    <x v="1"/>
    <s v="Dr. Shalini Gupta"/>
    <n v="500"/>
    <s v="Private"/>
    <x v="4"/>
    <n v="150597"/>
    <n v="0"/>
    <n v="150597"/>
    <n v="127581"/>
    <n v="14937"/>
    <n v="6088"/>
    <s v="No"/>
    <n v="48"/>
    <n v="2.9"/>
    <x v="0"/>
  </r>
  <r>
    <x v="2036"/>
    <s v="Karan Das"/>
    <n v="47"/>
    <x v="1"/>
    <s v="AB+"/>
    <s v="Lucknow"/>
    <d v="2022-12-31T00:00:00"/>
    <d v="2023-01-03T00:00:00"/>
    <n v="3"/>
    <x v="0"/>
    <s v="Typhoid"/>
    <x v="1"/>
    <s v="Surgery"/>
    <x v="0"/>
    <s v="Dr. Prerna Reddy"/>
    <n v="191"/>
    <s v="Semi-Private"/>
    <x v="1"/>
    <n v="103602"/>
    <n v="42347"/>
    <n v="61255"/>
    <n v="82875"/>
    <n v="11738"/>
    <n v="4768"/>
    <s v="No"/>
    <n v="60"/>
    <n v="2"/>
    <x v="3"/>
  </r>
  <r>
    <x v="2037"/>
    <s v="Nisha Malhotra"/>
    <n v="38"/>
    <x v="0"/>
    <s v="A+"/>
    <s v="Ahmedabad"/>
    <d v="2024-05-01T00:00:00"/>
    <d v="2024-05-15T00:00:00"/>
    <n v="14"/>
    <x v="1"/>
    <s v="UTI"/>
    <x v="2"/>
    <s v="Radiation Therapy"/>
    <x v="3"/>
    <s v="Dr. Prerna Reddy"/>
    <n v="280"/>
    <s v="Semi-Private"/>
    <x v="2"/>
    <n v="76335"/>
    <n v="57146"/>
    <n v="19189"/>
    <n v="51871"/>
    <n v="15946"/>
    <n v="7638"/>
    <s v="No"/>
    <n v="52"/>
    <n v="3.1"/>
    <x v="1"/>
  </r>
  <r>
    <x v="2038"/>
    <s v="Ritu Joshi"/>
    <n v="21"/>
    <x v="0"/>
    <s v="O-"/>
    <s v="Bangalore"/>
    <d v="2023-08-11T00:00:00"/>
    <d v="2023-09-07T00:00:00"/>
    <n v="27"/>
    <x v="0"/>
    <s v="Depression"/>
    <x v="5"/>
    <s v="Surgery"/>
    <x v="0"/>
    <s v="Dr. Arun Reddy"/>
    <n v="451"/>
    <s v="Private"/>
    <x v="0"/>
    <n v="103048"/>
    <n v="62864"/>
    <n v="40184"/>
    <n v="86059"/>
    <n v="4535"/>
    <n v="8482"/>
    <s v="No"/>
    <n v="66"/>
    <n v="2.2999999999999998"/>
    <x v="1"/>
  </r>
  <r>
    <x v="2039"/>
    <s v="Sneha Kumar"/>
    <n v="79"/>
    <x v="1"/>
    <s v="A+"/>
    <s v="Delhi"/>
    <d v="2023-08-23T00:00:00"/>
    <d v="2023-09-14T00:00:00"/>
    <n v="22"/>
    <x v="0"/>
    <s v="COVID-19"/>
    <x v="1"/>
    <s v="Dietary Management"/>
    <x v="1"/>
    <s v="Dr. Sameer Rao"/>
    <n v="260"/>
    <s v="Semi-Private"/>
    <x v="4"/>
    <n v="156143"/>
    <n v="0"/>
    <n v="156143"/>
    <n v="141256"/>
    <n v="9205"/>
    <n v="5115"/>
    <s v="No"/>
    <n v="48"/>
    <n v="3.4"/>
    <x v="3"/>
  </r>
  <r>
    <x v="2040"/>
    <s v="Vikram Malhotra"/>
    <n v="67"/>
    <x v="1"/>
    <s v="O-"/>
    <s v="Kolkata"/>
    <d v="2024-10-24T00:00:00"/>
    <d v="2024-11-04T00:00:00"/>
    <n v="11"/>
    <x v="3"/>
    <s v="Stroke"/>
    <x v="6"/>
    <s v="Medication"/>
    <x v="1"/>
    <s v="Dr. Anjali Singh"/>
    <n v="139"/>
    <s v="ICU"/>
    <x v="1"/>
    <n v="82262"/>
    <n v="49119"/>
    <n v="33143"/>
    <n v="71167"/>
    <n v="1459"/>
    <n v="9120"/>
    <s v="Yes"/>
    <n v="91"/>
    <n v="4.9000000000000004"/>
    <x v="0"/>
  </r>
  <r>
    <x v="2041"/>
    <s v="Divya Joshi"/>
    <n v="26"/>
    <x v="1"/>
    <s v="AB+"/>
    <s v="Hyderabad"/>
    <d v="2022-07-18T00:00:00"/>
    <d v="2022-08-07T00:00:00"/>
    <n v="20"/>
    <x v="0"/>
    <s v="Liver Disease"/>
    <x v="0"/>
    <s v="ICU Care"/>
    <x v="3"/>
    <s v="Dr. Arun Mehta"/>
    <n v="356"/>
    <s v="Semi-Private"/>
    <x v="3"/>
    <n v="131868"/>
    <n v="111617"/>
    <n v="20251"/>
    <n v="115305"/>
    <n v="9251"/>
    <n v="5774"/>
    <s v="No"/>
    <n v="75"/>
    <n v="3.4"/>
    <x v="2"/>
  </r>
  <r>
    <x v="2042"/>
    <s v="Arjun Sharma"/>
    <n v="26"/>
    <x v="1"/>
    <s v="AB+"/>
    <s v="Pune"/>
    <d v="2024-05-09T00:00:00"/>
    <d v="2024-05-15T00:00:00"/>
    <n v="6"/>
    <x v="0"/>
    <s v="Anemia"/>
    <x v="4"/>
    <s v="Medication"/>
    <x v="1"/>
    <s v="Dr. Nisha Rao"/>
    <n v="279"/>
    <s v="General Ward"/>
    <x v="2"/>
    <n v="183211"/>
    <n v="110669"/>
    <n v="72542"/>
    <n v="142804"/>
    <n v="26179"/>
    <n v="9539"/>
    <s v="No"/>
    <n v="40"/>
    <n v="2"/>
    <x v="2"/>
  </r>
  <r>
    <x v="2043"/>
    <s v="Sunil Pillai"/>
    <n v="24"/>
    <x v="0"/>
    <s v="AB-"/>
    <s v="Bangalore"/>
    <d v="2022-11-13T00:00:00"/>
    <d v="2022-11-15T00:00:00"/>
    <n v="2"/>
    <x v="3"/>
    <s v="Stroke"/>
    <x v="6"/>
    <s v="Radiation Therapy"/>
    <x v="1"/>
    <s v="Dr. Arun Nair"/>
    <n v="33"/>
    <s v="ICU"/>
    <x v="1"/>
    <n v="64214"/>
    <n v="32976"/>
    <n v="31238"/>
    <n v="49578"/>
    <n v="6449"/>
    <n v="3859"/>
    <s v="No"/>
    <n v="50"/>
    <n v="2.2999999999999998"/>
    <x v="1"/>
  </r>
  <r>
    <x v="2044"/>
    <s v="Rahul Shah"/>
    <n v="13"/>
    <x v="1"/>
    <s v="AB-"/>
    <s v="Mumbai"/>
    <d v="2022-09-17T00:00:00"/>
    <d v="2022-10-02T00:00:00"/>
    <n v="15"/>
    <x v="5"/>
    <s v="Pneumonia"/>
    <x v="8"/>
    <s v="Physiotherapy"/>
    <x v="3"/>
    <s v="Dr. Sameer Nair"/>
    <n v="210"/>
    <s v="Semi-Private"/>
    <x v="4"/>
    <n v="189117"/>
    <n v="0"/>
    <n v="189117"/>
    <n v="146017"/>
    <n v="26195"/>
    <n v="14458"/>
    <s v="No"/>
    <n v="50"/>
    <n v="4.0999999999999996"/>
    <x v="4"/>
  </r>
  <r>
    <x v="2045"/>
    <s v="Suresh Pillai"/>
    <n v="79"/>
    <x v="0"/>
    <s v="O+"/>
    <s v="Lucknow"/>
    <d v="2023-10-26T00:00:00"/>
    <d v="2023-11-07T00:00:00"/>
    <n v="12"/>
    <x v="0"/>
    <s v="Liver Disease"/>
    <x v="0"/>
    <s v="Medication"/>
    <x v="2"/>
    <s v="Dr. Kavita Reddy"/>
    <n v="185"/>
    <s v="Private"/>
    <x v="1"/>
    <n v="159256"/>
    <n v="106330"/>
    <n v="52926"/>
    <n v="137160"/>
    <n v="12417"/>
    <n v="7963"/>
    <s v="No"/>
    <n v="56"/>
    <n v="3.2"/>
    <x v="2"/>
  </r>
  <r>
    <x v="2046"/>
    <s v="Rajesh Das"/>
    <n v="82"/>
    <x v="1"/>
    <s v="AB+"/>
    <s v="Delhi"/>
    <d v="2022-02-24T00:00:00"/>
    <d v="2022-03-08T00:00:00"/>
    <n v="12"/>
    <x v="0"/>
    <s v="Dengue"/>
    <x v="1"/>
    <s v="Radiation Therapy"/>
    <x v="3"/>
    <s v="Dr. Kavita Sharma"/>
    <n v="358"/>
    <s v="Semi-Private"/>
    <x v="1"/>
    <n v="122064"/>
    <n v="84738"/>
    <n v="37326"/>
    <n v="112316"/>
    <n v="3827"/>
    <n v="4954"/>
    <s v="No"/>
    <n v="94"/>
    <n v="4.5"/>
    <x v="0"/>
  </r>
  <r>
    <x v="2047"/>
    <s v="Deepa Singh"/>
    <n v="59"/>
    <x v="0"/>
    <s v="O-"/>
    <s v="Bangalore"/>
    <d v="2022-03-28T00:00:00"/>
    <d v="2022-04-03T00:00:00"/>
    <n v="6"/>
    <x v="0"/>
    <s v="COVID-19"/>
    <x v="1"/>
    <s v="Counseling"/>
    <x v="1"/>
    <s v="Dr. Rakesh Kumar"/>
    <n v="436"/>
    <s v="Private"/>
    <x v="1"/>
    <n v="56883"/>
    <n v="30828"/>
    <n v="26055"/>
    <n v="26201"/>
    <n v="27528"/>
    <n v="1663"/>
    <s v="No"/>
    <n v="57"/>
    <n v="3"/>
    <x v="0"/>
  </r>
  <r>
    <x v="2048"/>
    <s v="Deepa Pillai"/>
    <n v="66"/>
    <x v="0"/>
    <s v="O+"/>
    <s v="Mumbai"/>
    <d v="2022-04-01T00:00:00"/>
    <d v="2022-04-20T00:00:00"/>
    <n v="19"/>
    <x v="4"/>
    <s v="Heart Attack"/>
    <x v="7"/>
    <s v="Physiotherapy"/>
    <x v="0"/>
    <s v="Dr. Nisha Nair"/>
    <n v="431"/>
    <s v="General Ward"/>
    <x v="3"/>
    <n v="70328"/>
    <n v="53958"/>
    <n v="16370"/>
    <n v="53601"/>
    <n v="1701"/>
    <n v="14069"/>
    <s v="No"/>
    <n v="62"/>
    <n v="3.4"/>
    <x v="3"/>
  </r>
  <r>
    <x v="2049"/>
    <s v="Rahul Iyer"/>
    <n v="68"/>
    <x v="0"/>
    <s v="B-"/>
    <s v="Pune"/>
    <d v="2024-07-03T00:00:00"/>
    <d v="2024-07-14T00:00:00"/>
    <n v="11"/>
    <x v="5"/>
    <s v="Pneumonia"/>
    <x v="8"/>
    <s v="Physiotherapy"/>
    <x v="3"/>
    <s v="Dr. Nisha Kumar"/>
    <n v="448"/>
    <s v="ICU"/>
    <x v="1"/>
    <n v="52176"/>
    <n v="25074"/>
    <n v="27102"/>
    <n v="11420"/>
    <n v="24009"/>
    <n v="11765"/>
    <s v="No"/>
    <n v="86"/>
    <n v="2"/>
    <x v="3"/>
  </r>
  <r>
    <x v="2050"/>
    <s v="Amit Pillai"/>
    <n v="19"/>
    <x v="1"/>
    <s v="B-"/>
    <s v="Kolkata"/>
    <d v="2022-11-09T00:00:00"/>
    <d v="2022-11-18T00:00:00"/>
    <n v="9"/>
    <x v="4"/>
    <s v="Heart Attack"/>
    <x v="7"/>
    <s v="Dietary Management"/>
    <x v="3"/>
    <s v="Dr. Anjali Sharma"/>
    <n v="3"/>
    <s v="Semi-Private"/>
    <x v="4"/>
    <n v="67852"/>
    <n v="0"/>
    <n v="67852"/>
    <n v="35432"/>
    <n v="19748"/>
    <n v="11847"/>
    <s v="No"/>
    <n v="81"/>
    <n v="3.3"/>
    <x v="2"/>
  </r>
  <r>
    <x v="2051"/>
    <s v="Deepa Nair"/>
    <n v="59"/>
    <x v="1"/>
    <s v="O-"/>
    <s v="Ahmedabad"/>
    <d v="2024-09-19T00:00:00"/>
    <d v="2024-10-18T00:00:00"/>
    <n v="29"/>
    <x v="4"/>
    <s v="Heart Attack"/>
    <x v="7"/>
    <s v="Counseling"/>
    <x v="0"/>
    <s v="Dr. Anjali Singh"/>
    <n v="235"/>
    <s v="ICU"/>
    <x v="0"/>
    <n v="54182"/>
    <n v="27090"/>
    <n v="27092"/>
    <n v="19250"/>
    <n v="23485"/>
    <n v="9206"/>
    <s v="Yes"/>
    <n v="74"/>
    <n v="3.8"/>
    <x v="0"/>
  </r>
  <r>
    <x v="2052"/>
    <s v="Sneha Patel"/>
    <n v="9"/>
    <x v="0"/>
    <s v="B-"/>
    <s v="Hyderabad"/>
    <d v="2024-07-31T00:00:00"/>
    <d v="2024-08-10T00:00:00"/>
    <n v="10"/>
    <x v="6"/>
    <s v="Fracture"/>
    <x v="10"/>
    <s v="Medication"/>
    <x v="3"/>
    <s v="Dr. Sameer Sharma"/>
    <n v="348"/>
    <s v="Semi-Private"/>
    <x v="0"/>
    <n v="67640"/>
    <n v="44824"/>
    <n v="22816"/>
    <n v="56054"/>
    <n v="1504"/>
    <n v="5677"/>
    <s v="No"/>
    <n v="53"/>
    <n v="5"/>
    <x v="4"/>
  </r>
  <r>
    <x v="2053"/>
    <s v="Ritu Joshi"/>
    <n v="69"/>
    <x v="0"/>
    <s v="AB+"/>
    <s v="Pune"/>
    <d v="2024-07-09T00:00:00"/>
    <d v="2024-07-21T00:00:00"/>
    <n v="12"/>
    <x v="1"/>
    <s v="Kidney Stone"/>
    <x v="2"/>
    <s v="Physiotherapy"/>
    <x v="3"/>
    <s v="Dr. Deepak Joshi"/>
    <n v="286"/>
    <s v="Private"/>
    <x v="3"/>
    <n v="164406"/>
    <n v="136237"/>
    <n v="28169"/>
    <n v="146716"/>
    <n v="12799"/>
    <n v="900"/>
    <s v="No"/>
    <n v="72"/>
    <n v="3.4"/>
    <x v="2"/>
  </r>
  <r>
    <x v="2054"/>
    <s v="Sunita Chopra"/>
    <n v="44"/>
    <x v="0"/>
    <s v="A-"/>
    <s v="Chennai"/>
    <d v="2022-04-03T00:00:00"/>
    <d v="2022-04-05T00:00:00"/>
    <n v="2"/>
    <x v="0"/>
    <s v="Diabetes Type 2"/>
    <x v="9"/>
    <s v="ICU Care"/>
    <x v="3"/>
    <s v="Dr. Rakesh Joshi"/>
    <n v="329"/>
    <s v="Private"/>
    <x v="4"/>
    <n v="88503"/>
    <n v="0"/>
    <n v="88503"/>
    <n v="70359"/>
    <n v="8820"/>
    <n v="5181"/>
    <s v="No"/>
    <n v="62"/>
    <n v="2.4"/>
    <x v="1"/>
  </r>
  <r>
    <x v="2055"/>
    <s v="Rajesh Das"/>
    <n v="41"/>
    <x v="0"/>
    <s v="AB-"/>
    <s v="Mumbai"/>
    <d v="2023-08-11T00:00:00"/>
    <d v="2023-09-07T00:00:00"/>
    <n v="27"/>
    <x v="0"/>
    <s v="Appendicitis"/>
    <x v="0"/>
    <s v="ICU Care"/>
    <x v="1"/>
    <s v="Dr. Nisha Joshi"/>
    <n v="109"/>
    <s v="Semi-Private"/>
    <x v="3"/>
    <n v="44216"/>
    <n v="35135"/>
    <n v="9081"/>
    <n v="15583"/>
    <n v="15005"/>
    <n v="10385"/>
    <s v="No"/>
    <n v="73"/>
    <n v="2.2999999999999998"/>
    <x v="4"/>
  </r>
  <r>
    <x v="2056"/>
    <s v="Rajesh Kumar"/>
    <n v="30"/>
    <x v="0"/>
    <s v="O-"/>
    <s v="Lucknow"/>
    <d v="2023-12-15T00:00:00"/>
    <d v="2023-12-26T00:00:00"/>
    <n v="11"/>
    <x v="0"/>
    <s v="Obesity"/>
    <x v="12"/>
    <s v="Physiotherapy"/>
    <x v="2"/>
    <s v="Dr. Shalini Nair"/>
    <n v="481"/>
    <s v="General Ward"/>
    <x v="0"/>
    <n v="112363"/>
    <n v="54681"/>
    <n v="57682"/>
    <n v="69526"/>
    <n v="29983"/>
    <n v="11111"/>
    <s v="No"/>
    <n v="79"/>
    <n v="3.4"/>
    <x v="4"/>
  </r>
  <r>
    <x v="2057"/>
    <s v="Geeta Singh"/>
    <n v="15"/>
    <x v="1"/>
    <s v="A-"/>
    <s v="Kolkata"/>
    <d v="2024-06-23T00:00:00"/>
    <d v="2024-07-16T00:00:00"/>
    <n v="23"/>
    <x v="0"/>
    <s v="COVID-19"/>
    <x v="1"/>
    <s v="Chemotherapy"/>
    <x v="0"/>
    <s v="Dr. Arun Singh"/>
    <n v="280"/>
    <s v="General Ward"/>
    <x v="1"/>
    <n v="165286"/>
    <n v="87857"/>
    <n v="77429"/>
    <n v="141253"/>
    <n v="11873"/>
    <n v="10389"/>
    <s v="No"/>
    <n v="54"/>
    <n v="4.0999999999999996"/>
    <x v="0"/>
  </r>
  <r>
    <x v="2058"/>
    <s v="Vijay Nair"/>
    <n v="65"/>
    <x v="0"/>
    <s v="B-"/>
    <s v="Hyderabad"/>
    <d v="2024-09-09T00:00:00"/>
    <d v="2024-09-22T00:00:00"/>
    <n v="13"/>
    <x v="6"/>
    <s v="Arthritis"/>
    <x v="11"/>
    <s v="Dietary Management"/>
    <x v="2"/>
    <s v="Dr. Deepak Joshi"/>
    <n v="42"/>
    <s v="ICU"/>
    <x v="2"/>
    <n v="178439"/>
    <n v="127571"/>
    <n v="50868"/>
    <n v="143004"/>
    <n v="22800"/>
    <n v="8372"/>
    <s v="No"/>
    <n v="60"/>
    <n v="3.6"/>
    <x v="3"/>
  </r>
  <r>
    <x v="2059"/>
    <s v="Ritu Rao"/>
    <n v="29"/>
    <x v="1"/>
    <s v="AB+"/>
    <s v="Pune"/>
    <d v="2022-11-29T00:00:00"/>
    <d v="2022-12-23T00:00:00"/>
    <n v="24"/>
    <x v="6"/>
    <s v="Fracture"/>
    <x v="10"/>
    <s v="Dietary Management"/>
    <x v="1"/>
    <s v="Dr. Arun Kumar"/>
    <n v="100"/>
    <s v="General Ward"/>
    <x v="0"/>
    <n v="126408"/>
    <n v="76992"/>
    <n v="49416"/>
    <n v="115079"/>
    <n v="1650"/>
    <n v="6570"/>
    <s v="No"/>
    <n v="43"/>
    <n v="2.4"/>
    <x v="0"/>
  </r>
  <r>
    <x v="2060"/>
    <s v="Vijay Rao"/>
    <n v="48"/>
    <x v="0"/>
    <s v="AB-"/>
    <s v="Kolkata"/>
    <d v="2023-10-20T00:00:00"/>
    <d v="2023-11-01T00:00:00"/>
    <n v="12"/>
    <x v="0"/>
    <s v="Obesity"/>
    <x v="12"/>
    <s v="Physiotherapy"/>
    <x v="0"/>
    <s v="Dr. Deepak Patel"/>
    <n v="117"/>
    <s v="General Ward"/>
    <x v="3"/>
    <n v="159931"/>
    <n v="101198"/>
    <n v="58733"/>
    <n v="140903"/>
    <n v="8922"/>
    <n v="7889"/>
    <s v="No"/>
    <n v="84"/>
    <n v="2.7"/>
    <x v="0"/>
  </r>
  <r>
    <x v="2061"/>
    <s v="Sonia Rao"/>
    <n v="18"/>
    <x v="1"/>
    <s v="B-"/>
    <s v="Hyderabad"/>
    <d v="2023-11-03T00:00:00"/>
    <d v="2023-11-22T00:00:00"/>
    <n v="19"/>
    <x v="4"/>
    <s v="Heart Attack"/>
    <x v="7"/>
    <s v="Physiotherapy"/>
    <x v="3"/>
    <s v="Dr. Deepak Sharma"/>
    <n v="494"/>
    <s v="Semi-Private"/>
    <x v="4"/>
    <n v="126366"/>
    <n v="0"/>
    <n v="126366"/>
    <n v="96102"/>
    <n v="11461"/>
    <n v="14208"/>
    <s v="Yes"/>
    <n v="46"/>
    <n v="4.3"/>
    <x v="2"/>
  </r>
  <r>
    <x v="2062"/>
    <s v="Lata Malhotra"/>
    <n v="39"/>
    <x v="1"/>
    <s v="O-"/>
    <s v="Delhi"/>
    <d v="2023-08-03T00:00:00"/>
    <d v="2023-08-23T00:00:00"/>
    <n v="20"/>
    <x v="5"/>
    <s v="Pneumonia"/>
    <x v="8"/>
    <s v="Observation"/>
    <x v="2"/>
    <s v="Dr. Sameer Gupta"/>
    <n v="359"/>
    <s v="General Ward"/>
    <x v="0"/>
    <n v="73856"/>
    <n v="43589"/>
    <n v="30267"/>
    <n v="58879"/>
    <n v="4264"/>
    <n v="8113"/>
    <s v="No"/>
    <n v="48"/>
    <n v="3.6"/>
    <x v="3"/>
  </r>
  <r>
    <x v="2063"/>
    <s v="Priya Chopra"/>
    <n v="5"/>
    <x v="0"/>
    <s v="AB+"/>
    <s v="Chennai"/>
    <d v="2023-08-31T00:00:00"/>
    <d v="2023-09-09T00:00:00"/>
    <n v="9"/>
    <x v="3"/>
    <s v="Stroke"/>
    <x v="6"/>
    <s v="Dialysis"/>
    <x v="0"/>
    <s v="Dr. Arun Mehta"/>
    <n v="333"/>
    <s v="ICU"/>
    <x v="0"/>
    <n v="104402"/>
    <n v="50460"/>
    <n v="53942"/>
    <n v="69392"/>
    <n v="24742"/>
    <n v="6507"/>
    <s v="No"/>
    <n v="80"/>
    <n v="2.5"/>
    <x v="0"/>
  </r>
  <r>
    <x v="2064"/>
    <s v="Sunita Bose"/>
    <n v="9"/>
    <x v="1"/>
    <s v="O-"/>
    <s v="Bangalore"/>
    <d v="2022-07-13T00:00:00"/>
    <d v="2022-07-25T00:00:00"/>
    <n v="12"/>
    <x v="6"/>
    <s v="Fracture"/>
    <x v="10"/>
    <s v="Chemotherapy"/>
    <x v="3"/>
    <s v="Dr. Prerna Gupta"/>
    <n v="67"/>
    <s v="Semi-Private"/>
    <x v="3"/>
    <n v="154852"/>
    <n v="126834"/>
    <n v="28018"/>
    <n v="137995"/>
    <n v="12988"/>
    <n v="1213"/>
    <s v="No"/>
    <n v="59"/>
    <n v="3.6"/>
    <x v="2"/>
  </r>
  <r>
    <x v="2065"/>
    <s v="Karan Patel"/>
    <n v="23"/>
    <x v="1"/>
    <s v="O-"/>
    <s v="Hyderabad"/>
    <d v="2024-08-21T00:00:00"/>
    <d v="2024-08-26T00:00:00"/>
    <n v="5"/>
    <x v="4"/>
    <s v="Heart Attack"/>
    <x v="7"/>
    <s v="Medication"/>
    <x v="3"/>
    <s v="Dr. Nisha Reddy"/>
    <n v="24"/>
    <s v="ICU"/>
    <x v="2"/>
    <n v="54962"/>
    <n v="33048"/>
    <n v="21914"/>
    <n v="35388"/>
    <n v="8395"/>
    <n v="10540"/>
    <s v="No"/>
    <n v="73"/>
    <n v="4.7"/>
    <x v="2"/>
  </r>
  <r>
    <x v="2066"/>
    <s v="Meera Shah"/>
    <n v="26"/>
    <x v="1"/>
    <s v="O+"/>
    <s v="Mumbai"/>
    <d v="2024-11-03T00:00:00"/>
    <d v="2024-11-19T00:00:00"/>
    <n v="16"/>
    <x v="0"/>
    <s v="Diabetes Type 2"/>
    <x v="9"/>
    <s v="Observation"/>
    <x v="2"/>
    <s v="Dr. Kavita Kumar"/>
    <n v="188"/>
    <s v="Private"/>
    <x v="3"/>
    <n v="93150"/>
    <n v="70584"/>
    <n v="22566"/>
    <n v="67878"/>
    <n v="17682"/>
    <n v="6572"/>
    <s v="No"/>
    <n v="56"/>
    <n v="4.5999999999999996"/>
    <x v="0"/>
  </r>
  <r>
    <x v="2067"/>
    <s v="Sanjay Malhotra"/>
    <n v="43"/>
    <x v="0"/>
    <s v="A+"/>
    <s v="Mumbai"/>
    <d v="2023-12-09T00:00:00"/>
    <d v="2024-01-01T00:00:00"/>
    <n v="23"/>
    <x v="1"/>
    <s v="Kidney Stone"/>
    <x v="2"/>
    <s v="Chemotherapy"/>
    <x v="2"/>
    <s v="Dr. Deepak Sharma"/>
    <n v="236"/>
    <s v="Semi-Private"/>
    <x v="3"/>
    <n v="120661"/>
    <n v="72760"/>
    <n v="47901"/>
    <n v="106794"/>
    <n v="1031"/>
    <n v="9970"/>
    <s v="No"/>
    <n v="96"/>
    <n v="4.7"/>
    <x v="3"/>
  </r>
  <r>
    <x v="2068"/>
    <s v="Sneha Malhotra"/>
    <n v="45"/>
    <x v="1"/>
    <s v="O-"/>
    <s v="Kolkata"/>
    <d v="2024-03-13T00:00:00"/>
    <d v="2024-03-25T00:00:00"/>
    <n v="12"/>
    <x v="0"/>
    <s v="Dengue"/>
    <x v="1"/>
    <s v="Dietary Management"/>
    <x v="1"/>
    <s v="Dr. Vivek Kumar"/>
    <n v="274"/>
    <s v="ICU"/>
    <x v="1"/>
    <n v="179616"/>
    <n v="80673"/>
    <n v="98943"/>
    <n v="135242"/>
    <n v="29355"/>
    <n v="13429"/>
    <s v="No"/>
    <n v="51"/>
    <n v="2.1"/>
    <x v="2"/>
  </r>
  <r>
    <x v="2069"/>
    <s v="Aditya Patel"/>
    <n v="56"/>
    <x v="1"/>
    <s v="A-"/>
    <s v="Lucknow"/>
    <d v="2022-08-04T00:00:00"/>
    <d v="2022-09-01T00:00:00"/>
    <n v="28"/>
    <x v="0"/>
    <s v="Diabetes Type 2"/>
    <x v="9"/>
    <s v="Dietary Management"/>
    <x v="0"/>
    <s v="Dr. Prerna Reddy"/>
    <n v="196"/>
    <s v="Semi-Private"/>
    <x v="4"/>
    <n v="64296"/>
    <n v="0"/>
    <n v="64296"/>
    <n v="25587"/>
    <n v="25961"/>
    <n v="11504"/>
    <s v="No"/>
    <n v="85"/>
    <n v="2.4"/>
    <x v="3"/>
  </r>
  <r>
    <x v="2070"/>
    <s v="Ashok Gupta"/>
    <n v="75"/>
    <x v="0"/>
    <s v="A-"/>
    <s v="Bangalore"/>
    <d v="2022-10-23T00:00:00"/>
    <d v="2022-10-30T00:00:00"/>
    <n v="7"/>
    <x v="4"/>
    <s v="Heart Attack"/>
    <x v="7"/>
    <s v="Observation"/>
    <x v="1"/>
    <s v="Dr. Rakesh Sharma"/>
    <n v="367"/>
    <s v="Semi-Private"/>
    <x v="4"/>
    <n v="106667"/>
    <n v="0"/>
    <n v="106667"/>
    <n v="91477"/>
    <n v="10763"/>
    <n v="2734"/>
    <s v="No"/>
    <n v="78"/>
    <n v="2.5"/>
    <x v="1"/>
  </r>
  <r>
    <x v="2071"/>
    <s v="Kavya Sharma"/>
    <n v="24"/>
    <x v="1"/>
    <s v="B+"/>
    <s v="Mumbai"/>
    <d v="2022-01-31T00:00:00"/>
    <d v="2022-02-01T00:00:00"/>
    <n v="1"/>
    <x v="0"/>
    <s v="Appendicitis"/>
    <x v="0"/>
    <s v="Physiotherapy"/>
    <x v="0"/>
    <s v="Dr. Deepak Rao"/>
    <n v="88"/>
    <s v="Semi-Private"/>
    <x v="4"/>
    <n v="84725"/>
    <n v="0"/>
    <n v="84725"/>
    <n v="66812"/>
    <n v="11908"/>
    <n v="1505"/>
    <s v="No"/>
    <n v="85"/>
    <n v="4.8"/>
    <x v="1"/>
  </r>
  <r>
    <x v="2072"/>
    <s v="Kavya Joshi"/>
    <n v="82"/>
    <x v="0"/>
    <s v="AB+"/>
    <s v="Delhi"/>
    <d v="2024-09-19T00:00:00"/>
    <d v="2024-10-03T00:00:00"/>
    <n v="14"/>
    <x v="4"/>
    <s v="Heart Attack"/>
    <x v="7"/>
    <s v="Dialysis"/>
    <x v="3"/>
    <s v="Dr. Vivek Gupta"/>
    <n v="410"/>
    <s v="ICU"/>
    <x v="4"/>
    <n v="59359"/>
    <n v="0"/>
    <n v="59359"/>
    <n v="19681"/>
    <n v="26153"/>
    <n v="9304"/>
    <s v="No"/>
    <n v="99"/>
    <n v="3.1"/>
    <x v="4"/>
  </r>
  <r>
    <x v="2073"/>
    <s v="Rahul Nair"/>
    <n v="5"/>
    <x v="1"/>
    <s v="A+"/>
    <s v="Ahmedabad"/>
    <d v="2022-03-23T00:00:00"/>
    <d v="2022-04-12T00:00:00"/>
    <n v="20"/>
    <x v="0"/>
    <s v="Diabetes Type 2"/>
    <x v="9"/>
    <s v="Chemotherapy"/>
    <x v="2"/>
    <s v="Dr. Vivek Sharma"/>
    <n v="66"/>
    <s v="ICU"/>
    <x v="0"/>
    <n v="71555"/>
    <n v="38709"/>
    <n v="32846"/>
    <n v="36976"/>
    <n v="24636"/>
    <n v="5978"/>
    <s v="No"/>
    <n v="66"/>
    <n v="2.2000000000000002"/>
    <x v="2"/>
  </r>
  <r>
    <x v="2074"/>
    <s v="Pooja Joshi"/>
    <n v="80"/>
    <x v="1"/>
    <s v="O+"/>
    <s v="Pune"/>
    <d v="2024-08-21T00:00:00"/>
    <d v="2024-09-13T00:00:00"/>
    <n v="23"/>
    <x v="0"/>
    <s v="COVID-19"/>
    <x v="1"/>
    <s v="Chemotherapy"/>
    <x v="2"/>
    <s v="Dr. Rakesh Reddy"/>
    <n v="485"/>
    <s v="Semi-Private"/>
    <x v="2"/>
    <n v="98426"/>
    <n v="63950"/>
    <n v="34476"/>
    <n v="78233"/>
    <n v="15161"/>
    <n v="3222"/>
    <s v="No"/>
    <n v="100"/>
    <n v="3.6"/>
    <x v="2"/>
  </r>
  <r>
    <x v="2075"/>
    <s v="Suresh Das"/>
    <n v="15"/>
    <x v="1"/>
    <s v="O-"/>
    <s v="Bangalore"/>
    <d v="2022-12-01T00:00:00"/>
    <d v="2022-12-08T00:00:00"/>
    <n v="7"/>
    <x v="0"/>
    <s v="Dengue"/>
    <x v="1"/>
    <s v="Medication"/>
    <x v="0"/>
    <s v="Dr. Sameer Gupta"/>
    <n v="349"/>
    <s v="General Ward"/>
    <x v="1"/>
    <n v="124461"/>
    <n v="82547"/>
    <n v="41914"/>
    <n v="81354"/>
    <n v="27810"/>
    <n v="14450"/>
    <s v="No"/>
    <n v="57"/>
    <n v="2.9"/>
    <x v="2"/>
  </r>
  <r>
    <x v="2076"/>
    <s v="Deepa Verma"/>
    <n v="25"/>
    <x v="1"/>
    <s v="B+"/>
    <s v="Hyderabad"/>
    <d v="2024-01-28T00:00:00"/>
    <d v="2024-02-10T00:00:00"/>
    <n v="13"/>
    <x v="0"/>
    <s v="COVID-19"/>
    <x v="1"/>
    <s v="Counseling"/>
    <x v="2"/>
    <s v="Dr. Shalini Reddy"/>
    <n v="464"/>
    <s v="Private"/>
    <x v="2"/>
    <n v="97987"/>
    <n v="64572"/>
    <n v="33415"/>
    <n v="78280"/>
    <n v="14598"/>
    <n v="3060"/>
    <s v="No"/>
    <n v="57"/>
    <n v="2.2999999999999998"/>
    <x v="2"/>
  </r>
  <r>
    <x v="2077"/>
    <s v="Rekha Verma"/>
    <n v="75"/>
    <x v="1"/>
    <s v="B-"/>
    <s v="Jaipur"/>
    <d v="2024-07-04T00:00:00"/>
    <d v="2024-07-21T00:00:00"/>
    <n v="17"/>
    <x v="0"/>
    <s v="Obesity"/>
    <x v="12"/>
    <s v="Dietary Management"/>
    <x v="1"/>
    <s v="Dr. Shalini Sharma"/>
    <n v="175"/>
    <s v="Semi-Private"/>
    <x v="2"/>
    <n v="101542"/>
    <n v="71935"/>
    <n v="29607"/>
    <n v="75245"/>
    <n v="12150"/>
    <n v="9697"/>
    <s v="No"/>
    <n v="72"/>
    <n v="4.0999999999999996"/>
    <x v="2"/>
  </r>
  <r>
    <x v="2078"/>
    <s v="Nisha Bose"/>
    <n v="21"/>
    <x v="1"/>
    <s v="B+"/>
    <s v="Chennai"/>
    <d v="2022-01-29T00:00:00"/>
    <d v="2022-01-30T00:00:00"/>
    <n v="1"/>
    <x v="0"/>
    <s v="Typhoid"/>
    <x v="1"/>
    <s v="Counseling"/>
    <x v="0"/>
    <s v="Dr. Prerna Nair"/>
    <n v="224"/>
    <s v="Private"/>
    <x v="1"/>
    <n v="112915"/>
    <n v="54825"/>
    <n v="58090"/>
    <n v="83112"/>
    <n v="13904"/>
    <n v="11661"/>
    <s v="No"/>
    <n v="88"/>
    <n v="3.1"/>
    <x v="0"/>
  </r>
  <r>
    <x v="2079"/>
    <s v="Sneha Nair"/>
    <n v="75"/>
    <x v="1"/>
    <s v="O-"/>
    <s v="Kolkata"/>
    <d v="2024-01-14T00:00:00"/>
    <d v="2024-01-16T00:00:00"/>
    <n v="2"/>
    <x v="0"/>
    <s v="Depression"/>
    <x v="5"/>
    <s v="Dietary Management"/>
    <x v="2"/>
    <s v="Dr. Sameer Gupta"/>
    <n v="433"/>
    <s v="General Ward"/>
    <x v="0"/>
    <n v="126261"/>
    <n v="80915"/>
    <n v="45346"/>
    <n v="92278"/>
    <n v="27829"/>
    <n v="2632"/>
    <s v="No"/>
    <n v="85"/>
    <n v="2.8"/>
    <x v="3"/>
  </r>
  <r>
    <x v="2080"/>
    <s v="Lata Kumar"/>
    <n v="12"/>
    <x v="0"/>
    <s v="O-"/>
    <s v="Kolkata"/>
    <d v="2022-12-31T00:00:00"/>
    <d v="2023-01-21T00:00:00"/>
    <n v="21"/>
    <x v="1"/>
    <s v="UTI"/>
    <x v="2"/>
    <s v="Physiotherapy"/>
    <x v="0"/>
    <s v="Dr. Vivek Gupta"/>
    <n v="216"/>
    <s v="General Ward"/>
    <x v="1"/>
    <n v="92836"/>
    <n v="52965"/>
    <n v="39871"/>
    <n v="74548"/>
    <n v="2617"/>
    <n v="12607"/>
    <s v="No"/>
    <n v="42"/>
    <n v="2.7"/>
    <x v="4"/>
  </r>
  <r>
    <x v="2081"/>
    <s v="Ashok Nair"/>
    <n v="26"/>
    <x v="0"/>
    <s v="O-"/>
    <s v="Chennai"/>
    <d v="2022-11-16T00:00:00"/>
    <d v="2022-11-17T00:00:00"/>
    <n v="1"/>
    <x v="0"/>
    <s v="Anemia"/>
    <x v="4"/>
    <s v="Dialysis"/>
    <x v="2"/>
    <s v="Dr. Sameer Joshi"/>
    <n v="325"/>
    <s v="General Ward"/>
    <x v="4"/>
    <n v="89329"/>
    <n v="0"/>
    <n v="89329"/>
    <n v="62843"/>
    <n v="10777"/>
    <n v="14729"/>
    <s v="No"/>
    <n v="97"/>
    <n v="4.7"/>
    <x v="2"/>
  </r>
  <r>
    <x v="2082"/>
    <s v="Meera Singh"/>
    <n v="49"/>
    <x v="1"/>
    <s v="O+"/>
    <s v="Chennai"/>
    <d v="2022-09-03T00:00:00"/>
    <d v="2022-09-05T00:00:00"/>
    <n v="2"/>
    <x v="0"/>
    <s v="Liver Disease"/>
    <x v="0"/>
    <s v="ICU Care"/>
    <x v="0"/>
    <s v="Dr. Deepak Reddy"/>
    <n v="334"/>
    <s v="General Ward"/>
    <x v="1"/>
    <n v="123155"/>
    <n v="76877"/>
    <n v="46278"/>
    <n v="100723"/>
    <n v="8889"/>
    <n v="12404"/>
    <s v="No"/>
    <n v="63"/>
    <n v="2.5"/>
    <x v="4"/>
  </r>
  <r>
    <x v="2083"/>
    <s v="Rohan Iyer"/>
    <n v="61"/>
    <x v="0"/>
    <s v="AB-"/>
    <s v="Jaipur"/>
    <d v="2024-08-07T00:00:00"/>
    <d v="2024-08-09T00:00:00"/>
    <n v="2"/>
    <x v="0"/>
    <s v="Anemia"/>
    <x v="4"/>
    <s v="Observation"/>
    <x v="3"/>
    <s v="Dr. Rakesh Mehta"/>
    <n v="260"/>
    <s v="ICU"/>
    <x v="0"/>
    <n v="43036"/>
    <n v="23156"/>
    <n v="19880"/>
    <n v="14702"/>
    <n v="16292"/>
    <n v="11297"/>
    <s v="Yes"/>
    <n v="42"/>
    <n v="4.2"/>
    <x v="3"/>
  </r>
  <r>
    <x v="2084"/>
    <s v="Sneha Gupta"/>
    <n v="42"/>
    <x v="0"/>
    <s v="A+"/>
    <s v="Pune"/>
    <d v="2024-03-13T00:00:00"/>
    <d v="2024-04-02T00:00:00"/>
    <n v="20"/>
    <x v="1"/>
    <s v="UTI"/>
    <x v="2"/>
    <s v="Surgery"/>
    <x v="1"/>
    <s v="Dr. Deepak Gupta"/>
    <n v="158"/>
    <s v="General Ward"/>
    <x v="2"/>
    <n v="98794"/>
    <n v="83776"/>
    <n v="15018"/>
    <n v="78260"/>
    <n v="9394"/>
    <n v="10071"/>
    <s v="No"/>
    <n v="89"/>
    <n v="4.2"/>
    <x v="4"/>
  </r>
  <r>
    <x v="2085"/>
    <s v="Ananya Mehta"/>
    <n v="14"/>
    <x v="0"/>
    <s v="B+"/>
    <s v="Mumbai"/>
    <d v="2023-08-04T00:00:00"/>
    <d v="2023-08-23T00:00:00"/>
    <n v="19"/>
    <x v="0"/>
    <s v="Liver Disease"/>
    <x v="0"/>
    <s v="Medication"/>
    <x v="0"/>
    <s v="Dr. Rakesh Sharma"/>
    <n v="455"/>
    <s v="Private"/>
    <x v="2"/>
    <n v="48227"/>
    <n v="29516"/>
    <n v="18711"/>
    <n v="39102"/>
    <n v="3404"/>
    <n v="1466"/>
    <s v="No"/>
    <n v="83"/>
    <n v="4.9000000000000004"/>
    <x v="3"/>
  </r>
  <r>
    <x v="2086"/>
    <s v="Aditya Shah"/>
    <n v="52"/>
    <x v="1"/>
    <s v="B-"/>
    <s v="Delhi"/>
    <d v="2024-01-17T00:00:00"/>
    <d v="2024-02-10T00:00:00"/>
    <n v="24"/>
    <x v="6"/>
    <s v="Arthritis"/>
    <x v="11"/>
    <s v="Radiation Therapy"/>
    <x v="3"/>
    <s v="Dr. Arun Joshi"/>
    <n v="213"/>
    <s v="General Ward"/>
    <x v="3"/>
    <n v="156965"/>
    <n v="106765"/>
    <n v="50200"/>
    <n v="121620"/>
    <n v="27537"/>
    <n v="6360"/>
    <s v="No"/>
    <n v="54"/>
    <n v="3"/>
    <x v="3"/>
  </r>
  <r>
    <x v="2087"/>
    <s v="Amit Chopra"/>
    <n v="7"/>
    <x v="0"/>
    <s v="A-"/>
    <s v="Hyderabad"/>
    <d v="2022-09-27T00:00:00"/>
    <d v="2022-10-27T00:00:00"/>
    <n v="30"/>
    <x v="0"/>
    <s v="COVID-19"/>
    <x v="1"/>
    <s v="Medication"/>
    <x v="2"/>
    <s v="Dr. Prerna Kumar"/>
    <n v="399"/>
    <s v="Semi-Private"/>
    <x v="1"/>
    <n v="117006"/>
    <n v="51091"/>
    <n v="65915"/>
    <n v="106785"/>
    <n v="4763"/>
    <n v="2215"/>
    <s v="Yes"/>
    <n v="85"/>
    <n v="3.3"/>
    <x v="4"/>
  </r>
  <r>
    <x v="2088"/>
    <s v="Rekha Kumar"/>
    <n v="37"/>
    <x v="1"/>
    <s v="O-"/>
    <s v="Lucknow"/>
    <d v="2023-01-30T00:00:00"/>
    <d v="2023-02-08T00:00:00"/>
    <n v="9"/>
    <x v="0"/>
    <s v="Appendicitis"/>
    <x v="0"/>
    <s v="Observation"/>
    <x v="1"/>
    <s v="Dr. Vivek Kumar"/>
    <n v="6"/>
    <s v="Private"/>
    <x v="3"/>
    <n v="73829"/>
    <n v="46988"/>
    <n v="26841"/>
    <n v="53961"/>
    <n v="11407"/>
    <n v="6197"/>
    <s v="No"/>
    <n v="71"/>
    <n v="2.6"/>
    <x v="3"/>
  </r>
  <r>
    <x v="2089"/>
    <s v="Ananya Gupta"/>
    <n v="5"/>
    <x v="0"/>
    <s v="B+"/>
    <s v="Pune"/>
    <d v="2022-03-07T00:00:00"/>
    <d v="2022-03-25T00:00:00"/>
    <n v="18"/>
    <x v="1"/>
    <s v="UTI"/>
    <x v="2"/>
    <s v="Physiotherapy"/>
    <x v="3"/>
    <s v="Dr. Arun Nair"/>
    <n v="265"/>
    <s v="ICU"/>
    <x v="2"/>
    <n v="152191"/>
    <n v="105815"/>
    <n v="46376"/>
    <n v="117332"/>
    <n v="23093"/>
    <n v="10215"/>
    <s v="No"/>
    <n v="92"/>
    <n v="2.7"/>
    <x v="3"/>
  </r>
  <r>
    <x v="2090"/>
    <s v="Sneha Sharma"/>
    <n v="79"/>
    <x v="1"/>
    <s v="A-"/>
    <s v="Lucknow"/>
    <d v="2022-07-21T00:00:00"/>
    <d v="2022-08-15T00:00:00"/>
    <n v="25"/>
    <x v="5"/>
    <s v="Asthma"/>
    <x v="8"/>
    <s v="Medication"/>
    <x v="1"/>
    <s v="Dr. Sameer Rao"/>
    <n v="232"/>
    <s v="General Ward"/>
    <x v="1"/>
    <n v="77255"/>
    <n v="42869"/>
    <n v="34386"/>
    <n v="40577"/>
    <n v="22684"/>
    <n v="11981"/>
    <s v="No"/>
    <n v="97"/>
    <n v="2.9"/>
    <x v="3"/>
  </r>
  <r>
    <x v="2091"/>
    <s v="Amit Iyer"/>
    <n v="37"/>
    <x v="1"/>
    <s v="O-"/>
    <s v="Hyderabad"/>
    <d v="2023-01-28T00:00:00"/>
    <d v="2023-02-07T00:00:00"/>
    <n v="10"/>
    <x v="0"/>
    <s v="Dengue"/>
    <x v="1"/>
    <s v="Physiotherapy"/>
    <x v="0"/>
    <s v="Dr. Vivek Singh"/>
    <n v="331"/>
    <s v="Semi-Private"/>
    <x v="3"/>
    <n v="103291"/>
    <n v="81353"/>
    <n v="21938"/>
    <n v="68661"/>
    <n v="18450"/>
    <n v="12129"/>
    <s v="No"/>
    <n v="93"/>
    <n v="3.3"/>
    <x v="1"/>
  </r>
  <r>
    <x v="2092"/>
    <s v="Ritu Singh"/>
    <n v="15"/>
    <x v="1"/>
    <s v="O-"/>
    <s v="Delhi"/>
    <d v="2022-12-17T00:00:00"/>
    <d v="2023-01-05T00:00:00"/>
    <n v="19"/>
    <x v="5"/>
    <s v="Pneumonia"/>
    <x v="8"/>
    <s v="Physiotherapy"/>
    <x v="3"/>
    <s v="Dr. Kavita Sharma"/>
    <n v="377"/>
    <s v="ICU"/>
    <x v="3"/>
    <n v="161060"/>
    <n v="107922"/>
    <n v="53138"/>
    <n v="128403"/>
    <n v="17308"/>
    <n v="10617"/>
    <s v="No"/>
    <n v="69"/>
    <n v="3.5"/>
    <x v="3"/>
  </r>
  <r>
    <x v="2093"/>
    <s v="Meera Sharma"/>
    <n v="70"/>
    <x v="1"/>
    <s v="O+"/>
    <s v="Mumbai"/>
    <d v="2024-10-27T00:00:00"/>
    <d v="2024-11-16T00:00:00"/>
    <n v="20"/>
    <x v="2"/>
    <s v="Cancer"/>
    <x v="3"/>
    <s v="Surgery"/>
    <x v="2"/>
    <s v="Dr. Kavita Patel"/>
    <n v="182"/>
    <s v="ICU"/>
    <x v="1"/>
    <n v="66246"/>
    <n v="39850"/>
    <n v="26396"/>
    <n v="51770"/>
    <n v="2794"/>
    <n v="9706"/>
    <s v="No"/>
    <n v="64"/>
    <n v="2.2999999999999998"/>
    <x v="4"/>
  </r>
  <r>
    <x v="2094"/>
    <s v="Rajesh Joshi"/>
    <n v="7"/>
    <x v="1"/>
    <s v="AB-"/>
    <s v="Bangalore"/>
    <d v="2023-10-29T00:00:00"/>
    <d v="2023-11-22T00:00:00"/>
    <n v="24"/>
    <x v="0"/>
    <s v="Appendicitis"/>
    <x v="0"/>
    <s v="Observation"/>
    <x v="0"/>
    <s v="Dr. Arun Nair"/>
    <n v="470"/>
    <s v="ICU"/>
    <x v="1"/>
    <n v="145905"/>
    <n v="95605"/>
    <n v="50300"/>
    <n v="115957"/>
    <n v="26424"/>
    <n v="2308"/>
    <s v="Yes"/>
    <n v="57"/>
    <n v="2"/>
    <x v="2"/>
  </r>
  <r>
    <x v="2095"/>
    <s v="Divya Sharma"/>
    <n v="77"/>
    <x v="1"/>
    <s v="AB-"/>
    <s v="Kolkata"/>
    <d v="2024-09-17T00:00:00"/>
    <d v="2024-09-24T00:00:00"/>
    <n v="7"/>
    <x v="0"/>
    <s v="Anemia"/>
    <x v="4"/>
    <s v="Counseling"/>
    <x v="0"/>
    <s v="Dr. Kavita Reddy"/>
    <n v="112"/>
    <s v="Private"/>
    <x v="2"/>
    <n v="137160"/>
    <n v="108745"/>
    <n v="28415"/>
    <n v="107531"/>
    <n v="13813"/>
    <n v="12004"/>
    <s v="No"/>
    <n v="40"/>
    <n v="4.4000000000000004"/>
    <x v="1"/>
  </r>
  <r>
    <x v="2096"/>
    <s v="Nisha Sharma"/>
    <n v="72"/>
    <x v="1"/>
    <s v="A+"/>
    <s v="Pune"/>
    <d v="2022-04-10T00:00:00"/>
    <d v="2022-05-02T00:00:00"/>
    <n v="22"/>
    <x v="0"/>
    <s v="Liver Disease"/>
    <x v="0"/>
    <s v="Counseling"/>
    <x v="2"/>
    <s v="Dr. Arun Joshi"/>
    <n v="321"/>
    <s v="Semi-Private"/>
    <x v="4"/>
    <n v="58005"/>
    <n v="0"/>
    <n v="58005"/>
    <n v="17571"/>
    <n v="23670"/>
    <n v="12127"/>
    <s v="No"/>
    <n v="62"/>
    <n v="5"/>
    <x v="1"/>
  </r>
  <r>
    <x v="2097"/>
    <s v="Mukesh Khanna"/>
    <n v="42"/>
    <x v="0"/>
    <s v="A-"/>
    <s v="Lucknow"/>
    <d v="2023-08-13T00:00:00"/>
    <d v="2023-09-07T00:00:00"/>
    <n v="25"/>
    <x v="6"/>
    <s v="Fracture"/>
    <x v="10"/>
    <s v="Dialysis"/>
    <x v="2"/>
    <s v="Dr. Vivek Patel"/>
    <n v="201"/>
    <s v="General Ward"/>
    <x v="4"/>
    <n v="36574"/>
    <n v="0"/>
    <n v="36574"/>
    <n v="8368"/>
    <n v="23910"/>
    <n v="3450"/>
    <s v="No"/>
    <n v="45"/>
    <n v="3.7"/>
    <x v="0"/>
  </r>
  <r>
    <x v="2098"/>
    <s v="Sneha Rao"/>
    <n v="83"/>
    <x v="1"/>
    <s v="AB+"/>
    <s v="Ahmedabad"/>
    <d v="2024-12-04T00:00:00"/>
    <d v="2024-12-13T00:00:00"/>
    <n v="9"/>
    <x v="0"/>
    <s v="Liver Disease"/>
    <x v="0"/>
    <s v="Chemotherapy"/>
    <x v="2"/>
    <s v="Dr. Prerna Gupta"/>
    <n v="227"/>
    <s v="Private"/>
    <x v="1"/>
    <n v="51906"/>
    <n v="27543"/>
    <n v="24363"/>
    <n v="29530"/>
    <n v="4896"/>
    <n v="13063"/>
    <s v="No"/>
    <n v="41"/>
    <n v="4.9000000000000004"/>
    <x v="3"/>
  </r>
  <r>
    <x v="2099"/>
    <s v="Rohan Mehta"/>
    <n v="68"/>
    <x v="0"/>
    <s v="B-"/>
    <s v="Delhi"/>
    <d v="2023-11-12T00:00:00"/>
    <d v="2023-12-09T00:00:00"/>
    <n v="27"/>
    <x v="0"/>
    <s v="COVID-19"/>
    <x v="1"/>
    <s v="Physiotherapy"/>
    <x v="2"/>
    <s v="Dr. Shalini Kumar"/>
    <n v="27"/>
    <s v="Semi-Private"/>
    <x v="1"/>
    <n v="115091"/>
    <n v="53388"/>
    <n v="61703"/>
    <n v="108196"/>
    <n v="2172"/>
    <n v="3741"/>
    <s v="No"/>
    <n v="75"/>
    <n v="3.3"/>
    <x v="1"/>
  </r>
  <r>
    <x v="2100"/>
    <s v="Mukesh Chopra"/>
    <n v="65"/>
    <x v="0"/>
    <s v="B-"/>
    <s v="Pune"/>
    <d v="2022-06-03T00:00:00"/>
    <d v="2022-07-02T00:00:00"/>
    <n v="29"/>
    <x v="0"/>
    <s v="Dengue"/>
    <x v="1"/>
    <s v="Dialysis"/>
    <x v="0"/>
    <s v="Dr. Rakesh Reddy"/>
    <n v="307"/>
    <s v="Semi-Private"/>
    <x v="3"/>
    <n v="27362"/>
    <n v="16883"/>
    <n v="10479"/>
    <n v="5272"/>
    <n v="17977"/>
    <n v="2214"/>
    <s v="No"/>
    <n v="88"/>
    <n v="4.5"/>
    <x v="3"/>
  </r>
  <r>
    <x v="2101"/>
    <s v="Suresh Bose"/>
    <n v="74"/>
    <x v="1"/>
    <s v="A+"/>
    <s v="Delhi"/>
    <d v="2022-01-07T00:00:00"/>
    <d v="2022-01-15T00:00:00"/>
    <n v="8"/>
    <x v="5"/>
    <s v="Pneumonia"/>
    <x v="8"/>
    <s v="Counseling"/>
    <x v="2"/>
    <s v="Dr. Kavita Singh"/>
    <n v="465"/>
    <s v="General Ward"/>
    <x v="3"/>
    <n v="40524"/>
    <n v="31327"/>
    <n v="9197"/>
    <n v="7524"/>
    <n v="20571"/>
    <n v="11728"/>
    <s v="No"/>
    <n v="85"/>
    <n v="3.6"/>
    <x v="1"/>
  </r>
  <r>
    <x v="2102"/>
    <s v="Sneha Chopra"/>
    <n v="56"/>
    <x v="1"/>
    <s v="A+"/>
    <s v="Ahmedabad"/>
    <d v="2024-03-22T00:00:00"/>
    <d v="2024-03-31T00:00:00"/>
    <n v="9"/>
    <x v="1"/>
    <s v="UTI"/>
    <x v="2"/>
    <s v="Dietary Management"/>
    <x v="1"/>
    <s v="Dr. Rakesh Reddy"/>
    <n v="402"/>
    <s v="Private"/>
    <x v="3"/>
    <n v="52613"/>
    <n v="33543"/>
    <n v="19070"/>
    <n v="24632"/>
    <n v="15226"/>
    <n v="11098"/>
    <s v="No"/>
    <n v="69"/>
    <n v="4.0999999999999996"/>
    <x v="4"/>
  </r>
  <r>
    <x v="2103"/>
    <s v="Vikram Khanna"/>
    <n v="18"/>
    <x v="1"/>
    <s v="O-"/>
    <s v="Hyderabad"/>
    <d v="2022-03-19T00:00:00"/>
    <d v="2022-03-25T00:00:00"/>
    <n v="6"/>
    <x v="3"/>
    <s v="Migraine"/>
    <x v="6"/>
    <s v="Physiotherapy"/>
    <x v="3"/>
    <s v="Dr. Vivek Kumar"/>
    <n v="370"/>
    <s v="Private"/>
    <x v="1"/>
    <n v="63169"/>
    <n v="36406"/>
    <n v="26763"/>
    <n v="42254"/>
    <n v="3982"/>
    <n v="12088"/>
    <s v="No"/>
    <n v="72"/>
    <n v="4.4000000000000004"/>
    <x v="1"/>
  </r>
  <r>
    <x v="2104"/>
    <s v="Rekha Menon"/>
    <n v="78"/>
    <x v="1"/>
    <s v="B-"/>
    <s v="Lucknow"/>
    <d v="2024-07-10T00:00:00"/>
    <d v="2024-07-19T00:00:00"/>
    <n v="9"/>
    <x v="1"/>
    <s v="Kidney Stone"/>
    <x v="2"/>
    <s v="Dietary Management"/>
    <x v="1"/>
    <s v="Dr. Deepak Sharma"/>
    <n v="91"/>
    <s v="Semi-Private"/>
    <x v="1"/>
    <n v="112899"/>
    <n v="48013"/>
    <n v="64886"/>
    <n v="82079"/>
    <n v="19234"/>
    <n v="7723"/>
    <s v="No"/>
    <n v="59"/>
    <n v="2.8"/>
    <x v="2"/>
  </r>
  <r>
    <x v="2105"/>
    <s v="Sunita Malhotra"/>
    <n v="34"/>
    <x v="0"/>
    <s v="A+"/>
    <s v="Lucknow"/>
    <d v="2022-05-07T00:00:00"/>
    <d v="2022-05-24T00:00:00"/>
    <n v="17"/>
    <x v="0"/>
    <s v="Dengue"/>
    <x v="1"/>
    <s v="ICU Care"/>
    <x v="2"/>
    <s v="Dr. Anjali Rao"/>
    <n v="157"/>
    <s v="ICU"/>
    <x v="3"/>
    <n v="77517"/>
    <n v="61717"/>
    <n v="15800"/>
    <n v="61642"/>
    <n v="4430"/>
    <n v="9161"/>
    <s v="No"/>
    <n v="76"/>
    <n v="2"/>
    <x v="2"/>
  </r>
  <r>
    <x v="2106"/>
    <s v="Deepa Iyer"/>
    <n v="26"/>
    <x v="0"/>
    <s v="O-"/>
    <s v="Bangalore"/>
    <d v="2023-02-20T00:00:00"/>
    <d v="2023-03-02T00:00:00"/>
    <n v="10"/>
    <x v="3"/>
    <s v="Migraine"/>
    <x v="6"/>
    <s v="ICU Care"/>
    <x v="1"/>
    <s v="Dr. Sameer Patel"/>
    <n v="387"/>
    <s v="ICU"/>
    <x v="3"/>
    <n v="141154"/>
    <n v="124133"/>
    <n v="17021"/>
    <n v="110707"/>
    <n v="25089"/>
    <n v="574"/>
    <s v="No"/>
    <n v="45"/>
    <n v="2.1"/>
    <x v="4"/>
  </r>
  <r>
    <x v="2107"/>
    <s v="Rekha Verma"/>
    <n v="69"/>
    <x v="0"/>
    <s v="B+"/>
    <s v="Hyderabad"/>
    <d v="2022-09-23T00:00:00"/>
    <d v="2022-10-17T00:00:00"/>
    <n v="24"/>
    <x v="1"/>
    <s v="Kidney Stone"/>
    <x v="2"/>
    <s v="ICU Care"/>
    <x v="2"/>
    <s v="Dr. Shalini Reddy"/>
    <n v="286"/>
    <s v="Private"/>
    <x v="4"/>
    <n v="51715"/>
    <n v="0"/>
    <n v="51715"/>
    <n v="15880"/>
    <n v="21576"/>
    <n v="11297"/>
    <s v="No"/>
    <n v="80"/>
    <n v="3"/>
    <x v="2"/>
  </r>
  <r>
    <x v="2108"/>
    <s v="Mukesh Iyer"/>
    <n v="75"/>
    <x v="0"/>
    <s v="B-"/>
    <s v="Jaipur"/>
    <d v="2023-02-11T00:00:00"/>
    <d v="2023-03-07T00:00:00"/>
    <n v="24"/>
    <x v="5"/>
    <s v="Asthma"/>
    <x v="8"/>
    <s v="Observation"/>
    <x v="1"/>
    <s v="Dr. Deepak Patel"/>
    <n v="132"/>
    <s v="Private"/>
    <x v="1"/>
    <n v="160873"/>
    <n v="93549"/>
    <n v="67324"/>
    <n v="144213"/>
    <n v="13822"/>
    <n v="1213"/>
    <s v="No"/>
    <n v="61"/>
    <n v="5"/>
    <x v="2"/>
  </r>
  <r>
    <x v="2109"/>
    <s v="Sunita Pillai"/>
    <n v="33"/>
    <x v="1"/>
    <s v="O-"/>
    <s v="Chennai"/>
    <d v="2022-02-15T00:00:00"/>
    <d v="2022-03-03T00:00:00"/>
    <n v="16"/>
    <x v="4"/>
    <s v="Hypertension"/>
    <x v="7"/>
    <s v="Dietary Management"/>
    <x v="1"/>
    <s v="Dr. Shalini Sharma"/>
    <n v="408"/>
    <s v="Private"/>
    <x v="1"/>
    <n v="161140"/>
    <n v="68116"/>
    <n v="93024"/>
    <n v="135073"/>
    <n v="17920"/>
    <n v="7460"/>
    <s v="Yes"/>
    <n v="85"/>
    <n v="4.3"/>
    <x v="2"/>
  </r>
  <r>
    <x v="2110"/>
    <s v="Sonia Reddy"/>
    <n v="40"/>
    <x v="0"/>
    <s v="A-"/>
    <s v="Bangalore"/>
    <d v="2024-12-16T00:00:00"/>
    <d v="2024-12-21T00:00:00"/>
    <n v="5"/>
    <x v="0"/>
    <s v="Liver Disease"/>
    <x v="0"/>
    <s v="ICU Care"/>
    <x v="3"/>
    <s v="Dr. Prerna Nair"/>
    <n v="107"/>
    <s v="Semi-Private"/>
    <x v="3"/>
    <n v="156094"/>
    <n v="128907"/>
    <n v="27187"/>
    <n v="141544"/>
    <n v="4540"/>
    <n v="5485"/>
    <s v="No"/>
    <n v="49"/>
    <n v="4.7"/>
    <x v="3"/>
  </r>
  <r>
    <x v="2111"/>
    <s v="Sunil Rao"/>
    <n v="33"/>
    <x v="1"/>
    <s v="A+"/>
    <s v="Chennai"/>
    <d v="2023-12-30T00:00:00"/>
    <d v="2024-01-26T00:00:00"/>
    <n v="27"/>
    <x v="0"/>
    <s v="Diabetes Type 2"/>
    <x v="9"/>
    <s v="Radiation Therapy"/>
    <x v="0"/>
    <s v="Dr. Anjali Gupta"/>
    <n v="444"/>
    <s v="Private"/>
    <x v="4"/>
    <n v="23648"/>
    <n v="0"/>
    <n v="23648"/>
    <n v="5153"/>
    <n v="2132"/>
    <n v="13235"/>
    <s v="No"/>
    <n v="87"/>
    <n v="3"/>
    <x v="4"/>
  </r>
  <r>
    <x v="2112"/>
    <s v="Manoj Patel"/>
    <n v="33"/>
    <x v="0"/>
    <s v="AB-"/>
    <s v="Chennai"/>
    <d v="2023-03-21T00:00:00"/>
    <d v="2023-04-03T00:00:00"/>
    <n v="13"/>
    <x v="6"/>
    <s v="Fracture"/>
    <x v="10"/>
    <s v="Physiotherapy"/>
    <x v="3"/>
    <s v="Dr. Anjali Singh"/>
    <n v="44"/>
    <s v="Private"/>
    <x v="2"/>
    <n v="149879"/>
    <n v="117617"/>
    <n v="32262"/>
    <n v="118914"/>
    <n v="25070"/>
    <n v="4168"/>
    <s v="No"/>
    <n v="85"/>
    <n v="2.2000000000000002"/>
    <x v="1"/>
  </r>
  <r>
    <x v="2113"/>
    <s v="Arjun Joshi"/>
    <n v="38"/>
    <x v="1"/>
    <s v="AB+"/>
    <s v="Hyderabad"/>
    <d v="2023-12-02T00:00:00"/>
    <d v="2023-12-05T00:00:00"/>
    <n v="3"/>
    <x v="0"/>
    <s v="COVID-19"/>
    <x v="1"/>
    <s v="Physiotherapy"/>
    <x v="0"/>
    <s v="Dr. Nisha Gupta"/>
    <n v="243"/>
    <s v="Semi-Private"/>
    <x v="2"/>
    <n v="118110"/>
    <n v="71911"/>
    <n v="46199"/>
    <n v="106403"/>
    <n v="3238"/>
    <n v="4766"/>
    <s v="No"/>
    <n v="56"/>
    <n v="4.3"/>
    <x v="0"/>
  </r>
  <r>
    <x v="2114"/>
    <s v="Karan Rao"/>
    <n v="8"/>
    <x v="1"/>
    <s v="A+"/>
    <s v="Lucknow"/>
    <d v="2022-11-14T00:00:00"/>
    <d v="2022-11-25T00:00:00"/>
    <n v="11"/>
    <x v="0"/>
    <s v="Anemia"/>
    <x v="4"/>
    <s v="Chemotherapy"/>
    <x v="3"/>
    <s v="Dr. Shalini Joshi"/>
    <n v="425"/>
    <s v="Semi-Private"/>
    <x v="3"/>
    <n v="165696"/>
    <n v="123157"/>
    <n v="42539"/>
    <n v="141389"/>
    <n v="9172"/>
    <n v="10754"/>
    <s v="No"/>
    <n v="56"/>
    <n v="2"/>
    <x v="2"/>
  </r>
  <r>
    <x v="2115"/>
    <s v="Deepa Bose"/>
    <n v="20"/>
    <x v="0"/>
    <s v="O-"/>
    <s v="Delhi"/>
    <d v="2023-01-31T00:00:00"/>
    <d v="2023-02-15T00:00:00"/>
    <n v="15"/>
    <x v="5"/>
    <s v="Asthma"/>
    <x v="8"/>
    <s v="Physiotherapy"/>
    <x v="2"/>
    <s v="Dr. Vivek Kumar"/>
    <n v="409"/>
    <s v="ICU"/>
    <x v="4"/>
    <n v="79817"/>
    <n v="0"/>
    <n v="79817"/>
    <n v="52405"/>
    <n v="19680"/>
    <n v="4149"/>
    <s v="No"/>
    <n v="64"/>
    <n v="2.5"/>
    <x v="1"/>
  </r>
  <r>
    <x v="2116"/>
    <s v="Vijay Nair"/>
    <n v="48"/>
    <x v="0"/>
    <s v="A+"/>
    <s v="Chennai"/>
    <d v="2023-09-17T00:00:00"/>
    <d v="2023-10-06T00:00:00"/>
    <n v="19"/>
    <x v="6"/>
    <s v="Arthritis"/>
    <x v="11"/>
    <s v="Chemotherapy"/>
    <x v="0"/>
    <s v="Dr. Nisha Rao"/>
    <n v="184"/>
    <s v="Private"/>
    <x v="0"/>
    <n v="139470"/>
    <n v="63370"/>
    <n v="76100"/>
    <n v="109676"/>
    <n v="22518"/>
    <n v="5388"/>
    <s v="Yes"/>
    <n v="77"/>
    <n v="2.8"/>
    <x v="3"/>
  </r>
  <r>
    <x v="2117"/>
    <s v="Amit Nair"/>
    <n v="38"/>
    <x v="0"/>
    <s v="AB+"/>
    <s v="Pune"/>
    <d v="2024-10-29T00:00:00"/>
    <d v="2024-11-27T00:00:00"/>
    <n v="29"/>
    <x v="3"/>
    <s v="Stroke"/>
    <x v="6"/>
    <s v="Medication"/>
    <x v="1"/>
    <s v="Dr. Deepak Gupta"/>
    <n v="198"/>
    <s v="Semi-Private"/>
    <x v="3"/>
    <n v="48315"/>
    <n v="36402"/>
    <n v="11913"/>
    <n v="21367"/>
    <n v="9931"/>
    <n v="14551"/>
    <s v="No"/>
    <n v="86"/>
    <n v="2.4"/>
    <x v="0"/>
  </r>
  <r>
    <x v="2118"/>
    <s v="Sunil Singh"/>
    <n v="50"/>
    <x v="1"/>
    <s v="O+"/>
    <s v="Hyderabad"/>
    <d v="2023-04-06T00:00:00"/>
    <d v="2023-04-07T00:00:00"/>
    <n v="1"/>
    <x v="5"/>
    <s v="Pneumonia"/>
    <x v="8"/>
    <s v="Dietary Management"/>
    <x v="0"/>
    <s v="Dr. Kavita Nair"/>
    <n v="163"/>
    <s v="Private"/>
    <x v="4"/>
    <n v="84736"/>
    <n v="0"/>
    <n v="84736"/>
    <n v="51331"/>
    <n v="27316"/>
    <n v="5092"/>
    <s v="No"/>
    <n v="97"/>
    <n v="5"/>
    <x v="1"/>
  </r>
  <r>
    <x v="2119"/>
    <s v="Ashok Pillai"/>
    <n v="5"/>
    <x v="0"/>
    <s v="AB+"/>
    <s v="Jaipur"/>
    <d v="2024-12-11T00:00:00"/>
    <d v="2024-12-24T00:00:00"/>
    <n v="13"/>
    <x v="0"/>
    <s v="Liver Disease"/>
    <x v="0"/>
    <s v="Dietary Management"/>
    <x v="1"/>
    <s v="Dr. Deepak Gupta"/>
    <n v="206"/>
    <s v="Semi-Private"/>
    <x v="4"/>
    <n v="73845"/>
    <n v="0"/>
    <n v="73845"/>
    <n v="50638"/>
    <n v="16978"/>
    <n v="3212"/>
    <s v="No"/>
    <n v="69"/>
    <n v="2.2999999999999998"/>
    <x v="1"/>
  </r>
  <r>
    <x v="2120"/>
    <s v="Sunil Pillai"/>
    <n v="63"/>
    <x v="1"/>
    <s v="AB-"/>
    <s v="Jaipur"/>
    <d v="2022-06-24T00:00:00"/>
    <d v="2022-07-05T00:00:00"/>
    <n v="11"/>
    <x v="0"/>
    <s v="Anemia"/>
    <x v="4"/>
    <s v="Observation"/>
    <x v="2"/>
    <s v="Dr. Prerna Gupta"/>
    <n v="109"/>
    <s v="ICU"/>
    <x v="3"/>
    <n v="53655"/>
    <n v="43823"/>
    <n v="9832"/>
    <n v="27492"/>
    <n v="8685"/>
    <n v="12657"/>
    <s v="No"/>
    <n v="58"/>
    <n v="2.1"/>
    <x v="2"/>
  </r>
  <r>
    <x v="2121"/>
    <s v="Mukesh Singh"/>
    <n v="77"/>
    <x v="1"/>
    <s v="AB+"/>
    <s v="Kolkata"/>
    <d v="2024-04-30T00:00:00"/>
    <d v="2024-05-28T00:00:00"/>
    <n v="28"/>
    <x v="0"/>
    <s v="Appendicitis"/>
    <x v="0"/>
    <s v="Physiotherapy"/>
    <x v="3"/>
    <s v="Dr. Vivek Rao"/>
    <n v="371"/>
    <s v="ICU"/>
    <x v="3"/>
    <n v="128431"/>
    <n v="96408"/>
    <n v="32023"/>
    <n v="108097"/>
    <n v="6645"/>
    <n v="12567"/>
    <s v="No"/>
    <n v="69"/>
    <n v="3.7"/>
    <x v="2"/>
  </r>
  <r>
    <x v="2122"/>
    <s v="Vikram Nair"/>
    <n v="68"/>
    <x v="0"/>
    <s v="AB+"/>
    <s v="Ahmedabad"/>
    <d v="2022-03-28T00:00:00"/>
    <d v="2022-04-19T00:00:00"/>
    <n v="22"/>
    <x v="0"/>
    <s v="COVID-19"/>
    <x v="1"/>
    <s v="Observation"/>
    <x v="0"/>
    <s v="Dr. Prerna Singh"/>
    <n v="266"/>
    <s v="Private"/>
    <x v="3"/>
    <n v="66759"/>
    <n v="47478"/>
    <n v="19281"/>
    <n v="41947"/>
    <n v="11943"/>
    <n v="7972"/>
    <s v="No"/>
    <n v="60"/>
    <n v="5"/>
    <x v="0"/>
  </r>
  <r>
    <x v="2123"/>
    <s v="Arjun Patel"/>
    <n v="8"/>
    <x v="1"/>
    <s v="O+"/>
    <s v="Delhi"/>
    <d v="2023-04-02T00:00:00"/>
    <d v="2023-04-27T00:00:00"/>
    <n v="25"/>
    <x v="0"/>
    <s v="COVID-19"/>
    <x v="1"/>
    <s v="Dialysis"/>
    <x v="3"/>
    <s v="Dr. Rakesh Mehta"/>
    <n v="147"/>
    <s v="ICU"/>
    <x v="2"/>
    <n v="52425"/>
    <n v="39600"/>
    <n v="12825"/>
    <n v="22166"/>
    <n v="12333"/>
    <n v="14849"/>
    <s v="No"/>
    <n v="51"/>
    <n v="4.8"/>
    <x v="0"/>
  </r>
  <r>
    <x v="2124"/>
    <s v="Sneha Iyer"/>
    <n v="47"/>
    <x v="1"/>
    <s v="AB-"/>
    <s v="Delhi"/>
    <d v="2022-01-04T00:00:00"/>
    <d v="2022-01-19T00:00:00"/>
    <n v="15"/>
    <x v="4"/>
    <s v="Hypertension"/>
    <x v="7"/>
    <s v="Radiation Therapy"/>
    <x v="0"/>
    <s v="Dr. Vivek Rao"/>
    <n v="102"/>
    <s v="General Ward"/>
    <x v="0"/>
    <n v="75568"/>
    <n v="50670"/>
    <n v="24898"/>
    <n v="30478"/>
    <n v="26996"/>
    <n v="14390"/>
    <s v="No"/>
    <n v="55"/>
    <n v="3.7"/>
    <x v="2"/>
  </r>
  <r>
    <x v="2125"/>
    <s v="Karan Rao"/>
    <n v="25"/>
    <x v="0"/>
    <s v="O-"/>
    <s v="Mumbai"/>
    <d v="2023-04-02T00:00:00"/>
    <d v="2023-04-14T00:00:00"/>
    <n v="12"/>
    <x v="2"/>
    <s v="Cancer"/>
    <x v="3"/>
    <s v="Physiotherapy"/>
    <x v="1"/>
    <s v="Dr. Arun Patel"/>
    <n v="83"/>
    <s v="Private"/>
    <x v="4"/>
    <n v="133487"/>
    <n v="0"/>
    <n v="133487"/>
    <n v="110774"/>
    <n v="15783"/>
    <n v="5865"/>
    <s v="No"/>
    <n v="77"/>
    <n v="4"/>
    <x v="1"/>
  </r>
  <r>
    <x v="2126"/>
    <s v="Rekha Iyer"/>
    <n v="62"/>
    <x v="0"/>
    <s v="A+"/>
    <s v="Chennai"/>
    <d v="2022-07-15T00:00:00"/>
    <d v="2022-08-07T00:00:00"/>
    <n v="23"/>
    <x v="0"/>
    <s v="Typhoid"/>
    <x v="1"/>
    <s v="ICU Care"/>
    <x v="0"/>
    <s v="Dr. Deepak Mehta"/>
    <n v="190"/>
    <s v="Semi-Private"/>
    <x v="0"/>
    <n v="26097"/>
    <n v="13020"/>
    <n v="13077"/>
    <n v="15777"/>
    <n v="3194"/>
    <n v="4854"/>
    <s v="No"/>
    <n v="91"/>
    <n v="4.7"/>
    <x v="2"/>
  </r>
  <r>
    <x v="2127"/>
    <s v="Lata Chopra"/>
    <n v="65"/>
    <x v="1"/>
    <s v="AB+"/>
    <s v="Jaipur"/>
    <d v="2024-06-06T00:00:00"/>
    <d v="2024-06-14T00:00:00"/>
    <n v="8"/>
    <x v="0"/>
    <s v="Anemia"/>
    <x v="4"/>
    <s v="Dialysis"/>
    <x v="3"/>
    <s v="Dr. Shalini Nair"/>
    <n v="449"/>
    <s v="General Ward"/>
    <x v="2"/>
    <n v="132608"/>
    <n v="110754"/>
    <n v="21854"/>
    <n v="110855"/>
    <n v="7356"/>
    <n v="12814"/>
    <s v="No"/>
    <n v="88"/>
    <n v="2.6"/>
    <x v="2"/>
  </r>
  <r>
    <x v="2128"/>
    <s v="Rajesh Sharma"/>
    <n v="53"/>
    <x v="1"/>
    <s v="O+"/>
    <s v="Bangalore"/>
    <d v="2023-08-27T00:00:00"/>
    <d v="2023-09-01T00:00:00"/>
    <n v="5"/>
    <x v="0"/>
    <s v="Liver Disease"/>
    <x v="0"/>
    <s v="Physiotherapy"/>
    <x v="1"/>
    <s v="Dr. Prerna Rao"/>
    <n v="425"/>
    <s v="Semi-Private"/>
    <x v="4"/>
    <n v="139033"/>
    <n v="0"/>
    <n v="139033"/>
    <n v="122151"/>
    <n v="9606"/>
    <n v="3981"/>
    <s v="Yes"/>
    <n v="78"/>
    <n v="4"/>
    <x v="0"/>
  </r>
  <r>
    <x v="2129"/>
    <s v="Mukesh Joshi"/>
    <n v="12"/>
    <x v="1"/>
    <s v="AB-"/>
    <s v="Bangalore"/>
    <d v="2022-09-01T00:00:00"/>
    <d v="2022-09-05T00:00:00"/>
    <n v="4"/>
    <x v="5"/>
    <s v="Pneumonia"/>
    <x v="8"/>
    <s v="Chemotherapy"/>
    <x v="2"/>
    <s v="Dr. Shalini Rao"/>
    <n v="259"/>
    <s v="Semi-Private"/>
    <x v="1"/>
    <n v="27234"/>
    <n v="17275"/>
    <n v="9959"/>
    <n v="15731"/>
    <n v="4435"/>
    <n v="6547"/>
    <s v="No"/>
    <n v="83"/>
    <n v="4.9000000000000004"/>
    <x v="0"/>
  </r>
  <r>
    <x v="2130"/>
    <s v="Nisha Rao"/>
    <n v="67"/>
    <x v="0"/>
    <s v="A-"/>
    <s v="Kolkata"/>
    <d v="2022-05-05T00:00:00"/>
    <d v="2022-05-29T00:00:00"/>
    <n v="24"/>
    <x v="3"/>
    <s v="Migraine"/>
    <x v="6"/>
    <s v="Medication"/>
    <x v="2"/>
    <s v="Dr. Arun Singh"/>
    <n v="373"/>
    <s v="General Ward"/>
    <x v="2"/>
    <n v="128633"/>
    <n v="110760"/>
    <n v="17873"/>
    <n v="90650"/>
    <n v="23352"/>
    <n v="11919"/>
    <s v="No"/>
    <n v="45"/>
    <n v="4.4000000000000004"/>
    <x v="2"/>
  </r>
  <r>
    <x v="2131"/>
    <s v="Sneha Nair"/>
    <n v="32"/>
    <x v="1"/>
    <s v="AB+"/>
    <s v="Mumbai"/>
    <d v="2024-01-03T00:00:00"/>
    <d v="2024-01-19T00:00:00"/>
    <n v="16"/>
    <x v="5"/>
    <s v="Asthma"/>
    <x v="8"/>
    <s v="Physiotherapy"/>
    <x v="1"/>
    <s v="Dr. Prerna Patel"/>
    <n v="466"/>
    <s v="Private"/>
    <x v="4"/>
    <n v="125836"/>
    <n v="0"/>
    <n v="125836"/>
    <n v="92129"/>
    <n v="21298"/>
    <n v="10844"/>
    <s v="No"/>
    <n v="88"/>
    <n v="4.0999999999999996"/>
    <x v="0"/>
  </r>
  <r>
    <x v="2132"/>
    <s v="Geeta Kumar"/>
    <n v="81"/>
    <x v="0"/>
    <s v="A+"/>
    <s v="Lucknow"/>
    <d v="2022-05-17T00:00:00"/>
    <d v="2022-05-25T00:00:00"/>
    <n v="8"/>
    <x v="3"/>
    <s v="Migraine"/>
    <x v="6"/>
    <s v="Surgery"/>
    <x v="0"/>
    <s v="Dr. Vivek Kumar"/>
    <n v="489"/>
    <s v="Semi-Private"/>
    <x v="2"/>
    <n v="131835"/>
    <n v="104195"/>
    <n v="27640"/>
    <n v="101630"/>
    <n v="19807"/>
    <n v="5458"/>
    <s v="No"/>
    <n v="41"/>
    <n v="4.7"/>
    <x v="3"/>
  </r>
  <r>
    <x v="2133"/>
    <s v="Mukesh Singh"/>
    <n v="58"/>
    <x v="1"/>
    <s v="A-"/>
    <s v="Delhi"/>
    <d v="2023-11-28T00:00:00"/>
    <d v="2023-12-27T00:00:00"/>
    <n v="29"/>
    <x v="3"/>
    <s v="Stroke"/>
    <x v="6"/>
    <s v="Medication"/>
    <x v="0"/>
    <s v="Dr. Rakesh Reddy"/>
    <n v="312"/>
    <s v="Private"/>
    <x v="4"/>
    <n v="88155"/>
    <n v="0"/>
    <n v="88155"/>
    <n v="56278"/>
    <n v="22470"/>
    <n v="4870"/>
    <s v="No"/>
    <n v="43"/>
    <n v="2"/>
    <x v="0"/>
  </r>
  <r>
    <x v="2134"/>
    <s v="Pooja Patel"/>
    <n v="19"/>
    <x v="0"/>
    <s v="B-"/>
    <s v="Pune"/>
    <d v="2023-02-17T00:00:00"/>
    <d v="2023-03-15T00:00:00"/>
    <n v="26"/>
    <x v="4"/>
    <s v="Hypertension"/>
    <x v="7"/>
    <s v="Chemotherapy"/>
    <x v="2"/>
    <s v="Dr. Nisha Joshi"/>
    <n v="382"/>
    <s v="Semi-Private"/>
    <x v="4"/>
    <n v="193136"/>
    <n v="0"/>
    <n v="193136"/>
    <n v="148337"/>
    <n v="25316"/>
    <n v="14564"/>
    <s v="Yes"/>
    <n v="91"/>
    <n v="2.9"/>
    <x v="0"/>
  </r>
  <r>
    <x v="2135"/>
    <s v="Meera Patel"/>
    <n v="38"/>
    <x v="0"/>
    <s v="O+"/>
    <s v="Jaipur"/>
    <d v="2023-11-08T00:00:00"/>
    <d v="2023-11-19T00:00:00"/>
    <n v="11"/>
    <x v="1"/>
    <s v="Kidney Stone"/>
    <x v="2"/>
    <s v="Observation"/>
    <x v="2"/>
    <s v="Dr. Sameer Singh"/>
    <n v="17"/>
    <s v="Private"/>
    <x v="3"/>
    <n v="89078"/>
    <n v="63324"/>
    <n v="25754"/>
    <n v="80813"/>
    <n v="4268"/>
    <n v="1819"/>
    <s v="No"/>
    <n v="80"/>
    <n v="2"/>
    <x v="0"/>
  </r>
  <r>
    <x v="2136"/>
    <s v="Rajesh Iyer"/>
    <n v="14"/>
    <x v="0"/>
    <s v="AB+"/>
    <s v="Ahmedabad"/>
    <d v="2024-06-21T00:00:00"/>
    <d v="2024-07-13T00:00:00"/>
    <n v="22"/>
    <x v="4"/>
    <s v="Hypertension"/>
    <x v="7"/>
    <s v="ICU Care"/>
    <x v="2"/>
    <s v="Dr. Prerna Nair"/>
    <n v="468"/>
    <s v="Private"/>
    <x v="1"/>
    <n v="138361"/>
    <n v="66185"/>
    <n v="72176"/>
    <n v="104282"/>
    <n v="18388"/>
    <n v="14841"/>
    <s v="No"/>
    <n v="78"/>
    <n v="2.8"/>
    <x v="0"/>
  </r>
  <r>
    <x v="2137"/>
    <s v="Aditya Patel"/>
    <n v="70"/>
    <x v="1"/>
    <s v="O-"/>
    <s v="Jaipur"/>
    <d v="2023-10-27T00:00:00"/>
    <d v="2023-11-12T00:00:00"/>
    <n v="16"/>
    <x v="6"/>
    <s v="Arthritis"/>
    <x v="11"/>
    <s v="Dietary Management"/>
    <x v="1"/>
    <s v="Dr. Kavita Gupta"/>
    <n v="13"/>
    <s v="Semi-Private"/>
    <x v="3"/>
    <n v="150341"/>
    <n v="97123"/>
    <n v="53218"/>
    <n v="128598"/>
    <n v="7755"/>
    <n v="12812"/>
    <s v="No"/>
    <n v="75"/>
    <n v="4.4000000000000004"/>
    <x v="4"/>
  </r>
  <r>
    <x v="2138"/>
    <s v="Sanjay Rao"/>
    <n v="71"/>
    <x v="0"/>
    <s v="B-"/>
    <s v="Mumbai"/>
    <d v="2024-07-24T00:00:00"/>
    <d v="2024-08-02T00:00:00"/>
    <n v="9"/>
    <x v="6"/>
    <s v="Arthritis"/>
    <x v="11"/>
    <s v="Counseling"/>
    <x v="1"/>
    <s v="Dr. Kavita Singh"/>
    <n v="500"/>
    <s v="General Ward"/>
    <x v="1"/>
    <n v="132836"/>
    <n v="89965"/>
    <n v="42871"/>
    <n v="96507"/>
    <n v="23654"/>
    <n v="11212"/>
    <s v="Yes"/>
    <n v="43"/>
    <n v="4.2"/>
    <x v="0"/>
  </r>
  <r>
    <x v="2139"/>
    <s v="Sneha Reddy"/>
    <n v="54"/>
    <x v="1"/>
    <s v="AB-"/>
    <s v="Mumbai"/>
    <d v="2022-01-05T00:00:00"/>
    <d v="2022-01-07T00:00:00"/>
    <n v="2"/>
    <x v="5"/>
    <s v="Asthma"/>
    <x v="8"/>
    <s v="ICU Care"/>
    <x v="3"/>
    <s v="Dr. Prerna Mehta"/>
    <n v="350"/>
    <s v="Semi-Private"/>
    <x v="4"/>
    <n v="145591"/>
    <n v="0"/>
    <n v="145591"/>
    <n v="137733"/>
    <n v="4392"/>
    <n v="637"/>
    <s v="No"/>
    <n v="50"/>
    <n v="3"/>
    <x v="2"/>
  </r>
  <r>
    <x v="2140"/>
    <s v="Manoj Iyer"/>
    <n v="54"/>
    <x v="1"/>
    <s v="O-"/>
    <s v="Pune"/>
    <d v="2024-06-02T00:00:00"/>
    <d v="2024-06-05T00:00:00"/>
    <n v="3"/>
    <x v="5"/>
    <s v="Asthma"/>
    <x v="8"/>
    <s v="Surgery"/>
    <x v="2"/>
    <s v="Dr. Shalini Nair"/>
    <n v="229"/>
    <s v="General Ward"/>
    <x v="2"/>
    <n v="46592"/>
    <n v="29649"/>
    <n v="16943"/>
    <n v="20350"/>
    <n v="21059"/>
    <n v="3625"/>
    <s v="Yes"/>
    <n v="56"/>
    <n v="2.2999999999999998"/>
    <x v="4"/>
  </r>
  <r>
    <x v="2141"/>
    <s v="Sneha Kumar"/>
    <n v="17"/>
    <x v="0"/>
    <s v="B-"/>
    <s v="Bangalore"/>
    <d v="2023-05-29T00:00:00"/>
    <d v="2023-06-23T00:00:00"/>
    <n v="25"/>
    <x v="0"/>
    <s v="Diabetes Type 2"/>
    <x v="9"/>
    <s v="Observation"/>
    <x v="3"/>
    <s v="Dr. Sameer Joshi"/>
    <n v="417"/>
    <s v="General Ward"/>
    <x v="0"/>
    <n v="68855"/>
    <n v="48121"/>
    <n v="20734"/>
    <n v="37361"/>
    <n v="13714"/>
    <n v="13898"/>
    <s v="No"/>
    <n v="73"/>
    <n v="2.2999999999999998"/>
    <x v="3"/>
  </r>
  <r>
    <x v="2142"/>
    <s v="Aditya Singh"/>
    <n v="13"/>
    <x v="1"/>
    <s v="B-"/>
    <s v="Chennai"/>
    <d v="2022-02-16T00:00:00"/>
    <d v="2022-02-20T00:00:00"/>
    <n v="4"/>
    <x v="0"/>
    <s v="Anemia"/>
    <x v="4"/>
    <s v="Dietary Management"/>
    <x v="0"/>
    <s v="Dr. Nisha Kumar"/>
    <n v="321"/>
    <s v="ICU"/>
    <x v="3"/>
    <n v="85656"/>
    <n v="70075"/>
    <n v="15581"/>
    <n v="69418"/>
    <n v="7119"/>
    <n v="4127"/>
    <s v="No"/>
    <n v="52"/>
    <n v="3.2"/>
    <x v="1"/>
  </r>
  <r>
    <x v="2143"/>
    <s v="Sneha Rao"/>
    <n v="35"/>
    <x v="0"/>
    <s v="O+"/>
    <s v="Kolkata"/>
    <d v="2022-12-14T00:00:00"/>
    <d v="2022-12-20T00:00:00"/>
    <n v="6"/>
    <x v="6"/>
    <s v="Arthritis"/>
    <x v="11"/>
    <s v="Radiation Therapy"/>
    <x v="3"/>
    <s v="Dr. Shalini Sharma"/>
    <n v="161"/>
    <s v="Semi-Private"/>
    <x v="1"/>
    <n v="36768"/>
    <n v="14789"/>
    <n v="21979"/>
    <n v="8568"/>
    <n v="12230"/>
    <n v="12462"/>
    <s v="No"/>
    <n v="98"/>
    <n v="4.2"/>
    <x v="1"/>
  </r>
  <r>
    <x v="2144"/>
    <s v="Ananya Das"/>
    <n v="13"/>
    <x v="0"/>
    <s v="B-"/>
    <s v="Kolkata"/>
    <d v="2022-11-09T00:00:00"/>
    <d v="2022-11-20T00:00:00"/>
    <n v="11"/>
    <x v="0"/>
    <s v="COVID-19"/>
    <x v="1"/>
    <s v="Physiotherapy"/>
    <x v="1"/>
    <s v="Dr. Arun Nair"/>
    <n v="252"/>
    <s v="Semi-Private"/>
    <x v="3"/>
    <n v="90038"/>
    <n v="69771"/>
    <n v="20267"/>
    <n v="80153"/>
    <n v="5007"/>
    <n v="1325"/>
    <s v="No"/>
    <n v="98"/>
    <n v="3"/>
    <x v="4"/>
  </r>
  <r>
    <x v="2145"/>
    <s v="Mukesh Iyer"/>
    <n v="70"/>
    <x v="1"/>
    <s v="O-"/>
    <s v="Pune"/>
    <d v="2023-11-20T00:00:00"/>
    <d v="2023-11-23T00:00:00"/>
    <n v="3"/>
    <x v="0"/>
    <s v="Depression"/>
    <x v="5"/>
    <s v="Dietary Management"/>
    <x v="3"/>
    <s v="Dr. Nisha Mehta"/>
    <n v="319"/>
    <s v="ICU"/>
    <x v="4"/>
    <n v="98594"/>
    <n v="0"/>
    <n v="98594"/>
    <n v="69701"/>
    <n v="21542"/>
    <n v="5700"/>
    <s v="Yes"/>
    <n v="70"/>
    <n v="2.6"/>
    <x v="0"/>
  </r>
  <r>
    <x v="2146"/>
    <s v="Deepa Gupta"/>
    <n v="38"/>
    <x v="0"/>
    <s v="B+"/>
    <s v="Lucknow"/>
    <d v="2024-12-31T00:00:00"/>
    <d v="2024-12-31T00:00:00"/>
    <n v="1"/>
    <x v="4"/>
    <s v="Heart Attack"/>
    <x v="7"/>
    <s v="Physiotherapy"/>
    <x v="1"/>
    <s v="Dr. Anjali Mehta"/>
    <n v="197"/>
    <s v="Private"/>
    <x v="2"/>
    <n v="100010"/>
    <n v="60989"/>
    <n v="39021"/>
    <n v="68955"/>
    <n v="24559"/>
    <n v="4804"/>
    <s v="No"/>
    <n v="93"/>
    <n v="3.5"/>
    <x v="3"/>
  </r>
  <r>
    <x v="2147"/>
    <s v="Kavya Kumar"/>
    <n v="42"/>
    <x v="0"/>
    <s v="AB+"/>
    <s v="Bangalore"/>
    <d v="2024-02-03T00:00:00"/>
    <d v="2024-02-11T00:00:00"/>
    <n v="8"/>
    <x v="0"/>
    <s v="Diabetes Type 2"/>
    <x v="9"/>
    <s v="Medication"/>
    <x v="2"/>
    <s v="Dr. Rakesh Patel"/>
    <n v="113"/>
    <s v="General Ward"/>
    <x v="2"/>
    <n v="44995"/>
    <n v="30799"/>
    <n v="14196"/>
    <n v="35295"/>
    <n v="4706"/>
    <n v="3955"/>
    <s v="No"/>
    <n v="59"/>
    <n v="2.6"/>
    <x v="1"/>
  </r>
  <r>
    <x v="2148"/>
    <s v="Kavya Malhotra"/>
    <n v="66"/>
    <x v="1"/>
    <s v="O-"/>
    <s v="Pune"/>
    <d v="2022-10-10T00:00:00"/>
    <d v="2022-11-03T00:00:00"/>
    <n v="24"/>
    <x v="5"/>
    <s v="Pneumonia"/>
    <x v="8"/>
    <s v="Radiation Therapy"/>
    <x v="1"/>
    <s v="Dr. Sameer Joshi"/>
    <n v="28"/>
    <s v="Private"/>
    <x v="1"/>
    <n v="156429"/>
    <n v="91319"/>
    <n v="65110"/>
    <n v="127258"/>
    <n v="14090"/>
    <n v="10706"/>
    <s v="No"/>
    <n v="73"/>
    <n v="4.8"/>
    <x v="2"/>
  </r>
  <r>
    <x v="2149"/>
    <s v="Nisha Chopra"/>
    <n v="80"/>
    <x v="0"/>
    <s v="O+"/>
    <s v="Delhi"/>
    <d v="2022-05-11T00:00:00"/>
    <d v="2022-05-18T00:00:00"/>
    <n v="7"/>
    <x v="1"/>
    <s v="Kidney Stone"/>
    <x v="2"/>
    <s v="Radiation Therapy"/>
    <x v="0"/>
    <s v="Dr. Rakesh Rao"/>
    <n v="319"/>
    <s v="ICU"/>
    <x v="3"/>
    <n v="84595"/>
    <n v="55579"/>
    <n v="29016"/>
    <n v="49012"/>
    <n v="23956"/>
    <n v="7827"/>
    <s v="No"/>
    <n v="72"/>
    <n v="2.1"/>
    <x v="3"/>
  </r>
  <r>
    <x v="2150"/>
    <s v="Sunil Kumar"/>
    <n v="18"/>
    <x v="0"/>
    <s v="AB-"/>
    <s v="Pune"/>
    <d v="2022-04-08T00:00:00"/>
    <d v="2022-04-30T00:00:00"/>
    <n v="22"/>
    <x v="1"/>
    <s v="Kidney Stone"/>
    <x v="2"/>
    <s v="Physiotherapy"/>
    <x v="1"/>
    <s v="Dr. Prerna Patel"/>
    <n v="74"/>
    <s v="ICU"/>
    <x v="2"/>
    <n v="90708"/>
    <n v="79785"/>
    <n v="10923"/>
    <n v="78912"/>
    <n v="5665"/>
    <n v="2606"/>
    <s v="No"/>
    <n v="55"/>
    <n v="3.9"/>
    <x v="2"/>
  </r>
  <r>
    <x v="2151"/>
    <s v="Suresh Pillai"/>
    <n v="15"/>
    <x v="0"/>
    <s v="B-"/>
    <s v="Chennai"/>
    <d v="2022-08-17T00:00:00"/>
    <d v="2022-08-31T00:00:00"/>
    <n v="14"/>
    <x v="6"/>
    <s v="Fracture"/>
    <x v="10"/>
    <s v="Observation"/>
    <x v="0"/>
    <s v="Dr. Rakesh Singh"/>
    <n v="467"/>
    <s v="ICU"/>
    <x v="1"/>
    <n v="144776"/>
    <n v="62775"/>
    <n v="82001"/>
    <n v="132549"/>
    <n v="2299"/>
    <n v="8491"/>
    <s v="No"/>
    <n v="91"/>
    <n v="4.2"/>
    <x v="1"/>
  </r>
  <r>
    <x v="2152"/>
    <s v="Mukesh Singh"/>
    <n v="19"/>
    <x v="1"/>
    <s v="O-"/>
    <s v="Ahmedabad"/>
    <d v="2024-07-18T00:00:00"/>
    <d v="2024-07-23T00:00:00"/>
    <n v="5"/>
    <x v="2"/>
    <s v="Cancer"/>
    <x v="3"/>
    <s v="Medication"/>
    <x v="2"/>
    <s v="Dr. Anjali Patel"/>
    <n v="165"/>
    <s v="Private"/>
    <x v="1"/>
    <n v="118643"/>
    <n v="58186"/>
    <n v="60457"/>
    <n v="110028"/>
    <n v="1342"/>
    <n v="3478"/>
    <s v="No"/>
    <n v="95"/>
    <n v="2.5"/>
    <x v="1"/>
  </r>
  <r>
    <x v="2153"/>
    <s v="Amit Das"/>
    <n v="73"/>
    <x v="0"/>
    <s v="AB+"/>
    <s v="Lucknow"/>
    <d v="2023-02-27T00:00:00"/>
    <d v="2023-03-14T00:00:00"/>
    <n v="15"/>
    <x v="6"/>
    <s v="Fracture"/>
    <x v="10"/>
    <s v="Radiation Therapy"/>
    <x v="0"/>
    <s v="Dr. Nisha Sharma"/>
    <n v="266"/>
    <s v="General Ward"/>
    <x v="4"/>
    <n v="149631"/>
    <n v="0"/>
    <n v="149631"/>
    <n v="125460"/>
    <n v="21547"/>
    <n v="1572"/>
    <s v="No"/>
    <n v="92"/>
    <n v="4.5"/>
    <x v="0"/>
  </r>
  <r>
    <x v="2154"/>
    <s v="Rohan Rao"/>
    <n v="40"/>
    <x v="1"/>
    <s v="A+"/>
    <s v="Bangalore"/>
    <d v="2024-09-25T00:00:00"/>
    <d v="2024-10-22T00:00:00"/>
    <n v="27"/>
    <x v="5"/>
    <s v="Asthma"/>
    <x v="8"/>
    <s v="Dietary Management"/>
    <x v="3"/>
    <s v="Dr. Sameer Singh"/>
    <n v="158"/>
    <s v="Semi-Private"/>
    <x v="3"/>
    <n v="83903"/>
    <n v="74427"/>
    <n v="9476"/>
    <n v="58710"/>
    <n v="14304"/>
    <n v="6885"/>
    <s v="No"/>
    <n v="74"/>
    <n v="4.3"/>
    <x v="4"/>
  </r>
  <r>
    <x v="2155"/>
    <s v="Sneha Kumar"/>
    <n v="73"/>
    <x v="1"/>
    <s v="AB+"/>
    <s v="Delhi"/>
    <d v="2024-12-13T00:00:00"/>
    <d v="2024-12-19T00:00:00"/>
    <n v="6"/>
    <x v="0"/>
    <s v="Typhoid"/>
    <x v="1"/>
    <s v="Chemotherapy"/>
    <x v="3"/>
    <s v="Dr. Anjali Gupta"/>
    <n v="148"/>
    <s v="ICU"/>
    <x v="3"/>
    <n v="174884"/>
    <n v="141670"/>
    <n v="33214"/>
    <n v="140759"/>
    <n v="25276"/>
    <n v="5278"/>
    <s v="No"/>
    <n v="55"/>
    <n v="4.0999999999999996"/>
    <x v="2"/>
  </r>
  <r>
    <x v="2156"/>
    <s v="Rajesh Kumar"/>
    <n v="71"/>
    <x v="1"/>
    <s v="O-"/>
    <s v="Kolkata"/>
    <d v="2024-10-11T00:00:00"/>
    <d v="2024-10-22T00:00:00"/>
    <n v="11"/>
    <x v="1"/>
    <s v="UTI"/>
    <x v="2"/>
    <s v="Chemotherapy"/>
    <x v="3"/>
    <s v="Dr. Rakesh Kumar"/>
    <n v="176"/>
    <s v="ICU"/>
    <x v="1"/>
    <n v="161073"/>
    <n v="99408"/>
    <n v="61665"/>
    <n v="124740"/>
    <n v="21865"/>
    <n v="13724"/>
    <s v="No"/>
    <n v="86"/>
    <n v="2.2000000000000002"/>
    <x v="4"/>
  </r>
  <r>
    <x v="2157"/>
    <s v="Rajesh Patel"/>
    <n v="44"/>
    <x v="0"/>
    <s v="O-"/>
    <s v="Chennai"/>
    <d v="2022-02-24T00:00:00"/>
    <d v="2022-02-25T00:00:00"/>
    <n v="1"/>
    <x v="6"/>
    <s v="Fracture"/>
    <x v="10"/>
    <s v="Chemotherapy"/>
    <x v="1"/>
    <s v="Dr. Rakesh Patel"/>
    <n v="78"/>
    <s v="ICU"/>
    <x v="0"/>
    <n v="122148"/>
    <n v="72250"/>
    <n v="49898"/>
    <n v="97128"/>
    <n v="20259"/>
    <n v="3373"/>
    <s v="No"/>
    <n v="75"/>
    <n v="3.1"/>
    <x v="4"/>
  </r>
  <r>
    <x v="2158"/>
    <s v="Manoj Gupta"/>
    <n v="38"/>
    <x v="1"/>
    <s v="O-"/>
    <s v="Pune"/>
    <d v="2023-12-02T00:00:00"/>
    <d v="2023-12-28T00:00:00"/>
    <n v="26"/>
    <x v="4"/>
    <s v="Heart Attack"/>
    <x v="7"/>
    <s v="Surgery"/>
    <x v="0"/>
    <s v="Dr. Anjali Singh"/>
    <n v="325"/>
    <s v="Private"/>
    <x v="3"/>
    <n v="110141"/>
    <n v="76263"/>
    <n v="33878"/>
    <n v="89074"/>
    <n v="6112"/>
    <n v="11150"/>
    <s v="No"/>
    <n v="96"/>
    <n v="4.2"/>
    <x v="2"/>
  </r>
  <r>
    <x v="2159"/>
    <s v="Sunil Rao"/>
    <n v="24"/>
    <x v="1"/>
    <s v="B+"/>
    <s v="Mumbai"/>
    <d v="2023-01-14T00:00:00"/>
    <d v="2023-01-19T00:00:00"/>
    <n v="5"/>
    <x v="0"/>
    <s v="Diabetes Type 2"/>
    <x v="9"/>
    <s v="Surgery"/>
    <x v="1"/>
    <s v="Dr. Vivek Singh"/>
    <n v="464"/>
    <s v="ICU"/>
    <x v="2"/>
    <n v="141214"/>
    <n v="91354"/>
    <n v="49860"/>
    <n v="124959"/>
    <n v="6306"/>
    <n v="6660"/>
    <s v="Yes"/>
    <n v="93"/>
    <n v="4.5999999999999996"/>
    <x v="3"/>
  </r>
  <r>
    <x v="2160"/>
    <s v="Geeta Nair"/>
    <n v="70"/>
    <x v="0"/>
    <s v="AB+"/>
    <s v="Mumbai"/>
    <d v="2024-04-22T00:00:00"/>
    <d v="2024-05-07T00:00:00"/>
    <n v="15"/>
    <x v="2"/>
    <s v="Cancer"/>
    <x v="3"/>
    <s v="Physiotherapy"/>
    <x v="3"/>
    <s v="Dr. Arun Sharma"/>
    <n v="294"/>
    <s v="Semi-Private"/>
    <x v="0"/>
    <n v="73995"/>
    <n v="38249"/>
    <n v="35746"/>
    <n v="35727"/>
    <n v="25076"/>
    <n v="9887"/>
    <s v="No"/>
    <n v="79"/>
    <n v="2.6"/>
    <x v="2"/>
  </r>
  <r>
    <x v="2161"/>
    <s v="Priya Shah"/>
    <n v="5"/>
    <x v="0"/>
    <s v="O-"/>
    <s v="Mumbai"/>
    <d v="2024-03-23T00:00:00"/>
    <d v="2024-04-21T00:00:00"/>
    <n v="29"/>
    <x v="0"/>
    <s v="Obesity"/>
    <x v="12"/>
    <s v="Surgery"/>
    <x v="3"/>
    <s v="Dr. Deepak Nair"/>
    <n v="130"/>
    <s v="Private"/>
    <x v="4"/>
    <n v="55863"/>
    <n v="0"/>
    <n v="55863"/>
    <n v="38188"/>
    <n v="8124"/>
    <n v="7003"/>
    <s v="No"/>
    <n v="56"/>
    <n v="2.2000000000000002"/>
    <x v="3"/>
  </r>
  <r>
    <x v="2162"/>
    <s v="Lata Patel"/>
    <n v="26"/>
    <x v="1"/>
    <s v="AB+"/>
    <s v="Ahmedabad"/>
    <d v="2024-04-07T00:00:00"/>
    <d v="2024-05-01T00:00:00"/>
    <n v="24"/>
    <x v="0"/>
    <s v="Diabetes Type 2"/>
    <x v="9"/>
    <s v="Medication"/>
    <x v="0"/>
    <s v="Dr. Sameer Reddy"/>
    <n v="485"/>
    <s v="Semi-Private"/>
    <x v="2"/>
    <n v="121203"/>
    <n v="84177"/>
    <n v="37026"/>
    <n v="100047"/>
    <n v="4926"/>
    <n v="11911"/>
    <s v="No"/>
    <n v="70"/>
    <n v="3.8"/>
    <x v="2"/>
  </r>
  <r>
    <x v="2163"/>
    <s v="Mukesh Iyer"/>
    <n v="57"/>
    <x v="1"/>
    <s v="O-"/>
    <s v="Jaipur"/>
    <d v="2024-05-31T00:00:00"/>
    <d v="2024-06-12T00:00:00"/>
    <n v="12"/>
    <x v="2"/>
    <s v="Cancer"/>
    <x v="3"/>
    <s v="Dialysis"/>
    <x v="2"/>
    <s v="Dr. Rakesh Mehta"/>
    <n v="92"/>
    <s v="General Ward"/>
    <x v="3"/>
    <n v="32831"/>
    <n v="27480"/>
    <n v="5351"/>
    <n v="17235"/>
    <n v="10397"/>
    <n v="4055"/>
    <s v="Yes"/>
    <n v="69"/>
    <n v="3.4"/>
    <x v="2"/>
  </r>
  <r>
    <x v="2164"/>
    <s v="Vikram Pillai"/>
    <n v="64"/>
    <x v="0"/>
    <s v="O-"/>
    <s v="Jaipur"/>
    <d v="2023-01-30T00:00:00"/>
    <d v="2023-02-23T00:00:00"/>
    <n v="24"/>
    <x v="3"/>
    <s v="Migraine"/>
    <x v="6"/>
    <s v="Dialysis"/>
    <x v="2"/>
    <s v="Dr. Deepak Joshi"/>
    <n v="17"/>
    <s v="General Ward"/>
    <x v="3"/>
    <n v="146733"/>
    <n v="117431"/>
    <n v="29302"/>
    <n v="107729"/>
    <n v="23641"/>
    <n v="11004"/>
    <s v="No"/>
    <n v="53"/>
    <n v="4.7"/>
    <x v="0"/>
  </r>
  <r>
    <x v="2165"/>
    <s v="Priya Kumar"/>
    <n v="18"/>
    <x v="1"/>
    <s v="B-"/>
    <s v="Mumbai"/>
    <d v="2023-12-18T00:00:00"/>
    <d v="2023-12-24T00:00:00"/>
    <n v="6"/>
    <x v="0"/>
    <s v="Obesity"/>
    <x v="12"/>
    <s v="Chemotherapy"/>
    <x v="2"/>
    <s v="Dr. Nisha Mehta"/>
    <n v="76"/>
    <s v="Semi-Private"/>
    <x v="3"/>
    <n v="150369"/>
    <n v="103147"/>
    <n v="47222"/>
    <n v="134445"/>
    <n v="11991"/>
    <n v="1224"/>
    <s v="No"/>
    <n v="41"/>
    <n v="3.2"/>
    <x v="2"/>
  </r>
  <r>
    <x v="2166"/>
    <s v="Rajesh Joshi"/>
    <n v="38"/>
    <x v="0"/>
    <s v="AB+"/>
    <s v="Jaipur"/>
    <d v="2023-05-28T00:00:00"/>
    <d v="2023-06-11T00:00:00"/>
    <n v="14"/>
    <x v="0"/>
    <s v="Diabetes Type 2"/>
    <x v="9"/>
    <s v="Surgery"/>
    <x v="2"/>
    <s v="Dr. Vivek Patel"/>
    <n v="203"/>
    <s v="Private"/>
    <x v="4"/>
    <n v="102457"/>
    <n v="0"/>
    <n v="102457"/>
    <n v="86524"/>
    <n v="5253"/>
    <n v="8152"/>
    <s v="No"/>
    <n v="77"/>
    <n v="3.7"/>
    <x v="3"/>
  </r>
  <r>
    <x v="2167"/>
    <s v="Vikram Kumar"/>
    <n v="43"/>
    <x v="0"/>
    <s v="A-"/>
    <s v="Kolkata"/>
    <d v="2022-03-13T00:00:00"/>
    <d v="2022-03-23T00:00:00"/>
    <n v="10"/>
    <x v="0"/>
    <s v="Typhoid"/>
    <x v="1"/>
    <s v="Surgery"/>
    <x v="1"/>
    <s v="Dr. Sameer Rao"/>
    <n v="439"/>
    <s v="ICU"/>
    <x v="4"/>
    <n v="87425"/>
    <n v="0"/>
    <n v="87425"/>
    <n v="74084"/>
    <n v="10625"/>
    <n v="1852"/>
    <s v="No"/>
    <n v="56"/>
    <n v="2.6"/>
    <x v="4"/>
  </r>
  <r>
    <x v="2168"/>
    <s v="Rekha Patel"/>
    <n v="26"/>
    <x v="0"/>
    <s v="AB-"/>
    <s v="Mumbai"/>
    <d v="2023-11-08T00:00:00"/>
    <d v="2023-11-09T00:00:00"/>
    <n v="1"/>
    <x v="3"/>
    <s v="Stroke"/>
    <x v="6"/>
    <s v="Observation"/>
    <x v="2"/>
    <s v="Dr. Kavita Gupta"/>
    <n v="419"/>
    <s v="Semi-Private"/>
    <x v="4"/>
    <n v="140007"/>
    <n v="0"/>
    <n v="140007"/>
    <n v="109068"/>
    <n v="22874"/>
    <n v="4899"/>
    <s v="No"/>
    <n v="91"/>
    <n v="3.2"/>
    <x v="1"/>
  </r>
  <r>
    <x v="2169"/>
    <s v="Ritu Shah"/>
    <n v="16"/>
    <x v="1"/>
    <s v="A+"/>
    <s v="Kolkata"/>
    <d v="2023-10-18T00:00:00"/>
    <d v="2023-11-12T00:00:00"/>
    <n v="25"/>
    <x v="3"/>
    <s v="Migraine"/>
    <x v="6"/>
    <s v="Physiotherapy"/>
    <x v="2"/>
    <s v="Dr. Vivek Gupta"/>
    <n v="310"/>
    <s v="General Ward"/>
    <x v="2"/>
    <n v="66065"/>
    <n v="46314"/>
    <n v="19751"/>
    <n v="25168"/>
    <n v="27680"/>
    <n v="8550"/>
    <s v="No"/>
    <n v="78"/>
    <n v="4.0999999999999996"/>
    <x v="4"/>
  </r>
  <r>
    <x v="2170"/>
    <s v="Ananya Iyer"/>
    <n v="14"/>
    <x v="0"/>
    <s v="O+"/>
    <s v="Bangalore"/>
    <d v="2022-10-26T00:00:00"/>
    <d v="2022-10-31T00:00:00"/>
    <n v="5"/>
    <x v="0"/>
    <s v="Liver Disease"/>
    <x v="0"/>
    <s v="ICU Care"/>
    <x v="2"/>
    <s v="Dr. Deepak Singh"/>
    <n v="37"/>
    <s v="ICU"/>
    <x v="4"/>
    <n v="150631"/>
    <n v="0"/>
    <n v="150631"/>
    <n v="130411"/>
    <n v="13788"/>
    <n v="1919"/>
    <s v="No"/>
    <n v="83"/>
    <n v="3.5"/>
    <x v="2"/>
  </r>
  <r>
    <x v="2171"/>
    <s v="Sunita Nair"/>
    <n v="51"/>
    <x v="1"/>
    <s v="AB+"/>
    <s v="Kolkata"/>
    <d v="2022-01-29T00:00:00"/>
    <d v="2022-02-14T00:00:00"/>
    <n v="16"/>
    <x v="0"/>
    <s v="Obesity"/>
    <x v="12"/>
    <s v="Chemotherapy"/>
    <x v="2"/>
    <s v="Dr. Rakesh Sharma"/>
    <n v="264"/>
    <s v="Semi-Private"/>
    <x v="0"/>
    <n v="154246"/>
    <n v="101044"/>
    <n v="53202"/>
    <n v="128706"/>
    <n v="17752"/>
    <n v="4074"/>
    <s v="Yes"/>
    <n v="93"/>
    <n v="3.9"/>
    <x v="2"/>
  </r>
  <r>
    <x v="2172"/>
    <s v="Rekha Chopra"/>
    <n v="58"/>
    <x v="0"/>
    <s v="AB+"/>
    <s v="Jaipur"/>
    <d v="2022-02-18T00:00:00"/>
    <d v="2022-03-08T00:00:00"/>
    <n v="18"/>
    <x v="4"/>
    <s v="Hypertension"/>
    <x v="7"/>
    <s v="Dietary Management"/>
    <x v="3"/>
    <s v="Dr. Vivek Kumar"/>
    <n v="123"/>
    <s v="General Ward"/>
    <x v="2"/>
    <n v="40542"/>
    <n v="30218"/>
    <n v="10324"/>
    <n v="17966"/>
    <n v="7108"/>
    <n v="13796"/>
    <s v="No"/>
    <n v="79"/>
    <n v="2.6"/>
    <x v="4"/>
  </r>
  <r>
    <x v="2173"/>
    <s v="Sunita Sharma"/>
    <n v="40"/>
    <x v="0"/>
    <s v="A+"/>
    <s v="Lucknow"/>
    <d v="2022-11-15T00:00:00"/>
    <d v="2022-12-03T00:00:00"/>
    <n v="18"/>
    <x v="0"/>
    <s v="Diabetes Type 2"/>
    <x v="9"/>
    <s v="Chemotherapy"/>
    <x v="0"/>
    <s v="Dr. Prerna Singh"/>
    <n v="73"/>
    <s v="General Ward"/>
    <x v="0"/>
    <n v="149073"/>
    <n v="81937"/>
    <n v="67136"/>
    <n v="128803"/>
    <n v="10459"/>
    <n v="7865"/>
    <s v="No"/>
    <n v="77"/>
    <n v="2.5"/>
    <x v="2"/>
  </r>
  <r>
    <x v="2174"/>
    <s v="Sunita Khanna"/>
    <n v="69"/>
    <x v="0"/>
    <s v="O-"/>
    <s v="Hyderabad"/>
    <d v="2022-11-20T00:00:00"/>
    <d v="2022-12-06T00:00:00"/>
    <n v="16"/>
    <x v="0"/>
    <s v="Anemia"/>
    <x v="4"/>
    <s v="Dietary Management"/>
    <x v="2"/>
    <s v="Dr. Kavita Joshi"/>
    <n v="375"/>
    <s v="Semi-Private"/>
    <x v="0"/>
    <n v="104061"/>
    <n v="47052"/>
    <n v="57009"/>
    <n v="86100"/>
    <n v="1975"/>
    <n v="11625"/>
    <s v="No"/>
    <n v="45"/>
    <n v="4.3"/>
    <x v="0"/>
  </r>
  <r>
    <x v="2175"/>
    <s v="Ashok Shah"/>
    <n v="83"/>
    <x v="1"/>
    <s v="AB+"/>
    <s v="Delhi"/>
    <d v="2024-10-23T00:00:00"/>
    <d v="2024-10-24T00:00:00"/>
    <n v="1"/>
    <x v="0"/>
    <s v="Obesity"/>
    <x v="12"/>
    <s v="Medication"/>
    <x v="1"/>
    <s v="Dr. Rakesh Sharma"/>
    <n v="320"/>
    <s v="Semi-Private"/>
    <x v="0"/>
    <n v="140474"/>
    <n v="62367"/>
    <n v="78107"/>
    <n v="108294"/>
    <n v="24697"/>
    <n v="3399"/>
    <s v="No"/>
    <n v="59"/>
    <n v="3"/>
    <x v="2"/>
  </r>
  <r>
    <x v="2176"/>
    <s v="Ananya Bose"/>
    <n v="51"/>
    <x v="0"/>
    <s v="B+"/>
    <s v="Kolkata"/>
    <d v="2024-09-27T00:00:00"/>
    <d v="2024-10-05T00:00:00"/>
    <n v="8"/>
    <x v="5"/>
    <s v="Pneumonia"/>
    <x v="8"/>
    <s v="Physiotherapy"/>
    <x v="2"/>
    <s v="Dr. Sameer Patel"/>
    <n v="410"/>
    <s v="Private"/>
    <x v="4"/>
    <n v="79858"/>
    <n v="0"/>
    <n v="79858"/>
    <n v="67419"/>
    <n v="5784"/>
    <n v="5744"/>
    <s v="No"/>
    <n v="65"/>
    <n v="3.9"/>
    <x v="0"/>
  </r>
  <r>
    <x v="2177"/>
    <s v="Suresh Joshi"/>
    <n v="77"/>
    <x v="0"/>
    <s v="O+"/>
    <s v="Pune"/>
    <d v="2022-07-17T00:00:00"/>
    <d v="2022-07-20T00:00:00"/>
    <n v="3"/>
    <x v="3"/>
    <s v="Migraine"/>
    <x v="6"/>
    <s v="Surgery"/>
    <x v="0"/>
    <s v="Dr. Arun Nair"/>
    <n v="205"/>
    <s v="Semi-Private"/>
    <x v="4"/>
    <n v="124569"/>
    <n v="0"/>
    <n v="124569"/>
    <n v="90194"/>
    <n v="29794"/>
    <n v="2240"/>
    <s v="No"/>
    <n v="67"/>
    <n v="3.3"/>
    <x v="3"/>
  </r>
  <r>
    <x v="2178"/>
    <s v="Geeta Verma"/>
    <n v="64"/>
    <x v="0"/>
    <s v="B+"/>
    <s v="Lucknow"/>
    <d v="2024-04-11T00:00:00"/>
    <d v="2024-04-24T00:00:00"/>
    <n v="13"/>
    <x v="1"/>
    <s v="UTI"/>
    <x v="2"/>
    <s v="Surgery"/>
    <x v="1"/>
    <s v="Dr. Deepak Patel"/>
    <n v="109"/>
    <s v="Semi-Private"/>
    <x v="2"/>
    <n v="135094"/>
    <n v="104682"/>
    <n v="30412"/>
    <n v="123875"/>
    <n v="6080"/>
    <n v="3667"/>
    <s v="Yes"/>
    <n v="56"/>
    <n v="4.9000000000000004"/>
    <x v="1"/>
  </r>
  <r>
    <x v="2179"/>
    <s v="Sonia Shah"/>
    <n v="11"/>
    <x v="0"/>
    <s v="B-"/>
    <s v="Kolkata"/>
    <d v="2024-11-07T00:00:00"/>
    <d v="2024-11-18T00:00:00"/>
    <n v="11"/>
    <x v="6"/>
    <s v="Fracture"/>
    <x v="10"/>
    <s v="Radiation Therapy"/>
    <x v="0"/>
    <s v="Dr. Nisha Kumar"/>
    <n v="318"/>
    <s v="General Ward"/>
    <x v="1"/>
    <n v="143785"/>
    <n v="75026"/>
    <n v="68759"/>
    <n v="104376"/>
    <n v="28025"/>
    <n v="7257"/>
    <s v="No"/>
    <n v="48"/>
    <n v="2.6"/>
    <x v="1"/>
  </r>
  <r>
    <x v="2180"/>
    <s v="Deepa Iyer"/>
    <n v="78"/>
    <x v="0"/>
    <s v="A-"/>
    <s v="Hyderabad"/>
    <d v="2023-04-26T00:00:00"/>
    <d v="2023-05-11T00:00:00"/>
    <n v="15"/>
    <x v="4"/>
    <s v="Hypertension"/>
    <x v="7"/>
    <s v="Chemotherapy"/>
    <x v="3"/>
    <s v="Dr. Sameer Singh"/>
    <n v="311"/>
    <s v="General Ward"/>
    <x v="3"/>
    <n v="66019"/>
    <n v="49464"/>
    <n v="16555"/>
    <n v="45719"/>
    <n v="15084"/>
    <n v="3736"/>
    <s v="No"/>
    <n v="57"/>
    <n v="4.0999999999999996"/>
    <x v="1"/>
  </r>
  <r>
    <x v="2181"/>
    <s v="Vikram Joshi"/>
    <n v="23"/>
    <x v="1"/>
    <s v="B+"/>
    <s v="Hyderabad"/>
    <d v="2022-09-26T00:00:00"/>
    <d v="2022-10-17T00:00:00"/>
    <n v="21"/>
    <x v="0"/>
    <s v="Appendicitis"/>
    <x v="0"/>
    <s v="Radiation Therapy"/>
    <x v="2"/>
    <s v="Dr. Deepak Patel"/>
    <n v="343"/>
    <s v="General Ward"/>
    <x v="0"/>
    <n v="93202"/>
    <n v="49967"/>
    <n v="43235"/>
    <n v="72468"/>
    <n v="15541"/>
    <n v="3842"/>
    <s v="Yes"/>
    <n v="82"/>
    <n v="2.5"/>
    <x v="1"/>
  </r>
  <r>
    <x v="2182"/>
    <s v="Ritu Reddy"/>
    <n v="76"/>
    <x v="0"/>
    <s v="A+"/>
    <s v="Jaipur"/>
    <d v="2023-02-26T00:00:00"/>
    <d v="2023-03-06T00:00:00"/>
    <n v="8"/>
    <x v="4"/>
    <s v="Heart Attack"/>
    <x v="7"/>
    <s v="Surgery"/>
    <x v="1"/>
    <s v="Dr. Rakesh Kumar"/>
    <n v="107"/>
    <s v="Private"/>
    <x v="2"/>
    <n v="88598"/>
    <n v="72611"/>
    <n v="15987"/>
    <n v="62039"/>
    <n v="11414"/>
    <n v="11152"/>
    <s v="No"/>
    <n v="85"/>
    <n v="2.9"/>
    <x v="2"/>
  </r>
  <r>
    <x v="2183"/>
    <s v="Rahul Malhotra"/>
    <n v="14"/>
    <x v="1"/>
    <s v="AB+"/>
    <s v="Chennai"/>
    <d v="2023-02-05T00:00:00"/>
    <d v="2023-03-02T00:00:00"/>
    <n v="25"/>
    <x v="1"/>
    <s v="Kidney Stone"/>
    <x v="2"/>
    <s v="Radiation Therapy"/>
    <x v="1"/>
    <s v="Dr. Nisha Singh"/>
    <n v="444"/>
    <s v="Semi-Private"/>
    <x v="0"/>
    <n v="152853"/>
    <n v="66082"/>
    <n v="86771"/>
    <n v="137621"/>
    <n v="6451"/>
    <n v="5802"/>
    <s v="No"/>
    <n v="74"/>
    <n v="3.7"/>
    <x v="2"/>
  </r>
  <r>
    <x v="2184"/>
    <s v="Manoj Gupta"/>
    <n v="9"/>
    <x v="0"/>
    <s v="B+"/>
    <s v="Lucknow"/>
    <d v="2023-06-06T00:00:00"/>
    <d v="2023-06-17T00:00:00"/>
    <n v="11"/>
    <x v="0"/>
    <s v="Depression"/>
    <x v="5"/>
    <s v="Physiotherapy"/>
    <x v="3"/>
    <s v="Dr. Nisha Gupta"/>
    <n v="61"/>
    <s v="ICU"/>
    <x v="1"/>
    <n v="71452"/>
    <n v="49413"/>
    <n v="22039"/>
    <n v="31208"/>
    <n v="25789"/>
    <n v="9743"/>
    <s v="No"/>
    <n v="51"/>
    <n v="3.1"/>
    <x v="1"/>
  </r>
  <r>
    <x v="2185"/>
    <s v="Divya Menon"/>
    <n v="30"/>
    <x v="1"/>
    <s v="O+"/>
    <s v="Pune"/>
    <d v="2023-05-25T00:00:00"/>
    <d v="2023-06-18T00:00:00"/>
    <n v="24"/>
    <x v="0"/>
    <s v="Anemia"/>
    <x v="4"/>
    <s v="Surgery"/>
    <x v="2"/>
    <s v="Dr. Kavita Nair"/>
    <n v="495"/>
    <s v="ICU"/>
    <x v="2"/>
    <n v="89057"/>
    <n v="76109"/>
    <n v="12948"/>
    <n v="63467"/>
    <n v="14574"/>
    <n v="8134"/>
    <s v="Yes"/>
    <n v="46"/>
    <n v="3.3"/>
    <x v="3"/>
  </r>
  <r>
    <x v="2186"/>
    <s v="Amit Nair"/>
    <n v="35"/>
    <x v="1"/>
    <s v="AB-"/>
    <s v="Mumbai"/>
    <d v="2024-09-18T00:00:00"/>
    <d v="2024-10-13T00:00:00"/>
    <n v="25"/>
    <x v="2"/>
    <s v="Cancer"/>
    <x v="3"/>
    <s v="Radiation Therapy"/>
    <x v="1"/>
    <s v="Dr. Sameer Gupta"/>
    <n v="359"/>
    <s v="Private"/>
    <x v="3"/>
    <n v="34738"/>
    <n v="30881"/>
    <n v="3857"/>
    <n v="6064"/>
    <n v="14684"/>
    <n v="10420"/>
    <s v="No"/>
    <n v="51"/>
    <n v="2.2999999999999998"/>
    <x v="0"/>
  </r>
  <r>
    <x v="2187"/>
    <s v="Ashok Menon"/>
    <n v="43"/>
    <x v="1"/>
    <s v="AB+"/>
    <s v="Lucknow"/>
    <d v="2024-07-12T00:00:00"/>
    <d v="2024-07-17T00:00:00"/>
    <n v="5"/>
    <x v="0"/>
    <s v="Liver Disease"/>
    <x v="0"/>
    <s v="Radiation Therapy"/>
    <x v="2"/>
    <s v="Dr. Arun Singh"/>
    <n v="46"/>
    <s v="ICU"/>
    <x v="0"/>
    <n v="71307"/>
    <n v="42318"/>
    <n v="28989"/>
    <n v="56216"/>
    <n v="3135"/>
    <n v="10590"/>
    <s v="No"/>
    <n v="75"/>
    <n v="4.8"/>
    <x v="4"/>
  </r>
  <r>
    <x v="2188"/>
    <s v="Amit Pillai"/>
    <n v="54"/>
    <x v="0"/>
    <s v="AB-"/>
    <s v="Hyderabad"/>
    <d v="2022-01-30T00:00:00"/>
    <d v="2022-02-28T00:00:00"/>
    <n v="29"/>
    <x v="0"/>
    <s v="Appendicitis"/>
    <x v="0"/>
    <s v="Physiotherapy"/>
    <x v="3"/>
    <s v="Dr. Nisha Reddy"/>
    <n v="450"/>
    <s v="General Ward"/>
    <x v="3"/>
    <n v="118578"/>
    <n v="80414"/>
    <n v="38164"/>
    <n v="92785"/>
    <n v="11689"/>
    <n v="13595"/>
    <s v="No"/>
    <n v="67"/>
    <n v="2.2999999999999998"/>
    <x v="2"/>
  </r>
  <r>
    <x v="2189"/>
    <s v="Ritu Nair"/>
    <n v="11"/>
    <x v="1"/>
    <s v="AB-"/>
    <s v="Bangalore"/>
    <d v="2024-02-15T00:00:00"/>
    <d v="2024-03-02T00:00:00"/>
    <n v="16"/>
    <x v="0"/>
    <s v="Dengue"/>
    <x v="1"/>
    <s v="ICU Care"/>
    <x v="0"/>
    <s v="Dr. Vivek Rao"/>
    <n v="324"/>
    <s v="General Ward"/>
    <x v="1"/>
    <n v="92345"/>
    <n v="46794"/>
    <n v="45551"/>
    <n v="82141"/>
    <n v="3916"/>
    <n v="4727"/>
    <s v="No"/>
    <n v="43"/>
    <n v="3.8"/>
    <x v="4"/>
  </r>
  <r>
    <x v="2190"/>
    <s v="Suresh Khanna"/>
    <n v="12"/>
    <x v="1"/>
    <s v="O-"/>
    <s v="Pune"/>
    <d v="2022-11-25T00:00:00"/>
    <d v="2022-12-12T00:00:00"/>
    <n v="17"/>
    <x v="6"/>
    <s v="Arthritis"/>
    <x v="11"/>
    <s v="Chemotherapy"/>
    <x v="1"/>
    <s v="Dr. Kavita Mehta"/>
    <n v="317"/>
    <s v="ICU"/>
    <x v="3"/>
    <n v="164244"/>
    <n v="108533"/>
    <n v="55711"/>
    <n v="139150"/>
    <n v="8083"/>
    <n v="13983"/>
    <s v="No"/>
    <n v="84"/>
    <n v="4"/>
    <x v="1"/>
  </r>
  <r>
    <x v="2191"/>
    <s v="Divya Iyer"/>
    <n v="18"/>
    <x v="0"/>
    <s v="AB-"/>
    <s v="Kolkata"/>
    <d v="2023-05-22T00:00:00"/>
    <d v="2023-06-08T00:00:00"/>
    <n v="17"/>
    <x v="1"/>
    <s v="Kidney Stone"/>
    <x v="2"/>
    <s v="Observation"/>
    <x v="2"/>
    <s v="Dr. Sameer Kumar"/>
    <n v="365"/>
    <s v="Private"/>
    <x v="0"/>
    <n v="165816"/>
    <n v="87266"/>
    <n v="78550"/>
    <n v="132857"/>
    <n v="23685"/>
    <n v="7168"/>
    <s v="No"/>
    <n v="71"/>
    <n v="2.2999999999999998"/>
    <x v="4"/>
  </r>
  <r>
    <x v="2192"/>
    <s v="Lata Kumar"/>
    <n v="60"/>
    <x v="0"/>
    <s v="B-"/>
    <s v="Pune"/>
    <d v="2023-11-13T00:00:00"/>
    <d v="2023-11-25T00:00:00"/>
    <n v="12"/>
    <x v="3"/>
    <s v="Stroke"/>
    <x v="6"/>
    <s v="Dialysis"/>
    <x v="3"/>
    <s v="Dr. Arun Joshi"/>
    <n v="341"/>
    <s v="Private"/>
    <x v="1"/>
    <n v="69290"/>
    <n v="36301"/>
    <n v="32989"/>
    <n v="38676"/>
    <n v="20887"/>
    <n v="4819"/>
    <s v="No"/>
    <n v="43"/>
    <n v="3.8"/>
    <x v="4"/>
  </r>
  <r>
    <x v="2193"/>
    <s v="Manoj Gupta"/>
    <n v="71"/>
    <x v="0"/>
    <s v="O-"/>
    <s v="Hyderabad"/>
    <d v="2022-09-06T00:00:00"/>
    <d v="2022-09-21T00:00:00"/>
    <n v="15"/>
    <x v="0"/>
    <s v="Obesity"/>
    <x v="12"/>
    <s v="Dietary Management"/>
    <x v="3"/>
    <s v="Dr. Kavita Patel"/>
    <n v="160"/>
    <s v="General Ward"/>
    <x v="4"/>
    <n v="58887"/>
    <n v="0"/>
    <n v="58887"/>
    <n v="46651"/>
    <n v="3333"/>
    <n v="6336"/>
    <s v="No"/>
    <n v="95"/>
    <n v="4.9000000000000004"/>
    <x v="3"/>
  </r>
  <r>
    <x v="2194"/>
    <s v="Sanjay Chopra"/>
    <n v="64"/>
    <x v="0"/>
    <s v="B+"/>
    <s v="Hyderabad"/>
    <d v="2022-10-20T00:00:00"/>
    <d v="2022-11-07T00:00:00"/>
    <n v="18"/>
    <x v="1"/>
    <s v="Kidney Stone"/>
    <x v="2"/>
    <s v="Dialysis"/>
    <x v="1"/>
    <s v="Dr. Rakesh Sharma"/>
    <n v="486"/>
    <s v="Private"/>
    <x v="0"/>
    <n v="170096"/>
    <n v="118650"/>
    <n v="51446"/>
    <n v="132109"/>
    <n v="21860"/>
    <n v="11816"/>
    <s v="No"/>
    <n v="52"/>
    <n v="3.1"/>
    <x v="4"/>
  </r>
  <r>
    <x v="2195"/>
    <s v="Pooja Chopra"/>
    <n v="34"/>
    <x v="1"/>
    <s v="AB-"/>
    <s v="Ahmedabad"/>
    <d v="2024-09-27T00:00:00"/>
    <d v="2024-10-08T00:00:00"/>
    <n v="11"/>
    <x v="6"/>
    <s v="Fracture"/>
    <x v="10"/>
    <s v="Dietary Management"/>
    <x v="1"/>
    <s v="Dr. Vivek Kumar"/>
    <n v="393"/>
    <s v="General Ward"/>
    <x v="1"/>
    <n v="91307"/>
    <n v="59164"/>
    <n v="32143"/>
    <n v="79172"/>
    <n v="1757"/>
    <n v="8489"/>
    <s v="No"/>
    <n v="57"/>
    <n v="4.9000000000000004"/>
    <x v="4"/>
  </r>
  <r>
    <x v="2196"/>
    <s v="Sneha Shah"/>
    <n v="10"/>
    <x v="0"/>
    <s v="A-"/>
    <s v="Delhi"/>
    <d v="2024-10-19T00:00:00"/>
    <d v="2024-10-21T00:00:00"/>
    <n v="2"/>
    <x v="6"/>
    <s v="Arthritis"/>
    <x v="11"/>
    <s v="Dietary Management"/>
    <x v="2"/>
    <s v="Dr. Sameer Sharma"/>
    <n v="301"/>
    <s v="Semi-Private"/>
    <x v="4"/>
    <n v="68079"/>
    <n v="0"/>
    <n v="68079"/>
    <n v="28079"/>
    <n v="25807"/>
    <n v="11968"/>
    <s v="No"/>
    <n v="40"/>
    <n v="2.5"/>
    <x v="1"/>
  </r>
  <r>
    <x v="2197"/>
    <s v="Priya Singh"/>
    <n v="16"/>
    <x v="0"/>
    <s v="AB-"/>
    <s v="Hyderabad"/>
    <d v="2024-07-01T00:00:00"/>
    <d v="2024-07-07T00:00:00"/>
    <n v="6"/>
    <x v="0"/>
    <s v="Liver Disease"/>
    <x v="0"/>
    <s v="Medication"/>
    <x v="3"/>
    <s v="Dr. Nisha Kumar"/>
    <n v="65"/>
    <s v="Semi-Private"/>
    <x v="3"/>
    <n v="156880"/>
    <n v="106010"/>
    <n v="50870"/>
    <n v="137125"/>
    <n v="7153"/>
    <n v="11874"/>
    <s v="No"/>
    <n v="71"/>
    <n v="3"/>
    <x v="1"/>
  </r>
  <r>
    <x v="2198"/>
    <s v="Amit Chopra"/>
    <n v="74"/>
    <x v="0"/>
    <s v="O+"/>
    <s v="Bangalore"/>
    <d v="2024-02-22T00:00:00"/>
    <d v="2024-03-01T00:00:00"/>
    <n v="8"/>
    <x v="3"/>
    <s v="Stroke"/>
    <x v="6"/>
    <s v="Chemotherapy"/>
    <x v="3"/>
    <s v="Dr. Vivek Kumar"/>
    <n v="34"/>
    <s v="General Ward"/>
    <x v="0"/>
    <n v="105377"/>
    <n v="59827"/>
    <n v="45550"/>
    <n v="81272"/>
    <n v="19397"/>
    <n v="3774"/>
    <s v="No"/>
    <n v="53"/>
    <n v="2.1"/>
    <x v="4"/>
  </r>
  <r>
    <x v="2199"/>
    <s v="Lata Patel"/>
    <n v="56"/>
    <x v="0"/>
    <s v="O+"/>
    <s v="Lucknow"/>
    <d v="2022-03-26T00:00:00"/>
    <d v="2022-04-02T00:00:00"/>
    <n v="7"/>
    <x v="1"/>
    <s v="Kidney Stone"/>
    <x v="2"/>
    <s v="Chemotherapy"/>
    <x v="3"/>
    <s v="Dr. Prerna Gupta"/>
    <n v="350"/>
    <s v="ICU"/>
    <x v="0"/>
    <n v="83459"/>
    <n v="56801"/>
    <n v="26658"/>
    <n v="58448"/>
    <n v="10329"/>
    <n v="12268"/>
    <s v="No"/>
    <n v="42"/>
    <n v="4.9000000000000004"/>
    <x v="4"/>
  </r>
  <r>
    <x v="2200"/>
    <s v="Sneha Pillai"/>
    <n v="24"/>
    <x v="1"/>
    <s v="B+"/>
    <s v="Delhi"/>
    <d v="2024-02-24T00:00:00"/>
    <d v="2024-03-17T00:00:00"/>
    <n v="22"/>
    <x v="4"/>
    <s v="Hypertension"/>
    <x v="7"/>
    <s v="Chemotherapy"/>
    <x v="2"/>
    <s v="Dr. Kavita Patel"/>
    <n v="271"/>
    <s v="ICU"/>
    <x v="3"/>
    <n v="159058"/>
    <n v="126996"/>
    <n v="32062"/>
    <n v="141584"/>
    <n v="4718"/>
    <n v="11561"/>
    <s v="No"/>
    <n v="74"/>
    <n v="4.4000000000000004"/>
    <x v="3"/>
  </r>
  <r>
    <x v="2201"/>
    <s v="Vikram Reddy"/>
    <n v="74"/>
    <x v="1"/>
    <s v="AB+"/>
    <s v="Lucknow"/>
    <d v="2024-09-09T00:00:00"/>
    <d v="2024-10-09T00:00:00"/>
    <n v="30"/>
    <x v="4"/>
    <s v="Hypertension"/>
    <x v="7"/>
    <s v="ICU Care"/>
    <x v="0"/>
    <s v="Dr. Shalini Kumar"/>
    <n v="123"/>
    <s v="Private"/>
    <x v="3"/>
    <n v="108347"/>
    <n v="94376"/>
    <n v="13971"/>
    <n v="86162"/>
    <n v="9861"/>
    <n v="11302"/>
    <s v="No"/>
    <n v="83"/>
    <n v="2.6"/>
    <x v="1"/>
  </r>
  <r>
    <x v="2202"/>
    <s v="Sonia Malhotra"/>
    <n v="28"/>
    <x v="0"/>
    <s v="B-"/>
    <s v="Lucknow"/>
    <d v="2024-03-14T00:00:00"/>
    <d v="2024-03-20T00:00:00"/>
    <n v="6"/>
    <x v="1"/>
    <s v="UTI"/>
    <x v="2"/>
    <s v="Physiotherapy"/>
    <x v="2"/>
    <s v="Dr. Deepak Singh"/>
    <n v="496"/>
    <s v="Semi-Private"/>
    <x v="2"/>
    <n v="79017"/>
    <n v="62179"/>
    <n v="16838"/>
    <n v="64107"/>
    <n v="3304"/>
    <n v="8280"/>
    <s v="No"/>
    <n v="40"/>
    <n v="3.8"/>
    <x v="0"/>
  </r>
  <r>
    <x v="2203"/>
    <s v="Rajesh Sharma"/>
    <n v="29"/>
    <x v="0"/>
    <s v="AB-"/>
    <s v="Bangalore"/>
    <d v="2024-12-03T00:00:00"/>
    <d v="2024-12-31T00:00:00"/>
    <n v="28"/>
    <x v="3"/>
    <s v="Migraine"/>
    <x v="6"/>
    <s v="Chemotherapy"/>
    <x v="3"/>
    <s v="Dr. Kavita Rao"/>
    <n v="487"/>
    <s v="General Ward"/>
    <x v="2"/>
    <n v="150943"/>
    <n v="100821"/>
    <n v="50122"/>
    <n v="105386"/>
    <n v="28857"/>
    <n v="12262"/>
    <s v="No"/>
    <n v="73"/>
    <n v="2.6"/>
    <x v="4"/>
  </r>
  <r>
    <x v="2204"/>
    <s v="Amit Mehta"/>
    <n v="42"/>
    <x v="1"/>
    <s v="B+"/>
    <s v="Hyderabad"/>
    <d v="2024-03-08T00:00:00"/>
    <d v="2024-03-21T00:00:00"/>
    <n v="13"/>
    <x v="6"/>
    <s v="Arthritis"/>
    <x v="11"/>
    <s v="Dietary Management"/>
    <x v="2"/>
    <s v="Dr. Kavita Nair"/>
    <n v="186"/>
    <s v="Private"/>
    <x v="4"/>
    <n v="56927"/>
    <n v="0"/>
    <n v="56927"/>
    <n v="52820"/>
    <n v="1891"/>
    <n v="1703"/>
    <s v="No"/>
    <n v="47"/>
    <n v="4.9000000000000004"/>
    <x v="1"/>
  </r>
  <r>
    <x v="2205"/>
    <s v="Sunita Rao"/>
    <n v="43"/>
    <x v="0"/>
    <s v="O+"/>
    <s v="Ahmedabad"/>
    <d v="2022-10-17T00:00:00"/>
    <d v="2022-10-18T00:00:00"/>
    <n v="1"/>
    <x v="0"/>
    <s v="COVID-19"/>
    <x v="1"/>
    <s v="Medication"/>
    <x v="3"/>
    <s v="Dr. Prerna Nair"/>
    <n v="439"/>
    <s v="ICU"/>
    <x v="2"/>
    <n v="82319"/>
    <n v="51927"/>
    <n v="30392"/>
    <n v="54487"/>
    <n v="23233"/>
    <n v="2706"/>
    <s v="No"/>
    <n v="69"/>
    <n v="3"/>
    <x v="0"/>
  </r>
  <r>
    <x v="2206"/>
    <s v="Priya Gupta"/>
    <n v="49"/>
    <x v="0"/>
    <s v="B-"/>
    <s v="Lucknow"/>
    <d v="2022-06-02T00:00:00"/>
    <d v="2022-06-03T00:00:00"/>
    <n v="1"/>
    <x v="3"/>
    <s v="Stroke"/>
    <x v="6"/>
    <s v="Medication"/>
    <x v="3"/>
    <s v="Dr. Prerna Sharma"/>
    <n v="118"/>
    <s v="ICU"/>
    <x v="0"/>
    <n v="166743"/>
    <n v="116083"/>
    <n v="50660"/>
    <n v="138221"/>
    <n v="25967"/>
    <n v="1607"/>
    <s v="No"/>
    <n v="96"/>
    <n v="3.8"/>
    <x v="2"/>
  </r>
  <r>
    <x v="2207"/>
    <s v="Divya Verma"/>
    <n v="62"/>
    <x v="0"/>
    <s v="O-"/>
    <s v="Delhi"/>
    <d v="2022-11-15T00:00:00"/>
    <d v="2022-11-29T00:00:00"/>
    <n v="14"/>
    <x v="3"/>
    <s v="Stroke"/>
    <x v="6"/>
    <s v="Medication"/>
    <x v="1"/>
    <s v="Dr. Anjali Rao"/>
    <n v="219"/>
    <s v="Semi-Private"/>
    <x v="0"/>
    <n v="43419"/>
    <n v="21913"/>
    <n v="21506"/>
    <n v="11054"/>
    <n v="27108"/>
    <n v="3460"/>
    <s v="No"/>
    <n v="67"/>
    <n v="3.3"/>
    <x v="0"/>
  </r>
  <r>
    <x v="2208"/>
    <s v="Divya Menon"/>
    <n v="27"/>
    <x v="1"/>
    <s v="B+"/>
    <s v="Ahmedabad"/>
    <d v="2023-08-09T00:00:00"/>
    <d v="2023-08-23T00:00:00"/>
    <n v="14"/>
    <x v="4"/>
    <s v="Heart Attack"/>
    <x v="7"/>
    <s v="Chemotherapy"/>
    <x v="2"/>
    <s v="Dr. Rakesh Kumar"/>
    <n v="296"/>
    <s v="Private"/>
    <x v="1"/>
    <n v="87569"/>
    <n v="60299"/>
    <n v="27270"/>
    <n v="51421"/>
    <n v="21938"/>
    <n v="10700"/>
    <s v="No"/>
    <n v="65"/>
    <n v="2.5"/>
    <x v="0"/>
  </r>
  <r>
    <x v="2209"/>
    <s v="Ananya Menon"/>
    <n v="46"/>
    <x v="1"/>
    <s v="O+"/>
    <s v="Hyderabad"/>
    <d v="2022-06-03T00:00:00"/>
    <d v="2022-06-28T00:00:00"/>
    <n v="25"/>
    <x v="1"/>
    <s v="UTI"/>
    <x v="2"/>
    <s v="ICU Care"/>
    <x v="2"/>
    <s v="Dr. Anjali Joshi"/>
    <n v="434"/>
    <s v="Semi-Private"/>
    <x v="3"/>
    <n v="73635"/>
    <n v="61183"/>
    <n v="12452"/>
    <n v="50973"/>
    <n v="12431"/>
    <n v="7339"/>
    <s v="No"/>
    <n v="67"/>
    <n v="4.7"/>
    <x v="4"/>
  </r>
  <r>
    <x v="2210"/>
    <s v="Pooja Khanna"/>
    <n v="79"/>
    <x v="0"/>
    <s v="O-"/>
    <s v="Ahmedabad"/>
    <d v="2024-09-22T00:00:00"/>
    <d v="2024-10-16T00:00:00"/>
    <n v="24"/>
    <x v="4"/>
    <s v="Hypertension"/>
    <x v="7"/>
    <s v="Surgery"/>
    <x v="0"/>
    <s v="Dr. Nisha Sharma"/>
    <n v="203"/>
    <s v="ICU"/>
    <x v="1"/>
    <n v="141508"/>
    <n v="59431"/>
    <n v="82077"/>
    <n v="113411"/>
    <n v="10176"/>
    <n v="14660"/>
    <s v="No"/>
    <n v="81"/>
    <n v="2"/>
    <x v="0"/>
  </r>
  <r>
    <x v="2211"/>
    <s v="Vikram Verma"/>
    <n v="57"/>
    <x v="0"/>
    <s v="A+"/>
    <s v="Hyderabad"/>
    <d v="2022-12-06T00:00:00"/>
    <d v="2022-12-20T00:00:00"/>
    <n v="14"/>
    <x v="5"/>
    <s v="Asthma"/>
    <x v="8"/>
    <s v="Dietary Management"/>
    <x v="0"/>
    <s v="Dr. Shalini Kumar"/>
    <n v="24"/>
    <s v="General Ward"/>
    <x v="4"/>
    <n v="138332"/>
    <n v="0"/>
    <n v="138332"/>
    <n v="109183"/>
    <n v="14344"/>
    <n v="14250"/>
    <s v="No"/>
    <n v="80"/>
    <n v="3.2"/>
    <x v="0"/>
  </r>
  <r>
    <x v="2212"/>
    <s v="Manoj Joshi"/>
    <n v="69"/>
    <x v="0"/>
    <s v="A+"/>
    <s v="Hyderabad"/>
    <d v="2022-07-29T00:00:00"/>
    <d v="2022-08-12T00:00:00"/>
    <n v="14"/>
    <x v="5"/>
    <s v="Pneumonia"/>
    <x v="8"/>
    <s v="ICU Care"/>
    <x v="1"/>
    <s v="Dr. Sameer Sharma"/>
    <n v="328"/>
    <s v="Semi-Private"/>
    <x v="0"/>
    <n v="103758"/>
    <n v="65345"/>
    <n v="38413"/>
    <n v="92721"/>
    <n v="6727"/>
    <n v="2300"/>
    <s v="No"/>
    <n v="75"/>
    <n v="2"/>
    <x v="0"/>
  </r>
  <r>
    <x v="2213"/>
    <s v="Ashok Rao"/>
    <n v="38"/>
    <x v="0"/>
    <s v="B+"/>
    <s v="Ahmedabad"/>
    <d v="2024-02-14T00:00:00"/>
    <d v="2024-02-22T00:00:00"/>
    <n v="8"/>
    <x v="0"/>
    <s v="Dengue"/>
    <x v="1"/>
    <s v="Dialysis"/>
    <x v="0"/>
    <s v="Dr. Rakesh Rao"/>
    <n v="437"/>
    <s v="ICU"/>
    <x v="2"/>
    <n v="114246"/>
    <n v="91611"/>
    <n v="22635"/>
    <n v="87605"/>
    <n v="22966"/>
    <n v="2098"/>
    <s v="No"/>
    <n v="57"/>
    <n v="3.1"/>
    <x v="0"/>
  </r>
  <r>
    <x v="2214"/>
    <s v="Divya Reddy"/>
    <n v="74"/>
    <x v="0"/>
    <s v="B-"/>
    <s v="Chennai"/>
    <d v="2023-11-10T00:00:00"/>
    <d v="2023-11-27T00:00:00"/>
    <n v="17"/>
    <x v="1"/>
    <s v="UTI"/>
    <x v="2"/>
    <s v="Dietary Management"/>
    <x v="1"/>
    <s v="Dr. Vivek Rao"/>
    <n v="178"/>
    <s v="Semi-Private"/>
    <x v="4"/>
    <n v="106816"/>
    <n v="0"/>
    <n v="106816"/>
    <n v="94062"/>
    <n v="5690"/>
    <n v="2686"/>
    <s v="No"/>
    <n v="60"/>
    <n v="2.2000000000000002"/>
    <x v="3"/>
  </r>
  <r>
    <x v="2215"/>
    <s v="Sanjay Patel"/>
    <n v="13"/>
    <x v="1"/>
    <s v="AB-"/>
    <s v="Hyderabad"/>
    <d v="2024-07-25T00:00:00"/>
    <d v="2024-08-02T00:00:00"/>
    <n v="8"/>
    <x v="6"/>
    <s v="Fracture"/>
    <x v="10"/>
    <s v="Surgery"/>
    <x v="3"/>
    <s v="Dr. Shalini Joshi"/>
    <n v="123"/>
    <s v="Semi-Private"/>
    <x v="3"/>
    <n v="41851"/>
    <n v="36778"/>
    <n v="5073"/>
    <n v="11673"/>
    <n v="19498"/>
    <n v="9392"/>
    <s v="Yes"/>
    <n v="82"/>
    <n v="2"/>
    <x v="1"/>
  </r>
  <r>
    <x v="2216"/>
    <s v="Divya Chopra"/>
    <n v="18"/>
    <x v="0"/>
    <s v="O+"/>
    <s v="Mumbai"/>
    <d v="2022-02-27T00:00:00"/>
    <d v="2022-03-27T00:00:00"/>
    <n v="28"/>
    <x v="1"/>
    <s v="Kidney Stone"/>
    <x v="2"/>
    <s v="Radiation Therapy"/>
    <x v="3"/>
    <s v="Dr. Deepak Reddy"/>
    <n v="135"/>
    <s v="Private"/>
    <x v="4"/>
    <n v="85545"/>
    <n v="0"/>
    <n v="85545"/>
    <n v="76447"/>
    <n v="6506"/>
    <n v="1958"/>
    <s v="No"/>
    <n v="50"/>
    <n v="2.1"/>
    <x v="0"/>
  </r>
  <r>
    <x v="2217"/>
    <s v="Mukesh Rao"/>
    <n v="16"/>
    <x v="1"/>
    <s v="AB+"/>
    <s v="Pune"/>
    <d v="2023-07-10T00:00:00"/>
    <d v="2023-07-29T00:00:00"/>
    <n v="19"/>
    <x v="0"/>
    <s v="Diabetes Type 2"/>
    <x v="9"/>
    <s v="Counseling"/>
    <x v="0"/>
    <s v="Dr. Sameer Kumar"/>
    <n v="169"/>
    <s v="General Ward"/>
    <x v="4"/>
    <n v="98865"/>
    <n v="0"/>
    <n v="98865"/>
    <n v="86482"/>
    <n v="4913"/>
    <n v="5981"/>
    <s v="No"/>
    <n v="76"/>
    <n v="2.6"/>
    <x v="1"/>
  </r>
  <r>
    <x v="2218"/>
    <s v="Ashok Malhotra"/>
    <n v="64"/>
    <x v="1"/>
    <s v="AB-"/>
    <s v="Lucknow"/>
    <d v="2024-02-16T00:00:00"/>
    <d v="2024-03-09T00:00:00"/>
    <n v="22"/>
    <x v="4"/>
    <s v="Hypertension"/>
    <x v="7"/>
    <s v="Surgery"/>
    <x v="0"/>
    <s v="Dr. Shalini Singh"/>
    <n v="58"/>
    <s v="Semi-Private"/>
    <x v="4"/>
    <n v="56822"/>
    <n v="0"/>
    <n v="56822"/>
    <n v="31365"/>
    <n v="6630"/>
    <n v="13888"/>
    <s v="No"/>
    <n v="95"/>
    <n v="3.7"/>
    <x v="4"/>
  </r>
  <r>
    <x v="2219"/>
    <s v="Rekha Menon"/>
    <n v="45"/>
    <x v="0"/>
    <s v="O-"/>
    <s v="Jaipur"/>
    <d v="2022-11-24T00:00:00"/>
    <d v="2022-12-10T00:00:00"/>
    <n v="16"/>
    <x v="0"/>
    <s v="COVID-19"/>
    <x v="1"/>
    <s v="Observation"/>
    <x v="2"/>
    <s v="Dr. Sameer Joshi"/>
    <n v="307"/>
    <s v="General Ward"/>
    <x v="4"/>
    <n v="140429"/>
    <n v="0"/>
    <n v="140429"/>
    <n v="106885"/>
    <n v="19459"/>
    <n v="11523"/>
    <s v="No"/>
    <n v="67"/>
    <n v="4.7"/>
    <x v="0"/>
  </r>
  <r>
    <x v="2220"/>
    <s v="Rajesh Joshi"/>
    <n v="68"/>
    <x v="0"/>
    <s v="A-"/>
    <s v="Mumbai"/>
    <d v="2022-01-23T00:00:00"/>
    <d v="2022-01-29T00:00:00"/>
    <n v="6"/>
    <x v="2"/>
    <s v="Cancer"/>
    <x v="3"/>
    <s v="Surgery"/>
    <x v="2"/>
    <s v="Dr. Arun Rao"/>
    <n v="391"/>
    <s v="Private"/>
    <x v="4"/>
    <n v="131250"/>
    <n v="0"/>
    <n v="131250"/>
    <n v="105595"/>
    <n v="20121"/>
    <n v="2296"/>
    <s v="No"/>
    <n v="70"/>
    <n v="2.6"/>
    <x v="1"/>
  </r>
  <r>
    <x v="2221"/>
    <s v="Divya Nair"/>
    <n v="29"/>
    <x v="0"/>
    <s v="AB+"/>
    <s v="Chennai"/>
    <d v="2023-02-23T00:00:00"/>
    <d v="2023-03-11T00:00:00"/>
    <n v="16"/>
    <x v="1"/>
    <s v="Kidney Stone"/>
    <x v="2"/>
    <s v="Counseling"/>
    <x v="3"/>
    <s v="Dr. Shalini Patel"/>
    <n v="125"/>
    <s v="ICU"/>
    <x v="1"/>
    <n v="167050"/>
    <n v="94943"/>
    <n v="72107"/>
    <n v="135550"/>
    <n v="29531"/>
    <n v="544"/>
    <s v="Yes"/>
    <n v="90"/>
    <n v="4"/>
    <x v="3"/>
  </r>
  <r>
    <x v="2222"/>
    <s v="Sneha Reddy"/>
    <n v="34"/>
    <x v="0"/>
    <s v="O-"/>
    <s v="Bangalore"/>
    <d v="2023-03-03T00:00:00"/>
    <d v="2023-03-10T00:00:00"/>
    <n v="7"/>
    <x v="0"/>
    <s v="Appendicitis"/>
    <x v="0"/>
    <s v="Chemotherapy"/>
    <x v="2"/>
    <s v="Dr. Rakesh Patel"/>
    <n v="323"/>
    <s v="ICU"/>
    <x v="2"/>
    <n v="170988"/>
    <n v="110008"/>
    <n v="60980"/>
    <n v="126978"/>
    <n v="29779"/>
    <n v="12926"/>
    <s v="No"/>
    <n v="89"/>
    <n v="3.8"/>
    <x v="2"/>
  </r>
  <r>
    <x v="2223"/>
    <s v="Kavya Das"/>
    <n v="67"/>
    <x v="1"/>
    <s v="A-"/>
    <s v="Chennai"/>
    <d v="2022-12-19T00:00:00"/>
    <d v="2022-12-25T00:00:00"/>
    <n v="6"/>
    <x v="0"/>
    <s v="Diabetes Type 2"/>
    <x v="9"/>
    <s v="Physiotherapy"/>
    <x v="2"/>
    <s v="Dr. Arun Singh"/>
    <n v="145"/>
    <s v="Private"/>
    <x v="0"/>
    <n v="107964"/>
    <n v="59863"/>
    <n v="48101"/>
    <n v="88376"/>
    <n v="4677"/>
    <n v="10391"/>
    <s v="No"/>
    <n v="75"/>
    <n v="2.2999999999999998"/>
    <x v="1"/>
  </r>
  <r>
    <x v="2224"/>
    <s v="Sanjay Shah"/>
    <n v="65"/>
    <x v="1"/>
    <s v="A+"/>
    <s v="Hyderabad"/>
    <d v="2022-10-17T00:00:00"/>
    <d v="2022-11-08T00:00:00"/>
    <n v="22"/>
    <x v="0"/>
    <s v="Dengue"/>
    <x v="1"/>
    <s v="Dietary Management"/>
    <x v="1"/>
    <s v="Dr. Arun Mehta"/>
    <n v="262"/>
    <s v="Private"/>
    <x v="0"/>
    <n v="64233"/>
    <n v="35300"/>
    <n v="28933"/>
    <n v="39894"/>
    <n v="10010"/>
    <n v="13031"/>
    <s v="No"/>
    <n v="74"/>
    <n v="4.4000000000000004"/>
    <x v="2"/>
  </r>
  <r>
    <x v="2225"/>
    <s v="Rekha Kumar"/>
    <n v="35"/>
    <x v="0"/>
    <s v="AB-"/>
    <s v="Hyderabad"/>
    <d v="2023-03-06T00:00:00"/>
    <d v="2023-03-15T00:00:00"/>
    <n v="9"/>
    <x v="0"/>
    <s v="Diabetes Type 2"/>
    <x v="9"/>
    <s v="Medication"/>
    <x v="3"/>
    <s v="Dr. Anjali Rao"/>
    <n v="88"/>
    <s v="Private"/>
    <x v="2"/>
    <n v="150532"/>
    <n v="131944"/>
    <n v="18588"/>
    <n v="135551"/>
    <n v="8314"/>
    <n v="4153"/>
    <s v="No"/>
    <n v="54"/>
    <n v="3.2"/>
    <x v="2"/>
  </r>
  <r>
    <x v="2226"/>
    <s v="Vijay Joshi"/>
    <n v="11"/>
    <x v="1"/>
    <s v="O-"/>
    <s v="Bangalore"/>
    <d v="2024-09-23T00:00:00"/>
    <d v="2024-10-13T00:00:00"/>
    <n v="20"/>
    <x v="0"/>
    <s v="Anemia"/>
    <x v="4"/>
    <s v="ICU Care"/>
    <x v="3"/>
    <s v="Dr. Vivek Mehta"/>
    <n v="42"/>
    <s v="General Ward"/>
    <x v="3"/>
    <n v="136513"/>
    <n v="98988"/>
    <n v="37525"/>
    <n v="123406"/>
    <n v="1284"/>
    <n v="10885"/>
    <s v="Yes"/>
    <n v="48"/>
    <n v="4.8"/>
    <x v="2"/>
  </r>
  <r>
    <x v="2227"/>
    <s v="Rohan Sharma"/>
    <n v="63"/>
    <x v="0"/>
    <s v="AB+"/>
    <s v="Hyderabad"/>
    <d v="2023-11-23T00:00:00"/>
    <d v="2023-12-15T00:00:00"/>
    <n v="22"/>
    <x v="3"/>
    <s v="Stroke"/>
    <x v="6"/>
    <s v="Physiotherapy"/>
    <x v="2"/>
    <s v="Dr. Prerna Reddy"/>
    <n v="455"/>
    <s v="Private"/>
    <x v="2"/>
    <n v="42905"/>
    <n v="29042"/>
    <n v="13863"/>
    <n v="31322"/>
    <n v="4436"/>
    <n v="4429"/>
    <s v="No"/>
    <n v="74"/>
    <n v="4.8"/>
    <x v="0"/>
  </r>
  <r>
    <x v="2228"/>
    <s v="Amit Sharma"/>
    <n v="80"/>
    <x v="1"/>
    <s v="A-"/>
    <s v="Jaipur"/>
    <d v="2023-08-08T00:00:00"/>
    <d v="2023-08-25T00:00:00"/>
    <n v="17"/>
    <x v="0"/>
    <s v="Obesity"/>
    <x v="12"/>
    <s v="Dialysis"/>
    <x v="3"/>
    <s v="Dr. Rakesh Rao"/>
    <n v="143"/>
    <s v="ICU"/>
    <x v="0"/>
    <n v="117719"/>
    <n v="70351"/>
    <n v="47368"/>
    <n v="97222"/>
    <n v="10658"/>
    <n v="8138"/>
    <s v="No"/>
    <n v="58"/>
    <n v="3.5"/>
    <x v="1"/>
  </r>
  <r>
    <x v="2229"/>
    <s v="Vikram Kumar"/>
    <n v="62"/>
    <x v="0"/>
    <s v="AB+"/>
    <s v="Chennai"/>
    <d v="2023-06-11T00:00:00"/>
    <d v="2023-06-30T00:00:00"/>
    <n v="19"/>
    <x v="4"/>
    <s v="Hypertension"/>
    <x v="7"/>
    <s v="Observation"/>
    <x v="3"/>
    <s v="Dr. Prerna Singh"/>
    <n v="155"/>
    <s v="Private"/>
    <x v="4"/>
    <n v="156098"/>
    <n v="0"/>
    <n v="156098"/>
    <n v="115269"/>
    <n v="23733"/>
    <n v="13622"/>
    <s v="No"/>
    <n v="73"/>
    <n v="2.2000000000000002"/>
    <x v="1"/>
  </r>
  <r>
    <x v="2230"/>
    <s v="Geeta Verma"/>
    <n v="25"/>
    <x v="0"/>
    <s v="B+"/>
    <s v="Jaipur"/>
    <d v="2024-11-12T00:00:00"/>
    <d v="2024-11-30T00:00:00"/>
    <n v="18"/>
    <x v="3"/>
    <s v="Migraine"/>
    <x v="6"/>
    <s v="Observation"/>
    <x v="3"/>
    <s v="Dr. Arun Nair"/>
    <n v="313"/>
    <s v="Semi-Private"/>
    <x v="2"/>
    <n v="85584"/>
    <n v="75188"/>
    <n v="10396"/>
    <n v="70536"/>
    <n v="8806"/>
    <n v="1846"/>
    <s v="No"/>
    <n v="44"/>
    <n v="2.7"/>
    <x v="0"/>
  </r>
  <r>
    <x v="2231"/>
    <s v="Sneha Reddy"/>
    <n v="60"/>
    <x v="0"/>
    <s v="O-"/>
    <s v="Hyderabad"/>
    <d v="2024-12-15T00:00:00"/>
    <d v="2024-12-23T00:00:00"/>
    <n v="8"/>
    <x v="0"/>
    <s v="Liver Disease"/>
    <x v="0"/>
    <s v="Radiation Therapy"/>
    <x v="0"/>
    <s v="Dr. Anjali Mehta"/>
    <n v="384"/>
    <s v="ICU"/>
    <x v="2"/>
    <n v="125080"/>
    <n v="81173"/>
    <n v="43907"/>
    <n v="99909"/>
    <n v="9236"/>
    <n v="14194"/>
    <s v="Yes"/>
    <n v="60"/>
    <n v="4.9000000000000004"/>
    <x v="3"/>
  </r>
  <r>
    <x v="2232"/>
    <s v="Manoj Mehta"/>
    <n v="72"/>
    <x v="1"/>
    <s v="O+"/>
    <s v="Delhi"/>
    <d v="2023-01-17T00:00:00"/>
    <d v="2023-01-27T00:00:00"/>
    <n v="10"/>
    <x v="0"/>
    <s v="Typhoid"/>
    <x v="1"/>
    <s v="Physiotherapy"/>
    <x v="2"/>
    <s v="Dr. Anjali Mehta"/>
    <n v="23"/>
    <s v="ICU"/>
    <x v="4"/>
    <n v="55422"/>
    <n v="0"/>
    <n v="55422"/>
    <n v="23045"/>
    <n v="20634"/>
    <n v="8413"/>
    <s v="No"/>
    <n v="70"/>
    <n v="2.1"/>
    <x v="3"/>
  </r>
  <r>
    <x v="2233"/>
    <s v="Rekha Khanna"/>
    <n v="35"/>
    <x v="1"/>
    <s v="B-"/>
    <s v="Lucknow"/>
    <d v="2024-09-29T00:00:00"/>
    <d v="2024-10-14T00:00:00"/>
    <n v="15"/>
    <x v="3"/>
    <s v="Stroke"/>
    <x v="6"/>
    <s v="ICU Care"/>
    <x v="2"/>
    <s v="Dr. Prerna Sharma"/>
    <n v="272"/>
    <s v="Private"/>
    <x v="1"/>
    <n v="88102"/>
    <n v="44660"/>
    <n v="43442"/>
    <n v="54594"/>
    <n v="21976"/>
    <n v="8037"/>
    <s v="No"/>
    <n v="97"/>
    <n v="4.4000000000000004"/>
    <x v="2"/>
  </r>
  <r>
    <x v="2234"/>
    <s v="Pooja Reddy"/>
    <n v="25"/>
    <x v="1"/>
    <s v="O+"/>
    <s v="Pune"/>
    <d v="2022-07-24T00:00:00"/>
    <d v="2022-08-17T00:00:00"/>
    <n v="24"/>
    <x v="0"/>
    <s v="Diabetes Type 2"/>
    <x v="9"/>
    <s v="Counseling"/>
    <x v="3"/>
    <s v="Dr. Deepak Rao"/>
    <n v="362"/>
    <s v="General Ward"/>
    <x v="1"/>
    <n v="57674"/>
    <n v="26207"/>
    <n v="31467"/>
    <n v="37103"/>
    <n v="4267"/>
    <n v="13590"/>
    <s v="Yes"/>
    <n v="92"/>
    <n v="4.7"/>
    <x v="0"/>
  </r>
  <r>
    <x v="2235"/>
    <s v="Kavya Rao"/>
    <n v="22"/>
    <x v="1"/>
    <s v="AB+"/>
    <s v="Hyderabad"/>
    <d v="2023-01-24T00:00:00"/>
    <d v="2023-01-31T00:00:00"/>
    <n v="7"/>
    <x v="0"/>
    <s v="Obesity"/>
    <x v="12"/>
    <s v="ICU Care"/>
    <x v="2"/>
    <s v="Dr. Rakesh Reddy"/>
    <n v="97"/>
    <s v="Private"/>
    <x v="1"/>
    <n v="154547"/>
    <n v="67736"/>
    <n v="86811"/>
    <n v="123946"/>
    <n v="24340"/>
    <n v="2118"/>
    <s v="Yes"/>
    <n v="43"/>
    <n v="4.5"/>
    <x v="0"/>
  </r>
  <r>
    <x v="2236"/>
    <s v="Sunita Mehta"/>
    <n v="28"/>
    <x v="0"/>
    <s v="B+"/>
    <s v="Hyderabad"/>
    <d v="2023-02-06T00:00:00"/>
    <d v="2023-03-05T00:00:00"/>
    <n v="27"/>
    <x v="0"/>
    <s v="Diabetes Type 2"/>
    <x v="9"/>
    <s v="Dietary Management"/>
    <x v="1"/>
    <s v="Dr. Anjali Reddy"/>
    <n v="58"/>
    <s v="ICU"/>
    <x v="0"/>
    <n v="76129"/>
    <n v="30538"/>
    <n v="45591"/>
    <n v="63078"/>
    <n v="5383"/>
    <n v="5306"/>
    <s v="No"/>
    <n v="90"/>
    <n v="4"/>
    <x v="2"/>
  </r>
  <r>
    <x v="2237"/>
    <s v="Deepa Nair"/>
    <n v="66"/>
    <x v="1"/>
    <s v="A+"/>
    <s v="Ahmedabad"/>
    <d v="2022-09-01T00:00:00"/>
    <d v="2022-09-30T00:00:00"/>
    <n v="29"/>
    <x v="5"/>
    <s v="Pneumonia"/>
    <x v="8"/>
    <s v="Physiotherapy"/>
    <x v="3"/>
    <s v="Dr. Anjali Rao"/>
    <n v="416"/>
    <s v="ICU"/>
    <x v="1"/>
    <n v="33993"/>
    <n v="22280"/>
    <n v="11713"/>
    <n v="25476"/>
    <n v="2633"/>
    <n v="2900"/>
    <s v="No"/>
    <n v="72"/>
    <n v="4.5"/>
    <x v="2"/>
  </r>
  <r>
    <x v="2238"/>
    <s v="Meera Joshi"/>
    <n v="40"/>
    <x v="0"/>
    <s v="O-"/>
    <s v="Bangalore"/>
    <d v="2022-03-18T00:00:00"/>
    <d v="2022-04-02T00:00:00"/>
    <n v="15"/>
    <x v="3"/>
    <s v="Migraine"/>
    <x v="6"/>
    <s v="Dietary Management"/>
    <x v="1"/>
    <s v="Dr. Nisha Mehta"/>
    <n v="418"/>
    <s v="Semi-Private"/>
    <x v="2"/>
    <n v="69029"/>
    <n v="51627"/>
    <n v="17402"/>
    <n v="28599"/>
    <n v="26369"/>
    <n v="9764"/>
    <s v="No"/>
    <n v="46"/>
    <n v="3.3"/>
    <x v="1"/>
  </r>
  <r>
    <x v="2239"/>
    <s v="Rekha Patel"/>
    <n v="18"/>
    <x v="1"/>
    <s v="A+"/>
    <s v="Pune"/>
    <d v="2023-07-20T00:00:00"/>
    <d v="2023-07-30T00:00:00"/>
    <n v="10"/>
    <x v="4"/>
    <s v="Hypertension"/>
    <x v="7"/>
    <s v="Radiation Therapy"/>
    <x v="0"/>
    <s v="Dr. Vivek Sharma"/>
    <n v="60"/>
    <s v="Semi-Private"/>
    <x v="0"/>
    <n v="50287"/>
    <n v="32842"/>
    <n v="17445"/>
    <n v="30507"/>
    <n v="13745"/>
    <n v="2754"/>
    <s v="No"/>
    <n v="41"/>
    <n v="4.9000000000000004"/>
    <x v="3"/>
  </r>
  <r>
    <x v="2240"/>
    <s v="Suresh Chopra"/>
    <n v="57"/>
    <x v="0"/>
    <s v="AB-"/>
    <s v="Hyderabad"/>
    <d v="2023-05-05T00:00:00"/>
    <d v="2023-05-24T00:00:00"/>
    <n v="19"/>
    <x v="0"/>
    <s v="Typhoid"/>
    <x v="1"/>
    <s v="Counseling"/>
    <x v="3"/>
    <s v="Dr. Anjali Patel"/>
    <n v="382"/>
    <s v="Private"/>
    <x v="4"/>
    <n v="158644"/>
    <n v="0"/>
    <n v="158644"/>
    <n v="136837"/>
    <n v="3442"/>
    <n v="14684"/>
    <s v="No"/>
    <n v="43"/>
    <n v="4.8"/>
    <x v="3"/>
  </r>
  <r>
    <x v="2241"/>
    <s v="Ananya Iyer"/>
    <n v="14"/>
    <x v="1"/>
    <s v="B-"/>
    <s v="Kolkata"/>
    <d v="2023-02-01T00:00:00"/>
    <d v="2023-03-01T00:00:00"/>
    <n v="28"/>
    <x v="0"/>
    <s v="Typhoid"/>
    <x v="1"/>
    <s v="ICU Care"/>
    <x v="1"/>
    <s v="Dr. Prerna Mehta"/>
    <n v="306"/>
    <s v="General Ward"/>
    <x v="0"/>
    <n v="37028"/>
    <n v="16510"/>
    <n v="20518"/>
    <n v="27657"/>
    <n v="2727"/>
    <n v="3026"/>
    <s v="No"/>
    <n v="63"/>
    <n v="2.1"/>
    <x v="4"/>
  </r>
  <r>
    <x v="2242"/>
    <s v="Sunita Rao"/>
    <n v="76"/>
    <x v="1"/>
    <s v="O-"/>
    <s v="Bangalore"/>
    <d v="2022-11-09T00:00:00"/>
    <d v="2022-11-28T00:00:00"/>
    <n v="19"/>
    <x v="4"/>
    <s v="Heart Attack"/>
    <x v="7"/>
    <s v="Dialysis"/>
    <x v="0"/>
    <s v="Dr. Nisha Singh"/>
    <n v="254"/>
    <s v="ICU"/>
    <x v="0"/>
    <n v="51939"/>
    <n v="25402"/>
    <n v="26537"/>
    <n v="25151"/>
    <n v="15172"/>
    <n v="10361"/>
    <s v="No"/>
    <n v="78"/>
    <n v="4.9000000000000004"/>
    <x v="3"/>
  </r>
  <r>
    <x v="2243"/>
    <s v="Suresh Chopra"/>
    <n v="48"/>
    <x v="1"/>
    <s v="O-"/>
    <s v="Hyderabad"/>
    <d v="2022-11-21T00:00:00"/>
    <d v="2022-12-18T00:00:00"/>
    <n v="27"/>
    <x v="3"/>
    <s v="Stroke"/>
    <x v="6"/>
    <s v="Physiotherapy"/>
    <x v="3"/>
    <s v="Dr. Vivek Joshi"/>
    <n v="232"/>
    <s v="ICU"/>
    <x v="0"/>
    <n v="79668"/>
    <n v="41185"/>
    <n v="38483"/>
    <n v="48873"/>
    <n v="14413"/>
    <n v="11935"/>
    <s v="No"/>
    <n v="81"/>
    <n v="3.3"/>
    <x v="3"/>
  </r>
  <r>
    <x v="2244"/>
    <s v="Rohan Shah"/>
    <n v="47"/>
    <x v="1"/>
    <s v="B+"/>
    <s v="Hyderabad"/>
    <d v="2022-12-16T00:00:00"/>
    <d v="2023-01-08T00:00:00"/>
    <n v="23"/>
    <x v="0"/>
    <s v="Diabetes Type 2"/>
    <x v="9"/>
    <s v="Dietary Management"/>
    <x v="0"/>
    <s v="Dr. Rakesh Mehta"/>
    <n v="188"/>
    <s v="Private"/>
    <x v="1"/>
    <n v="146318"/>
    <n v="70459"/>
    <n v="75859"/>
    <n v="122937"/>
    <n v="18445"/>
    <n v="1361"/>
    <s v="No"/>
    <n v="79"/>
    <n v="4.5"/>
    <x v="4"/>
  </r>
  <r>
    <x v="2245"/>
    <s v="Priya Mehta"/>
    <n v="42"/>
    <x v="0"/>
    <s v="B-"/>
    <s v="Delhi"/>
    <d v="2022-08-11T00:00:00"/>
    <d v="2022-08-25T00:00:00"/>
    <n v="14"/>
    <x v="0"/>
    <s v="Diabetes Type 2"/>
    <x v="9"/>
    <s v="ICU Care"/>
    <x v="0"/>
    <s v="Dr. Nisha Reddy"/>
    <n v="455"/>
    <s v="Private"/>
    <x v="0"/>
    <n v="49494"/>
    <n v="23954"/>
    <n v="25540"/>
    <n v="29097"/>
    <n v="4141"/>
    <n v="13152"/>
    <s v="No"/>
    <n v="40"/>
    <n v="2.2999999999999998"/>
    <x v="3"/>
  </r>
  <r>
    <x v="2246"/>
    <s v="Sunita Nair"/>
    <n v="32"/>
    <x v="0"/>
    <s v="A+"/>
    <s v="Jaipur"/>
    <d v="2024-05-01T00:00:00"/>
    <d v="2024-05-28T00:00:00"/>
    <n v="27"/>
    <x v="0"/>
    <s v="Depression"/>
    <x v="5"/>
    <s v="Counseling"/>
    <x v="2"/>
    <s v="Dr. Nisha Nair"/>
    <n v="368"/>
    <s v="Private"/>
    <x v="4"/>
    <n v="167074"/>
    <n v="0"/>
    <n v="167074"/>
    <n v="136768"/>
    <n v="22131"/>
    <n v="4176"/>
    <s v="No"/>
    <n v="56"/>
    <n v="3.9"/>
    <x v="4"/>
  </r>
  <r>
    <x v="2247"/>
    <s v="Nisha Menon"/>
    <n v="62"/>
    <x v="0"/>
    <s v="O+"/>
    <s v="Bangalore"/>
    <d v="2023-12-17T00:00:00"/>
    <d v="2024-01-10T00:00:00"/>
    <n v="24"/>
    <x v="1"/>
    <s v="UTI"/>
    <x v="2"/>
    <s v="Dietary Management"/>
    <x v="1"/>
    <s v="Dr. Rakesh Reddy"/>
    <n v="197"/>
    <s v="Semi-Private"/>
    <x v="3"/>
    <n v="116378"/>
    <n v="90258"/>
    <n v="26120"/>
    <n v="90620"/>
    <n v="14224"/>
    <n v="8939"/>
    <s v="No"/>
    <n v="83"/>
    <n v="3.6"/>
    <x v="3"/>
  </r>
  <r>
    <x v="2248"/>
    <s v="Lata Malhotra"/>
    <n v="71"/>
    <x v="0"/>
    <s v="AB-"/>
    <s v="Bangalore"/>
    <d v="2023-10-13T00:00:00"/>
    <d v="2023-10-21T00:00:00"/>
    <n v="8"/>
    <x v="0"/>
    <s v="Diabetes Type 2"/>
    <x v="9"/>
    <s v="Surgery"/>
    <x v="3"/>
    <s v="Dr. Deepak Sharma"/>
    <n v="279"/>
    <s v="ICU"/>
    <x v="3"/>
    <n v="180945"/>
    <n v="128822"/>
    <n v="52123"/>
    <n v="141954"/>
    <n v="23107"/>
    <n v="13242"/>
    <s v="Yes"/>
    <n v="97"/>
    <n v="3.8"/>
    <x v="2"/>
  </r>
  <r>
    <x v="2249"/>
    <s v="Sunita Joshi"/>
    <n v="41"/>
    <x v="0"/>
    <s v="AB-"/>
    <s v="Delhi"/>
    <d v="2022-11-13T00:00:00"/>
    <d v="2022-11-28T00:00:00"/>
    <n v="15"/>
    <x v="0"/>
    <s v="Dengue"/>
    <x v="1"/>
    <s v="Chemotherapy"/>
    <x v="0"/>
    <s v="Dr. Prerna Sharma"/>
    <n v="450"/>
    <s v="General Ward"/>
    <x v="0"/>
    <n v="145158"/>
    <n v="66360"/>
    <n v="78798"/>
    <n v="101508"/>
    <n v="29457"/>
    <n v="10534"/>
    <s v="Yes"/>
    <n v="89"/>
    <n v="3.7"/>
    <x v="4"/>
  </r>
  <r>
    <x v="2250"/>
    <s v="Nisha Malhotra"/>
    <n v="12"/>
    <x v="0"/>
    <s v="B-"/>
    <s v="Bangalore"/>
    <d v="2022-03-27T00:00:00"/>
    <d v="2022-04-15T00:00:00"/>
    <n v="19"/>
    <x v="2"/>
    <s v="Cancer"/>
    <x v="3"/>
    <s v="Surgery"/>
    <x v="2"/>
    <s v="Dr. Arun Patel"/>
    <n v="148"/>
    <s v="Private"/>
    <x v="3"/>
    <n v="110345"/>
    <n v="71428"/>
    <n v="38917"/>
    <n v="76720"/>
    <n v="26899"/>
    <n v="2275"/>
    <s v="No"/>
    <n v="82"/>
    <n v="2.9"/>
    <x v="3"/>
  </r>
  <r>
    <x v="2251"/>
    <s v="Suresh Khanna"/>
    <n v="68"/>
    <x v="0"/>
    <s v="A+"/>
    <s v="Kolkata"/>
    <d v="2023-03-31T00:00:00"/>
    <d v="2023-04-05T00:00:00"/>
    <n v="5"/>
    <x v="6"/>
    <s v="Arthritis"/>
    <x v="11"/>
    <s v="Dialysis"/>
    <x v="1"/>
    <s v="Dr. Prerna Patel"/>
    <n v="234"/>
    <s v="General Ward"/>
    <x v="0"/>
    <n v="48504"/>
    <n v="19808"/>
    <n v="28696"/>
    <n v="13876"/>
    <n v="25589"/>
    <n v="4570"/>
    <s v="No"/>
    <n v="73"/>
    <n v="2.8"/>
    <x v="4"/>
  </r>
  <r>
    <x v="2252"/>
    <s v="Sanjay Patel"/>
    <n v="75"/>
    <x v="0"/>
    <s v="AB-"/>
    <s v="Chennai"/>
    <d v="2024-09-01T00:00:00"/>
    <d v="2024-09-08T00:00:00"/>
    <n v="7"/>
    <x v="0"/>
    <s v="Appendicitis"/>
    <x v="0"/>
    <s v="Dietary Management"/>
    <x v="2"/>
    <s v="Dr. Anjali Kumar"/>
    <n v="313"/>
    <s v="Semi-Private"/>
    <x v="3"/>
    <n v="103163"/>
    <n v="63233"/>
    <n v="39930"/>
    <n v="86140"/>
    <n v="14558"/>
    <n v="1275"/>
    <s v="No"/>
    <n v="80"/>
    <n v="3.8"/>
    <x v="4"/>
  </r>
  <r>
    <x v="2253"/>
    <s v="Meera Rao"/>
    <n v="11"/>
    <x v="1"/>
    <s v="AB-"/>
    <s v="Mumbai"/>
    <d v="2022-05-10T00:00:00"/>
    <d v="2022-05-27T00:00:00"/>
    <n v="17"/>
    <x v="3"/>
    <s v="Stroke"/>
    <x v="6"/>
    <s v="ICU Care"/>
    <x v="0"/>
    <s v="Dr. Vivek Patel"/>
    <n v="279"/>
    <s v="General Ward"/>
    <x v="3"/>
    <n v="43083"/>
    <n v="36015"/>
    <n v="7068"/>
    <n v="29576"/>
    <n v="1105"/>
    <n v="9128"/>
    <s v="No"/>
    <n v="42"/>
    <n v="2"/>
    <x v="3"/>
  </r>
  <r>
    <x v="2254"/>
    <s v="Ashok Sharma"/>
    <n v="17"/>
    <x v="1"/>
    <s v="B+"/>
    <s v="Bangalore"/>
    <d v="2022-09-29T00:00:00"/>
    <d v="2022-10-23T00:00:00"/>
    <n v="24"/>
    <x v="0"/>
    <s v="Appendicitis"/>
    <x v="0"/>
    <s v="Observation"/>
    <x v="2"/>
    <s v="Dr. Shalini Sharma"/>
    <n v="164"/>
    <s v="General Ward"/>
    <x v="2"/>
    <n v="71951"/>
    <n v="62784"/>
    <n v="9167"/>
    <n v="36953"/>
    <n v="28270"/>
    <n v="1755"/>
    <s v="No"/>
    <n v="76"/>
    <n v="2.6"/>
    <x v="1"/>
  </r>
  <r>
    <x v="2255"/>
    <s v="Geeta Iyer"/>
    <n v="19"/>
    <x v="1"/>
    <s v="AB+"/>
    <s v="Ahmedabad"/>
    <d v="2024-06-12T00:00:00"/>
    <d v="2024-07-02T00:00:00"/>
    <n v="20"/>
    <x v="6"/>
    <s v="Arthritis"/>
    <x v="11"/>
    <s v="Surgery"/>
    <x v="1"/>
    <s v="Dr. Prerna Singh"/>
    <n v="315"/>
    <s v="Private"/>
    <x v="2"/>
    <n v="70962"/>
    <n v="47460"/>
    <n v="23502"/>
    <n v="26381"/>
    <n v="26935"/>
    <n v="13660"/>
    <s v="No"/>
    <n v="49"/>
    <n v="4.2"/>
    <x v="1"/>
  </r>
  <r>
    <x v="2256"/>
    <s v="Sneha Iyer"/>
    <n v="53"/>
    <x v="0"/>
    <s v="B+"/>
    <s v="Lucknow"/>
    <d v="2023-11-06T00:00:00"/>
    <d v="2023-11-23T00:00:00"/>
    <n v="17"/>
    <x v="3"/>
    <s v="Migraine"/>
    <x v="6"/>
    <s v="Observation"/>
    <x v="0"/>
    <s v="Dr. Sameer Patel"/>
    <n v="33"/>
    <s v="ICU"/>
    <x v="2"/>
    <n v="81935"/>
    <n v="70148"/>
    <n v="11787"/>
    <n v="45877"/>
    <n v="27631"/>
    <n v="5853"/>
    <s v="No"/>
    <n v="78"/>
    <n v="3.2"/>
    <x v="1"/>
  </r>
  <r>
    <x v="2257"/>
    <s v="Priya Joshi"/>
    <n v="40"/>
    <x v="1"/>
    <s v="A-"/>
    <s v="Jaipur"/>
    <d v="2022-10-18T00:00:00"/>
    <d v="2022-11-17T00:00:00"/>
    <n v="30"/>
    <x v="0"/>
    <s v="Dengue"/>
    <x v="1"/>
    <s v="Counseling"/>
    <x v="1"/>
    <s v="Dr. Nisha Gupta"/>
    <n v="486"/>
    <s v="Private"/>
    <x v="1"/>
    <n v="109043"/>
    <n v="53248"/>
    <n v="55795"/>
    <n v="91162"/>
    <n v="1064"/>
    <n v="14920"/>
    <s v="No"/>
    <n v="81"/>
    <n v="4.3"/>
    <x v="4"/>
  </r>
  <r>
    <x v="2258"/>
    <s v="Suresh Reddy"/>
    <n v="52"/>
    <x v="1"/>
    <s v="B-"/>
    <s v="Delhi"/>
    <d v="2024-08-06T00:00:00"/>
    <d v="2024-08-27T00:00:00"/>
    <n v="21"/>
    <x v="0"/>
    <s v="Dengue"/>
    <x v="1"/>
    <s v="Counseling"/>
    <x v="0"/>
    <s v="Dr. Anjali Patel"/>
    <n v="433"/>
    <s v="Semi-Private"/>
    <x v="0"/>
    <n v="16241"/>
    <n v="6935"/>
    <n v="9306"/>
    <n v="5624"/>
    <n v="6064"/>
    <n v="772"/>
    <s v="No"/>
    <n v="91"/>
    <n v="3.9"/>
    <x v="3"/>
  </r>
  <r>
    <x v="2259"/>
    <s v="Kavya Kumar"/>
    <n v="72"/>
    <x v="0"/>
    <s v="AB-"/>
    <s v="Kolkata"/>
    <d v="2024-08-04T00:00:00"/>
    <d v="2024-08-13T00:00:00"/>
    <n v="9"/>
    <x v="1"/>
    <s v="UTI"/>
    <x v="2"/>
    <s v="Physiotherapy"/>
    <x v="2"/>
    <s v="Dr. Deepak Gupta"/>
    <n v="284"/>
    <s v="General Ward"/>
    <x v="3"/>
    <n v="79718"/>
    <n v="69861"/>
    <n v="9857"/>
    <n v="56197"/>
    <n v="21150"/>
    <n v="1512"/>
    <s v="No"/>
    <n v="79"/>
    <n v="3.3"/>
    <x v="3"/>
  </r>
  <r>
    <x v="2260"/>
    <s v="Manoj Iyer"/>
    <n v="54"/>
    <x v="0"/>
    <s v="AB+"/>
    <s v="Ahmedabad"/>
    <d v="2024-06-13T00:00:00"/>
    <d v="2024-06-19T00:00:00"/>
    <n v="6"/>
    <x v="0"/>
    <s v="Obesity"/>
    <x v="12"/>
    <s v="Medication"/>
    <x v="2"/>
    <s v="Dr. Shalini Joshi"/>
    <n v="485"/>
    <s v="Private"/>
    <x v="1"/>
    <n v="49040"/>
    <n v="31268"/>
    <n v="17772"/>
    <n v="23368"/>
    <n v="21887"/>
    <n v="1180"/>
    <s v="No"/>
    <n v="66"/>
    <n v="2.9"/>
    <x v="0"/>
  </r>
  <r>
    <x v="2261"/>
    <s v="Amit Nair"/>
    <n v="46"/>
    <x v="0"/>
    <s v="O+"/>
    <s v="Kolkata"/>
    <d v="2023-12-06T00:00:00"/>
    <d v="2023-12-21T00:00:00"/>
    <n v="15"/>
    <x v="0"/>
    <s v="COVID-19"/>
    <x v="1"/>
    <s v="Chemotherapy"/>
    <x v="0"/>
    <s v="Dr. Prerna Kumar"/>
    <n v="102"/>
    <s v="Private"/>
    <x v="0"/>
    <n v="159463"/>
    <n v="94192"/>
    <n v="65271"/>
    <n v="127051"/>
    <n v="17449"/>
    <n v="12728"/>
    <s v="No"/>
    <n v="98"/>
    <n v="4.5"/>
    <x v="2"/>
  </r>
  <r>
    <x v="2262"/>
    <s v="Vikram Joshi"/>
    <n v="64"/>
    <x v="0"/>
    <s v="AB+"/>
    <s v="Pune"/>
    <d v="2023-06-11T00:00:00"/>
    <d v="2023-07-06T00:00:00"/>
    <n v="25"/>
    <x v="0"/>
    <s v="Depression"/>
    <x v="5"/>
    <s v="Physiotherapy"/>
    <x v="0"/>
    <s v="Dr. Rakesh Rao"/>
    <n v="395"/>
    <s v="Private"/>
    <x v="3"/>
    <n v="110819"/>
    <n v="88023"/>
    <n v="22796"/>
    <n v="85046"/>
    <n v="12231"/>
    <n v="10789"/>
    <s v="No"/>
    <n v="86"/>
    <n v="2.1"/>
    <x v="3"/>
  </r>
  <r>
    <x v="2263"/>
    <s v="Vikram Kumar"/>
    <n v="43"/>
    <x v="1"/>
    <s v="AB+"/>
    <s v="Kolkata"/>
    <d v="2023-10-31T00:00:00"/>
    <d v="2023-11-25T00:00:00"/>
    <n v="25"/>
    <x v="0"/>
    <s v="Obesity"/>
    <x v="12"/>
    <s v="ICU Care"/>
    <x v="2"/>
    <s v="Dr. Deepak Nair"/>
    <n v="89"/>
    <s v="Semi-Private"/>
    <x v="0"/>
    <n v="97907"/>
    <n v="60406"/>
    <n v="37501"/>
    <n v="70231"/>
    <n v="11015"/>
    <n v="13434"/>
    <s v="No"/>
    <n v="64"/>
    <n v="3.3"/>
    <x v="2"/>
  </r>
  <r>
    <x v="2264"/>
    <s v="Vikram Das"/>
    <n v="81"/>
    <x v="0"/>
    <s v="O-"/>
    <s v="Ahmedabad"/>
    <d v="2024-01-25T00:00:00"/>
    <d v="2024-02-04T00:00:00"/>
    <n v="10"/>
    <x v="0"/>
    <s v="Liver Disease"/>
    <x v="0"/>
    <s v="Medication"/>
    <x v="2"/>
    <s v="Dr. Shalini Nair"/>
    <n v="1"/>
    <s v="General Ward"/>
    <x v="0"/>
    <n v="108775"/>
    <n v="64357"/>
    <n v="44418"/>
    <n v="66016"/>
    <n v="27524"/>
    <n v="10912"/>
    <s v="Yes"/>
    <n v="79"/>
    <n v="2.2000000000000002"/>
    <x v="1"/>
  </r>
  <r>
    <x v="2265"/>
    <s v="Sunita Malhotra"/>
    <n v="66"/>
    <x v="1"/>
    <s v="A-"/>
    <s v="Hyderabad"/>
    <d v="2022-07-02T00:00:00"/>
    <d v="2022-07-06T00:00:00"/>
    <n v="4"/>
    <x v="6"/>
    <s v="Fracture"/>
    <x v="10"/>
    <s v="Counseling"/>
    <x v="1"/>
    <s v="Dr. Vivek Mehta"/>
    <n v="109"/>
    <s v="General Ward"/>
    <x v="4"/>
    <n v="96557"/>
    <n v="0"/>
    <n v="96557"/>
    <n v="68792"/>
    <n v="20973"/>
    <n v="4978"/>
    <s v="No"/>
    <n v="47"/>
    <n v="3.1"/>
    <x v="4"/>
  </r>
  <r>
    <x v="2266"/>
    <s v="Mukesh Chopra"/>
    <n v="48"/>
    <x v="1"/>
    <s v="A-"/>
    <s v="Kolkata"/>
    <d v="2023-02-18T00:00:00"/>
    <d v="2023-03-19T00:00:00"/>
    <n v="29"/>
    <x v="0"/>
    <s v="Liver Disease"/>
    <x v="0"/>
    <s v="ICU Care"/>
    <x v="1"/>
    <s v="Dr. Nisha Gupta"/>
    <n v="420"/>
    <s v="Semi-Private"/>
    <x v="2"/>
    <n v="107656"/>
    <n v="66600"/>
    <n v="41056"/>
    <n v="102161"/>
    <n v="3108"/>
    <n v="1130"/>
    <s v="No"/>
    <n v="94"/>
    <n v="2.8"/>
    <x v="2"/>
  </r>
  <r>
    <x v="2267"/>
    <s v="Aditya Patel"/>
    <n v="22"/>
    <x v="0"/>
    <s v="AB-"/>
    <s v="Chennai"/>
    <d v="2022-10-11T00:00:00"/>
    <d v="2022-11-05T00:00:00"/>
    <n v="25"/>
    <x v="4"/>
    <s v="Hypertension"/>
    <x v="7"/>
    <s v="ICU Care"/>
    <x v="0"/>
    <s v="Dr. Shalini Singh"/>
    <n v="75"/>
    <s v="ICU"/>
    <x v="3"/>
    <n v="79054"/>
    <n v="51538"/>
    <n v="27516"/>
    <n v="54465"/>
    <n v="19140"/>
    <n v="639"/>
    <s v="No"/>
    <n v="99"/>
    <n v="2.5"/>
    <x v="4"/>
  </r>
  <r>
    <x v="2268"/>
    <s v="Lata Malhotra"/>
    <n v="58"/>
    <x v="1"/>
    <s v="A-"/>
    <s v="Delhi"/>
    <d v="2023-09-26T00:00:00"/>
    <d v="2023-10-04T00:00:00"/>
    <n v="8"/>
    <x v="6"/>
    <s v="Fracture"/>
    <x v="10"/>
    <s v="Radiation Therapy"/>
    <x v="3"/>
    <s v="Dr. Kavita Rao"/>
    <n v="258"/>
    <s v="ICU"/>
    <x v="2"/>
    <n v="88882"/>
    <n v="64845"/>
    <n v="24037"/>
    <n v="77435"/>
    <n v="4564"/>
    <n v="4860"/>
    <s v="No"/>
    <n v="48"/>
    <n v="3.8"/>
    <x v="3"/>
  </r>
  <r>
    <x v="2269"/>
    <s v="Lata Chopra"/>
    <n v="37"/>
    <x v="0"/>
    <s v="A-"/>
    <s v="Hyderabad"/>
    <d v="2023-02-12T00:00:00"/>
    <d v="2023-03-01T00:00:00"/>
    <n v="17"/>
    <x v="3"/>
    <s v="Stroke"/>
    <x v="6"/>
    <s v="Surgery"/>
    <x v="0"/>
    <s v="Dr. Anjali Singh"/>
    <n v="363"/>
    <s v="Semi-Private"/>
    <x v="1"/>
    <n v="113928"/>
    <n v="57731"/>
    <n v="56197"/>
    <n v="87044"/>
    <n v="11178"/>
    <n v="14788"/>
    <s v="No"/>
    <n v="70"/>
    <n v="2.8"/>
    <x v="0"/>
  </r>
  <r>
    <x v="2270"/>
    <s v="Lata Iyer"/>
    <n v="42"/>
    <x v="0"/>
    <s v="O-"/>
    <s v="Bangalore"/>
    <d v="2024-11-06T00:00:00"/>
    <d v="2024-11-25T00:00:00"/>
    <n v="19"/>
    <x v="0"/>
    <s v="Typhoid"/>
    <x v="1"/>
    <s v="Dialysis"/>
    <x v="3"/>
    <s v="Dr. Shalini Gupta"/>
    <n v="468"/>
    <s v="Semi-Private"/>
    <x v="0"/>
    <n v="101630"/>
    <n v="41456"/>
    <n v="60174"/>
    <n v="80428"/>
    <n v="12136"/>
    <n v="6149"/>
    <s v="No"/>
    <n v="57"/>
    <n v="2.5"/>
    <x v="3"/>
  </r>
  <r>
    <x v="2271"/>
    <s v="Aditya Kumar"/>
    <n v="43"/>
    <x v="0"/>
    <s v="A-"/>
    <s v="Delhi"/>
    <d v="2024-08-27T00:00:00"/>
    <d v="2024-09-11T00:00:00"/>
    <n v="15"/>
    <x v="6"/>
    <s v="Arthritis"/>
    <x v="11"/>
    <s v="Dialysis"/>
    <x v="3"/>
    <s v="Dr. Kavita Rao"/>
    <n v="379"/>
    <s v="General Ward"/>
    <x v="4"/>
    <n v="160075"/>
    <n v="0"/>
    <n v="160075"/>
    <n v="120391"/>
    <n v="24051"/>
    <n v="10657"/>
    <s v="No"/>
    <n v="99"/>
    <n v="2.4"/>
    <x v="4"/>
  </r>
  <r>
    <x v="2272"/>
    <s v="Divya Joshi"/>
    <n v="32"/>
    <x v="1"/>
    <s v="O-"/>
    <s v="Chennai"/>
    <d v="2022-01-18T00:00:00"/>
    <d v="2022-01-20T00:00:00"/>
    <n v="2"/>
    <x v="5"/>
    <s v="Pneumonia"/>
    <x v="8"/>
    <s v="ICU Care"/>
    <x v="2"/>
    <s v="Dr. Shalini Kumar"/>
    <n v="441"/>
    <s v="Semi-Private"/>
    <x v="4"/>
    <n v="141752"/>
    <n v="0"/>
    <n v="141752"/>
    <n v="109939"/>
    <n v="23714"/>
    <n v="3877"/>
    <s v="No"/>
    <n v="71"/>
    <n v="4"/>
    <x v="2"/>
  </r>
  <r>
    <x v="2273"/>
    <s v="Sneha Joshi"/>
    <n v="50"/>
    <x v="1"/>
    <s v="O+"/>
    <s v="Pune"/>
    <d v="2024-12-23T00:00:00"/>
    <d v="2024-12-31T00:00:00"/>
    <n v="8"/>
    <x v="0"/>
    <s v="Typhoid"/>
    <x v="1"/>
    <s v="Surgery"/>
    <x v="2"/>
    <s v="Dr. Prerna Patel"/>
    <n v="33"/>
    <s v="ICU"/>
    <x v="4"/>
    <n v="60616"/>
    <n v="0"/>
    <n v="60616"/>
    <n v="36961"/>
    <n v="17073"/>
    <n v="4393"/>
    <s v="No"/>
    <n v="52"/>
    <n v="3.2"/>
    <x v="1"/>
  </r>
  <r>
    <x v="2274"/>
    <s v="Ashok Iyer"/>
    <n v="85"/>
    <x v="1"/>
    <s v="A-"/>
    <s v="Pune"/>
    <d v="2022-06-27T00:00:00"/>
    <d v="2022-07-08T00:00:00"/>
    <n v="11"/>
    <x v="0"/>
    <s v="Anemia"/>
    <x v="4"/>
    <s v="Dialysis"/>
    <x v="3"/>
    <s v="Dr. Kavita Nair"/>
    <n v="254"/>
    <s v="ICU"/>
    <x v="2"/>
    <n v="135636"/>
    <n v="120075"/>
    <n v="15561"/>
    <n v="124959"/>
    <n v="3242"/>
    <n v="4284"/>
    <s v="No"/>
    <n v="53"/>
    <n v="3"/>
    <x v="0"/>
  </r>
  <r>
    <x v="2275"/>
    <s v="Sunita Iyer"/>
    <n v="15"/>
    <x v="1"/>
    <s v="O-"/>
    <s v="Hyderabad"/>
    <d v="2022-12-23T00:00:00"/>
    <d v="2023-01-03T00:00:00"/>
    <n v="11"/>
    <x v="0"/>
    <s v="Anemia"/>
    <x v="4"/>
    <s v="Radiation Therapy"/>
    <x v="2"/>
    <s v="Dr. Shalini Joshi"/>
    <n v="403"/>
    <s v="Private"/>
    <x v="0"/>
    <n v="93584"/>
    <n v="39748"/>
    <n v="53836"/>
    <n v="57979"/>
    <n v="29037"/>
    <n v="2542"/>
    <s v="No"/>
    <n v="81"/>
    <n v="3.8"/>
    <x v="2"/>
  </r>
  <r>
    <x v="2276"/>
    <s v="Sonia Pillai"/>
    <n v="58"/>
    <x v="0"/>
    <s v="O+"/>
    <s v="Bangalore"/>
    <d v="2024-08-24T00:00:00"/>
    <d v="2024-09-09T00:00:00"/>
    <n v="16"/>
    <x v="0"/>
    <s v="Dengue"/>
    <x v="1"/>
    <s v="ICU Care"/>
    <x v="2"/>
    <s v="Dr. Vivek Gupta"/>
    <n v="405"/>
    <s v="Semi-Private"/>
    <x v="2"/>
    <n v="165619"/>
    <n v="101167"/>
    <n v="64452"/>
    <n v="120234"/>
    <n v="29223"/>
    <n v="12765"/>
    <s v="No"/>
    <n v="79"/>
    <n v="3.8"/>
    <x v="2"/>
  </r>
  <r>
    <x v="2277"/>
    <s v="Geeta Pillai"/>
    <n v="45"/>
    <x v="0"/>
    <s v="O-"/>
    <s v="Lucknow"/>
    <d v="2023-07-18T00:00:00"/>
    <d v="2023-07-28T00:00:00"/>
    <n v="10"/>
    <x v="6"/>
    <s v="Fracture"/>
    <x v="10"/>
    <s v="Dialysis"/>
    <x v="2"/>
    <s v="Dr. Kavita Patel"/>
    <n v="393"/>
    <s v="General Ward"/>
    <x v="2"/>
    <n v="120183"/>
    <n v="83565"/>
    <n v="36618"/>
    <n v="88844"/>
    <n v="13501"/>
    <n v="12899"/>
    <s v="No"/>
    <n v="50"/>
    <n v="3.2"/>
    <x v="2"/>
  </r>
  <r>
    <x v="2278"/>
    <s v="Sneha Das"/>
    <n v="10"/>
    <x v="0"/>
    <s v="A+"/>
    <s v="Chennai"/>
    <d v="2024-04-17T00:00:00"/>
    <d v="2024-04-25T00:00:00"/>
    <n v="8"/>
    <x v="4"/>
    <s v="Heart Attack"/>
    <x v="7"/>
    <s v="ICU Care"/>
    <x v="1"/>
    <s v="Dr. Deepak Kumar"/>
    <n v="444"/>
    <s v="Semi-Private"/>
    <x v="0"/>
    <n v="60651"/>
    <n v="31520"/>
    <n v="29131"/>
    <n v="28322"/>
    <n v="15009"/>
    <n v="13920"/>
    <s v="No"/>
    <n v="97"/>
    <n v="2.2000000000000002"/>
    <x v="4"/>
  </r>
  <r>
    <x v="2279"/>
    <s v="Geeta Reddy"/>
    <n v="84"/>
    <x v="0"/>
    <s v="A-"/>
    <s v="Hyderabad"/>
    <d v="2024-11-12T00:00:00"/>
    <d v="2024-11-22T00:00:00"/>
    <n v="10"/>
    <x v="0"/>
    <s v="Dengue"/>
    <x v="1"/>
    <s v="Dialysis"/>
    <x v="2"/>
    <s v="Dr. Arun Sharma"/>
    <n v="238"/>
    <s v="Private"/>
    <x v="4"/>
    <n v="161187"/>
    <n v="0"/>
    <n v="161187"/>
    <n v="123155"/>
    <n v="25185"/>
    <n v="8506"/>
    <s v="No"/>
    <n v="47"/>
    <n v="3.9"/>
    <x v="1"/>
  </r>
  <r>
    <x v="2280"/>
    <s v="Mukesh Khanna"/>
    <n v="49"/>
    <x v="1"/>
    <s v="B-"/>
    <s v="Delhi"/>
    <d v="2024-04-02T00:00:00"/>
    <d v="2024-04-10T00:00:00"/>
    <n v="8"/>
    <x v="3"/>
    <s v="Stroke"/>
    <x v="6"/>
    <s v="ICU Care"/>
    <x v="2"/>
    <s v="Dr. Kavita Joshi"/>
    <n v="101"/>
    <s v="General Ward"/>
    <x v="4"/>
    <n v="160388"/>
    <n v="0"/>
    <n v="160388"/>
    <n v="124736"/>
    <n v="25071"/>
    <n v="6286"/>
    <s v="No"/>
    <n v="92"/>
    <n v="3.1"/>
    <x v="3"/>
  </r>
  <r>
    <x v="2281"/>
    <s v="Sunil Patel"/>
    <n v="28"/>
    <x v="0"/>
    <s v="A+"/>
    <s v="Ahmedabad"/>
    <d v="2024-02-21T00:00:00"/>
    <d v="2024-03-06T00:00:00"/>
    <n v="14"/>
    <x v="0"/>
    <s v="Anemia"/>
    <x v="4"/>
    <s v="Observation"/>
    <x v="3"/>
    <s v="Dr. Arun Nair"/>
    <n v="480"/>
    <s v="Private"/>
    <x v="0"/>
    <n v="125717"/>
    <n v="69631"/>
    <n v="56086"/>
    <n v="116814"/>
    <n v="3682"/>
    <n v="1274"/>
    <s v="No"/>
    <n v="62"/>
    <n v="4.5999999999999996"/>
    <x v="2"/>
  </r>
  <r>
    <x v="2282"/>
    <s v="Vikram Chopra"/>
    <n v="37"/>
    <x v="0"/>
    <s v="O+"/>
    <s v="Delhi"/>
    <d v="2023-06-16T00:00:00"/>
    <d v="2023-06-19T00:00:00"/>
    <n v="3"/>
    <x v="4"/>
    <s v="Heart Attack"/>
    <x v="7"/>
    <s v="Medication"/>
    <x v="3"/>
    <s v="Dr. Kavita Rao"/>
    <n v="224"/>
    <s v="Private"/>
    <x v="1"/>
    <n v="85301"/>
    <n v="35402"/>
    <n v="49899"/>
    <n v="60142"/>
    <n v="11431"/>
    <n v="10052"/>
    <s v="Yes"/>
    <n v="44"/>
    <n v="3.7"/>
    <x v="2"/>
  </r>
  <r>
    <x v="2283"/>
    <s v="Aditya Das"/>
    <n v="67"/>
    <x v="1"/>
    <s v="AB+"/>
    <s v="Chennai"/>
    <d v="2024-12-23T00:00:00"/>
    <d v="2024-12-31T00:00:00"/>
    <n v="8"/>
    <x v="0"/>
    <s v="Depression"/>
    <x v="5"/>
    <s v="Dietary Management"/>
    <x v="2"/>
    <s v="Dr. Shalini Mehta"/>
    <n v="245"/>
    <s v="General Ward"/>
    <x v="1"/>
    <n v="60017"/>
    <n v="34072"/>
    <n v="25945"/>
    <n v="29927"/>
    <n v="17579"/>
    <n v="10206"/>
    <s v="No"/>
    <n v="79"/>
    <n v="3.6"/>
    <x v="0"/>
  </r>
  <r>
    <x v="2284"/>
    <s v="Vikram Kumar"/>
    <n v="57"/>
    <x v="0"/>
    <s v="A+"/>
    <s v="Delhi"/>
    <d v="2024-12-10T00:00:00"/>
    <d v="2024-12-13T00:00:00"/>
    <n v="3"/>
    <x v="0"/>
    <s v="COVID-19"/>
    <x v="1"/>
    <s v="Radiation Therapy"/>
    <x v="0"/>
    <s v="Dr. Arun Patel"/>
    <n v="262"/>
    <s v="General Ward"/>
    <x v="1"/>
    <n v="153167"/>
    <n v="95702"/>
    <n v="57465"/>
    <n v="117994"/>
    <n v="24356"/>
    <n v="7701"/>
    <s v="Yes"/>
    <n v="48"/>
    <n v="2.9"/>
    <x v="3"/>
  </r>
  <r>
    <x v="2285"/>
    <s v="Amit Gupta"/>
    <n v="71"/>
    <x v="1"/>
    <s v="B+"/>
    <s v="Jaipur"/>
    <d v="2022-08-08T00:00:00"/>
    <d v="2022-09-07T00:00:00"/>
    <n v="30"/>
    <x v="3"/>
    <s v="Migraine"/>
    <x v="6"/>
    <s v="ICU Care"/>
    <x v="1"/>
    <s v="Dr. Anjali Gupta"/>
    <n v="103"/>
    <s v="General Ward"/>
    <x v="0"/>
    <n v="70426"/>
    <n v="47204"/>
    <n v="23222"/>
    <n v="26874"/>
    <n v="28713"/>
    <n v="10564"/>
    <s v="No"/>
    <n v="47"/>
    <n v="2.7"/>
    <x v="2"/>
  </r>
  <r>
    <x v="2286"/>
    <s v="Manoj Bose"/>
    <n v="59"/>
    <x v="1"/>
    <s v="O-"/>
    <s v="Pune"/>
    <d v="2023-05-21T00:00:00"/>
    <d v="2023-06-06T00:00:00"/>
    <n v="16"/>
    <x v="0"/>
    <s v="Anemia"/>
    <x v="4"/>
    <s v="Surgery"/>
    <x v="1"/>
    <s v="Dr. Deepak Mehta"/>
    <n v="165"/>
    <s v="ICU"/>
    <x v="3"/>
    <n v="107139"/>
    <n v="83444"/>
    <n v="23695"/>
    <n v="93489"/>
    <n v="4612"/>
    <n v="6781"/>
    <s v="No"/>
    <n v="70"/>
    <n v="2.2999999999999998"/>
    <x v="1"/>
  </r>
  <r>
    <x v="2287"/>
    <s v="Rohan Pillai"/>
    <n v="29"/>
    <x v="0"/>
    <s v="B+"/>
    <s v="Jaipur"/>
    <d v="2022-07-10T00:00:00"/>
    <d v="2022-08-07T00:00:00"/>
    <n v="28"/>
    <x v="3"/>
    <s v="Stroke"/>
    <x v="6"/>
    <s v="Surgery"/>
    <x v="2"/>
    <s v="Dr. Nisha Sharma"/>
    <n v="97"/>
    <s v="Semi-Private"/>
    <x v="4"/>
    <n v="128421"/>
    <n v="0"/>
    <n v="128421"/>
    <n v="110447"/>
    <n v="1405"/>
    <n v="12191"/>
    <s v="No"/>
    <n v="77"/>
    <n v="3.2"/>
    <x v="0"/>
  </r>
  <r>
    <x v="2288"/>
    <s v="Sunil Verma"/>
    <n v="62"/>
    <x v="0"/>
    <s v="O+"/>
    <s v="Kolkata"/>
    <d v="2023-10-08T00:00:00"/>
    <d v="2023-10-18T00:00:00"/>
    <n v="10"/>
    <x v="5"/>
    <s v="Asthma"/>
    <x v="8"/>
    <s v="Physiotherapy"/>
    <x v="1"/>
    <s v="Dr. Deepak Gupta"/>
    <n v="112"/>
    <s v="Semi-Private"/>
    <x v="2"/>
    <n v="60645"/>
    <n v="46272"/>
    <n v="14373"/>
    <n v="38317"/>
    <n v="11810"/>
    <n v="5840"/>
    <s v="No"/>
    <n v="70"/>
    <n v="2.8"/>
    <x v="3"/>
  </r>
  <r>
    <x v="2289"/>
    <s v="Mukesh Shah"/>
    <n v="12"/>
    <x v="1"/>
    <s v="A-"/>
    <s v="Pune"/>
    <d v="2022-05-16T00:00:00"/>
    <d v="2022-05-23T00:00:00"/>
    <n v="7"/>
    <x v="1"/>
    <s v="UTI"/>
    <x v="2"/>
    <s v="ICU Care"/>
    <x v="1"/>
    <s v="Dr. Deepak Joshi"/>
    <n v="166"/>
    <s v="ICU"/>
    <x v="1"/>
    <n v="156018"/>
    <n v="87940"/>
    <n v="68078"/>
    <n v="117415"/>
    <n v="23601"/>
    <n v="12707"/>
    <s v="No"/>
    <n v="58"/>
    <n v="3.4"/>
    <x v="4"/>
  </r>
  <r>
    <x v="2290"/>
    <s v="Rahul Reddy"/>
    <n v="44"/>
    <x v="1"/>
    <s v="B+"/>
    <s v="Pune"/>
    <d v="2023-05-04T00:00:00"/>
    <d v="2023-05-25T00:00:00"/>
    <n v="21"/>
    <x v="6"/>
    <s v="Arthritis"/>
    <x v="11"/>
    <s v="Dialysis"/>
    <x v="1"/>
    <s v="Dr. Arun Joshi"/>
    <n v="189"/>
    <s v="ICU"/>
    <x v="0"/>
    <n v="154484"/>
    <n v="78788"/>
    <n v="75696"/>
    <n v="121794"/>
    <n v="14814"/>
    <n v="14244"/>
    <s v="No"/>
    <n v="100"/>
    <n v="4.0999999999999996"/>
    <x v="3"/>
  </r>
  <r>
    <x v="2291"/>
    <s v="Mukesh Khanna"/>
    <n v="68"/>
    <x v="1"/>
    <s v="B-"/>
    <s v="Lucknow"/>
    <d v="2023-04-23T00:00:00"/>
    <d v="2023-04-30T00:00:00"/>
    <n v="7"/>
    <x v="3"/>
    <s v="Migraine"/>
    <x v="6"/>
    <s v="Radiation Therapy"/>
    <x v="0"/>
    <s v="Dr. Rakesh Singh"/>
    <n v="434"/>
    <s v="General Ward"/>
    <x v="2"/>
    <n v="93126"/>
    <n v="81076"/>
    <n v="12050"/>
    <n v="71041"/>
    <n v="7651"/>
    <n v="10091"/>
    <s v="No"/>
    <n v="88"/>
    <n v="2.2999999999999998"/>
    <x v="2"/>
  </r>
  <r>
    <x v="2292"/>
    <s v="Manoj Patel"/>
    <n v="6"/>
    <x v="1"/>
    <s v="O+"/>
    <s v="Mumbai"/>
    <d v="2023-05-18T00:00:00"/>
    <d v="2023-05-29T00:00:00"/>
    <n v="11"/>
    <x v="6"/>
    <s v="Arthritis"/>
    <x v="11"/>
    <s v="Radiation Therapy"/>
    <x v="1"/>
    <s v="Dr. Anjali Reddy"/>
    <n v="352"/>
    <s v="Semi-Private"/>
    <x v="2"/>
    <n v="75939"/>
    <n v="55522"/>
    <n v="20417"/>
    <n v="60355"/>
    <n v="3612"/>
    <n v="11384"/>
    <s v="No"/>
    <n v="97"/>
    <n v="3.3"/>
    <x v="1"/>
  </r>
  <r>
    <x v="2293"/>
    <s v="Sneha Das"/>
    <n v="39"/>
    <x v="0"/>
    <s v="AB-"/>
    <s v="Lucknow"/>
    <d v="2024-08-14T00:00:00"/>
    <d v="2024-08-31T00:00:00"/>
    <n v="17"/>
    <x v="0"/>
    <s v="Depression"/>
    <x v="5"/>
    <s v="Dialysis"/>
    <x v="3"/>
    <s v="Dr. Deepak Gupta"/>
    <n v="318"/>
    <s v="Private"/>
    <x v="3"/>
    <n v="138876"/>
    <n v="119731"/>
    <n v="19145"/>
    <n v="130066"/>
    <n v="3795"/>
    <n v="2121"/>
    <s v="Yes"/>
    <n v="98"/>
    <n v="4.9000000000000004"/>
    <x v="1"/>
  </r>
  <r>
    <x v="2294"/>
    <s v="Pooja Singh"/>
    <n v="83"/>
    <x v="1"/>
    <s v="AB+"/>
    <s v="Lucknow"/>
    <d v="2022-12-29T00:00:00"/>
    <d v="2023-01-24T00:00:00"/>
    <n v="26"/>
    <x v="2"/>
    <s v="Cancer"/>
    <x v="3"/>
    <s v="ICU Care"/>
    <x v="1"/>
    <s v="Dr. Arun Nair"/>
    <n v="441"/>
    <s v="Semi-Private"/>
    <x v="0"/>
    <n v="169980"/>
    <n v="88006"/>
    <n v="81974"/>
    <n v="134282"/>
    <n v="22974"/>
    <n v="8966"/>
    <s v="No"/>
    <n v="74"/>
    <n v="4.9000000000000004"/>
    <x v="0"/>
  </r>
  <r>
    <x v="2295"/>
    <s v="Sanjay Das"/>
    <n v="43"/>
    <x v="1"/>
    <s v="A+"/>
    <s v="Mumbai"/>
    <d v="2023-04-14T00:00:00"/>
    <d v="2023-04-20T00:00:00"/>
    <n v="6"/>
    <x v="3"/>
    <s v="Migraine"/>
    <x v="6"/>
    <s v="Medication"/>
    <x v="2"/>
    <s v="Dr. Arun Kumar"/>
    <n v="469"/>
    <s v="Semi-Private"/>
    <x v="4"/>
    <n v="40594"/>
    <n v="0"/>
    <n v="40594"/>
    <n v="29584"/>
    <n v="4166"/>
    <n v="4965"/>
    <s v="Yes"/>
    <n v="68"/>
    <n v="5"/>
    <x v="1"/>
  </r>
  <r>
    <x v="2296"/>
    <s v="Rekha Kumar"/>
    <n v="33"/>
    <x v="1"/>
    <s v="O-"/>
    <s v="Bangalore"/>
    <d v="2023-08-02T00:00:00"/>
    <d v="2023-08-22T00:00:00"/>
    <n v="20"/>
    <x v="1"/>
    <s v="Kidney Stone"/>
    <x v="2"/>
    <s v="Observation"/>
    <x v="1"/>
    <s v="Dr. Kavita Rao"/>
    <n v="214"/>
    <s v="General Ward"/>
    <x v="2"/>
    <n v="171638"/>
    <n v="141867"/>
    <n v="29771"/>
    <n v="146542"/>
    <n v="9862"/>
    <n v="13386"/>
    <s v="No"/>
    <n v="43"/>
    <n v="2.9"/>
    <x v="1"/>
  </r>
  <r>
    <x v="2297"/>
    <s v="Suresh Das"/>
    <n v="59"/>
    <x v="0"/>
    <s v="AB+"/>
    <s v="Delhi"/>
    <d v="2022-10-21T00:00:00"/>
    <d v="2022-11-13T00:00:00"/>
    <n v="23"/>
    <x v="0"/>
    <s v="Obesity"/>
    <x v="12"/>
    <s v="Observation"/>
    <x v="0"/>
    <s v="Dr. Vivek Mehta"/>
    <n v="59"/>
    <s v="Semi-Private"/>
    <x v="4"/>
    <n v="114891"/>
    <n v="0"/>
    <n v="114891"/>
    <n v="83648"/>
    <n v="21677"/>
    <n v="5757"/>
    <s v="No"/>
    <n v="57"/>
    <n v="4.2"/>
    <x v="3"/>
  </r>
  <r>
    <x v="2298"/>
    <s v="Nisha Mehta"/>
    <n v="70"/>
    <x v="1"/>
    <s v="O+"/>
    <s v="Jaipur"/>
    <d v="2024-01-13T00:00:00"/>
    <d v="2024-01-21T00:00:00"/>
    <n v="8"/>
    <x v="6"/>
    <s v="Fracture"/>
    <x v="10"/>
    <s v="Medication"/>
    <x v="1"/>
    <s v="Dr. Deepak Kumar"/>
    <n v="296"/>
    <s v="General Ward"/>
    <x v="4"/>
    <n v="46947"/>
    <n v="0"/>
    <n v="46947"/>
    <n v="17512"/>
    <n v="26516"/>
    <n v="983"/>
    <s v="No"/>
    <n v="83"/>
    <n v="3.4"/>
    <x v="2"/>
  </r>
  <r>
    <x v="2299"/>
    <s v="Karan Nair"/>
    <n v="28"/>
    <x v="1"/>
    <s v="AB-"/>
    <s v="Chennai"/>
    <d v="2023-03-22T00:00:00"/>
    <d v="2023-03-25T00:00:00"/>
    <n v="3"/>
    <x v="3"/>
    <s v="Stroke"/>
    <x v="6"/>
    <s v="Physiotherapy"/>
    <x v="3"/>
    <s v="Dr. Prerna Singh"/>
    <n v="453"/>
    <s v="ICU"/>
    <x v="2"/>
    <n v="171247"/>
    <n v="111094"/>
    <n v="60153"/>
    <n v="139368"/>
    <n v="19754"/>
    <n v="8402"/>
    <s v="Yes"/>
    <n v="70"/>
    <n v="4.4000000000000004"/>
    <x v="4"/>
  </r>
  <r>
    <x v="2300"/>
    <s v="Divya Rao"/>
    <n v="23"/>
    <x v="1"/>
    <s v="A-"/>
    <s v="Mumbai"/>
    <d v="2022-08-01T00:00:00"/>
    <d v="2022-08-17T00:00:00"/>
    <n v="16"/>
    <x v="5"/>
    <s v="Pneumonia"/>
    <x v="8"/>
    <s v="Dialysis"/>
    <x v="2"/>
    <s v="Dr. Prerna Kumar"/>
    <n v="458"/>
    <s v="General Ward"/>
    <x v="3"/>
    <n v="112021"/>
    <n v="90194"/>
    <n v="21827"/>
    <n v="93364"/>
    <n v="1648"/>
    <n v="12493"/>
    <s v="No"/>
    <n v="45"/>
    <n v="2.7"/>
    <x v="1"/>
  </r>
  <r>
    <x v="2301"/>
    <s v="Sunita Patel"/>
    <n v="40"/>
    <x v="0"/>
    <s v="A-"/>
    <s v="Lucknow"/>
    <d v="2024-05-09T00:00:00"/>
    <d v="2024-06-01T00:00:00"/>
    <n v="23"/>
    <x v="0"/>
    <s v="Dengue"/>
    <x v="1"/>
    <s v="Dietary Management"/>
    <x v="0"/>
    <s v="Dr. Vivek Mehta"/>
    <n v="247"/>
    <s v="General Ward"/>
    <x v="4"/>
    <n v="119171"/>
    <n v="0"/>
    <n v="119171"/>
    <n v="96986"/>
    <n v="16867"/>
    <n v="1344"/>
    <s v="No"/>
    <n v="84"/>
    <n v="3.6"/>
    <x v="4"/>
  </r>
  <r>
    <x v="2302"/>
    <s v="Vijay Das"/>
    <n v="60"/>
    <x v="1"/>
    <s v="B-"/>
    <s v="Ahmedabad"/>
    <d v="2024-11-13T00:00:00"/>
    <d v="2024-11-25T00:00:00"/>
    <n v="12"/>
    <x v="0"/>
    <s v="COVID-19"/>
    <x v="1"/>
    <s v="Surgery"/>
    <x v="0"/>
    <s v="Dr. Prerna Mehta"/>
    <n v="34"/>
    <s v="Semi-Private"/>
    <x v="1"/>
    <n v="55927"/>
    <n v="22388"/>
    <n v="33539"/>
    <n v="27646"/>
    <n v="17143"/>
    <n v="6720"/>
    <s v="No"/>
    <n v="71"/>
    <n v="3.9"/>
    <x v="3"/>
  </r>
  <r>
    <x v="2303"/>
    <s v="Vikram Joshi"/>
    <n v="61"/>
    <x v="0"/>
    <s v="B+"/>
    <s v="Hyderabad"/>
    <d v="2023-09-19T00:00:00"/>
    <d v="2023-09-30T00:00:00"/>
    <n v="11"/>
    <x v="4"/>
    <s v="Heart Attack"/>
    <x v="7"/>
    <s v="Counseling"/>
    <x v="3"/>
    <s v="Dr. Kavita Sharma"/>
    <n v="359"/>
    <s v="General Ward"/>
    <x v="0"/>
    <n v="174708"/>
    <n v="91899"/>
    <n v="82809"/>
    <n v="147894"/>
    <n v="17284"/>
    <n v="8703"/>
    <s v="No"/>
    <n v="58"/>
    <n v="3.3"/>
    <x v="1"/>
  </r>
  <r>
    <x v="2304"/>
    <s v="Ashok Iyer"/>
    <n v="44"/>
    <x v="1"/>
    <s v="AB+"/>
    <s v="Jaipur"/>
    <d v="2023-09-15T00:00:00"/>
    <d v="2023-10-05T00:00:00"/>
    <n v="20"/>
    <x v="6"/>
    <s v="Arthritis"/>
    <x v="11"/>
    <s v="Dialysis"/>
    <x v="2"/>
    <s v="Dr. Sameer Sharma"/>
    <n v="108"/>
    <s v="Semi-Private"/>
    <x v="0"/>
    <n v="141601"/>
    <n v="77932"/>
    <n v="63669"/>
    <n v="104113"/>
    <n v="19117"/>
    <n v="14573"/>
    <s v="Yes"/>
    <n v="83"/>
    <n v="2.6"/>
    <x v="1"/>
  </r>
  <r>
    <x v="2305"/>
    <s v="Nisha Bose"/>
    <n v="73"/>
    <x v="0"/>
    <s v="O+"/>
    <s v="Pune"/>
    <d v="2024-09-18T00:00:00"/>
    <d v="2024-10-11T00:00:00"/>
    <n v="23"/>
    <x v="3"/>
    <s v="Migraine"/>
    <x v="6"/>
    <s v="Chemotherapy"/>
    <x v="1"/>
    <s v="Dr. Shalini Mehta"/>
    <n v="134"/>
    <s v="ICU"/>
    <x v="4"/>
    <n v="70554"/>
    <n v="0"/>
    <n v="70554"/>
    <n v="58771"/>
    <n v="1591"/>
    <n v="8778"/>
    <s v="No"/>
    <n v="49"/>
    <n v="2.5"/>
    <x v="4"/>
  </r>
  <r>
    <x v="2306"/>
    <s v="Nisha Sharma"/>
    <n v="38"/>
    <x v="1"/>
    <s v="B+"/>
    <s v="Bangalore"/>
    <d v="2024-05-13T00:00:00"/>
    <d v="2024-05-26T00:00:00"/>
    <n v="13"/>
    <x v="1"/>
    <s v="UTI"/>
    <x v="2"/>
    <s v="ICU Care"/>
    <x v="1"/>
    <s v="Dr. Shalini Singh"/>
    <n v="430"/>
    <s v="Private"/>
    <x v="4"/>
    <n v="134835"/>
    <n v="0"/>
    <n v="134835"/>
    <n v="121268"/>
    <n v="8615"/>
    <n v="2106"/>
    <s v="No"/>
    <n v="49"/>
    <n v="4"/>
    <x v="4"/>
  </r>
  <r>
    <x v="2307"/>
    <s v="Pooja Joshi"/>
    <n v="23"/>
    <x v="0"/>
    <s v="AB-"/>
    <s v="Ahmedabad"/>
    <d v="2024-05-27T00:00:00"/>
    <d v="2024-05-28T00:00:00"/>
    <n v="1"/>
    <x v="3"/>
    <s v="Stroke"/>
    <x v="6"/>
    <s v="Physiotherapy"/>
    <x v="1"/>
    <s v="Dr. Anjali Patel"/>
    <n v="32"/>
    <s v="General Ward"/>
    <x v="0"/>
    <n v="97159"/>
    <n v="58596"/>
    <n v="38563"/>
    <n v="71864"/>
    <n v="11358"/>
    <n v="9111"/>
    <s v="No"/>
    <n v="47"/>
    <n v="3.9"/>
    <x v="0"/>
  </r>
  <r>
    <x v="2308"/>
    <s v="Kavya Menon"/>
    <n v="82"/>
    <x v="0"/>
    <s v="AB-"/>
    <s v="Lucknow"/>
    <d v="2023-05-16T00:00:00"/>
    <d v="2023-06-07T00:00:00"/>
    <n v="22"/>
    <x v="2"/>
    <s v="Cancer"/>
    <x v="3"/>
    <s v="Chemotherapy"/>
    <x v="2"/>
    <s v="Dr. Deepak Reddy"/>
    <n v="371"/>
    <s v="Semi-Private"/>
    <x v="1"/>
    <n v="162013"/>
    <n v="75024"/>
    <n v="86989"/>
    <n v="121944"/>
    <n v="27834"/>
    <n v="7538"/>
    <s v="No"/>
    <n v="65"/>
    <n v="3.6"/>
    <x v="0"/>
  </r>
  <r>
    <x v="2309"/>
    <s v="Vikram Shah"/>
    <n v="70"/>
    <x v="1"/>
    <s v="AB-"/>
    <s v="Chennai"/>
    <d v="2024-06-07T00:00:00"/>
    <d v="2024-06-25T00:00:00"/>
    <n v="18"/>
    <x v="0"/>
    <s v="Appendicitis"/>
    <x v="0"/>
    <s v="ICU Care"/>
    <x v="2"/>
    <s v="Dr. Sameer Reddy"/>
    <n v="171"/>
    <s v="General Ward"/>
    <x v="3"/>
    <n v="97415"/>
    <n v="65254"/>
    <n v="32161"/>
    <n v="66768"/>
    <n v="16726"/>
    <n v="9403"/>
    <s v="No"/>
    <n v="48"/>
    <n v="2.2999999999999998"/>
    <x v="0"/>
  </r>
  <r>
    <x v="2310"/>
    <s v="Arjun Sharma"/>
    <n v="53"/>
    <x v="0"/>
    <s v="AB+"/>
    <s v="Mumbai"/>
    <d v="2023-02-08T00:00:00"/>
    <d v="2023-03-10T00:00:00"/>
    <n v="30"/>
    <x v="3"/>
    <s v="Stroke"/>
    <x v="6"/>
    <s v="Physiotherapy"/>
    <x v="3"/>
    <s v="Dr. Arun Nair"/>
    <n v="203"/>
    <s v="ICU"/>
    <x v="0"/>
    <n v="75229"/>
    <n v="34269"/>
    <n v="40960"/>
    <n v="45438"/>
    <n v="14380"/>
    <n v="11357"/>
    <s v="Yes"/>
    <n v="43"/>
    <n v="3.3"/>
    <x v="4"/>
  </r>
  <r>
    <x v="2311"/>
    <s v="Sunil Malhotra"/>
    <n v="73"/>
    <x v="0"/>
    <s v="AB-"/>
    <s v="Chennai"/>
    <d v="2024-09-14T00:00:00"/>
    <d v="2024-09-17T00:00:00"/>
    <n v="3"/>
    <x v="0"/>
    <s v="Depression"/>
    <x v="5"/>
    <s v="Dietary Management"/>
    <x v="1"/>
    <s v="Dr. Nisha Rao"/>
    <n v="225"/>
    <s v="Private"/>
    <x v="3"/>
    <n v="175503"/>
    <n v="116738"/>
    <n v="58765"/>
    <n v="136433"/>
    <n v="26798"/>
    <n v="9907"/>
    <s v="No"/>
    <n v="84"/>
    <n v="3.5"/>
    <x v="3"/>
  </r>
  <r>
    <x v="2312"/>
    <s v="Sunita Khanna"/>
    <n v="25"/>
    <x v="0"/>
    <s v="B+"/>
    <s v="Kolkata"/>
    <d v="2022-08-29T00:00:00"/>
    <d v="2022-08-31T00:00:00"/>
    <n v="2"/>
    <x v="2"/>
    <s v="Cancer"/>
    <x v="3"/>
    <s v="Physiotherapy"/>
    <x v="3"/>
    <s v="Dr. Deepak Gupta"/>
    <n v="256"/>
    <s v="Semi-Private"/>
    <x v="3"/>
    <n v="115407"/>
    <n v="78722"/>
    <n v="36685"/>
    <n v="96798"/>
    <n v="4561"/>
    <n v="9153"/>
    <s v="No"/>
    <n v="79"/>
    <n v="3.6"/>
    <x v="4"/>
  </r>
  <r>
    <x v="2313"/>
    <s v="Vijay Chopra"/>
    <n v="15"/>
    <x v="1"/>
    <s v="B+"/>
    <s v="Lucknow"/>
    <d v="2023-09-09T00:00:00"/>
    <d v="2023-09-10T00:00:00"/>
    <n v="1"/>
    <x v="3"/>
    <s v="Migraine"/>
    <x v="6"/>
    <s v="ICU Care"/>
    <x v="0"/>
    <s v="Dr. Sameer Singh"/>
    <n v="240"/>
    <s v="ICU"/>
    <x v="0"/>
    <n v="171784"/>
    <n v="110354"/>
    <n v="61430"/>
    <n v="149371"/>
    <n v="12411"/>
    <n v="8295"/>
    <s v="No"/>
    <n v="73"/>
    <n v="3"/>
    <x v="3"/>
  </r>
  <r>
    <x v="2314"/>
    <s v="Sunil Gupta"/>
    <n v="75"/>
    <x v="0"/>
    <s v="B-"/>
    <s v="Jaipur"/>
    <d v="2023-12-28T00:00:00"/>
    <d v="2024-01-14T00:00:00"/>
    <n v="17"/>
    <x v="4"/>
    <s v="Hypertension"/>
    <x v="7"/>
    <s v="Dietary Management"/>
    <x v="0"/>
    <s v="Dr. Vivek Rao"/>
    <n v="83"/>
    <s v="Private"/>
    <x v="4"/>
    <n v="25259"/>
    <n v="0"/>
    <n v="25259"/>
    <n v="9303"/>
    <n v="11706"/>
    <n v="1561"/>
    <s v="No"/>
    <n v="59"/>
    <n v="3.5"/>
    <x v="4"/>
  </r>
  <r>
    <x v="2315"/>
    <s v="Geeta Reddy"/>
    <n v="49"/>
    <x v="0"/>
    <s v="O-"/>
    <s v="Hyderabad"/>
    <d v="2023-04-08T00:00:00"/>
    <d v="2023-05-05T00:00:00"/>
    <n v="27"/>
    <x v="1"/>
    <s v="UTI"/>
    <x v="2"/>
    <s v="Chemotherapy"/>
    <x v="0"/>
    <s v="Dr. Rakesh Rao"/>
    <n v="290"/>
    <s v="ICU"/>
    <x v="2"/>
    <n v="50914"/>
    <n v="37521"/>
    <n v="13393"/>
    <n v="21121"/>
    <n v="16968"/>
    <n v="8683"/>
    <s v="Yes"/>
    <n v="49"/>
    <n v="4.0999999999999996"/>
    <x v="1"/>
  </r>
  <r>
    <x v="2316"/>
    <s v="Rekha Chopra"/>
    <n v="15"/>
    <x v="0"/>
    <s v="B-"/>
    <s v="Chennai"/>
    <d v="2022-03-11T00:00:00"/>
    <d v="2022-03-12T00:00:00"/>
    <n v="1"/>
    <x v="5"/>
    <s v="Pneumonia"/>
    <x v="8"/>
    <s v="Medication"/>
    <x v="2"/>
    <s v="Dr. Anjali Kumar"/>
    <n v="380"/>
    <s v="General Ward"/>
    <x v="3"/>
    <n v="161496"/>
    <n v="133912"/>
    <n v="27584"/>
    <n v="114962"/>
    <n v="27376"/>
    <n v="14805"/>
    <s v="No"/>
    <n v="84"/>
    <n v="3.7"/>
    <x v="0"/>
  </r>
  <r>
    <x v="2317"/>
    <s v="Manoj Patel"/>
    <n v="45"/>
    <x v="1"/>
    <s v="O+"/>
    <s v="Pune"/>
    <d v="2023-05-08T00:00:00"/>
    <d v="2023-06-05T00:00:00"/>
    <n v="28"/>
    <x v="0"/>
    <s v="Depression"/>
    <x v="5"/>
    <s v="Dietary Management"/>
    <x v="1"/>
    <s v="Dr. Prerna Joshi"/>
    <n v="265"/>
    <s v="General Ward"/>
    <x v="0"/>
    <n v="38797"/>
    <n v="16155"/>
    <n v="22642"/>
    <n v="14825"/>
    <n v="17317"/>
    <n v="6103"/>
    <s v="No"/>
    <n v="94"/>
    <n v="4.3"/>
    <x v="0"/>
  </r>
  <r>
    <x v="2318"/>
    <s v="Sunita Singh"/>
    <n v="49"/>
    <x v="0"/>
    <s v="O-"/>
    <s v="Lucknow"/>
    <d v="2023-03-25T00:00:00"/>
    <d v="2023-04-22T00:00:00"/>
    <n v="28"/>
    <x v="0"/>
    <s v="Obesity"/>
    <x v="12"/>
    <s v="Physiotherapy"/>
    <x v="3"/>
    <s v="Dr. Rakesh Kumar"/>
    <n v="183"/>
    <s v="ICU"/>
    <x v="4"/>
    <n v="65867"/>
    <n v="0"/>
    <n v="65867"/>
    <n v="52903"/>
    <n v="7950"/>
    <n v="3473"/>
    <s v="Yes"/>
    <n v="87"/>
    <n v="4.9000000000000004"/>
    <x v="0"/>
  </r>
  <r>
    <x v="2319"/>
    <s v="Deepa Nair"/>
    <n v="15"/>
    <x v="1"/>
    <s v="O-"/>
    <s v="Delhi"/>
    <d v="2024-07-04T00:00:00"/>
    <d v="2024-07-17T00:00:00"/>
    <n v="13"/>
    <x v="0"/>
    <s v="Obesity"/>
    <x v="12"/>
    <s v="Chemotherapy"/>
    <x v="2"/>
    <s v="Dr. Arun Reddy"/>
    <n v="283"/>
    <s v="General Ward"/>
    <x v="4"/>
    <n v="145585"/>
    <n v="0"/>
    <n v="145585"/>
    <n v="118757"/>
    <n v="20129"/>
    <n v="5859"/>
    <s v="No"/>
    <n v="62"/>
    <n v="4.2"/>
    <x v="4"/>
  </r>
  <r>
    <x v="2320"/>
    <s v="Divya Shah"/>
    <n v="13"/>
    <x v="1"/>
    <s v="AB+"/>
    <s v="Chennai"/>
    <d v="2024-04-22T00:00:00"/>
    <d v="2024-05-21T00:00:00"/>
    <n v="29"/>
    <x v="0"/>
    <s v="Appendicitis"/>
    <x v="0"/>
    <s v="Physiotherapy"/>
    <x v="0"/>
    <s v="Dr. Rakesh Sharma"/>
    <n v="361"/>
    <s v="General Ward"/>
    <x v="2"/>
    <n v="156291"/>
    <n v="125978"/>
    <n v="30313"/>
    <n v="123850"/>
    <n v="28113"/>
    <n v="3625"/>
    <s v="No"/>
    <n v="78"/>
    <n v="2.7"/>
    <x v="0"/>
  </r>
  <r>
    <x v="2321"/>
    <s v="Vikram Singh"/>
    <n v="40"/>
    <x v="0"/>
    <s v="B+"/>
    <s v="Jaipur"/>
    <d v="2024-06-21T00:00:00"/>
    <d v="2024-07-20T00:00:00"/>
    <n v="29"/>
    <x v="6"/>
    <s v="Arthritis"/>
    <x v="11"/>
    <s v="Dietary Management"/>
    <x v="0"/>
    <s v="Dr. Sameer Nair"/>
    <n v="296"/>
    <s v="Semi-Private"/>
    <x v="2"/>
    <n v="79311"/>
    <n v="56167"/>
    <n v="23144"/>
    <n v="54045"/>
    <n v="19104"/>
    <n v="5200"/>
    <s v="Yes"/>
    <n v="62"/>
    <n v="2.1"/>
    <x v="4"/>
  </r>
  <r>
    <x v="2322"/>
    <s v="Rekha Patel"/>
    <n v="76"/>
    <x v="1"/>
    <s v="A-"/>
    <s v="Lucknow"/>
    <d v="2022-07-16T00:00:00"/>
    <d v="2022-07-21T00:00:00"/>
    <n v="5"/>
    <x v="0"/>
    <s v="Anemia"/>
    <x v="4"/>
    <s v="Dialysis"/>
    <x v="3"/>
    <s v="Dr. Deepak Rao"/>
    <n v="216"/>
    <s v="Private"/>
    <x v="4"/>
    <n v="165033"/>
    <n v="0"/>
    <n v="165033"/>
    <n v="149604"/>
    <n v="3226"/>
    <n v="9477"/>
    <s v="No"/>
    <n v="40"/>
    <n v="3.8"/>
    <x v="2"/>
  </r>
  <r>
    <x v="2323"/>
    <s v="Ritu Khanna"/>
    <n v="50"/>
    <x v="0"/>
    <s v="AB-"/>
    <s v="Delhi"/>
    <d v="2023-01-18T00:00:00"/>
    <d v="2023-02-16T00:00:00"/>
    <n v="29"/>
    <x v="0"/>
    <s v="Typhoid"/>
    <x v="1"/>
    <s v="ICU Care"/>
    <x v="3"/>
    <s v="Dr. Deepak Gupta"/>
    <n v="157"/>
    <s v="ICU"/>
    <x v="2"/>
    <n v="115713"/>
    <n v="77240"/>
    <n v="38473"/>
    <n v="93146"/>
    <n v="14078"/>
    <n v="6735"/>
    <s v="No"/>
    <n v="99"/>
    <n v="4.2"/>
    <x v="1"/>
  </r>
  <r>
    <x v="2324"/>
    <s v="Karan Sharma"/>
    <n v="79"/>
    <x v="0"/>
    <s v="O+"/>
    <s v="Kolkata"/>
    <d v="2022-08-10T00:00:00"/>
    <d v="2022-08-22T00:00:00"/>
    <n v="12"/>
    <x v="4"/>
    <s v="Hypertension"/>
    <x v="7"/>
    <s v="Physiotherapy"/>
    <x v="2"/>
    <s v="Dr. Nisha Sharma"/>
    <n v="214"/>
    <s v="ICU"/>
    <x v="4"/>
    <n v="133939"/>
    <n v="0"/>
    <n v="133939"/>
    <n v="103605"/>
    <n v="15180"/>
    <n v="14202"/>
    <s v="No"/>
    <n v="93"/>
    <n v="3.1"/>
    <x v="1"/>
  </r>
  <r>
    <x v="2325"/>
    <s v="Divya Sharma"/>
    <n v="70"/>
    <x v="0"/>
    <s v="O-"/>
    <s v="Ahmedabad"/>
    <d v="2024-05-26T00:00:00"/>
    <d v="2024-06-06T00:00:00"/>
    <n v="11"/>
    <x v="0"/>
    <s v="Typhoid"/>
    <x v="1"/>
    <s v="Dietary Management"/>
    <x v="2"/>
    <s v="Dr. Anjali Rao"/>
    <n v="359"/>
    <s v="Semi-Private"/>
    <x v="1"/>
    <n v="60989"/>
    <n v="29273"/>
    <n v="31716"/>
    <n v="30223"/>
    <n v="20721"/>
    <n v="5552"/>
    <s v="No"/>
    <n v="96"/>
    <n v="3.7"/>
    <x v="0"/>
  </r>
  <r>
    <x v="2326"/>
    <s v="Priya Mehta"/>
    <n v="46"/>
    <x v="1"/>
    <s v="A-"/>
    <s v="Lucknow"/>
    <d v="2024-03-04T00:00:00"/>
    <d v="2024-03-30T00:00:00"/>
    <n v="26"/>
    <x v="4"/>
    <s v="Hypertension"/>
    <x v="7"/>
    <s v="Surgery"/>
    <x v="1"/>
    <s v="Dr. Sameer Gupta"/>
    <n v="217"/>
    <s v="Private"/>
    <x v="3"/>
    <n v="65848"/>
    <n v="43209"/>
    <n v="22639"/>
    <n v="23676"/>
    <n v="26041"/>
    <n v="13104"/>
    <s v="No"/>
    <n v="54"/>
    <n v="2.5"/>
    <x v="3"/>
  </r>
  <r>
    <x v="2327"/>
    <s v="Rahul Iyer"/>
    <n v="11"/>
    <x v="1"/>
    <s v="AB+"/>
    <s v="Kolkata"/>
    <d v="2022-10-01T00:00:00"/>
    <d v="2022-10-09T00:00:00"/>
    <n v="8"/>
    <x v="0"/>
    <s v="Typhoid"/>
    <x v="1"/>
    <s v="Chemotherapy"/>
    <x v="1"/>
    <s v="Dr. Kavita Reddy"/>
    <n v="4"/>
    <s v="Semi-Private"/>
    <x v="2"/>
    <n v="92821"/>
    <n v="69359"/>
    <n v="23462"/>
    <n v="73989"/>
    <n v="13123"/>
    <n v="3162"/>
    <s v="No"/>
    <n v="90"/>
    <n v="2"/>
    <x v="1"/>
  </r>
  <r>
    <x v="2328"/>
    <s v="Karan Mehta"/>
    <n v="30"/>
    <x v="1"/>
    <s v="AB-"/>
    <s v="Hyderabad"/>
    <d v="2022-11-11T00:00:00"/>
    <d v="2022-12-07T00:00:00"/>
    <n v="26"/>
    <x v="1"/>
    <s v="Kidney Stone"/>
    <x v="2"/>
    <s v="ICU Care"/>
    <x v="0"/>
    <s v="Dr. Deepak Joshi"/>
    <n v="212"/>
    <s v="General Ward"/>
    <x v="4"/>
    <n v="22469"/>
    <n v="0"/>
    <n v="22469"/>
    <n v="15678"/>
    <n v="2028"/>
    <n v="1312"/>
    <s v="No"/>
    <n v="76"/>
    <n v="4"/>
    <x v="2"/>
  </r>
  <r>
    <x v="2329"/>
    <s v="Ritu Kumar"/>
    <n v="46"/>
    <x v="0"/>
    <s v="O-"/>
    <s v="Mumbai"/>
    <d v="2022-07-09T00:00:00"/>
    <d v="2022-08-06T00:00:00"/>
    <n v="28"/>
    <x v="0"/>
    <s v="Dengue"/>
    <x v="1"/>
    <s v="Chemotherapy"/>
    <x v="3"/>
    <s v="Dr. Anjali Nair"/>
    <n v="55"/>
    <s v="General Ward"/>
    <x v="3"/>
    <n v="160300"/>
    <n v="125958"/>
    <n v="34342"/>
    <n v="124038"/>
    <n v="21348"/>
    <n v="12172"/>
    <s v="No"/>
    <n v="46"/>
    <n v="4.4000000000000004"/>
    <x v="0"/>
  </r>
  <r>
    <x v="2330"/>
    <s v="Arjun Kumar"/>
    <n v="49"/>
    <x v="1"/>
    <s v="O+"/>
    <s v="Hyderabad"/>
    <d v="2024-05-25T00:00:00"/>
    <d v="2024-06-08T00:00:00"/>
    <n v="14"/>
    <x v="6"/>
    <s v="Fracture"/>
    <x v="10"/>
    <s v="Dietary Management"/>
    <x v="3"/>
    <s v="Dr. Rakesh Patel"/>
    <n v="233"/>
    <s v="General Ward"/>
    <x v="2"/>
    <n v="53429"/>
    <n v="46783"/>
    <n v="6646"/>
    <n v="5977"/>
    <n v="29432"/>
    <n v="14189"/>
    <s v="No"/>
    <n v="49"/>
    <n v="4.7"/>
    <x v="4"/>
  </r>
  <r>
    <x v="2331"/>
    <s v="Pooja Pillai"/>
    <n v="75"/>
    <x v="0"/>
    <s v="O+"/>
    <s v="Pune"/>
    <d v="2023-11-13T00:00:00"/>
    <d v="2023-11-21T00:00:00"/>
    <n v="8"/>
    <x v="3"/>
    <s v="Migraine"/>
    <x v="6"/>
    <s v="Radiation Therapy"/>
    <x v="0"/>
    <s v="Dr. Vivek Joshi"/>
    <n v="185"/>
    <s v="Private"/>
    <x v="1"/>
    <n v="37196"/>
    <n v="17953"/>
    <n v="19243"/>
    <n v="16940"/>
    <n v="6527"/>
    <n v="11357"/>
    <s v="No"/>
    <n v="91"/>
    <n v="2.4"/>
    <x v="0"/>
  </r>
  <r>
    <x v="2332"/>
    <s v="Sneha Khanna"/>
    <n v="28"/>
    <x v="1"/>
    <s v="AB+"/>
    <s v="Kolkata"/>
    <d v="2023-07-06T00:00:00"/>
    <d v="2023-07-23T00:00:00"/>
    <n v="17"/>
    <x v="1"/>
    <s v="UTI"/>
    <x v="2"/>
    <s v="Surgery"/>
    <x v="0"/>
    <s v="Dr. Prerna Singh"/>
    <n v="198"/>
    <s v="Semi-Private"/>
    <x v="1"/>
    <n v="158515"/>
    <n v="97280"/>
    <n v="61235"/>
    <n v="140456"/>
    <n v="8657"/>
    <n v="7117"/>
    <s v="No"/>
    <n v="43"/>
    <n v="4"/>
    <x v="2"/>
  </r>
  <r>
    <x v="2333"/>
    <s v="Suresh Singh"/>
    <n v="51"/>
    <x v="1"/>
    <s v="B-"/>
    <s v="Delhi"/>
    <d v="2023-02-08T00:00:00"/>
    <d v="2023-02-20T00:00:00"/>
    <n v="12"/>
    <x v="0"/>
    <s v="Anemia"/>
    <x v="4"/>
    <s v="Surgery"/>
    <x v="0"/>
    <s v="Dr. Arun Mehta"/>
    <n v="249"/>
    <s v="Private"/>
    <x v="3"/>
    <n v="74690"/>
    <n v="66729"/>
    <n v="7961"/>
    <n v="54193"/>
    <n v="10735"/>
    <n v="5525"/>
    <s v="No"/>
    <n v="52"/>
    <n v="3.3"/>
    <x v="2"/>
  </r>
  <r>
    <x v="2334"/>
    <s v="Kavya Menon"/>
    <n v="19"/>
    <x v="0"/>
    <s v="AB+"/>
    <s v="Delhi"/>
    <d v="2024-04-14T00:00:00"/>
    <d v="2024-05-02T00:00:00"/>
    <n v="18"/>
    <x v="4"/>
    <s v="Heart Attack"/>
    <x v="7"/>
    <s v="ICU Care"/>
    <x v="3"/>
    <s v="Dr. Deepak Singh"/>
    <n v="339"/>
    <s v="Semi-Private"/>
    <x v="2"/>
    <n v="98403"/>
    <n v="79595"/>
    <n v="18808"/>
    <n v="61483"/>
    <n v="21794"/>
    <n v="12053"/>
    <s v="No"/>
    <n v="59"/>
    <n v="2"/>
    <x v="4"/>
  </r>
  <r>
    <x v="2335"/>
    <s v="Deepa Malhotra"/>
    <n v="40"/>
    <x v="1"/>
    <s v="AB-"/>
    <s v="Chennai"/>
    <d v="2024-09-03T00:00:00"/>
    <d v="2024-09-08T00:00:00"/>
    <n v="5"/>
    <x v="0"/>
    <s v="Obesity"/>
    <x v="12"/>
    <s v="Surgery"/>
    <x v="0"/>
    <s v="Dr. Nisha Joshi"/>
    <n v="175"/>
    <s v="ICU"/>
    <x v="3"/>
    <n v="40372"/>
    <n v="35102"/>
    <n v="5270"/>
    <n v="19567"/>
    <n v="13611"/>
    <n v="2543"/>
    <s v="No"/>
    <n v="56"/>
    <n v="2.4"/>
    <x v="3"/>
  </r>
  <r>
    <x v="2336"/>
    <s v="Rahul Das"/>
    <n v="9"/>
    <x v="0"/>
    <s v="O+"/>
    <s v="Pune"/>
    <d v="2023-10-04T00:00:00"/>
    <d v="2023-10-07T00:00:00"/>
    <n v="3"/>
    <x v="0"/>
    <s v="Obesity"/>
    <x v="12"/>
    <s v="Dialysis"/>
    <x v="1"/>
    <s v="Dr. Nisha Mehta"/>
    <n v="264"/>
    <s v="ICU"/>
    <x v="0"/>
    <n v="110691"/>
    <n v="46490"/>
    <n v="64201"/>
    <n v="86599"/>
    <n v="18929"/>
    <n v="4614"/>
    <s v="No"/>
    <n v="89"/>
    <n v="2.2999999999999998"/>
    <x v="4"/>
  </r>
  <r>
    <x v="2337"/>
    <s v="Priya Chopra"/>
    <n v="37"/>
    <x v="1"/>
    <s v="O+"/>
    <s v="Hyderabad"/>
    <d v="2023-10-29T00:00:00"/>
    <d v="2023-11-05T00:00:00"/>
    <n v="7"/>
    <x v="2"/>
    <s v="Cancer"/>
    <x v="3"/>
    <s v="ICU Care"/>
    <x v="2"/>
    <s v="Dr. Arun Patel"/>
    <n v="420"/>
    <s v="Private"/>
    <x v="3"/>
    <n v="49141"/>
    <n v="35081"/>
    <n v="14060"/>
    <n v="30068"/>
    <n v="10046"/>
    <n v="7633"/>
    <s v="No"/>
    <n v="44"/>
    <n v="3.1"/>
    <x v="4"/>
  </r>
  <r>
    <x v="2338"/>
    <s v="Kavya Mehta"/>
    <n v="65"/>
    <x v="0"/>
    <s v="O+"/>
    <s v="Mumbai"/>
    <d v="2022-07-01T00:00:00"/>
    <d v="2022-07-08T00:00:00"/>
    <n v="7"/>
    <x v="5"/>
    <s v="Asthma"/>
    <x v="8"/>
    <s v="Radiation Therapy"/>
    <x v="1"/>
    <s v="Dr. Arun Rao"/>
    <n v="3"/>
    <s v="ICU"/>
    <x v="2"/>
    <n v="132281"/>
    <n v="105441"/>
    <n v="26840"/>
    <n v="103130"/>
    <n v="16791"/>
    <n v="11024"/>
    <s v="No"/>
    <n v="62"/>
    <n v="2.2999999999999998"/>
    <x v="0"/>
  </r>
  <r>
    <x v="2339"/>
    <s v="Nisha Kumar"/>
    <n v="40"/>
    <x v="0"/>
    <s v="O-"/>
    <s v="Jaipur"/>
    <d v="2023-01-23T00:00:00"/>
    <d v="2023-02-10T00:00:00"/>
    <n v="18"/>
    <x v="0"/>
    <s v="Typhoid"/>
    <x v="1"/>
    <s v="Observation"/>
    <x v="1"/>
    <s v="Dr. Anjali Mehta"/>
    <n v="305"/>
    <s v="ICU"/>
    <x v="3"/>
    <n v="73577"/>
    <n v="45241"/>
    <n v="28336"/>
    <n v="25417"/>
    <n v="28685"/>
    <n v="14736"/>
    <s v="No"/>
    <n v="97"/>
    <n v="3.6"/>
    <x v="3"/>
  </r>
  <r>
    <x v="2340"/>
    <s v="Karan Pillai"/>
    <n v="44"/>
    <x v="1"/>
    <s v="AB-"/>
    <s v="Bangalore"/>
    <d v="2023-02-05T00:00:00"/>
    <d v="2023-02-26T00:00:00"/>
    <n v="21"/>
    <x v="4"/>
    <s v="Hypertension"/>
    <x v="7"/>
    <s v="Dietary Management"/>
    <x v="1"/>
    <s v="Dr. Anjali Sharma"/>
    <n v="404"/>
    <s v="Private"/>
    <x v="3"/>
    <n v="93031"/>
    <n v="62408"/>
    <n v="30623"/>
    <n v="77213"/>
    <n v="9216"/>
    <n v="6076"/>
    <s v="No"/>
    <n v="64"/>
    <n v="4"/>
    <x v="1"/>
  </r>
  <r>
    <x v="2341"/>
    <s v="Nisha Kumar"/>
    <n v="83"/>
    <x v="1"/>
    <s v="A-"/>
    <s v="Jaipur"/>
    <d v="2024-09-08T00:00:00"/>
    <d v="2024-09-16T00:00:00"/>
    <n v="8"/>
    <x v="3"/>
    <s v="Stroke"/>
    <x v="6"/>
    <s v="Medication"/>
    <x v="2"/>
    <s v="Dr. Anjali Joshi"/>
    <n v="123"/>
    <s v="Semi-Private"/>
    <x v="3"/>
    <n v="67964"/>
    <n v="45304"/>
    <n v="22660"/>
    <n v="53062"/>
    <n v="6450"/>
    <n v="3887"/>
    <s v="No"/>
    <n v="94"/>
    <n v="3"/>
    <x v="1"/>
  </r>
  <r>
    <x v="2342"/>
    <s v="Ashok Mehta"/>
    <n v="23"/>
    <x v="0"/>
    <s v="A+"/>
    <s v="Pune"/>
    <d v="2022-04-09T00:00:00"/>
    <d v="2022-04-18T00:00:00"/>
    <n v="9"/>
    <x v="0"/>
    <s v="COVID-19"/>
    <x v="1"/>
    <s v="ICU Care"/>
    <x v="2"/>
    <s v="Dr. Nisha Mehta"/>
    <n v="85"/>
    <s v="ICU"/>
    <x v="4"/>
    <n v="98330"/>
    <n v="0"/>
    <n v="98330"/>
    <n v="73203"/>
    <n v="20323"/>
    <n v="3875"/>
    <s v="No"/>
    <n v="92"/>
    <n v="4.3"/>
    <x v="2"/>
  </r>
  <r>
    <x v="2343"/>
    <s v="Sanjay Malhotra"/>
    <n v="29"/>
    <x v="0"/>
    <s v="O-"/>
    <s v="Delhi"/>
    <d v="2023-02-03T00:00:00"/>
    <d v="2023-02-25T00:00:00"/>
    <n v="22"/>
    <x v="1"/>
    <s v="Kidney Stone"/>
    <x v="2"/>
    <s v="Dietary Management"/>
    <x v="0"/>
    <s v="Dr. Rakesh Mehta"/>
    <n v="216"/>
    <s v="General Ward"/>
    <x v="3"/>
    <n v="50836"/>
    <n v="32886"/>
    <n v="17950"/>
    <n v="21235"/>
    <n v="24429"/>
    <n v="917"/>
    <s v="No"/>
    <n v="40"/>
    <n v="4.0999999999999996"/>
    <x v="3"/>
  </r>
  <r>
    <x v="2344"/>
    <s v="Rohan Reddy"/>
    <n v="19"/>
    <x v="0"/>
    <s v="O+"/>
    <s v="Delhi"/>
    <d v="2022-05-22T00:00:00"/>
    <d v="2022-06-11T00:00:00"/>
    <n v="20"/>
    <x v="0"/>
    <s v="Liver Disease"/>
    <x v="0"/>
    <s v="Chemotherapy"/>
    <x v="0"/>
    <s v="Dr. Nisha Joshi"/>
    <n v="159"/>
    <s v="General Ward"/>
    <x v="0"/>
    <n v="125969"/>
    <n v="66563"/>
    <n v="59406"/>
    <n v="99556"/>
    <n v="10454"/>
    <n v="14040"/>
    <s v="Yes"/>
    <n v="48"/>
    <n v="3.6"/>
    <x v="0"/>
  </r>
  <r>
    <x v="2345"/>
    <s v="Sunita Joshi"/>
    <n v="26"/>
    <x v="1"/>
    <s v="O+"/>
    <s v="Chennai"/>
    <d v="2024-01-08T00:00:00"/>
    <d v="2024-02-05T00:00:00"/>
    <n v="28"/>
    <x v="0"/>
    <s v="COVID-19"/>
    <x v="1"/>
    <s v="Dietary Management"/>
    <x v="2"/>
    <s v="Dr. Deepak Rao"/>
    <n v="164"/>
    <s v="Private"/>
    <x v="4"/>
    <n v="61798"/>
    <n v="0"/>
    <n v="61798"/>
    <n v="48836"/>
    <n v="6099"/>
    <n v="5841"/>
    <s v="No"/>
    <n v="57"/>
    <n v="4.5999999999999996"/>
    <x v="1"/>
  </r>
  <r>
    <x v="2346"/>
    <s v="Ananya Menon"/>
    <n v="39"/>
    <x v="0"/>
    <s v="AB-"/>
    <s v="Pune"/>
    <d v="2024-03-26T00:00:00"/>
    <d v="2024-04-07T00:00:00"/>
    <n v="12"/>
    <x v="0"/>
    <s v="Dengue"/>
    <x v="1"/>
    <s v="Physiotherapy"/>
    <x v="3"/>
    <s v="Dr. Vivek Reddy"/>
    <n v="275"/>
    <s v="Semi-Private"/>
    <x v="3"/>
    <n v="158713"/>
    <n v="132008"/>
    <n v="26705"/>
    <n v="133569"/>
    <n v="14364"/>
    <n v="7437"/>
    <s v="Yes"/>
    <n v="45"/>
    <n v="4.2"/>
    <x v="3"/>
  </r>
  <r>
    <x v="2347"/>
    <s v="Ananya Gupta"/>
    <n v="85"/>
    <x v="1"/>
    <s v="B-"/>
    <s v="Chennai"/>
    <d v="2024-11-22T00:00:00"/>
    <d v="2024-12-08T00:00:00"/>
    <n v="16"/>
    <x v="1"/>
    <s v="Kidney Stone"/>
    <x v="2"/>
    <s v="Dialysis"/>
    <x v="2"/>
    <s v="Dr. Prerna Singh"/>
    <n v="148"/>
    <s v="Semi-Private"/>
    <x v="4"/>
    <n v="120202"/>
    <n v="0"/>
    <n v="120202"/>
    <n v="80634"/>
    <n v="23147"/>
    <n v="13205"/>
    <s v="No"/>
    <n v="69"/>
    <n v="2.9"/>
    <x v="0"/>
  </r>
  <r>
    <x v="2348"/>
    <s v="Arjun Reddy"/>
    <n v="84"/>
    <x v="0"/>
    <s v="B-"/>
    <s v="Jaipur"/>
    <d v="2022-09-18T00:00:00"/>
    <d v="2022-09-30T00:00:00"/>
    <n v="12"/>
    <x v="5"/>
    <s v="Pneumonia"/>
    <x v="8"/>
    <s v="Dialysis"/>
    <x v="2"/>
    <s v="Dr. Arun Rao"/>
    <n v="439"/>
    <s v="Semi-Private"/>
    <x v="4"/>
    <n v="103983"/>
    <n v="0"/>
    <n v="103983"/>
    <n v="70246"/>
    <n v="25757"/>
    <n v="6064"/>
    <s v="No"/>
    <n v="62"/>
    <n v="2.2000000000000002"/>
    <x v="2"/>
  </r>
  <r>
    <x v="2349"/>
    <s v="Sunita Rao"/>
    <n v="53"/>
    <x v="0"/>
    <s v="A+"/>
    <s v="Kolkata"/>
    <d v="2024-12-26T00:00:00"/>
    <d v="2024-12-31T00:00:00"/>
    <n v="5"/>
    <x v="0"/>
    <s v="Obesity"/>
    <x v="12"/>
    <s v="Physiotherapy"/>
    <x v="3"/>
    <s v="Dr. Anjali Patel"/>
    <n v="493"/>
    <s v="Private"/>
    <x v="3"/>
    <n v="106590"/>
    <n v="81399"/>
    <n v="25191"/>
    <n v="89119"/>
    <n v="14605"/>
    <n v="2226"/>
    <s v="No"/>
    <n v="44"/>
    <n v="2.1"/>
    <x v="2"/>
  </r>
  <r>
    <x v="2350"/>
    <s v="Ashok Sharma"/>
    <n v="25"/>
    <x v="1"/>
    <s v="A-"/>
    <s v="Bangalore"/>
    <d v="2023-03-06T00:00:00"/>
    <d v="2023-03-25T00:00:00"/>
    <n v="19"/>
    <x v="0"/>
    <s v="Dengue"/>
    <x v="1"/>
    <s v="Surgery"/>
    <x v="2"/>
    <s v="Dr. Prerna Joshi"/>
    <n v="306"/>
    <s v="Semi-Private"/>
    <x v="0"/>
    <n v="74109"/>
    <n v="49903"/>
    <n v="24206"/>
    <n v="55077"/>
    <n v="6023"/>
    <n v="9601"/>
    <s v="Yes"/>
    <n v="48"/>
    <n v="4.8"/>
    <x v="4"/>
  </r>
  <r>
    <x v="2351"/>
    <s v="Ashok Reddy"/>
    <n v="85"/>
    <x v="1"/>
    <s v="AB+"/>
    <s v="Bangalore"/>
    <d v="2022-08-22T00:00:00"/>
    <d v="2022-09-01T00:00:00"/>
    <n v="10"/>
    <x v="5"/>
    <s v="Asthma"/>
    <x v="8"/>
    <s v="Chemotherapy"/>
    <x v="0"/>
    <s v="Dr. Prerna Kumar"/>
    <n v="331"/>
    <s v="General Ward"/>
    <x v="4"/>
    <n v="112347"/>
    <n v="0"/>
    <n v="112347"/>
    <n v="89370"/>
    <n v="5084"/>
    <n v="14176"/>
    <s v="No"/>
    <n v="95"/>
    <n v="3.3"/>
    <x v="0"/>
  </r>
  <r>
    <x v="2352"/>
    <s v="Arjun Patel"/>
    <n v="15"/>
    <x v="1"/>
    <s v="O-"/>
    <s v="Lucknow"/>
    <d v="2022-07-25T00:00:00"/>
    <d v="2022-08-01T00:00:00"/>
    <n v="7"/>
    <x v="4"/>
    <s v="Heart Attack"/>
    <x v="7"/>
    <s v="Counseling"/>
    <x v="3"/>
    <s v="Dr. Sameer Reddy"/>
    <n v="465"/>
    <s v="Semi-Private"/>
    <x v="3"/>
    <n v="75939"/>
    <n v="55007"/>
    <n v="20932"/>
    <n v="54852"/>
    <n v="12065"/>
    <n v="6321"/>
    <s v="No"/>
    <n v="53"/>
    <n v="2.6"/>
    <x v="4"/>
  </r>
  <r>
    <x v="2353"/>
    <s v="Ashok Iyer"/>
    <n v="29"/>
    <x v="1"/>
    <s v="A+"/>
    <s v="Pune"/>
    <d v="2024-06-29T00:00:00"/>
    <d v="2024-07-02T00:00:00"/>
    <n v="3"/>
    <x v="0"/>
    <s v="Obesity"/>
    <x v="12"/>
    <s v="Chemotherapy"/>
    <x v="2"/>
    <s v="Dr. Kavita Nair"/>
    <n v="52"/>
    <s v="Private"/>
    <x v="4"/>
    <n v="113388"/>
    <n v="0"/>
    <n v="113388"/>
    <n v="94321"/>
    <n v="12093"/>
    <n v="2755"/>
    <s v="No"/>
    <n v="100"/>
    <n v="3.7"/>
    <x v="4"/>
  </r>
  <r>
    <x v="2354"/>
    <s v="Pooja Joshi"/>
    <n v="85"/>
    <x v="0"/>
    <s v="A+"/>
    <s v="Bangalore"/>
    <d v="2023-03-17T00:00:00"/>
    <d v="2023-03-28T00:00:00"/>
    <n v="11"/>
    <x v="0"/>
    <s v="Anemia"/>
    <x v="4"/>
    <s v="Medication"/>
    <x v="2"/>
    <s v="Dr. Arun Rao"/>
    <n v="314"/>
    <s v="ICU"/>
    <x v="1"/>
    <n v="62098"/>
    <n v="25071"/>
    <n v="37027"/>
    <n v="25525"/>
    <n v="20651"/>
    <n v="12366"/>
    <s v="No"/>
    <n v="67"/>
    <n v="3.5"/>
    <x v="0"/>
  </r>
  <r>
    <x v="2355"/>
    <s v="Karan Iyer"/>
    <n v="78"/>
    <x v="1"/>
    <s v="A-"/>
    <s v="Lucknow"/>
    <d v="2022-09-10T00:00:00"/>
    <d v="2022-10-09T00:00:00"/>
    <n v="29"/>
    <x v="0"/>
    <s v="Obesity"/>
    <x v="12"/>
    <s v="Counseling"/>
    <x v="0"/>
    <s v="Dr. Rakesh Joshi"/>
    <n v="61"/>
    <s v="Semi-Private"/>
    <x v="0"/>
    <n v="59969"/>
    <n v="24637"/>
    <n v="35332"/>
    <n v="26881"/>
    <n v="20615"/>
    <n v="11902"/>
    <s v="No"/>
    <n v="63"/>
    <n v="3"/>
    <x v="4"/>
  </r>
  <r>
    <x v="2356"/>
    <s v="Rekha Verma"/>
    <n v="71"/>
    <x v="0"/>
    <s v="B-"/>
    <s v="Ahmedabad"/>
    <d v="2023-03-08T00:00:00"/>
    <d v="2023-03-19T00:00:00"/>
    <n v="11"/>
    <x v="3"/>
    <s v="Stroke"/>
    <x v="6"/>
    <s v="Physiotherapy"/>
    <x v="0"/>
    <s v="Dr. Arun Mehta"/>
    <n v="259"/>
    <s v="ICU"/>
    <x v="3"/>
    <n v="148790"/>
    <n v="105744"/>
    <n v="43046"/>
    <n v="118897"/>
    <n v="17437"/>
    <n v="7590"/>
    <s v="No"/>
    <n v="87"/>
    <n v="2.8"/>
    <x v="3"/>
  </r>
  <r>
    <x v="2357"/>
    <s v="Rahul Chopra"/>
    <n v="25"/>
    <x v="1"/>
    <s v="A+"/>
    <s v="Kolkata"/>
    <d v="2023-12-28T00:00:00"/>
    <d v="2024-01-25T00:00:00"/>
    <n v="28"/>
    <x v="6"/>
    <s v="Fracture"/>
    <x v="10"/>
    <s v="Dietary Management"/>
    <x v="3"/>
    <s v="Dr. Anjali Reddy"/>
    <n v="403"/>
    <s v="ICU"/>
    <x v="4"/>
    <n v="111544"/>
    <n v="0"/>
    <n v="111544"/>
    <n v="81068"/>
    <n v="25544"/>
    <n v="3792"/>
    <s v="Yes"/>
    <n v="62"/>
    <n v="3.3"/>
    <x v="3"/>
  </r>
  <r>
    <x v="2358"/>
    <s v="Sunita Patel"/>
    <n v="31"/>
    <x v="1"/>
    <s v="B+"/>
    <s v="Ahmedabad"/>
    <d v="2023-11-08T00:00:00"/>
    <d v="2023-11-27T00:00:00"/>
    <n v="19"/>
    <x v="0"/>
    <s v="Anemia"/>
    <x v="4"/>
    <s v="Counseling"/>
    <x v="3"/>
    <s v="Dr. Deepak Joshi"/>
    <n v="313"/>
    <s v="ICU"/>
    <x v="1"/>
    <n v="85914"/>
    <n v="42082"/>
    <n v="43832"/>
    <n v="54558"/>
    <n v="11870"/>
    <n v="14715"/>
    <s v="No"/>
    <n v="50"/>
    <n v="2.6"/>
    <x v="1"/>
  </r>
  <r>
    <x v="2359"/>
    <s v="Sanjay Nair"/>
    <n v="47"/>
    <x v="1"/>
    <s v="A-"/>
    <s v="Bangalore"/>
    <d v="2023-12-09T00:00:00"/>
    <d v="2024-01-01T00:00:00"/>
    <n v="23"/>
    <x v="0"/>
    <s v="Depression"/>
    <x v="5"/>
    <s v="Medication"/>
    <x v="0"/>
    <s v="Dr. Sameer Sharma"/>
    <n v="388"/>
    <s v="General Ward"/>
    <x v="1"/>
    <n v="45874"/>
    <n v="27340"/>
    <n v="18534"/>
    <n v="16667"/>
    <n v="23351"/>
    <n v="4965"/>
    <s v="No"/>
    <n v="86"/>
    <n v="4.2"/>
    <x v="0"/>
  </r>
  <r>
    <x v="2360"/>
    <s v="Sanjay Kumar"/>
    <n v="45"/>
    <x v="1"/>
    <s v="O+"/>
    <s v="Delhi"/>
    <d v="2023-08-21T00:00:00"/>
    <d v="2023-08-22T00:00:00"/>
    <n v="1"/>
    <x v="1"/>
    <s v="Kidney Stone"/>
    <x v="2"/>
    <s v="Counseling"/>
    <x v="3"/>
    <s v="Dr. Arun Patel"/>
    <n v="361"/>
    <s v="Semi-Private"/>
    <x v="4"/>
    <n v="159029"/>
    <n v="0"/>
    <n v="159029"/>
    <n v="130619"/>
    <n v="21619"/>
    <n v="4968"/>
    <s v="No"/>
    <n v="84"/>
    <n v="3.2"/>
    <x v="2"/>
  </r>
  <r>
    <x v="2361"/>
    <s v="Lata Khanna"/>
    <n v="37"/>
    <x v="1"/>
    <s v="B+"/>
    <s v="Bangalore"/>
    <d v="2024-04-23T00:00:00"/>
    <d v="2024-05-03T00:00:00"/>
    <n v="10"/>
    <x v="0"/>
    <s v="COVID-19"/>
    <x v="1"/>
    <s v="ICU Care"/>
    <x v="3"/>
    <s v="Dr. Kavita Rao"/>
    <n v="379"/>
    <s v="Semi-Private"/>
    <x v="4"/>
    <n v="116304"/>
    <n v="0"/>
    <n v="116304"/>
    <n v="94278"/>
    <n v="7942"/>
    <n v="10325"/>
    <s v="Yes"/>
    <n v="58"/>
    <n v="2.4"/>
    <x v="3"/>
  </r>
  <r>
    <x v="2362"/>
    <s v="Ritu Singh"/>
    <n v="63"/>
    <x v="0"/>
    <s v="O+"/>
    <s v="Bangalore"/>
    <d v="2024-01-23T00:00:00"/>
    <d v="2024-02-14T00:00:00"/>
    <n v="22"/>
    <x v="2"/>
    <s v="Cancer"/>
    <x v="3"/>
    <s v="Observation"/>
    <x v="3"/>
    <s v="Dr. Sameer Gupta"/>
    <n v="407"/>
    <s v="ICU"/>
    <x v="1"/>
    <n v="64120"/>
    <n v="36191"/>
    <n v="27929"/>
    <n v="51380"/>
    <n v="1627"/>
    <n v="9812"/>
    <s v="No"/>
    <n v="50"/>
    <n v="2.5"/>
    <x v="4"/>
  </r>
  <r>
    <x v="2363"/>
    <s v="Karan Kumar"/>
    <n v="38"/>
    <x v="1"/>
    <s v="A+"/>
    <s v="Lucknow"/>
    <d v="2024-09-26T00:00:00"/>
    <d v="2024-09-27T00:00:00"/>
    <n v="1"/>
    <x v="4"/>
    <s v="Heart Attack"/>
    <x v="7"/>
    <s v="Dietary Management"/>
    <x v="0"/>
    <s v="Dr. Shalini Sharma"/>
    <n v="311"/>
    <s v="ICU"/>
    <x v="0"/>
    <n v="133505"/>
    <n v="78344"/>
    <n v="55161"/>
    <n v="98834"/>
    <n v="29402"/>
    <n v="2163"/>
    <s v="Yes"/>
    <n v="61"/>
    <n v="3.9"/>
    <x v="2"/>
  </r>
  <r>
    <x v="2364"/>
    <s v="Sneha Malhotra"/>
    <n v="12"/>
    <x v="1"/>
    <s v="O-"/>
    <s v="Chennai"/>
    <d v="2023-05-05T00:00:00"/>
    <d v="2023-05-21T00:00:00"/>
    <n v="16"/>
    <x v="0"/>
    <s v="Liver Disease"/>
    <x v="0"/>
    <s v="Medication"/>
    <x v="0"/>
    <s v="Dr. Arun Singh"/>
    <n v="460"/>
    <s v="Semi-Private"/>
    <x v="3"/>
    <n v="156575"/>
    <n v="102403"/>
    <n v="54172"/>
    <n v="130461"/>
    <n v="12324"/>
    <n v="9516"/>
    <s v="No"/>
    <n v="69"/>
    <n v="2.2999999999999998"/>
    <x v="2"/>
  </r>
  <r>
    <x v="2365"/>
    <s v="Priya Kumar"/>
    <n v="46"/>
    <x v="1"/>
    <s v="B-"/>
    <s v="Chennai"/>
    <d v="2022-02-20T00:00:00"/>
    <d v="2022-02-21T00:00:00"/>
    <n v="1"/>
    <x v="3"/>
    <s v="Stroke"/>
    <x v="6"/>
    <s v="ICU Care"/>
    <x v="0"/>
    <s v="Dr. Shalini Joshi"/>
    <n v="140"/>
    <s v="ICU"/>
    <x v="4"/>
    <n v="35292"/>
    <n v="0"/>
    <n v="35292"/>
    <n v="22602"/>
    <n v="7253"/>
    <n v="4364"/>
    <s v="No"/>
    <n v="62"/>
    <n v="2.2999999999999998"/>
    <x v="4"/>
  </r>
  <r>
    <x v="2366"/>
    <s v="Arjun Reddy"/>
    <n v="83"/>
    <x v="0"/>
    <s v="O+"/>
    <s v="Bangalore"/>
    <d v="2022-10-16T00:00:00"/>
    <d v="2022-10-30T00:00:00"/>
    <n v="14"/>
    <x v="0"/>
    <s v="Anemia"/>
    <x v="4"/>
    <s v="Surgery"/>
    <x v="3"/>
    <s v="Dr. Rakesh Reddy"/>
    <n v="10"/>
    <s v="General Ward"/>
    <x v="0"/>
    <n v="121504"/>
    <n v="57596"/>
    <n v="63908"/>
    <n v="86574"/>
    <n v="23656"/>
    <n v="9812"/>
    <s v="No"/>
    <n v="64"/>
    <n v="3.9"/>
    <x v="2"/>
  </r>
  <r>
    <x v="2367"/>
    <s v="Rekha Chopra"/>
    <n v="60"/>
    <x v="0"/>
    <s v="A-"/>
    <s v="Chennai"/>
    <d v="2024-04-01T00:00:00"/>
    <d v="2024-04-11T00:00:00"/>
    <n v="10"/>
    <x v="0"/>
    <s v="Anemia"/>
    <x v="4"/>
    <s v="ICU Care"/>
    <x v="1"/>
    <s v="Dr. Rakesh Kumar"/>
    <n v="87"/>
    <s v="Semi-Private"/>
    <x v="1"/>
    <n v="54472"/>
    <n v="33014"/>
    <n v="21458"/>
    <n v="40565"/>
    <n v="7964"/>
    <n v="2780"/>
    <s v="No"/>
    <n v="72"/>
    <n v="4"/>
    <x v="2"/>
  </r>
  <r>
    <x v="2368"/>
    <s v="Ashok Menon"/>
    <n v="62"/>
    <x v="1"/>
    <s v="O+"/>
    <s v="Lucknow"/>
    <d v="2024-04-12T00:00:00"/>
    <d v="2024-04-24T00:00:00"/>
    <n v="12"/>
    <x v="0"/>
    <s v="COVID-19"/>
    <x v="1"/>
    <s v="ICU Care"/>
    <x v="2"/>
    <s v="Dr. Kavita Kumar"/>
    <n v="91"/>
    <s v="General Ward"/>
    <x v="1"/>
    <n v="151449"/>
    <n v="73946"/>
    <n v="77503"/>
    <n v="135075"/>
    <n v="1004"/>
    <n v="11696"/>
    <s v="No"/>
    <n v="58"/>
    <n v="2.2999999999999998"/>
    <x v="2"/>
  </r>
  <r>
    <x v="2369"/>
    <s v="Sonia Singh"/>
    <n v="46"/>
    <x v="0"/>
    <s v="A+"/>
    <s v="Bangalore"/>
    <d v="2023-09-24T00:00:00"/>
    <d v="2023-10-03T00:00:00"/>
    <n v="9"/>
    <x v="0"/>
    <s v="COVID-19"/>
    <x v="1"/>
    <s v="Chemotherapy"/>
    <x v="1"/>
    <s v="Dr. Anjali Kumar"/>
    <n v="8"/>
    <s v="General Ward"/>
    <x v="3"/>
    <n v="71561"/>
    <n v="63517"/>
    <n v="8044"/>
    <n v="56596"/>
    <n v="5644"/>
    <n v="8650"/>
    <s v="No"/>
    <n v="76"/>
    <n v="2.2999999999999998"/>
    <x v="3"/>
  </r>
  <r>
    <x v="2370"/>
    <s v="Rekha Sharma"/>
    <n v="49"/>
    <x v="1"/>
    <s v="AB+"/>
    <s v="Lucknow"/>
    <d v="2024-03-23T00:00:00"/>
    <d v="2024-03-30T00:00:00"/>
    <n v="7"/>
    <x v="0"/>
    <s v="Anemia"/>
    <x v="4"/>
    <s v="Physiotherapy"/>
    <x v="0"/>
    <s v="Dr. Sameer Patel"/>
    <n v="96"/>
    <s v="ICU"/>
    <x v="4"/>
    <n v="104957"/>
    <n v="0"/>
    <n v="104957"/>
    <n v="87127"/>
    <n v="10335"/>
    <n v="3821"/>
    <s v="No"/>
    <n v="72"/>
    <n v="3.9"/>
    <x v="4"/>
  </r>
  <r>
    <x v="2371"/>
    <s v="Divya Khanna"/>
    <n v="66"/>
    <x v="0"/>
    <s v="AB+"/>
    <s v="Ahmedabad"/>
    <d v="2023-01-16T00:00:00"/>
    <d v="2023-01-29T00:00:00"/>
    <n v="13"/>
    <x v="0"/>
    <s v="Liver Disease"/>
    <x v="0"/>
    <s v="Observation"/>
    <x v="2"/>
    <s v="Dr. Arun Patel"/>
    <n v="354"/>
    <s v="Semi-Private"/>
    <x v="0"/>
    <n v="78274"/>
    <n v="50372"/>
    <n v="27902"/>
    <n v="62828"/>
    <n v="5344"/>
    <n v="8498"/>
    <s v="No"/>
    <n v="40"/>
    <n v="2.5"/>
    <x v="4"/>
  </r>
  <r>
    <x v="2372"/>
    <s v="Sunita Bose"/>
    <n v="20"/>
    <x v="0"/>
    <s v="A-"/>
    <s v="Hyderabad"/>
    <d v="2023-08-03T00:00:00"/>
    <d v="2023-08-23T00:00:00"/>
    <n v="20"/>
    <x v="0"/>
    <s v="Appendicitis"/>
    <x v="0"/>
    <s v="ICU Care"/>
    <x v="1"/>
    <s v="Dr. Rakesh Gupta"/>
    <n v="182"/>
    <s v="ICU"/>
    <x v="2"/>
    <n v="142608"/>
    <n v="108869"/>
    <n v="33739"/>
    <n v="114001"/>
    <n v="25216"/>
    <n v="1181"/>
    <s v="No"/>
    <n v="60"/>
    <n v="4.9000000000000004"/>
    <x v="2"/>
  </r>
  <r>
    <x v="2373"/>
    <s v="Karan Sharma"/>
    <n v="58"/>
    <x v="1"/>
    <s v="B+"/>
    <s v="Jaipur"/>
    <d v="2024-07-27T00:00:00"/>
    <d v="2024-08-15T00:00:00"/>
    <n v="19"/>
    <x v="0"/>
    <s v="Dengue"/>
    <x v="1"/>
    <s v="Surgery"/>
    <x v="3"/>
    <s v="Dr. Prerna Sharma"/>
    <n v="290"/>
    <s v="ICU"/>
    <x v="3"/>
    <n v="54795"/>
    <n v="43080"/>
    <n v="11715"/>
    <n v="23333"/>
    <n v="23033"/>
    <n v="6539"/>
    <s v="No"/>
    <n v="86"/>
    <n v="3"/>
    <x v="4"/>
  </r>
  <r>
    <x v="2374"/>
    <s v="Arjun Menon"/>
    <n v="10"/>
    <x v="0"/>
    <s v="A+"/>
    <s v="Kolkata"/>
    <d v="2022-01-31T00:00:00"/>
    <d v="2022-02-07T00:00:00"/>
    <n v="7"/>
    <x v="0"/>
    <s v="Diabetes Type 2"/>
    <x v="9"/>
    <s v="Dialysis"/>
    <x v="0"/>
    <s v="Dr. Prerna Patel"/>
    <n v="95"/>
    <s v="General Ward"/>
    <x v="0"/>
    <n v="138384"/>
    <n v="92881"/>
    <n v="45503"/>
    <n v="127880"/>
    <n v="7965"/>
    <n v="901"/>
    <s v="No"/>
    <n v="80"/>
    <n v="4.4000000000000004"/>
    <x v="1"/>
  </r>
  <r>
    <x v="2375"/>
    <s v="Rajesh Iyer"/>
    <n v="47"/>
    <x v="1"/>
    <s v="B+"/>
    <s v="Lucknow"/>
    <d v="2022-11-12T00:00:00"/>
    <d v="2022-11-14T00:00:00"/>
    <n v="2"/>
    <x v="0"/>
    <s v="COVID-19"/>
    <x v="1"/>
    <s v="Physiotherapy"/>
    <x v="2"/>
    <s v="Dr. Arun Reddy"/>
    <n v="125"/>
    <s v="Private"/>
    <x v="1"/>
    <n v="61746"/>
    <n v="36133"/>
    <n v="25613"/>
    <n v="44347"/>
    <n v="8293"/>
    <n v="4175"/>
    <s v="No"/>
    <n v="46"/>
    <n v="4.0999999999999996"/>
    <x v="2"/>
  </r>
  <r>
    <x v="2376"/>
    <s v="Rajesh Menon"/>
    <n v="79"/>
    <x v="0"/>
    <s v="AB-"/>
    <s v="Chennai"/>
    <d v="2024-07-26T00:00:00"/>
    <d v="2024-08-15T00:00:00"/>
    <n v="20"/>
    <x v="4"/>
    <s v="Heart Attack"/>
    <x v="7"/>
    <s v="Counseling"/>
    <x v="0"/>
    <s v="Dr. Vivek Gupta"/>
    <n v="483"/>
    <s v="Semi-Private"/>
    <x v="0"/>
    <n v="122680"/>
    <n v="55783"/>
    <n v="66897"/>
    <n v="107629"/>
    <n v="1251"/>
    <n v="10900"/>
    <s v="No"/>
    <n v="64"/>
    <n v="4.4000000000000004"/>
    <x v="4"/>
  </r>
  <r>
    <x v="2377"/>
    <s v="Amit Kumar"/>
    <n v="43"/>
    <x v="0"/>
    <s v="O+"/>
    <s v="Jaipur"/>
    <d v="2024-02-11T00:00:00"/>
    <d v="2024-02-22T00:00:00"/>
    <n v="11"/>
    <x v="0"/>
    <s v="COVID-19"/>
    <x v="1"/>
    <s v="Chemotherapy"/>
    <x v="1"/>
    <s v="Dr. Vivek Mehta"/>
    <n v="420"/>
    <s v="General Ward"/>
    <x v="3"/>
    <n v="155001"/>
    <n v="130642"/>
    <n v="24359"/>
    <n v="143369"/>
    <n v="3116"/>
    <n v="5569"/>
    <s v="No"/>
    <n v="47"/>
    <n v="3.8"/>
    <x v="4"/>
  </r>
  <r>
    <x v="2378"/>
    <s v="Vikram Patel"/>
    <n v="27"/>
    <x v="1"/>
    <s v="A-"/>
    <s v="Chennai"/>
    <d v="2022-01-21T00:00:00"/>
    <d v="2022-02-15T00:00:00"/>
    <n v="25"/>
    <x v="4"/>
    <s v="Hypertension"/>
    <x v="7"/>
    <s v="Dialysis"/>
    <x v="2"/>
    <s v="Dr. Kavita Rao"/>
    <n v="62"/>
    <s v="Private"/>
    <x v="2"/>
    <n v="167894"/>
    <n v="136032"/>
    <n v="31862"/>
    <n v="149103"/>
    <n v="4807"/>
    <n v="12866"/>
    <s v="No"/>
    <n v="77"/>
    <n v="3.2"/>
    <x v="2"/>
  </r>
  <r>
    <x v="2379"/>
    <s v="Aditya Verma"/>
    <n v="5"/>
    <x v="0"/>
    <s v="O+"/>
    <s v="Lucknow"/>
    <d v="2023-11-27T00:00:00"/>
    <d v="2023-11-29T00:00:00"/>
    <n v="2"/>
    <x v="1"/>
    <s v="UTI"/>
    <x v="2"/>
    <s v="Chemotherapy"/>
    <x v="2"/>
    <s v="Dr. Anjali Patel"/>
    <n v="423"/>
    <s v="Semi-Private"/>
    <x v="1"/>
    <n v="29049"/>
    <n v="14068"/>
    <n v="14981"/>
    <n v="6565"/>
    <n v="5655"/>
    <n v="12069"/>
    <s v="No"/>
    <n v="56"/>
    <n v="4.3"/>
    <x v="3"/>
  </r>
  <r>
    <x v="2380"/>
    <s v="Lata Khanna"/>
    <n v="16"/>
    <x v="0"/>
    <s v="B-"/>
    <s v="Kolkata"/>
    <d v="2023-01-02T00:00:00"/>
    <d v="2023-01-11T00:00:00"/>
    <n v="9"/>
    <x v="0"/>
    <s v="Diabetes Type 2"/>
    <x v="9"/>
    <s v="Counseling"/>
    <x v="3"/>
    <s v="Dr. Prerna Joshi"/>
    <n v="120"/>
    <s v="Semi-Private"/>
    <x v="0"/>
    <n v="150250"/>
    <n v="60729"/>
    <n v="89521"/>
    <n v="137628"/>
    <n v="4400"/>
    <n v="3708"/>
    <s v="No"/>
    <n v="60"/>
    <n v="3.4"/>
    <x v="1"/>
  </r>
  <r>
    <x v="2381"/>
    <s v="Rahul Patel"/>
    <n v="36"/>
    <x v="0"/>
    <s v="AB+"/>
    <s v="Bangalore"/>
    <d v="2022-12-25T00:00:00"/>
    <d v="2023-01-08T00:00:00"/>
    <n v="14"/>
    <x v="0"/>
    <s v="Dengue"/>
    <x v="1"/>
    <s v="Dialysis"/>
    <x v="1"/>
    <s v="Dr. Nisha Mehta"/>
    <n v="185"/>
    <s v="Semi-Private"/>
    <x v="1"/>
    <n v="118153"/>
    <n v="55565"/>
    <n v="62588"/>
    <n v="96730"/>
    <n v="3741"/>
    <n v="13647"/>
    <s v="No"/>
    <n v="44"/>
    <n v="5"/>
    <x v="3"/>
  </r>
  <r>
    <x v="2382"/>
    <s v="Pooja Rao"/>
    <n v="40"/>
    <x v="0"/>
    <s v="AB+"/>
    <s v="Jaipur"/>
    <d v="2023-07-17T00:00:00"/>
    <d v="2023-08-12T00:00:00"/>
    <n v="26"/>
    <x v="0"/>
    <s v="Typhoid"/>
    <x v="1"/>
    <s v="Chemotherapy"/>
    <x v="2"/>
    <s v="Dr. Shalini Sharma"/>
    <n v="406"/>
    <s v="General Ward"/>
    <x v="2"/>
    <n v="91582"/>
    <n v="80773"/>
    <n v="10809"/>
    <n v="51597"/>
    <n v="28264"/>
    <n v="10394"/>
    <s v="No"/>
    <n v="94"/>
    <n v="4.8"/>
    <x v="1"/>
  </r>
  <r>
    <x v="2383"/>
    <s v="Sunita Kumar"/>
    <n v="17"/>
    <x v="0"/>
    <s v="A-"/>
    <s v="Delhi"/>
    <d v="2022-04-19T00:00:00"/>
    <d v="2022-04-23T00:00:00"/>
    <n v="4"/>
    <x v="1"/>
    <s v="UTI"/>
    <x v="2"/>
    <s v="Medication"/>
    <x v="2"/>
    <s v="Dr. Kavita Kumar"/>
    <n v="128"/>
    <s v="Private"/>
    <x v="1"/>
    <n v="134666"/>
    <n v="77790"/>
    <n v="56876"/>
    <n v="109126"/>
    <n v="17691"/>
    <n v="3170"/>
    <s v="Yes"/>
    <n v="57"/>
    <n v="4.9000000000000004"/>
    <x v="0"/>
  </r>
  <r>
    <x v="2384"/>
    <s v="Sneha Gupta"/>
    <n v="36"/>
    <x v="0"/>
    <s v="AB+"/>
    <s v="Chennai"/>
    <d v="2022-06-17T00:00:00"/>
    <d v="2022-06-30T00:00:00"/>
    <n v="13"/>
    <x v="0"/>
    <s v="Typhoid"/>
    <x v="1"/>
    <s v="Observation"/>
    <x v="1"/>
    <s v="Dr. Sameer Gupta"/>
    <n v="49"/>
    <s v="ICU"/>
    <x v="1"/>
    <n v="80291"/>
    <n v="53092"/>
    <n v="27199"/>
    <n v="52205"/>
    <n v="16176"/>
    <n v="9161"/>
    <s v="No"/>
    <n v="83"/>
    <n v="4.4000000000000004"/>
    <x v="3"/>
  </r>
  <r>
    <x v="2385"/>
    <s v="Ritu Singh"/>
    <n v="83"/>
    <x v="1"/>
    <s v="B-"/>
    <s v="Hyderabad"/>
    <d v="2024-10-18T00:00:00"/>
    <d v="2024-11-09T00:00:00"/>
    <n v="22"/>
    <x v="0"/>
    <s v="COVID-19"/>
    <x v="1"/>
    <s v="ICU Care"/>
    <x v="1"/>
    <s v="Dr. Arun Singh"/>
    <n v="243"/>
    <s v="Semi-Private"/>
    <x v="2"/>
    <n v="30905"/>
    <n v="27273"/>
    <n v="3632"/>
    <n v="13030"/>
    <n v="7054"/>
    <n v="8973"/>
    <s v="No"/>
    <n v="85"/>
    <n v="2.2000000000000002"/>
    <x v="1"/>
  </r>
  <r>
    <x v="2386"/>
    <s v="Ashok Das"/>
    <n v="27"/>
    <x v="0"/>
    <s v="A-"/>
    <s v="Hyderabad"/>
    <d v="2023-04-25T00:00:00"/>
    <d v="2023-04-26T00:00:00"/>
    <n v="1"/>
    <x v="5"/>
    <s v="Asthma"/>
    <x v="8"/>
    <s v="Dialysis"/>
    <x v="0"/>
    <s v="Dr. Shalini Gupta"/>
    <n v="273"/>
    <s v="Private"/>
    <x v="0"/>
    <n v="119896"/>
    <n v="58761"/>
    <n v="61135"/>
    <n v="90890"/>
    <n v="19435"/>
    <n v="7261"/>
    <s v="No"/>
    <n v="88"/>
    <n v="2"/>
    <x v="3"/>
  </r>
  <r>
    <x v="2387"/>
    <s v="Sonia Singh"/>
    <n v="80"/>
    <x v="0"/>
    <s v="AB+"/>
    <s v="Jaipur"/>
    <d v="2023-04-09T00:00:00"/>
    <d v="2023-04-17T00:00:00"/>
    <n v="8"/>
    <x v="5"/>
    <s v="Asthma"/>
    <x v="8"/>
    <s v="Medication"/>
    <x v="1"/>
    <s v="Dr. Rakesh Patel"/>
    <n v="317"/>
    <s v="Private"/>
    <x v="2"/>
    <n v="46878"/>
    <n v="31143"/>
    <n v="15735"/>
    <n v="27714"/>
    <n v="7491"/>
    <n v="10815"/>
    <s v="No"/>
    <n v="64"/>
    <n v="4.5999999999999996"/>
    <x v="3"/>
  </r>
  <r>
    <x v="2388"/>
    <s v="Meera Sharma"/>
    <n v="54"/>
    <x v="1"/>
    <s v="AB+"/>
    <s v="Kolkata"/>
    <d v="2023-07-03T00:00:00"/>
    <d v="2023-07-31T00:00:00"/>
    <n v="28"/>
    <x v="0"/>
    <s v="Anemia"/>
    <x v="4"/>
    <s v="Counseling"/>
    <x v="2"/>
    <s v="Dr. Arun Rao"/>
    <n v="268"/>
    <s v="ICU"/>
    <x v="0"/>
    <n v="173197"/>
    <n v="117010"/>
    <n v="56187"/>
    <n v="144180"/>
    <n v="11142"/>
    <n v="13089"/>
    <s v="No"/>
    <n v="72"/>
    <n v="2.2999999999999998"/>
    <x v="4"/>
  </r>
  <r>
    <x v="2389"/>
    <s v="Sanjay Chopra"/>
    <n v="82"/>
    <x v="1"/>
    <s v="B-"/>
    <s v="Hyderabad"/>
    <d v="2023-06-06T00:00:00"/>
    <d v="2023-07-05T00:00:00"/>
    <n v="29"/>
    <x v="5"/>
    <s v="Asthma"/>
    <x v="8"/>
    <s v="ICU Care"/>
    <x v="3"/>
    <s v="Dr. Anjali Mehta"/>
    <n v="436"/>
    <s v="Private"/>
    <x v="3"/>
    <n v="136689"/>
    <n v="114020"/>
    <n v="22669"/>
    <n v="125902"/>
    <n v="6607"/>
    <n v="1858"/>
    <s v="No"/>
    <n v="52"/>
    <n v="4"/>
    <x v="4"/>
  </r>
  <r>
    <x v="2390"/>
    <s v="Vikram Sharma"/>
    <n v="79"/>
    <x v="1"/>
    <s v="AB+"/>
    <s v="Mumbai"/>
    <d v="2023-07-13T00:00:00"/>
    <d v="2023-08-01T00:00:00"/>
    <n v="19"/>
    <x v="1"/>
    <s v="UTI"/>
    <x v="2"/>
    <s v="Radiation Therapy"/>
    <x v="2"/>
    <s v="Dr. Kavita Patel"/>
    <n v="458"/>
    <s v="General Ward"/>
    <x v="2"/>
    <n v="138525"/>
    <n v="100714"/>
    <n v="37811"/>
    <n v="120049"/>
    <n v="2831"/>
    <n v="11948"/>
    <s v="No"/>
    <n v="98"/>
    <n v="3.1"/>
    <x v="4"/>
  </r>
  <r>
    <x v="2391"/>
    <s v="Vikram Kumar"/>
    <n v="74"/>
    <x v="0"/>
    <s v="B-"/>
    <s v="Pune"/>
    <d v="2024-11-17T00:00:00"/>
    <d v="2024-11-26T00:00:00"/>
    <n v="9"/>
    <x v="0"/>
    <s v="Diabetes Type 2"/>
    <x v="9"/>
    <s v="Radiation Therapy"/>
    <x v="1"/>
    <s v="Dr. Nisha Gupta"/>
    <n v="46"/>
    <s v="Semi-Private"/>
    <x v="3"/>
    <n v="111808"/>
    <n v="95828"/>
    <n v="15980"/>
    <n v="88264"/>
    <n v="13722"/>
    <n v="6176"/>
    <s v="No"/>
    <n v="46"/>
    <n v="4"/>
    <x v="1"/>
  </r>
  <r>
    <x v="2392"/>
    <s v="Karan Chopra"/>
    <n v="58"/>
    <x v="0"/>
    <s v="A-"/>
    <s v="Pune"/>
    <d v="2024-07-27T00:00:00"/>
    <d v="2024-08-21T00:00:00"/>
    <n v="25"/>
    <x v="0"/>
    <s v="Appendicitis"/>
    <x v="0"/>
    <s v="Surgery"/>
    <x v="2"/>
    <s v="Dr. Arun Gupta"/>
    <n v="10"/>
    <s v="General Ward"/>
    <x v="1"/>
    <n v="44175"/>
    <n v="27848"/>
    <n v="16327"/>
    <n v="9638"/>
    <n v="23694"/>
    <n v="6031"/>
    <s v="No"/>
    <n v="63"/>
    <n v="3.7"/>
    <x v="4"/>
  </r>
  <r>
    <x v="2393"/>
    <s v="Rajesh Iyer"/>
    <n v="28"/>
    <x v="0"/>
    <s v="B+"/>
    <s v="Pune"/>
    <d v="2023-11-26T00:00:00"/>
    <d v="2023-12-01T00:00:00"/>
    <n v="5"/>
    <x v="1"/>
    <s v="Kidney Stone"/>
    <x v="2"/>
    <s v="Observation"/>
    <x v="1"/>
    <s v="Dr. Nisha Sharma"/>
    <n v="365"/>
    <s v="Semi-Private"/>
    <x v="0"/>
    <n v="144303"/>
    <n v="85670"/>
    <n v="58633"/>
    <n v="96020"/>
    <n v="29565"/>
    <n v="14014"/>
    <s v="No"/>
    <n v="93"/>
    <n v="3.5"/>
    <x v="3"/>
  </r>
  <r>
    <x v="2394"/>
    <s v="Arjun Khanna"/>
    <n v="71"/>
    <x v="1"/>
    <s v="A+"/>
    <s v="Hyderabad"/>
    <d v="2023-02-23T00:00:00"/>
    <d v="2023-03-04T00:00:00"/>
    <n v="9"/>
    <x v="5"/>
    <s v="Pneumonia"/>
    <x v="8"/>
    <s v="Dietary Management"/>
    <x v="0"/>
    <s v="Dr. Deepak Kumar"/>
    <n v="112"/>
    <s v="Semi-Private"/>
    <x v="2"/>
    <n v="23625"/>
    <n v="15727"/>
    <n v="7898"/>
    <n v="5877"/>
    <n v="3115"/>
    <n v="12164"/>
    <s v="No"/>
    <n v="76"/>
    <n v="4.5"/>
    <x v="3"/>
  </r>
  <r>
    <x v="2395"/>
    <s v="Sanjay Sharma"/>
    <n v="40"/>
    <x v="1"/>
    <s v="A+"/>
    <s v="Chennai"/>
    <d v="2024-09-30T00:00:00"/>
    <d v="2024-10-30T00:00:00"/>
    <n v="30"/>
    <x v="0"/>
    <s v="Anemia"/>
    <x v="4"/>
    <s v="Counseling"/>
    <x v="3"/>
    <s v="Dr. Shalini Sharma"/>
    <n v="55"/>
    <s v="Private"/>
    <x v="2"/>
    <n v="115537"/>
    <n v="74454"/>
    <n v="41083"/>
    <n v="93904"/>
    <n v="15177"/>
    <n v="5953"/>
    <s v="No"/>
    <n v="75"/>
    <n v="3.5"/>
    <x v="0"/>
  </r>
  <r>
    <x v="2396"/>
    <s v="Priya Menon"/>
    <n v="46"/>
    <x v="1"/>
    <s v="B+"/>
    <s v="Ahmedabad"/>
    <d v="2022-01-15T00:00:00"/>
    <d v="2022-01-24T00:00:00"/>
    <n v="9"/>
    <x v="3"/>
    <s v="Migraine"/>
    <x v="6"/>
    <s v="Observation"/>
    <x v="1"/>
    <s v="Dr. Shalini Rao"/>
    <n v="467"/>
    <s v="General Ward"/>
    <x v="1"/>
    <n v="94732"/>
    <n v="62927"/>
    <n v="31805"/>
    <n v="55568"/>
    <n v="26177"/>
    <n v="9047"/>
    <s v="No"/>
    <n v="74"/>
    <n v="2.6"/>
    <x v="2"/>
  </r>
  <r>
    <x v="2397"/>
    <s v="Pooja Iyer"/>
    <n v="58"/>
    <x v="1"/>
    <s v="AB+"/>
    <s v="Chennai"/>
    <d v="2024-03-07T00:00:00"/>
    <d v="2024-03-22T00:00:00"/>
    <n v="15"/>
    <x v="0"/>
    <s v="Typhoid"/>
    <x v="1"/>
    <s v="Radiation Therapy"/>
    <x v="0"/>
    <s v="Dr. Nisha Mehta"/>
    <n v="307"/>
    <s v="ICU"/>
    <x v="1"/>
    <n v="121875"/>
    <n v="73939"/>
    <n v="47936"/>
    <n v="83420"/>
    <n v="23062"/>
    <n v="13420"/>
    <s v="No"/>
    <n v="62"/>
    <n v="4.5999999999999996"/>
    <x v="0"/>
  </r>
  <r>
    <x v="2398"/>
    <s v="Rajesh Menon"/>
    <n v="64"/>
    <x v="1"/>
    <s v="O+"/>
    <s v="Delhi"/>
    <d v="2022-10-11T00:00:00"/>
    <d v="2022-10-20T00:00:00"/>
    <n v="9"/>
    <x v="0"/>
    <s v="Dengue"/>
    <x v="1"/>
    <s v="Radiation Therapy"/>
    <x v="0"/>
    <s v="Dr. Arun Kumar"/>
    <n v="20"/>
    <s v="ICU"/>
    <x v="4"/>
    <n v="105736"/>
    <n v="0"/>
    <n v="105736"/>
    <n v="93596"/>
    <n v="2341"/>
    <n v="5777"/>
    <s v="No"/>
    <n v="58"/>
    <n v="4.5"/>
    <x v="0"/>
  </r>
  <r>
    <x v="2399"/>
    <s v="Rahul Pillai"/>
    <n v="73"/>
    <x v="0"/>
    <s v="AB-"/>
    <s v="Jaipur"/>
    <d v="2024-01-24T00:00:00"/>
    <d v="2024-02-21T00:00:00"/>
    <n v="28"/>
    <x v="4"/>
    <s v="Hypertension"/>
    <x v="7"/>
    <s v="Chemotherapy"/>
    <x v="1"/>
    <s v="Dr. Shalini Reddy"/>
    <n v="270"/>
    <s v="ICU"/>
    <x v="2"/>
    <n v="145391"/>
    <n v="100268"/>
    <n v="45123"/>
    <n v="119881"/>
    <n v="10121"/>
    <n v="14228"/>
    <s v="No"/>
    <n v="46"/>
    <n v="2.7"/>
    <x v="0"/>
  </r>
  <r>
    <x v="2400"/>
    <s v="Ashok Pillai"/>
    <n v="44"/>
    <x v="1"/>
    <s v="B+"/>
    <s v="Jaipur"/>
    <d v="2022-06-03T00:00:00"/>
    <d v="2022-07-03T00:00:00"/>
    <n v="30"/>
    <x v="1"/>
    <s v="UTI"/>
    <x v="2"/>
    <s v="Dialysis"/>
    <x v="0"/>
    <s v="Dr. Sameer Singh"/>
    <n v="244"/>
    <s v="ICU"/>
    <x v="0"/>
    <n v="137043"/>
    <n v="63684"/>
    <n v="73359"/>
    <n v="98772"/>
    <n v="28547"/>
    <n v="7709"/>
    <s v="No"/>
    <n v="70"/>
    <n v="4.7"/>
    <x v="2"/>
  </r>
  <r>
    <x v="2401"/>
    <s v="Priya Das"/>
    <n v="78"/>
    <x v="1"/>
    <s v="B-"/>
    <s v="Hyderabad"/>
    <d v="2023-10-15T00:00:00"/>
    <d v="2023-11-09T00:00:00"/>
    <n v="25"/>
    <x v="1"/>
    <s v="UTI"/>
    <x v="2"/>
    <s v="Observation"/>
    <x v="3"/>
    <s v="Dr. Kavita Mehta"/>
    <n v="428"/>
    <s v="General Ward"/>
    <x v="2"/>
    <n v="114095"/>
    <n v="87698"/>
    <n v="26397"/>
    <n v="89378"/>
    <n v="10696"/>
    <n v="10351"/>
    <s v="Yes"/>
    <n v="69"/>
    <n v="4.4000000000000004"/>
    <x v="2"/>
  </r>
  <r>
    <x v="2402"/>
    <s v="Priya Bose"/>
    <n v="77"/>
    <x v="1"/>
    <s v="A-"/>
    <s v="Lucknow"/>
    <d v="2024-10-22T00:00:00"/>
    <d v="2024-11-19T00:00:00"/>
    <n v="28"/>
    <x v="5"/>
    <s v="Asthma"/>
    <x v="8"/>
    <s v="Radiation Therapy"/>
    <x v="0"/>
    <s v="Dr. Prerna Gupta"/>
    <n v="10"/>
    <s v="Private"/>
    <x v="2"/>
    <n v="58359"/>
    <n v="47529"/>
    <n v="10830"/>
    <n v="29293"/>
    <n v="25653"/>
    <n v="1149"/>
    <s v="No"/>
    <n v="86"/>
    <n v="4.9000000000000004"/>
    <x v="1"/>
  </r>
  <r>
    <x v="2403"/>
    <s v="Meera Chopra"/>
    <n v="22"/>
    <x v="1"/>
    <s v="A+"/>
    <s v="Lucknow"/>
    <d v="2022-03-10T00:00:00"/>
    <d v="2022-03-15T00:00:00"/>
    <n v="5"/>
    <x v="6"/>
    <s v="Arthritis"/>
    <x v="11"/>
    <s v="ICU Care"/>
    <x v="0"/>
    <s v="Dr. Shalini Kumar"/>
    <n v="192"/>
    <s v="General Ward"/>
    <x v="2"/>
    <n v="53085"/>
    <n v="36217"/>
    <n v="16868"/>
    <n v="19367"/>
    <n v="26072"/>
    <n v="4707"/>
    <s v="No"/>
    <n v="94"/>
    <n v="4.5"/>
    <x v="4"/>
  </r>
  <r>
    <x v="2404"/>
    <s v="Sunita Reddy"/>
    <n v="10"/>
    <x v="0"/>
    <s v="AB-"/>
    <s v="Bangalore"/>
    <d v="2024-10-14T00:00:00"/>
    <d v="2024-10-26T00:00:00"/>
    <n v="12"/>
    <x v="0"/>
    <s v="Anemia"/>
    <x v="4"/>
    <s v="Physiotherapy"/>
    <x v="1"/>
    <s v="Dr. Sameer Patel"/>
    <n v="231"/>
    <s v="Private"/>
    <x v="1"/>
    <n v="91771"/>
    <n v="52248"/>
    <n v="39523"/>
    <n v="51890"/>
    <n v="27947"/>
    <n v="9697"/>
    <s v="Yes"/>
    <n v="52"/>
    <n v="3.4"/>
    <x v="3"/>
  </r>
  <r>
    <x v="2405"/>
    <s v="Geeta Reddy"/>
    <n v="66"/>
    <x v="0"/>
    <s v="A+"/>
    <s v="Ahmedabad"/>
    <d v="2023-01-14T00:00:00"/>
    <d v="2023-01-15T00:00:00"/>
    <n v="1"/>
    <x v="3"/>
    <s v="Stroke"/>
    <x v="6"/>
    <s v="Dialysis"/>
    <x v="2"/>
    <s v="Dr. Sameer Reddy"/>
    <n v="332"/>
    <s v="ICU"/>
    <x v="3"/>
    <n v="128583"/>
    <n v="100732"/>
    <n v="27851"/>
    <n v="100855"/>
    <n v="14777"/>
    <n v="8553"/>
    <s v="No"/>
    <n v="64"/>
    <n v="3.2"/>
    <x v="0"/>
  </r>
  <r>
    <x v="2406"/>
    <s v="Amit Mehta"/>
    <n v="28"/>
    <x v="0"/>
    <s v="A-"/>
    <s v="Hyderabad"/>
    <d v="2024-10-31T00:00:00"/>
    <d v="2024-11-10T00:00:00"/>
    <n v="10"/>
    <x v="5"/>
    <s v="Pneumonia"/>
    <x v="8"/>
    <s v="Counseling"/>
    <x v="1"/>
    <s v="Dr. Anjali Gupta"/>
    <n v="184"/>
    <s v="ICU"/>
    <x v="4"/>
    <n v="157584"/>
    <n v="0"/>
    <n v="157584"/>
    <n v="119612"/>
    <n v="26990"/>
    <n v="6144"/>
    <s v="No"/>
    <n v="87"/>
    <n v="3.3"/>
    <x v="1"/>
  </r>
  <r>
    <x v="2407"/>
    <s v="Karan Rao"/>
    <n v="51"/>
    <x v="1"/>
    <s v="B+"/>
    <s v="Hyderabad"/>
    <d v="2022-10-09T00:00:00"/>
    <d v="2022-10-24T00:00:00"/>
    <n v="15"/>
    <x v="0"/>
    <s v="Obesity"/>
    <x v="12"/>
    <s v="Dialysis"/>
    <x v="0"/>
    <s v="Dr. Deepak Mehta"/>
    <n v="434"/>
    <s v="Private"/>
    <x v="2"/>
    <n v="126668"/>
    <n v="101348"/>
    <n v="25320"/>
    <n v="109467"/>
    <n v="12333"/>
    <n v="2865"/>
    <s v="No"/>
    <n v="96"/>
    <n v="2.6"/>
    <x v="3"/>
  </r>
  <r>
    <x v="2408"/>
    <s v="Rahul Pillai"/>
    <n v="64"/>
    <x v="0"/>
    <s v="AB+"/>
    <s v="Chennai"/>
    <d v="2023-06-16T00:00:00"/>
    <d v="2023-07-07T00:00:00"/>
    <n v="21"/>
    <x v="6"/>
    <s v="Fracture"/>
    <x v="10"/>
    <s v="Dialysis"/>
    <x v="0"/>
    <s v="Dr. Anjali Gupta"/>
    <n v="154"/>
    <s v="ICU"/>
    <x v="3"/>
    <n v="85677"/>
    <n v="75927"/>
    <n v="9750"/>
    <n v="56599"/>
    <n v="20142"/>
    <n v="7803"/>
    <s v="No"/>
    <n v="52"/>
    <n v="2.2000000000000002"/>
    <x v="0"/>
  </r>
  <r>
    <x v="2409"/>
    <s v="Sunil Joshi"/>
    <n v="68"/>
    <x v="0"/>
    <s v="AB+"/>
    <s v="Mumbai"/>
    <d v="2024-04-19T00:00:00"/>
    <d v="2024-05-11T00:00:00"/>
    <n v="22"/>
    <x v="0"/>
    <s v="Depression"/>
    <x v="5"/>
    <s v="Counseling"/>
    <x v="0"/>
    <s v="Dr. Anjali Singh"/>
    <n v="374"/>
    <s v="Semi-Private"/>
    <x v="2"/>
    <n v="127886"/>
    <n v="102233"/>
    <n v="25653"/>
    <n v="91641"/>
    <n v="23480"/>
    <n v="12016"/>
    <s v="No"/>
    <n v="70"/>
    <n v="3.6"/>
    <x v="1"/>
  </r>
  <r>
    <x v="2410"/>
    <s v="Karan Joshi"/>
    <n v="23"/>
    <x v="1"/>
    <s v="AB+"/>
    <s v="Chennai"/>
    <d v="2023-06-21T00:00:00"/>
    <d v="2023-07-16T00:00:00"/>
    <n v="25"/>
    <x v="0"/>
    <s v="Anemia"/>
    <x v="4"/>
    <s v="Surgery"/>
    <x v="0"/>
    <s v="Dr. Nisha Patel"/>
    <n v="178"/>
    <s v="Semi-Private"/>
    <x v="2"/>
    <n v="49244"/>
    <n v="39543"/>
    <n v="9701"/>
    <n v="39770"/>
    <n v="3086"/>
    <n v="5301"/>
    <s v="No"/>
    <n v="73"/>
    <n v="2.4"/>
    <x v="0"/>
  </r>
  <r>
    <x v="2411"/>
    <s v="Arjun Bose"/>
    <n v="84"/>
    <x v="1"/>
    <s v="AB+"/>
    <s v="Jaipur"/>
    <d v="2024-05-24T00:00:00"/>
    <d v="2024-06-04T00:00:00"/>
    <n v="11"/>
    <x v="0"/>
    <s v="Appendicitis"/>
    <x v="0"/>
    <s v="Observation"/>
    <x v="0"/>
    <s v="Dr. Arun Patel"/>
    <n v="254"/>
    <s v="General Ward"/>
    <x v="4"/>
    <n v="99819"/>
    <n v="0"/>
    <n v="99819"/>
    <n v="67109"/>
    <n v="21122"/>
    <n v="7295"/>
    <s v="Yes"/>
    <n v="97"/>
    <n v="4.4000000000000004"/>
    <x v="1"/>
  </r>
  <r>
    <x v="2412"/>
    <s v="Nisha Joshi"/>
    <n v="28"/>
    <x v="0"/>
    <s v="O+"/>
    <s v="Delhi"/>
    <d v="2022-10-01T00:00:00"/>
    <d v="2022-10-10T00:00:00"/>
    <n v="9"/>
    <x v="3"/>
    <s v="Migraine"/>
    <x v="6"/>
    <s v="ICU Care"/>
    <x v="2"/>
    <s v="Dr. Shalini Kumar"/>
    <n v="368"/>
    <s v="ICU"/>
    <x v="1"/>
    <n v="157395"/>
    <n v="68376"/>
    <n v="89019"/>
    <n v="123577"/>
    <n v="27015"/>
    <n v="3705"/>
    <s v="No"/>
    <n v="48"/>
    <n v="2"/>
    <x v="2"/>
  </r>
  <r>
    <x v="2413"/>
    <s v="Ananya Malhotra"/>
    <n v="20"/>
    <x v="1"/>
    <s v="B-"/>
    <s v="Delhi"/>
    <d v="2024-10-21T00:00:00"/>
    <d v="2024-10-23T00:00:00"/>
    <n v="2"/>
    <x v="0"/>
    <s v="Diabetes Type 2"/>
    <x v="9"/>
    <s v="Surgery"/>
    <x v="3"/>
    <s v="Dr. Shalini Nair"/>
    <n v="27"/>
    <s v="General Ward"/>
    <x v="1"/>
    <n v="101914"/>
    <n v="65700"/>
    <n v="36214"/>
    <n v="71588"/>
    <n v="15511"/>
    <n v="11735"/>
    <s v="No"/>
    <n v="68"/>
    <n v="4.0999999999999996"/>
    <x v="2"/>
  </r>
  <r>
    <x v="2414"/>
    <s v="Deepa Mehta"/>
    <n v="24"/>
    <x v="1"/>
    <s v="B-"/>
    <s v="Lucknow"/>
    <d v="2022-05-20T00:00:00"/>
    <d v="2022-05-27T00:00:00"/>
    <n v="7"/>
    <x v="5"/>
    <s v="Pneumonia"/>
    <x v="8"/>
    <s v="Counseling"/>
    <x v="2"/>
    <s v="Dr. Vivek Joshi"/>
    <n v="298"/>
    <s v="Private"/>
    <x v="1"/>
    <n v="160897"/>
    <n v="95306"/>
    <n v="65591"/>
    <n v="140667"/>
    <n v="9158"/>
    <n v="6370"/>
    <s v="No"/>
    <n v="64"/>
    <n v="3.8"/>
    <x v="4"/>
  </r>
  <r>
    <x v="2415"/>
    <s v="Suresh Gupta"/>
    <n v="78"/>
    <x v="0"/>
    <s v="O-"/>
    <s v="Jaipur"/>
    <d v="2023-07-13T00:00:00"/>
    <d v="2023-08-07T00:00:00"/>
    <n v="25"/>
    <x v="0"/>
    <s v="Dengue"/>
    <x v="1"/>
    <s v="Physiotherapy"/>
    <x v="0"/>
    <s v="Dr. Prerna Reddy"/>
    <n v="239"/>
    <s v="General Ward"/>
    <x v="0"/>
    <n v="95527"/>
    <n v="46138"/>
    <n v="49389"/>
    <n v="73005"/>
    <n v="10792"/>
    <n v="6928"/>
    <s v="No"/>
    <n v="79"/>
    <n v="4.2"/>
    <x v="0"/>
  </r>
  <r>
    <x v="2416"/>
    <s v="Priya Chopra"/>
    <n v="56"/>
    <x v="1"/>
    <s v="O+"/>
    <s v="Ahmedabad"/>
    <d v="2024-12-10T00:00:00"/>
    <d v="2024-12-17T00:00:00"/>
    <n v="7"/>
    <x v="0"/>
    <s v="Diabetes Type 2"/>
    <x v="9"/>
    <s v="Physiotherapy"/>
    <x v="0"/>
    <s v="Dr. Rakesh Joshi"/>
    <n v="369"/>
    <s v="Private"/>
    <x v="1"/>
    <n v="178755"/>
    <n v="81018"/>
    <n v="97737"/>
    <n v="144439"/>
    <n v="19553"/>
    <n v="10170"/>
    <s v="No"/>
    <n v="88"/>
    <n v="2.9"/>
    <x v="2"/>
  </r>
  <r>
    <x v="2417"/>
    <s v="Rahul Gupta"/>
    <n v="72"/>
    <x v="0"/>
    <s v="B+"/>
    <s v="Mumbai"/>
    <d v="2022-12-20T00:00:00"/>
    <d v="2023-01-04T00:00:00"/>
    <n v="15"/>
    <x v="1"/>
    <s v="UTI"/>
    <x v="2"/>
    <s v="Chemotherapy"/>
    <x v="1"/>
    <s v="Dr. Shalini Nair"/>
    <n v="48"/>
    <s v="General Ward"/>
    <x v="0"/>
    <n v="48106"/>
    <n v="24167"/>
    <n v="23939"/>
    <n v="41277"/>
    <n v="2247"/>
    <n v="3476"/>
    <s v="Yes"/>
    <n v="48"/>
    <n v="3.9"/>
    <x v="0"/>
  </r>
  <r>
    <x v="2418"/>
    <s v="Nisha Singh"/>
    <n v="31"/>
    <x v="0"/>
    <s v="O+"/>
    <s v="Mumbai"/>
    <d v="2023-10-27T00:00:00"/>
    <d v="2023-11-06T00:00:00"/>
    <n v="10"/>
    <x v="0"/>
    <s v="Appendicitis"/>
    <x v="0"/>
    <s v="ICU Care"/>
    <x v="2"/>
    <s v="Dr. Kavita Gupta"/>
    <n v="5"/>
    <s v="General Ward"/>
    <x v="1"/>
    <n v="152663"/>
    <n v="64606"/>
    <n v="88057"/>
    <n v="123495"/>
    <n v="17323"/>
    <n v="8300"/>
    <s v="Yes"/>
    <n v="42"/>
    <n v="2.6"/>
    <x v="2"/>
  </r>
  <r>
    <x v="2419"/>
    <s v="Geeta Khanna"/>
    <n v="8"/>
    <x v="0"/>
    <s v="B-"/>
    <s v="Hyderabad"/>
    <d v="2024-08-08T00:00:00"/>
    <d v="2024-08-25T00:00:00"/>
    <n v="17"/>
    <x v="1"/>
    <s v="UTI"/>
    <x v="2"/>
    <s v="Physiotherapy"/>
    <x v="0"/>
    <s v="Dr. Anjali Singh"/>
    <n v="451"/>
    <s v="Private"/>
    <x v="3"/>
    <n v="103406"/>
    <n v="86130"/>
    <n v="17276"/>
    <n v="76346"/>
    <n v="21834"/>
    <n v="4091"/>
    <s v="No"/>
    <n v="53"/>
    <n v="2.4"/>
    <x v="2"/>
  </r>
  <r>
    <x v="2420"/>
    <s v="Ritu Shah"/>
    <n v="37"/>
    <x v="1"/>
    <s v="AB-"/>
    <s v="Kolkata"/>
    <d v="2024-09-12T00:00:00"/>
    <d v="2024-09-20T00:00:00"/>
    <n v="8"/>
    <x v="0"/>
    <s v="Diabetes Type 2"/>
    <x v="9"/>
    <s v="Counseling"/>
    <x v="3"/>
    <s v="Dr. Deepak Mehta"/>
    <n v="40"/>
    <s v="ICU"/>
    <x v="4"/>
    <n v="129682"/>
    <n v="0"/>
    <n v="129682"/>
    <n v="94463"/>
    <n v="20743"/>
    <n v="10539"/>
    <s v="No"/>
    <n v="48"/>
    <n v="2.8"/>
    <x v="3"/>
  </r>
  <r>
    <x v="2421"/>
    <s v="Sonia Gupta"/>
    <n v="15"/>
    <x v="1"/>
    <s v="O-"/>
    <s v="Pune"/>
    <d v="2024-10-23T00:00:00"/>
    <d v="2024-11-09T00:00:00"/>
    <n v="17"/>
    <x v="0"/>
    <s v="Liver Disease"/>
    <x v="0"/>
    <s v="Chemotherapy"/>
    <x v="2"/>
    <s v="Dr. Kavita Sharma"/>
    <n v="245"/>
    <s v="General Ward"/>
    <x v="4"/>
    <n v="55704"/>
    <n v="0"/>
    <n v="55704"/>
    <n v="34115"/>
    <n v="5181"/>
    <n v="13206"/>
    <s v="No"/>
    <n v="82"/>
    <n v="3.2"/>
    <x v="3"/>
  </r>
  <r>
    <x v="2422"/>
    <s v="Sunil Bose"/>
    <n v="84"/>
    <x v="1"/>
    <s v="O+"/>
    <s v="Hyderabad"/>
    <d v="2023-12-05T00:00:00"/>
    <d v="2023-12-15T00:00:00"/>
    <n v="10"/>
    <x v="0"/>
    <s v="Typhoid"/>
    <x v="1"/>
    <s v="Dietary Management"/>
    <x v="0"/>
    <s v="Dr. Prerna Patel"/>
    <n v="119"/>
    <s v="General Ward"/>
    <x v="4"/>
    <n v="154682"/>
    <n v="0"/>
    <n v="154682"/>
    <n v="113846"/>
    <n v="27227"/>
    <n v="9124"/>
    <s v="No"/>
    <n v="83"/>
    <n v="2.1"/>
    <x v="1"/>
  </r>
  <r>
    <x v="2423"/>
    <s v="Ananya Chopra"/>
    <n v="42"/>
    <x v="0"/>
    <s v="AB+"/>
    <s v="Chennai"/>
    <d v="2023-07-27T00:00:00"/>
    <d v="2023-08-10T00:00:00"/>
    <n v="14"/>
    <x v="6"/>
    <s v="Arthritis"/>
    <x v="11"/>
    <s v="ICU Care"/>
    <x v="2"/>
    <s v="Dr. Prerna Sharma"/>
    <n v="410"/>
    <s v="General Ward"/>
    <x v="0"/>
    <n v="129886"/>
    <n v="71571"/>
    <n v="58315"/>
    <n v="95753"/>
    <n v="19179"/>
    <n v="11629"/>
    <s v="No"/>
    <n v="64"/>
    <n v="2.6"/>
    <x v="2"/>
  </r>
  <r>
    <x v="2424"/>
    <s v="Manoj Bose"/>
    <n v="49"/>
    <x v="1"/>
    <s v="B+"/>
    <s v="Ahmedabad"/>
    <d v="2022-05-26T00:00:00"/>
    <d v="2022-06-15T00:00:00"/>
    <n v="20"/>
    <x v="5"/>
    <s v="Pneumonia"/>
    <x v="8"/>
    <s v="Dialysis"/>
    <x v="2"/>
    <s v="Dr. Prerna Sharma"/>
    <n v="89"/>
    <s v="Semi-Private"/>
    <x v="1"/>
    <n v="155610"/>
    <n v="106798"/>
    <n v="48812"/>
    <n v="120045"/>
    <n v="27676"/>
    <n v="3160"/>
    <s v="No"/>
    <n v="71"/>
    <n v="2.7"/>
    <x v="4"/>
  </r>
  <r>
    <x v="2425"/>
    <s v="Sonia Rao"/>
    <n v="77"/>
    <x v="0"/>
    <s v="A+"/>
    <s v="Kolkata"/>
    <d v="2023-10-03T00:00:00"/>
    <d v="2023-10-22T00:00:00"/>
    <n v="19"/>
    <x v="0"/>
    <s v="Liver Disease"/>
    <x v="0"/>
    <s v="Surgery"/>
    <x v="0"/>
    <s v="Dr. Rakesh Reddy"/>
    <n v="382"/>
    <s v="Semi-Private"/>
    <x v="4"/>
    <n v="126068"/>
    <n v="0"/>
    <n v="126068"/>
    <n v="113540"/>
    <n v="5703"/>
    <n v="3595"/>
    <s v="No"/>
    <n v="51"/>
    <n v="2.2000000000000002"/>
    <x v="3"/>
  </r>
  <r>
    <x v="2426"/>
    <s v="Rekha Kumar"/>
    <n v="70"/>
    <x v="0"/>
    <s v="A+"/>
    <s v="Mumbai"/>
    <d v="2022-01-09T00:00:00"/>
    <d v="2022-01-11T00:00:00"/>
    <n v="2"/>
    <x v="0"/>
    <s v="Depression"/>
    <x v="5"/>
    <s v="Physiotherapy"/>
    <x v="2"/>
    <s v="Dr. Arun Kumar"/>
    <n v="121"/>
    <s v="Semi-Private"/>
    <x v="0"/>
    <n v="47431"/>
    <n v="27167"/>
    <n v="20264"/>
    <n v="16145"/>
    <n v="18753"/>
    <n v="10108"/>
    <s v="No"/>
    <n v="89"/>
    <n v="2.1"/>
    <x v="0"/>
  </r>
  <r>
    <x v="2427"/>
    <s v="Arjun Sharma"/>
    <n v="42"/>
    <x v="0"/>
    <s v="AB+"/>
    <s v="Delhi"/>
    <d v="2024-07-04T00:00:00"/>
    <d v="2024-07-08T00:00:00"/>
    <n v="4"/>
    <x v="4"/>
    <s v="Hypertension"/>
    <x v="7"/>
    <s v="Dialysis"/>
    <x v="0"/>
    <s v="Dr. Deepak Mehta"/>
    <n v="135"/>
    <s v="ICU"/>
    <x v="4"/>
    <n v="64297"/>
    <n v="0"/>
    <n v="64297"/>
    <n v="31115"/>
    <n v="26197"/>
    <n v="2495"/>
    <s v="No"/>
    <n v="42"/>
    <n v="4.4000000000000004"/>
    <x v="4"/>
  </r>
  <r>
    <x v="2428"/>
    <s v="Amit Patel"/>
    <n v="56"/>
    <x v="0"/>
    <s v="AB-"/>
    <s v="Kolkata"/>
    <d v="2022-03-21T00:00:00"/>
    <d v="2022-03-27T00:00:00"/>
    <n v="6"/>
    <x v="0"/>
    <s v="COVID-19"/>
    <x v="1"/>
    <s v="Surgery"/>
    <x v="0"/>
    <s v="Dr. Arun Reddy"/>
    <n v="425"/>
    <s v="Private"/>
    <x v="2"/>
    <n v="77656"/>
    <n v="46957"/>
    <n v="30699"/>
    <n v="45299"/>
    <n v="23567"/>
    <n v="5503"/>
    <s v="No"/>
    <n v="100"/>
    <n v="2.6"/>
    <x v="4"/>
  </r>
  <r>
    <x v="2429"/>
    <s v="Lata Patel"/>
    <n v="49"/>
    <x v="1"/>
    <s v="O+"/>
    <s v="Delhi"/>
    <d v="2024-05-25T00:00:00"/>
    <d v="2024-06-14T00:00:00"/>
    <n v="20"/>
    <x v="5"/>
    <s v="Asthma"/>
    <x v="8"/>
    <s v="Observation"/>
    <x v="3"/>
    <s v="Dr. Vivek Nair"/>
    <n v="213"/>
    <s v="ICU"/>
    <x v="3"/>
    <n v="148784"/>
    <n v="107648"/>
    <n v="41136"/>
    <n v="108953"/>
    <n v="26337"/>
    <n v="10911"/>
    <s v="No"/>
    <n v="47"/>
    <n v="2.8"/>
    <x v="0"/>
  </r>
  <r>
    <x v="2430"/>
    <s v="Deepa Sharma"/>
    <n v="7"/>
    <x v="1"/>
    <s v="A+"/>
    <s v="Delhi"/>
    <d v="2023-03-10T00:00:00"/>
    <d v="2023-04-04T00:00:00"/>
    <n v="25"/>
    <x v="0"/>
    <s v="COVID-19"/>
    <x v="1"/>
    <s v="Chemotherapy"/>
    <x v="0"/>
    <s v="Dr. Deepak Singh"/>
    <n v="251"/>
    <s v="General Ward"/>
    <x v="2"/>
    <n v="149089"/>
    <n v="97973"/>
    <n v="51116"/>
    <n v="129440"/>
    <n v="8872"/>
    <n v="8817"/>
    <s v="No"/>
    <n v="60"/>
    <n v="4.5"/>
    <x v="0"/>
  </r>
  <r>
    <x v="2431"/>
    <s v="Manoj Reddy"/>
    <n v="33"/>
    <x v="0"/>
    <s v="AB+"/>
    <s v="Bangalore"/>
    <d v="2022-10-17T00:00:00"/>
    <d v="2022-11-14T00:00:00"/>
    <n v="28"/>
    <x v="3"/>
    <s v="Stroke"/>
    <x v="6"/>
    <s v="Dialysis"/>
    <x v="3"/>
    <s v="Dr. Arun Patel"/>
    <n v="176"/>
    <s v="Private"/>
    <x v="2"/>
    <n v="156232"/>
    <n v="115385"/>
    <n v="40847"/>
    <n v="128395"/>
    <n v="17181"/>
    <n v="7133"/>
    <s v="No"/>
    <n v="92"/>
    <n v="3.3"/>
    <x v="3"/>
  </r>
  <r>
    <x v="2432"/>
    <s v="Manoj Patel"/>
    <n v="9"/>
    <x v="1"/>
    <s v="O-"/>
    <s v="Lucknow"/>
    <d v="2022-06-26T00:00:00"/>
    <d v="2022-07-24T00:00:00"/>
    <n v="28"/>
    <x v="0"/>
    <s v="Appendicitis"/>
    <x v="0"/>
    <s v="Observation"/>
    <x v="2"/>
    <s v="Dr. Rakesh Gupta"/>
    <n v="312"/>
    <s v="Semi-Private"/>
    <x v="1"/>
    <n v="89765"/>
    <n v="49592"/>
    <n v="40173"/>
    <n v="61425"/>
    <n v="21496"/>
    <n v="3876"/>
    <s v="No"/>
    <n v="58"/>
    <n v="2.2000000000000002"/>
    <x v="4"/>
  </r>
  <r>
    <x v="2433"/>
    <s v="Sanjay Chopra"/>
    <n v="33"/>
    <x v="1"/>
    <s v="O-"/>
    <s v="Pune"/>
    <d v="2023-12-20T00:00:00"/>
    <d v="2024-01-11T00:00:00"/>
    <n v="22"/>
    <x v="6"/>
    <s v="Arthritis"/>
    <x v="11"/>
    <s v="Medication"/>
    <x v="0"/>
    <s v="Dr. Nisha Gupta"/>
    <n v="396"/>
    <s v="Private"/>
    <x v="3"/>
    <n v="109374"/>
    <n v="69222"/>
    <n v="40152"/>
    <n v="91112"/>
    <n v="4228"/>
    <n v="11798"/>
    <s v="No"/>
    <n v="54"/>
    <n v="4.2"/>
    <x v="0"/>
  </r>
  <r>
    <x v="2434"/>
    <s v="Vikram Mehta"/>
    <n v="67"/>
    <x v="1"/>
    <s v="O+"/>
    <s v="Hyderabad"/>
    <d v="2023-06-09T00:00:00"/>
    <d v="2023-06-22T00:00:00"/>
    <n v="13"/>
    <x v="0"/>
    <s v="Depression"/>
    <x v="5"/>
    <s v="Medication"/>
    <x v="1"/>
    <s v="Dr. Kavita Nair"/>
    <n v="45"/>
    <s v="Semi-Private"/>
    <x v="1"/>
    <n v="140121"/>
    <n v="91889"/>
    <n v="48232"/>
    <n v="101172"/>
    <n v="24426"/>
    <n v="11580"/>
    <s v="No"/>
    <n v="59"/>
    <n v="2.5"/>
    <x v="2"/>
  </r>
  <r>
    <x v="2435"/>
    <s v="Ananya Chopra"/>
    <n v="40"/>
    <x v="0"/>
    <s v="AB-"/>
    <s v="Mumbai"/>
    <d v="2022-05-15T00:00:00"/>
    <d v="2022-05-31T00:00:00"/>
    <n v="16"/>
    <x v="0"/>
    <s v="COVID-19"/>
    <x v="1"/>
    <s v="Chemotherapy"/>
    <x v="0"/>
    <s v="Dr. Arun Patel"/>
    <n v="25"/>
    <s v="ICU"/>
    <x v="4"/>
    <n v="74204"/>
    <n v="0"/>
    <n v="74204"/>
    <n v="55486"/>
    <n v="14160"/>
    <n v="1224"/>
    <s v="No"/>
    <n v="86"/>
    <n v="4.5"/>
    <x v="4"/>
  </r>
  <r>
    <x v="2436"/>
    <s v="Rahul Joshi"/>
    <n v="65"/>
    <x v="1"/>
    <s v="A-"/>
    <s v="Mumbai"/>
    <d v="2024-12-29T00:00:00"/>
    <d v="2024-12-31T00:00:00"/>
    <n v="2"/>
    <x v="3"/>
    <s v="Migraine"/>
    <x v="6"/>
    <s v="Radiation Therapy"/>
    <x v="0"/>
    <s v="Dr. Nisha Joshi"/>
    <n v="435"/>
    <s v="General Ward"/>
    <x v="3"/>
    <n v="28665"/>
    <n v="20928"/>
    <n v="7737"/>
    <n v="10776"/>
    <n v="10852"/>
    <n v="2397"/>
    <s v="No"/>
    <n v="40"/>
    <n v="3.8"/>
    <x v="1"/>
  </r>
  <r>
    <x v="2437"/>
    <s v="Karan Chopra"/>
    <n v="17"/>
    <x v="1"/>
    <s v="B+"/>
    <s v="Jaipur"/>
    <d v="2022-09-23T00:00:00"/>
    <d v="2022-10-21T00:00:00"/>
    <n v="28"/>
    <x v="6"/>
    <s v="Fracture"/>
    <x v="10"/>
    <s v="Radiation Therapy"/>
    <x v="3"/>
    <s v="Dr. Deepak Joshi"/>
    <n v="156"/>
    <s v="Semi-Private"/>
    <x v="4"/>
    <n v="83604"/>
    <n v="0"/>
    <n v="83604"/>
    <n v="67246"/>
    <n v="1732"/>
    <n v="10087"/>
    <s v="No"/>
    <n v="52"/>
    <n v="4.0999999999999996"/>
    <x v="2"/>
  </r>
  <r>
    <x v="2438"/>
    <s v="Sneha Nair"/>
    <n v="79"/>
    <x v="1"/>
    <s v="AB+"/>
    <s v="Lucknow"/>
    <d v="2022-07-13T00:00:00"/>
    <d v="2022-07-30T00:00:00"/>
    <n v="17"/>
    <x v="3"/>
    <s v="Migraine"/>
    <x v="6"/>
    <s v="Radiation Therapy"/>
    <x v="3"/>
    <s v="Dr. Vivek Nair"/>
    <n v="222"/>
    <s v="Semi-Private"/>
    <x v="4"/>
    <n v="119386"/>
    <n v="0"/>
    <n v="119386"/>
    <n v="88141"/>
    <n v="22613"/>
    <n v="5003"/>
    <s v="No"/>
    <n v="82"/>
    <n v="4.0999999999999996"/>
    <x v="2"/>
  </r>
  <r>
    <x v="2439"/>
    <s v="Aditya Khanna"/>
    <n v="77"/>
    <x v="1"/>
    <s v="O-"/>
    <s v="Pune"/>
    <d v="2024-12-18T00:00:00"/>
    <d v="2024-12-31T00:00:00"/>
    <n v="13"/>
    <x v="2"/>
    <s v="Cancer"/>
    <x v="3"/>
    <s v="Medication"/>
    <x v="2"/>
    <s v="Dr. Nisha Nair"/>
    <n v="31"/>
    <s v="ICU"/>
    <x v="4"/>
    <n v="139984"/>
    <n v="0"/>
    <n v="139984"/>
    <n v="111355"/>
    <n v="21525"/>
    <n v="4524"/>
    <s v="No"/>
    <n v="79"/>
    <n v="2.2999999999999998"/>
    <x v="3"/>
  </r>
  <r>
    <x v="2440"/>
    <s v="Arjun Das"/>
    <n v="49"/>
    <x v="1"/>
    <s v="O+"/>
    <s v="Jaipur"/>
    <d v="2023-05-07T00:00:00"/>
    <d v="2023-06-06T00:00:00"/>
    <n v="30"/>
    <x v="6"/>
    <s v="Fracture"/>
    <x v="10"/>
    <s v="Physiotherapy"/>
    <x v="0"/>
    <s v="Dr. Sameer Gupta"/>
    <n v="433"/>
    <s v="ICU"/>
    <x v="1"/>
    <n v="76267"/>
    <n v="43845"/>
    <n v="32422"/>
    <n v="59973"/>
    <n v="10455"/>
    <n v="1271"/>
    <s v="No"/>
    <n v="91"/>
    <n v="2.6"/>
    <x v="0"/>
  </r>
  <r>
    <x v="2441"/>
    <s v="Rahul Pillai"/>
    <n v="16"/>
    <x v="0"/>
    <s v="AB-"/>
    <s v="Delhi"/>
    <d v="2024-10-02T00:00:00"/>
    <d v="2024-10-17T00:00:00"/>
    <n v="15"/>
    <x v="0"/>
    <s v="Appendicitis"/>
    <x v="0"/>
    <s v="Medication"/>
    <x v="2"/>
    <s v="Dr. Rakesh Sharma"/>
    <n v="90"/>
    <s v="General Ward"/>
    <x v="3"/>
    <n v="83823"/>
    <n v="58112"/>
    <n v="25711"/>
    <n v="62350"/>
    <n v="15311"/>
    <n v="1582"/>
    <s v="No"/>
    <n v="56"/>
    <n v="2.2999999999999998"/>
    <x v="0"/>
  </r>
  <r>
    <x v="2442"/>
    <s v="Rahul Das"/>
    <n v="39"/>
    <x v="1"/>
    <s v="A+"/>
    <s v="Mumbai"/>
    <d v="2022-02-27T00:00:00"/>
    <d v="2022-03-24T00:00:00"/>
    <n v="25"/>
    <x v="4"/>
    <s v="Hypertension"/>
    <x v="7"/>
    <s v="Chemotherapy"/>
    <x v="2"/>
    <s v="Dr. Arun Mehta"/>
    <n v="370"/>
    <s v="General Ward"/>
    <x v="4"/>
    <n v="172221"/>
    <n v="0"/>
    <n v="172221"/>
    <n v="148537"/>
    <n v="20292"/>
    <n v="801"/>
    <s v="No"/>
    <n v="45"/>
    <n v="2.2999999999999998"/>
    <x v="2"/>
  </r>
  <r>
    <x v="2443"/>
    <s v="Ashok Iyer"/>
    <n v="25"/>
    <x v="1"/>
    <s v="O-"/>
    <s v="Jaipur"/>
    <d v="2022-06-09T00:00:00"/>
    <d v="2022-06-28T00:00:00"/>
    <n v="19"/>
    <x v="5"/>
    <s v="Pneumonia"/>
    <x v="8"/>
    <s v="Radiation Therapy"/>
    <x v="2"/>
    <s v="Dr. Rakesh Singh"/>
    <n v="128"/>
    <s v="ICU"/>
    <x v="3"/>
    <n v="100120"/>
    <n v="75622"/>
    <n v="24498"/>
    <n v="80758"/>
    <n v="11561"/>
    <n v="6683"/>
    <s v="No"/>
    <n v="96"/>
    <n v="4.8"/>
    <x v="4"/>
  </r>
  <r>
    <x v="2444"/>
    <s v="Ritu Iyer"/>
    <n v="17"/>
    <x v="0"/>
    <s v="B-"/>
    <s v="Chennai"/>
    <d v="2024-03-24T00:00:00"/>
    <d v="2024-04-04T00:00:00"/>
    <n v="11"/>
    <x v="0"/>
    <s v="Liver Disease"/>
    <x v="0"/>
    <s v="Dialysis"/>
    <x v="0"/>
    <s v="Dr. Arun Rao"/>
    <n v="54"/>
    <s v="Private"/>
    <x v="1"/>
    <n v="164505"/>
    <n v="95574"/>
    <n v="68931"/>
    <n v="125949"/>
    <n v="25318"/>
    <n v="11766"/>
    <s v="No"/>
    <n v="78"/>
    <n v="4.3"/>
    <x v="0"/>
  </r>
  <r>
    <x v="2445"/>
    <s v="Lata Reddy"/>
    <n v="33"/>
    <x v="1"/>
    <s v="AB+"/>
    <s v="Pune"/>
    <d v="2024-05-14T00:00:00"/>
    <d v="2024-05-18T00:00:00"/>
    <n v="4"/>
    <x v="0"/>
    <s v="Obesity"/>
    <x v="12"/>
    <s v="Counseling"/>
    <x v="0"/>
    <s v="Dr. Deepak Patel"/>
    <n v="70"/>
    <s v="ICU"/>
    <x v="3"/>
    <n v="148326"/>
    <n v="106129"/>
    <n v="42197"/>
    <n v="112853"/>
    <n v="23397"/>
    <n v="10608"/>
    <s v="No"/>
    <n v="94"/>
    <n v="3.7"/>
    <x v="2"/>
  </r>
  <r>
    <x v="2446"/>
    <s v="Geeta Malhotra"/>
    <n v="62"/>
    <x v="1"/>
    <s v="AB+"/>
    <s v="Kolkata"/>
    <d v="2023-12-29T00:00:00"/>
    <d v="2024-01-13T00:00:00"/>
    <n v="15"/>
    <x v="1"/>
    <s v="UTI"/>
    <x v="2"/>
    <s v="Observation"/>
    <x v="3"/>
    <s v="Dr. Shalini Gupta"/>
    <n v="227"/>
    <s v="Private"/>
    <x v="1"/>
    <n v="155755"/>
    <n v="72299"/>
    <n v="83456"/>
    <n v="126629"/>
    <n v="17070"/>
    <n v="7605"/>
    <s v="No"/>
    <n v="91"/>
    <n v="3.9"/>
    <x v="3"/>
  </r>
  <r>
    <x v="2447"/>
    <s v="Priya Malhotra"/>
    <n v="45"/>
    <x v="1"/>
    <s v="AB+"/>
    <s v="Jaipur"/>
    <d v="2022-09-30T00:00:00"/>
    <d v="2022-10-07T00:00:00"/>
    <n v="7"/>
    <x v="2"/>
    <s v="Cancer"/>
    <x v="3"/>
    <s v="Chemotherapy"/>
    <x v="2"/>
    <s v="Dr. Shalini Reddy"/>
    <n v="143"/>
    <s v="ICU"/>
    <x v="4"/>
    <n v="66451"/>
    <n v="0"/>
    <n v="66451"/>
    <n v="29467"/>
    <n v="22767"/>
    <n v="12278"/>
    <s v="No"/>
    <n v="75"/>
    <n v="3.5"/>
    <x v="1"/>
  </r>
  <r>
    <x v="2448"/>
    <s v="Sunil Patel"/>
    <n v="62"/>
    <x v="1"/>
    <s v="O-"/>
    <s v="Hyderabad"/>
    <d v="2024-04-04T00:00:00"/>
    <d v="2024-04-05T00:00:00"/>
    <n v="1"/>
    <x v="1"/>
    <s v="Kidney Stone"/>
    <x v="2"/>
    <s v="Surgery"/>
    <x v="0"/>
    <s v="Dr. Kavita Mehta"/>
    <n v="35"/>
    <s v="Semi-Private"/>
    <x v="0"/>
    <n v="38359"/>
    <n v="24529"/>
    <n v="13830"/>
    <n v="5794"/>
    <n v="21912"/>
    <n v="5943"/>
    <s v="No"/>
    <n v="77"/>
    <n v="2.5"/>
    <x v="0"/>
  </r>
  <r>
    <x v="2449"/>
    <s v="Arjun Sharma"/>
    <n v="26"/>
    <x v="1"/>
    <s v="O-"/>
    <s v="Pune"/>
    <d v="2024-10-20T00:00:00"/>
    <d v="2024-11-02T00:00:00"/>
    <n v="13"/>
    <x v="0"/>
    <s v="Liver Disease"/>
    <x v="0"/>
    <s v="Medication"/>
    <x v="2"/>
    <s v="Dr. Anjali Sharma"/>
    <n v="225"/>
    <s v="General Ward"/>
    <x v="1"/>
    <n v="26969"/>
    <n v="16330"/>
    <n v="10639"/>
    <n v="7661"/>
    <n v="14678"/>
    <n v="2587"/>
    <s v="No"/>
    <n v="62"/>
    <n v="4.2"/>
    <x v="2"/>
  </r>
  <r>
    <x v="2450"/>
    <s v="Vijay Rao"/>
    <n v="42"/>
    <x v="1"/>
    <s v="AB-"/>
    <s v="Hyderabad"/>
    <d v="2024-07-19T00:00:00"/>
    <d v="2024-07-20T00:00:00"/>
    <n v="1"/>
    <x v="0"/>
    <s v="Depression"/>
    <x v="5"/>
    <s v="Counseling"/>
    <x v="0"/>
    <s v="Dr. Anjali Patel"/>
    <n v="58"/>
    <s v="ICU"/>
    <x v="0"/>
    <n v="115069"/>
    <n v="74636"/>
    <n v="40433"/>
    <n v="81846"/>
    <n v="20976"/>
    <n v="9157"/>
    <s v="No"/>
    <n v="56"/>
    <n v="2.6"/>
    <x v="1"/>
  </r>
  <r>
    <x v="2451"/>
    <s v="Ashok Patel"/>
    <n v="83"/>
    <x v="0"/>
    <s v="A-"/>
    <s v="Kolkata"/>
    <d v="2022-10-17T00:00:00"/>
    <d v="2022-11-07T00:00:00"/>
    <n v="21"/>
    <x v="3"/>
    <s v="Migraine"/>
    <x v="6"/>
    <s v="Physiotherapy"/>
    <x v="3"/>
    <s v="Dr. Arun Nair"/>
    <n v="311"/>
    <s v="ICU"/>
    <x v="0"/>
    <n v="141347"/>
    <n v="62589"/>
    <n v="78758"/>
    <n v="134101"/>
    <n v="2861"/>
    <n v="1865"/>
    <s v="Yes"/>
    <n v="95"/>
    <n v="4.5999999999999996"/>
    <x v="4"/>
  </r>
  <r>
    <x v="2452"/>
    <s v="Sunil Patel"/>
    <n v="13"/>
    <x v="1"/>
    <s v="AB-"/>
    <s v="Delhi"/>
    <d v="2024-08-09T00:00:00"/>
    <d v="2024-08-13T00:00:00"/>
    <n v="4"/>
    <x v="4"/>
    <s v="Hypertension"/>
    <x v="7"/>
    <s v="ICU Care"/>
    <x v="2"/>
    <s v="Dr. Arun Gupta"/>
    <n v="415"/>
    <s v="General Ward"/>
    <x v="1"/>
    <n v="174755"/>
    <n v="78944"/>
    <n v="95811"/>
    <n v="149263"/>
    <n v="22899"/>
    <n v="866"/>
    <s v="No"/>
    <n v="75"/>
    <n v="3.7"/>
    <x v="4"/>
  </r>
  <r>
    <x v="2453"/>
    <s v="Priya Verma"/>
    <n v="9"/>
    <x v="1"/>
    <s v="O+"/>
    <s v="Kolkata"/>
    <d v="2022-08-12T00:00:00"/>
    <d v="2022-09-09T00:00:00"/>
    <n v="28"/>
    <x v="6"/>
    <s v="Fracture"/>
    <x v="10"/>
    <s v="Chemotherapy"/>
    <x v="3"/>
    <s v="Dr. Prerna Gupta"/>
    <n v="461"/>
    <s v="Private"/>
    <x v="2"/>
    <n v="109967"/>
    <n v="77996"/>
    <n v="31971"/>
    <n v="78092"/>
    <n v="14359"/>
    <n v="14187"/>
    <s v="No"/>
    <n v="91"/>
    <n v="5"/>
    <x v="2"/>
  </r>
  <r>
    <x v="2454"/>
    <s v="Rekha Mehta"/>
    <n v="48"/>
    <x v="0"/>
    <s v="A-"/>
    <s v="Kolkata"/>
    <d v="2023-09-10T00:00:00"/>
    <d v="2023-10-04T00:00:00"/>
    <n v="24"/>
    <x v="0"/>
    <s v="Liver Disease"/>
    <x v="0"/>
    <s v="ICU Care"/>
    <x v="0"/>
    <s v="Dr. Vivek Reddy"/>
    <n v="13"/>
    <s v="Semi-Private"/>
    <x v="3"/>
    <n v="78774"/>
    <n v="64161"/>
    <n v="14613"/>
    <n v="57378"/>
    <n v="8624"/>
    <n v="8897"/>
    <s v="No"/>
    <n v="61"/>
    <n v="2.1"/>
    <x v="4"/>
  </r>
  <r>
    <x v="2455"/>
    <s v="Sonia Rao"/>
    <n v="38"/>
    <x v="1"/>
    <s v="O-"/>
    <s v="Bangalore"/>
    <d v="2023-10-12T00:00:00"/>
    <d v="2023-11-09T00:00:00"/>
    <n v="28"/>
    <x v="4"/>
    <s v="Hypertension"/>
    <x v="7"/>
    <s v="Dietary Management"/>
    <x v="1"/>
    <s v="Dr. Vivek Kumar"/>
    <n v="119"/>
    <s v="ICU"/>
    <x v="4"/>
    <n v="144940"/>
    <n v="0"/>
    <n v="144940"/>
    <n v="125856"/>
    <n v="1644"/>
    <n v="13722"/>
    <s v="No"/>
    <n v="79"/>
    <n v="3.3"/>
    <x v="4"/>
  </r>
  <r>
    <x v="2456"/>
    <s v="Meera Das"/>
    <n v="85"/>
    <x v="1"/>
    <s v="B-"/>
    <s v="Hyderabad"/>
    <d v="2022-05-13T00:00:00"/>
    <d v="2022-05-23T00:00:00"/>
    <n v="10"/>
    <x v="0"/>
    <s v="Dengue"/>
    <x v="1"/>
    <s v="Dialysis"/>
    <x v="3"/>
    <s v="Dr. Deepak Joshi"/>
    <n v="141"/>
    <s v="General Ward"/>
    <x v="4"/>
    <n v="75525"/>
    <n v="0"/>
    <n v="75525"/>
    <n v="61642"/>
    <n v="12341"/>
    <n v="901"/>
    <s v="No"/>
    <n v="52"/>
    <n v="4.9000000000000004"/>
    <x v="3"/>
  </r>
  <r>
    <x v="2457"/>
    <s v="Ashok Das"/>
    <n v="40"/>
    <x v="1"/>
    <s v="AB+"/>
    <s v="Chennai"/>
    <d v="2022-11-11T00:00:00"/>
    <d v="2022-12-01T00:00:00"/>
    <n v="20"/>
    <x v="5"/>
    <s v="Asthma"/>
    <x v="8"/>
    <s v="ICU Care"/>
    <x v="1"/>
    <s v="Dr. Kavita Mehta"/>
    <n v="470"/>
    <s v="ICU"/>
    <x v="2"/>
    <n v="26770"/>
    <n v="23014"/>
    <n v="3756"/>
    <n v="17888"/>
    <n v="2131"/>
    <n v="5402"/>
    <s v="No"/>
    <n v="97"/>
    <n v="4.3"/>
    <x v="2"/>
  </r>
  <r>
    <x v="2458"/>
    <s v="Arjun Nair"/>
    <n v="65"/>
    <x v="1"/>
    <s v="A-"/>
    <s v="Lucknow"/>
    <d v="2022-11-21T00:00:00"/>
    <d v="2022-12-12T00:00:00"/>
    <n v="21"/>
    <x v="4"/>
    <s v="Hypertension"/>
    <x v="7"/>
    <s v="Medication"/>
    <x v="1"/>
    <s v="Dr. Vivek Reddy"/>
    <n v="123"/>
    <s v="Semi-Private"/>
    <x v="0"/>
    <n v="120680"/>
    <n v="53127"/>
    <n v="67553"/>
    <n v="107507"/>
    <n v="5164"/>
    <n v="5707"/>
    <s v="No"/>
    <n v="63"/>
    <n v="3.5"/>
    <x v="3"/>
  </r>
  <r>
    <x v="2459"/>
    <s v="Sneha Menon"/>
    <n v="26"/>
    <x v="0"/>
    <s v="A-"/>
    <s v="Bangalore"/>
    <d v="2024-11-12T00:00:00"/>
    <d v="2024-12-07T00:00:00"/>
    <n v="25"/>
    <x v="3"/>
    <s v="Stroke"/>
    <x v="6"/>
    <s v="Medication"/>
    <x v="0"/>
    <s v="Dr. Sameer Reddy"/>
    <n v="389"/>
    <s v="General Ward"/>
    <x v="1"/>
    <n v="95610"/>
    <n v="45938"/>
    <n v="49672"/>
    <n v="60534"/>
    <n v="22484"/>
    <n v="10700"/>
    <s v="Yes"/>
    <n v="71"/>
    <n v="3.7"/>
    <x v="4"/>
  </r>
  <r>
    <x v="2460"/>
    <s v="Sunil Chopra"/>
    <n v="20"/>
    <x v="0"/>
    <s v="A+"/>
    <s v="Ahmedabad"/>
    <d v="2022-06-24T00:00:00"/>
    <d v="2022-06-28T00:00:00"/>
    <n v="4"/>
    <x v="0"/>
    <s v="Typhoid"/>
    <x v="1"/>
    <s v="Dietary Management"/>
    <x v="2"/>
    <s v="Dr. Kavita Reddy"/>
    <n v="485"/>
    <s v="Private"/>
    <x v="1"/>
    <n v="61068"/>
    <n v="31048"/>
    <n v="30020"/>
    <n v="37209"/>
    <n v="9156"/>
    <n v="12487"/>
    <s v="Yes"/>
    <n v="63"/>
    <n v="2.7"/>
    <x v="4"/>
  </r>
  <r>
    <x v="2461"/>
    <s v="Ananya Pillai"/>
    <n v="63"/>
    <x v="1"/>
    <s v="O+"/>
    <s v="Pune"/>
    <d v="2022-02-15T00:00:00"/>
    <d v="2022-03-12T00:00:00"/>
    <n v="25"/>
    <x v="5"/>
    <s v="Asthma"/>
    <x v="8"/>
    <s v="Dietary Management"/>
    <x v="3"/>
    <s v="Dr. Prerna Singh"/>
    <n v="407"/>
    <s v="ICU"/>
    <x v="3"/>
    <n v="72538"/>
    <n v="55505"/>
    <n v="17033"/>
    <n v="28608"/>
    <n v="25774"/>
    <n v="14141"/>
    <s v="No"/>
    <n v="79"/>
    <n v="3.6"/>
    <x v="3"/>
  </r>
  <r>
    <x v="2462"/>
    <s v="Ritu Gupta"/>
    <n v="42"/>
    <x v="0"/>
    <s v="AB+"/>
    <s v="Jaipur"/>
    <d v="2022-11-26T00:00:00"/>
    <d v="2022-12-23T00:00:00"/>
    <n v="27"/>
    <x v="0"/>
    <s v="Appendicitis"/>
    <x v="0"/>
    <s v="Chemotherapy"/>
    <x v="0"/>
    <s v="Dr. Sameer Rao"/>
    <n v="250"/>
    <s v="General Ward"/>
    <x v="0"/>
    <n v="174596"/>
    <n v="103563"/>
    <n v="71033"/>
    <n v="142149"/>
    <n v="15134"/>
    <n v="14480"/>
    <s v="No"/>
    <n v="97"/>
    <n v="4"/>
    <x v="4"/>
  </r>
  <r>
    <x v="2463"/>
    <s v="Mukesh Reddy"/>
    <n v="23"/>
    <x v="1"/>
    <s v="B-"/>
    <s v="Bangalore"/>
    <d v="2022-10-10T00:00:00"/>
    <d v="2022-10-19T00:00:00"/>
    <n v="9"/>
    <x v="4"/>
    <s v="Heart Attack"/>
    <x v="7"/>
    <s v="Chemotherapy"/>
    <x v="0"/>
    <s v="Dr. Deepak Reddy"/>
    <n v="202"/>
    <s v="General Ward"/>
    <x v="0"/>
    <n v="108581"/>
    <n v="54584"/>
    <n v="53997"/>
    <n v="94235"/>
    <n v="9237"/>
    <n v="2204"/>
    <s v="Yes"/>
    <n v="73"/>
    <n v="4.3"/>
    <x v="0"/>
  </r>
  <r>
    <x v="2464"/>
    <s v="Rohan Bose"/>
    <n v="49"/>
    <x v="1"/>
    <s v="O+"/>
    <s v="Hyderabad"/>
    <d v="2024-08-11T00:00:00"/>
    <d v="2024-08-21T00:00:00"/>
    <n v="10"/>
    <x v="6"/>
    <s v="Fracture"/>
    <x v="10"/>
    <s v="Observation"/>
    <x v="3"/>
    <s v="Dr. Kavita Singh"/>
    <n v="138"/>
    <s v="General Ward"/>
    <x v="2"/>
    <n v="124297"/>
    <n v="99477"/>
    <n v="24820"/>
    <n v="95225"/>
    <n v="16015"/>
    <n v="10104"/>
    <s v="Yes"/>
    <n v="84"/>
    <n v="3"/>
    <x v="1"/>
  </r>
  <r>
    <x v="2465"/>
    <s v="Suresh Joshi"/>
    <n v="79"/>
    <x v="1"/>
    <s v="B+"/>
    <s v="Hyderabad"/>
    <d v="2023-09-05T00:00:00"/>
    <d v="2023-10-02T00:00:00"/>
    <n v="27"/>
    <x v="5"/>
    <s v="Asthma"/>
    <x v="8"/>
    <s v="Chemotherapy"/>
    <x v="3"/>
    <s v="Dr. Nisha Patel"/>
    <n v="296"/>
    <s v="Private"/>
    <x v="4"/>
    <n v="45737"/>
    <n v="0"/>
    <n v="45737"/>
    <n v="6352"/>
    <n v="25690"/>
    <n v="9513"/>
    <s v="No"/>
    <n v="99"/>
    <n v="4.4000000000000004"/>
    <x v="4"/>
  </r>
  <r>
    <x v="2466"/>
    <s v="Vikram Pillai"/>
    <n v="20"/>
    <x v="0"/>
    <s v="AB-"/>
    <s v="Mumbai"/>
    <d v="2024-05-26T00:00:00"/>
    <d v="2024-06-09T00:00:00"/>
    <n v="14"/>
    <x v="4"/>
    <s v="Heart Attack"/>
    <x v="7"/>
    <s v="Medication"/>
    <x v="1"/>
    <s v="Dr. Vivek Mehta"/>
    <n v="96"/>
    <s v="General Ward"/>
    <x v="4"/>
    <n v="97090"/>
    <n v="0"/>
    <n v="97090"/>
    <n v="56167"/>
    <n v="22606"/>
    <n v="14143"/>
    <s v="No"/>
    <n v="47"/>
    <n v="2.8"/>
    <x v="1"/>
  </r>
  <r>
    <x v="2467"/>
    <s v="Ritu Bose"/>
    <n v="26"/>
    <x v="0"/>
    <s v="O+"/>
    <s v="Lucknow"/>
    <d v="2022-09-22T00:00:00"/>
    <d v="2022-10-06T00:00:00"/>
    <n v="14"/>
    <x v="0"/>
    <s v="Appendicitis"/>
    <x v="0"/>
    <s v="Physiotherapy"/>
    <x v="2"/>
    <s v="Dr. Arun Kumar"/>
    <n v="385"/>
    <s v="ICU"/>
    <x v="1"/>
    <n v="67083"/>
    <n v="37071"/>
    <n v="30012"/>
    <n v="39998"/>
    <n v="24859"/>
    <n v="1341"/>
    <s v="Yes"/>
    <n v="70"/>
    <n v="3.9"/>
    <x v="3"/>
  </r>
  <r>
    <x v="2468"/>
    <s v="Divya Das"/>
    <n v="70"/>
    <x v="1"/>
    <s v="B+"/>
    <s v="Mumbai"/>
    <d v="2022-09-22T00:00:00"/>
    <d v="2022-10-04T00:00:00"/>
    <n v="12"/>
    <x v="4"/>
    <s v="Heart Attack"/>
    <x v="7"/>
    <s v="Medication"/>
    <x v="3"/>
    <s v="Dr. Sameer Reddy"/>
    <n v="326"/>
    <s v="Private"/>
    <x v="4"/>
    <n v="157328"/>
    <n v="0"/>
    <n v="157328"/>
    <n v="133742"/>
    <n v="19510"/>
    <n v="1843"/>
    <s v="Yes"/>
    <n v="50"/>
    <n v="3.5"/>
    <x v="0"/>
  </r>
  <r>
    <x v="2469"/>
    <s v="Vikram Iyer"/>
    <n v="79"/>
    <x v="1"/>
    <s v="B+"/>
    <s v="Pune"/>
    <d v="2022-06-27T00:00:00"/>
    <d v="2022-06-28T00:00:00"/>
    <n v="1"/>
    <x v="4"/>
    <s v="Hypertension"/>
    <x v="7"/>
    <s v="Physiotherapy"/>
    <x v="0"/>
    <s v="Dr. Shalini Nair"/>
    <n v="474"/>
    <s v="Semi-Private"/>
    <x v="4"/>
    <n v="164417"/>
    <n v="0"/>
    <n v="164417"/>
    <n v="126533"/>
    <n v="19749"/>
    <n v="13437"/>
    <s v="No"/>
    <n v="55"/>
    <n v="3"/>
    <x v="0"/>
  </r>
  <r>
    <x v="2470"/>
    <s v="Manoj Nair"/>
    <n v="32"/>
    <x v="1"/>
    <s v="AB+"/>
    <s v="Mumbai"/>
    <d v="2023-04-21T00:00:00"/>
    <d v="2023-04-27T00:00:00"/>
    <n v="6"/>
    <x v="4"/>
    <s v="Heart Attack"/>
    <x v="7"/>
    <s v="Medication"/>
    <x v="1"/>
    <s v="Dr. Anjali Gupta"/>
    <n v="329"/>
    <s v="General Ward"/>
    <x v="2"/>
    <n v="100865"/>
    <n v="63669"/>
    <n v="37196"/>
    <n v="66073"/>
    <n v="16766"/>
    <n v="13151"/>
    <s v="Yes"/>
    <n v="62"/>
    <n v="2.1"/>
    <x v="4"/>
  </r>
  <r>
    <x v="2471"/>
    <s v="Ritu Verma"/>
    <n v="23"/>
    <x v="0"/>
    <s v="AB+"/>
    <s v="Mumbai"/>
    <d v="2024-11-02T00:00:00"/>
    <d v="2024-11-19T00:00:00"/>
    <n v="17"/>
    <x v="0"/>
    <s v="Depression"/>
    <x v="5"/>
    <s v="ICU Care"/>
    <x v="2"/>
    <s v="Dr. Arun Nair"/>
    <n v="168"/>
    <s v="General Ward"/>
    <x v="4"/>
    <n v="58880"/>
    <n v="0"/>
    <n v="58880"/>
    <n v="27089"/>
    <n v="26582"/>
    <n v="3560"/>
    <s v="No"/>
    <n v="72"/>
    <n v="3.2"/>
    <x v="4"/>
  </r>
  <r>
    <x v="2472"/>
    <s v="Priya Sharma"/>
    <n v="78"/>
    <x v="0"/>
    <s v="O+"/>
    <s v="Lucknow"/>
    <d v="2023-07-29T00:00:00"/>
    <d v="2023-08-28T00:00:00"/>
    <n v="30"/>
    <x v="0"/>
    <s v="Appendicitis"/>
    <x v="0"/>
    <s v="Radiation Therapy"/>
    <x v="1"/>
    <s v="Dr. Nisha Rao"/>
    <n v="460"/>
    <s v="General Ward"/>
    <x v="0"/>
    <n v="140801"/>
    <n v="86761"/>
    <n v="54040"/>
    <n v="111366"/>
    <n v="10689"/>
    <n v="14144"/>
    <s v="No"/>
    <n v="48"/>
    <n v="4.0999999999999996"/>
    <x v="0"/>
  </r>
  <r>
    <x v="2473"/>
    <s v="Sunita Sharma"/>
    <n v="18"/>
    <x v="1"/>
    <s v="O-"/>
    <s v="Lucknow"/>
    <d v="2024-05-22T00:00:00"/>
    <d v="2024-06-08T00:00:00"/>
    <n v="17"/>
    <x v="5"/>
    <s v="Asthma"/>
    <x v="8"/>
    <s v="Chemotherapy"/>
    <x v="3"/>
    <s v="Dr. Kavita Mehta"/>
    <n v="289"/>
    <s v="ICU"/>
    <x v="1"/>
    <n v="148017"/>
    <n v="74092"/>
    <n v="73925"/>
    <n v="116775"/>
    <n v="21601"/>
    <n v="8532"/>
    <s v="No"/>
    <n v="82"/>
    <n v="4.5999999999999996"/>
    <x v="0"/>
  </r>
  <r>
    <x v="2474"/>
    <s v="Manoj Verma"/>
    <n v="84"/>
    <x v="0"/>
    <s v="AB-"/>
    <s v="Delhi"/>
    <d v="2023-09-11T00:00:00"/>
    <d v="2023-09-26T00:00:00"/>
    <n v="15"/>
    <x v="0"/>
    <s v="Typhoid"/>
    <x v="1"/>
    <s v="Medication"/>
    <x v="0"/>
    <s v="Dr. Prerna Rao"/>
    <n v="416"/>
    <s v="General Ward"/>
    <x v="2"/>
    <n v="84756"/>
    <n v="61065"/>
    <n v="23691"/>
    <n v="65864"/>
    <n v="13009"/>
    <n v="3590"/>
    <s v="No"/>
    <n v="62"/>
    <n v="3.9"/>
    <x v="3"/>
  </r>
  <r>
    <x v="2475"/>
    <s v="Rajesh Bose"/>
    <n v="27"/>
    <x v="1"/>
    <s v="O+"/>
    <s v="Mumbai"/>
    <d v="2023-11-25T00:00:00"/>
    <d v="2023-12-20T00:00:00"/>
    <n v="25"/>
    <x v="6"/>
    <s v="Fracture"/>
    <x v="10"/>
    <s v="ICU Care"/>
    <x v="0"/>
    <s v="Dr. Vivek Reddy"/>
    <n v="419"/>
    <s v="General Ward"/>
    <x v="4"/>
    <n v="90858"/>
    <n v="0"/>
    <n v="90858"/>
    <n v="62998"/>
    <n v="18759"/>
    <n v="8139"/>
    <s v="No"/>
    <n v="44"/>
    <n v="3"/>
    <x v="2"/>
  </r>
  <r>
    <x v="2476"/>
    <s v="Rekha Kumar"/>
    <n v="19"/>
    <x v="0"/>
    <s v="O+"/>
    <s v="Lucknow"/>
    <d v="2022-08-23T00:00:00"/>
    <d v="2022-09-12T00:00:00"/>
    <n v="20"/>
    <x v="5"/>
    <s v="Pneumonia"/>
    <x v="8"/>
    <s v="ICU Care"/>
    <x v="3"/>
    <s v="Dr. Prerna Gupta"/>
    <n v="106"/>
    <s v="Semi-Private"/>
    <x v="3"/>
    <n v="132594"/>
    <n v="84329"/>
    <n v="48265"/>
    <n v="107233"/>
    <n v="14862"/>
    <n v="5504"/>
    <s v="No"/>
    <n v="53"/>
    <n v="4.4000000000000004"/>
    <x v="1"/>
  </r>
  <r>
    <x v="2477"/>
    <s v="Aditya Sharma"/>
    <n v="16"/>
    <x v="1"/>
    <s v="A-"/>
    <s v="Delhi"/>
    <d v="2022-01-10T00:00:00"/>
    <d v="2022-02-08T00:00:00"/>
    <n v="29"/>
    <x v="0"/>
    <s v="Anemia"/>
    <x v="4"/>
    <s v="Counseling"/>
    <x v="2"/>
    <s v="Dr. Sameer Singh"/>
    <n v="429"/>
    <s v="Private"/>
    <x v="0"/>
    <n v="69119"/>
    <n v="47664"/>
    <n v="21455"/>
    <n v="46657"/>
    <n v="13597"/>
    <n v="6190"/>
    <s v="No"/>
    <n v="86"/>
    <n v="2.9"/>
    <x v="0"/>
  </r>
  <r>
    <x v="2478"/>
    <s v="Divya Das"/>
    <n v="20"/>
    <x v="0"/>
    <s v="O-"/>
    <s v="Pune"/>
    <d v="2022-05-14T00:00:00"/>
    <d v="2022-05-29T00:00:00"/>
    <n v="15"/>
    <x v="0"/>
    <s v="Liver Disease"/>
    <x v="0"/>
    <s v="ICU Care"/>
    <x v="3"/>
    <s v="Dr. Kavita Joshi"/>
    <n v="297"/>
    <s v="General Ward"/>
    <x v="0"/>
    <n v="101707"/>
    <n v="56971"/>
    <n v="44736"/>
    <n v="75705"/>
    <n v="13031"/>
    <n v="10370"/>
    <s v="No"/>
    <n v="41"/>
    <n v="4.9000000000000004"/>
    <x v="1"/>
  </r>
  <r>
    <x v="2479"/>
    <s v="Divya Nair"/>
    <n v="11"/>
    <x v="1"/>
    <s v="A-"/>
    <s v="Mumbai"/>
    <d v="2022-01-12T00:00:00"/>
    <d v="2022-01-26T00:00:00"/>
    <n v="14"/>
    <x v="0"/>
    <s v="Obesity"/>
    <x v="12"/>
    <s v="Observation"/>
    <x v="1"/>
    <s v="Dr. Shalini Nair"/>
    <n v="360"/>
    <s v="Semi-Private"/>
    <x v="0"/>
    <n v="70160"/>
    <n v="40463"/>
    <n v="29697"/>
    <n v="54982"/>
    <n v="3810"/>
    <n v="7013"/>
    <s v="No"/>
    <n v="64"/>
    <n v="4.4000000000000004"/>
    <x v="1"/>
  </r>
  <r>
    <x v="2480"/>
    <s v="Aditya Reddy"/>
    <n v="11"/>
    <x v="0"/>
    <s v="O-"/>
    <s v="Mumbai"/>
    <d v="2023-11-21T00:00:00"/>
    <d v="2023-12-10T00:00:00"/>
    <n v="19"/>
    <x v="0"/>
    <s v="Obesity"/>
    <x v="12"/>
    <s v="Medication"/>
    <x v="0"/>
    <s v="Dr. Rakesh Sharma"/>
    <n v="265"/>
    <s v="General Ward"/>
    <x v="2"/>
    <n v="122373"/>
    <n v="94541"/>
    <n v="27832"/>
    <n v="103437"/>
    <n v="15660"/>
    <n v="2306"/>
    <s v="No"/>
    <n v="64"/>
    <n v="3.1"/>
    <x v="3"/>
  </r>
  <r>
    <x v="2481"/>
    <s v="Lata Verma"/>
    <n v="82"/>
    <x v="1"/>
    <s v="A+"/>
    <s v="Jaipur"/>
    <d v="2024-02-23T00:00:00"/>
    <d v="2024-03-05T00:00:00"/>
    <n v="11"/>
    <x v="3"/>
    <s v="Stroke"/>
    <x v="6"/>
    <s v="Dialysis"/>
    <x v="3"/>
    <s v="Dr. Nisha Kumar"/>
    <n v="365"/>
    <s v="Semi-Private"/>
    <x v="1"/>
    <n v="70715"/>
    <n v="46694"/>
    <n v="24021"/>
    <n v="54338"/>
    <n v="3788"/>
    <n v="9105"/>
    <s v="No"/>
    <n v="64"/>
    <n v="4.2"/>
    <x v="1"/>
  </r>
  <r>
    <x v="2482"/>
    <s v="Rohan Iyer"/>
    <n v="36"/>
    <x v="0"/>
    <s v="AB-"/>
    <s v="Jaipur"/>
    <d v="2022-08-06T00:00:00"/>
    <d v="2022-09-01T00:00:00"/>
    <n v="26"/>
    <x v="5"/>
    <s v="Pneumonia"/>
    <x v="8"/>
    <s v="Counseling"/>
    <x v="1"/>
    <s v="Dr. Arun Gupta"/>
    <n v="322"/>
    <s v="ICU"/>
    <x v="0"/>
    <n v="60152"/>
    <n v="24779"/>
    <n v="35373"/>
    <n v="51094"/>
    <n v="2930"/>
    <n v="1825"/>
    <s v="No"/>
    <n v="41"/>
    <n v="3.5"/>
    <x v="0"/>
  </r>
  <r>
    <x v="2483"/>
    <s v="Sneha Malhotra"/>
    <n v="59"/>
    <x v="1"/>
    <s v="B-"/>
    <s v="Bangalore"/>
    <d v="2023-11-01T00:00:00"/>
    <d v="2023-11-12T00:00:00"/>
    <n v="11"/>
    <x v="6"/>
    <s v="Arthritis"/>
    <x v="11"/>
    <s v="Surgery"/>
    <x v="1"/>
    <s v="Dr. Shalini Patel"/>
    <n v="85"/>
    <s v="ICU"/>
    <x v="3"/>
    <n v="137398"/>
    <n v="117528"/>
    <n v="19870"/>
    <n v="114739"/>
    <n v="4227"/>
    <n v="14962"/>
    <s v="No"/>
    <n v="68"/>
    <n v="5"/>
    <x v="1"/>
  </r>
  <r>
    <x v="2484"/>
    <s v="Deepa Gupta"/>
    <n v="38"/>
    <x v="0"/>
    <s v="AB-"/>
    <s v="Kolkata"/>
    <d v="2022-02-09T00:00:00"/>
    <d v="2022-02-11T00:00:00"/>
    <n v="2"/>
    <x v="5"/>
    <s v="Asthma"/>
    <x v="8"/>
    <s v="ICU Care"/>
    <x v="0"/>
    <s v="Dr. Vivek Kumar"/>
    <n v="255"/>
    <s v="General Ward"/>
    <x v="0"/>
    <n v="111926"/>
    <n v="63072"/>
    <n v="48854"/>
    <n v="93764"/>
    <n v="9409"/>
    <n v="5386"/>
    <s v="No"/>
    <n v="68"/>
    <n v="3.7"/>
    <x v="1"/>
  </r>
  <r>
    <x v="2485"/>
    <s v="Rahul Menon"/>
    <n v="55"/>
    <x v="1"/>
    <s v="O+"/>
    <s v="Lucknow"/>
    <d v="2022-02-06T00:00:00"/>
    <d v="2022-03-06T00:00:00"/>
    <n v="28"/>
    <x v="6"/>
    <s v="Fracture"/>
    <x v="10"/>
    <s v="Medication"/>
    <x v="1"/>
    <s v="Dr. Nisha Singh"/>
    <n v="477"/>
    <s v="Private"/>
    <x v="4"/>
    <n v="137096"/>
    <n v="0"/>
    <n v="137096"/>
    <n v="115828"/>
    <n v="6569"/>
    <n v="11135"/>
    <s v="Yes"/>
    <n v="47"/>
    <n v="3.3"/>
    <x v="2"/>
  </r>
  <r>
    <x v="2486"/>
    <s v="Ritu Menon"/>
    <n v="63"/>
    <x v="1"/>
    <s v="A+"/>
    <s v="Ahmedabad"/>
    <d v="2024-04-06T00:00:00"/>
    <d v="2024-04-19T00:00:00"/>
    <n v="13"/>
    <x v="3"/>
    <s v="Migraine"/>
    <x v="6"/>
    <s v="ICU Care"/>
    <x v="2"/>
    <s v="Dr. Rakesh Singh"/>
    <n v="94"/>
    <s v="General Ward"/>
    <x v="0"/>
    <n v="76840"/>
    <n v="41820"/>
    <n v="35020"/>
    <n v="32207"/>
    <n v="28451"/>
    <n v="13055"/>
    <s v="No"/>
    <n v="40"/>
    <n v="3.2"/>
    <x v="1"/>
  </r>
  <r>
    <x v="2487"/>
    <s v="Lata Pillai"/>
    <n v="13"/>
    <x v="1"/>
    <s v="B+"/>
    <s v="Hyderabad"/>
    <d v="2024-01-26T00:00:00"/>
    <d v="2024-02-20T00:00:00"/>
    <n v="25"/>
    <x v="0"/>
    <s v="Diabetes Type 2"/>
    <x v="9"/>
    <s v="Radiation Therapy"/>
    <x v="2"/>
    <s v="Dr. Vivek Reddy"/>
    <n v="168"/>
    <s v="General Ward"/>
    <x v="1"/>
    <n v="150358"/>
    <n v="99585"/>
    <n v="50773"/>
    <n v="115496"/>
    <n v="25082"/>
    <n v="8881"/>
    <s v="No"/>
    <n v="49"/>
    <n v="3.4"/>
    <x v="4"/>
  </r>
  <r>
    <x v="2488"/>
    <s v="Pooja Joshi"/>
    <n v="31"/>
    <x v="1"/>
    <s v="O-"/>
    <s v="Bangalore"/>
    <d v="2024-05-09T00:00:00"/>
    <d v="2024-05-10T00:00:00"/>
    <n v="1"/>
    <x v="6"/>
    <s v="Fracture"/>
    <x v="10"/>
    <s v="Radiation Therapy"/>
    <x v="2"/>
    <s v="Dr. Vivek Kumar"/>
    <n v="172"/>
    <s v="General Ward"/>
    <x v="0"/>
    <n v="74247"/>
    <n v="33929"/>
    <n v="40318"/>
    <n v="38337"/>
    <n v="26983"/>
    <n v="7620"/>
    <s v="No"/>
    <n v="56"/>
    <n v="4.8"/>
    <x v="4"/>
  </r>
  <r>
    <x v="2489"/>
    <s v="Sonia Sharma"/>
    <n v="15"/>
    <x v="1"/>
    <s v="B-"/>
    <s v="Chennai"/>
    <d v="2022-09-29T00:00:00"/>
    <d v="2022-10-20T00:00:00"/>
    <n v="21"/>
    <x v="0"/>
    <s v="Diabetes Type 2"/>
    <x v="9"/>
    <s v="Physiotherapy"/>
    <x v="3"/>
    <s v="Dr. Kavita Sharma"/>
    <n v="142"/>
    <s v="ICU"/>
    <x v="3"/>
    <n v="105032"/>
    <n v="65978"/>
    <n v="39054"/>
    <n v="85968"/>
    <n v="1559"/>
    <n v="13293"/>
    <s v="No"/>
    <n v="85"/>
    <n v="4.4000000000000004"/>
    <x v="2"/>
  </r>
  <r>
    <x v="2490"/>
    <s v="Kavya Kumar"/>
    <n v="14"/>
    <x v="0"/>
    <s v="AB+"/>
    <s v="Hyderabad"/>
    <d v="2024-11-04T00:00:00"/>
    <d v="2024-11-12T00:00:00"/>
    <n v="8"/>
    <x v="0"/>
    <s v="Dengue"/>
    <x v="1"/>
    <s v="Physiotherapy"/>
    <x v="0"/>
    <s v="Dr. Nisha Reddy"/>
    <n v="352"/>
    <s v="General Ward"/>
    <x v="1"/>
    <n v="108431"/>
    <n v="51106"/>
    <n v="57325"/>
    <n v="72800"/>
    <n v="18790"/>
    <n v="14402"/>
    <s v="No"/>
    <n v="49"/>
    <n v="2.2999999999999998"/>
    <x v="2"/>
  </r>
  <r>
    <x v="2491"/>
    <s v="Ashok Iyer"/>
    <n v="58"/>
    <x v="0"/>
    <s v="O-"/>
    <s v="Jaipur"/>
    <d v="2024-08-14T00:00:00"/>
    <d v="2024-09-08T00:00:00"/>
    <n v="25"/>
    <x v="6"/>
    <s v="Fracture"/>
    <x v="10"/>
    <s v="Observation"/>
    <x v="2"/>
    <s v="Dr. Shalini Reddy"/>
    <n v="368"/>
    <s v="General Ward"/>
    <x v="0"/>
    <n v="52157"/>
    <n v="32726"/>
    <n v="19431"/>
    <n v="39753"/>
    <n v="6275"/>
    <n v="2074"/>
    <s v="No"/>
    <n v="90"/>
    <n v="3.5"/>
    <x v="4"/>
  </r>
  <r>
    <x v="2492"/>
    <s v="Aditya Kumar"/>
    <n v="70"/>
    <x v="1"/>
    <s v="A-"/>
    <s v="Pune"/>
    <d v="2023-11-20T00:00:00"/>
    <d v="2023-12-06T00:00:00"/>
    <n v="16"/>
    <x v="5"/>
    <s v="Asthma"/>
    <x v="8"/>
    <s v="Physiotherapy"/>
    <x v="3"/>
    <s v="Dr. Prerna Mehta"/>
    <n v="54"/>
    <s v="Semi-Private"/>
    <x v="0"/>
    <n v="98259"/>
    <n v="53133"/>
    <n v="45126"/>
    <n v="81117"/>
    <n v="1498"/>
    <n v="14506"/>
    <s v="No"/>
    <n v="77"/>
    <n v="4.7"/>
    <x v="1"/>
  </r>
  <r>
    <x v="2493"/>
    <s v="Manoj Verma"/>
    <n v="85"/>
    <x v="0"/>
    <s v="AB-"/>
    <s v="Kolkata"/>
    <d v="2024-03-06T00:00:00"/>
    <d v="2024-04-05T00:00:00"/>
    <n v="30"/>
    <x v="0"/>
    <s v="Obesity"/>
    <x v="12"/>
    <s v="Physiotherapy"/>
    <x v="3"/>
    <s v="Dr. Kavita Joshi"/>
    <n v="232"/>
    <s v="General Ward"/>
    <x v="2"/>
    <n v="151698"/>
    <n v="92985"/>
    <n v="58713"/>
    <n v="132273"/>
    <n v="5025"/>
    <n v="12784"/>
    <s v="No"/>
    <n v="63"/>
    <n v="4.0999999999999996"/>
    <x v="4"/>
  </r>
  <r>
    <x v="2494"/>
    <s v="Manoj Nair"/>
    <n v="20"/>
    <x v="0"/>
    <s v="O-"/>
    <s v="Kolkata"/>
    <d v="2023-12-07T00:00:00"/>
    <d v="2024-01-04T00:00:00"/>
    <n v="28"/>
    <x v="0"/>
    <s v="Liver Disease"/>
    <x v="0"/>
    <s v="Chemotherapy"/>
    <x v="1"/>
    <s v="Dr. Arun Mehta"/>
    <n v="95"/>
    <s v="Private"/>
    <x v="0"/>
    <n v="56525"/>
    <n v="29434"/>
    <n v="27091"/>
    <n v="38833"/>
    <n v="8568"/>
    <n v="7874"/>
    <s v="No"/>
    <n v="54"/>
    <n v="5"/>
    <x v="2"/>
  </r>
  <r>
    <x v="2495"/>
    <s v="Geeta Shah"/>
    <n v="15"/>
    <x v="0"/>
    <s v="B+"/>
    <s v="Delhi"/>
    <d v="2022-05-16T00:00:00"/>
    <d v="2022-05-19T00:00:00"/>
    <n v="3"/>
    <x v="0"/>
    <s v="Dengue"/>
    <x v="1"/>
    <s v="Dietary Management"/>
    <x v="2"/>
    <s v="Dr. Anjali Sharma"/>
    <n v="430"/>
    <s v="Semi-Private"/>
    <x v="2"/>
    <n v="155373"/>
    <n v="122615"/>
    <n v="32758"/>
    <n v="115538"/>
    <n v="27602"/>
    <n v="8219"/>
    <s v="Yes"/>
    <n v="80"/>
    <n v="4.9000000000000004"/>
    <x v="3"/>
  </r>
  <r>
    <x v="2496"/>
    <s v="Geeta Singh"/>
    <n v="68"/>
    <x v="1"/>
    <s v="A-"/>
    <s v="Mumbai"/>
    <d v="2022-06-09T00:00:00"/>
    <d v="2022-06-11T00:00:00"/>
    <n v="2"/>
    <x v="0"/>
    <s v="Liver Disease"/>
    <x v="0"/>
    <s v="Medication"/>
    <x v="3"/>
    <s v="Dr. Vivek Sharma"/>
    <n v="25"/>
    <s v="Private"/>
    <x v="0"/>
    <n v="41853"/>
    <n v="27138"/>
    <n v="14715"/>
    <n v="17273"/>
    <n v="11201"/>
    <n v="10091"/>
    <s v="No"/>
    <n v="74"/>
    <n v="4.4000000000000004"/>
    <x v="1"/>
  </r>
  <r>
    <x v="2497"/>
    <s v="Rahul Sharma"/>
    <n v="30"/>
    <x v="0"/>
    <s v="B-"/>
    <s v="Ahmedabad"/>
    <d v="2023-01-07T00:00:00"/>
    <d v="2023-01-12T00:00:00"/>
    <n v="5"/>
    <x v="0"/>
    <s v="COVID-19"/>
    <x v="1"/>
    <s v="Chemotherapy"/>
    <x v="2"/>
    <s v="Dr. Shalini Sharma"/>
    <n v="86"/>
    <s v="Private"/>
    <x v="0"/>
    <n v="73343"/>
    <n v="41302"/>
    <n v="32041"/>
    <n v="52548"/>
    <n v="11076"/>
    <n v="4888"/>
    <s v="No"/>
    <n v="41"/>
    <n v="3.5"/>
    <x v="4"/>
  </r>
  <r>
    <x v="2498"/>
    <s v="Divya Khanna"/>
    <n v="50"/>
    <x v="0"/>
    <s v="AB-"/>
    <s v="Kolkata"/>
    <d v="2023-10-07T00:00:00"/>
    <d v="2023-10-17T00:00:00"/>
    <n v="10"/>
    <x v="3"/>
    <s v="Stroke"/>
    <x v="6"/>
    <s v="ICU Care"/>
    <x v="2"/>
    <s v="Dr. Deepak Rao"/>
    <n v="52"/>
    <s v="Private"/>
    <x v="3"/>
    <n v="96416"/>
    <n v="83117"/>
    <n v="13299"/>
    <n v="66874"/>
    <n v="25987"/>
    <n v="1694"/>
    <s v="No"/>
    <n v="61"/>
    <n v="4.0999999999999996"/>
    <x v="1"/>
  </r>
  <r>
    <x v="2499"/>
    <s v="Sunil Nair"/>
    <n v="79"/>
    <x v="1"/>
    <s v="A-"/>
    <s v="Kolkata"/>
    <d v="2022-03-11T00:00:00"/>
    <d v="2022-04-04T00:00:00"/>
    <n v="24"/>
    <x v="6"/>
    <s v="Arthritis"/>
    <x v="11"/>
    <s v="Radiation Therapy"/>
    <x v="1"/>
    <s v="Dr. Deepak Mehta"/>
    <n v="75"/>
    <s v="Semi-Private"/>
    <x v="0"/>
    <n v="105941"/>
    <n v="51226"/>
    <n v="54715"/>
    <n v="74879"/>
    <n v="23250"/>
    <n v="4940"/>
    <s v="No"/>
    <n v="82"/>
    <n v="4.4000000000000004"/>
    <x v="0"/>
  </r>
  <r>
    <x v="2500"/>
    <s v="Deepa Das"/>
    <n v="50"/>
    <x v="0"/>
    <s v="O+"/>
    <s v="Hyderabad"/>
    <d v="2023-11-04T00:00:00"/>
    <d v="2023-11-07T00:00:00"/>
    <n v="3"/>
    <x v="5"/>
    <s v="Asthma"/>
    <x v="8"/>
    <s v="Surgery"/>
    <x v="3"/>
    <s v="Dr. Anjali Mehta"/>
    <n v="318"/>
    <s v="General Ward"/>
    <x v="4"/>
    <n v="66384"/>
    <n v="0"/>
    <n v="66384"/>
    <n v="39735"/>
    <n v="13433"/>
    <n v="12262"/>
    <s v="No"/>
    <n v="54"/>
    <n v="2.6"/>
    <x v="0"/>
  </r>
  <r>
    <x v="2501"/>
    <s v="Rahul Nair"/>
    <n v="34"/>
    <x v="1"/>
    <s v="AB-"/>
    <s v="Kolkata"/>
    <d v="2023-07-31T00:00:00"/>
    <d v="2023-08-22T00:00:00"/>
    <n v="22"/>
    <x v="3"/>
    <s v="Migraine"/>
    <x v="6"/>
    <s v="Physiotherapy"/>
    <x v="2"/>
    <s v="Dr. Shalini Kumar"/>
    <n v="166"/>
    <s v="Private"/>
    <x v="4"/>
    <n v="69374"/>
    <n v="0"/>
    <n v="69374"/>
    <n v="43612"/>
    <n v="11979"/>
    <n v="12368"/>
    <s v="No"/>
    <n v="68"/>
    <n v="2.5"/>
    <x v="3"/>
  </r>
  <r>
    <x v="2502"/>
    <s v="Ashok Khanna"/>
    <n v="64"/>
    <x v="0"/>
    <s v="B-"/>
    <s v="Mumbai"/>
    <d v="2024-08-01T00:00:00"/>
    <d v="2024-08-19T00:00:00"/>
    <n v="18"/>
    <x v="4"/>
    <s v="Hypertension"/>
    <x v="7"/>
    <s v="Dietary Management"/>
    <x v="2"/>
    <s v="Dr. Rakesh Joshi"/>
    <n v="287"/>
    <s v="ICU"/>
    <x v="0"/>
    <n v="54404"/>
    <n v="37570"/>
    <n v="16834"/>
    <n v="18334"/>
    <n v="24410"/>
    <n v="8345"/>
    <s v="No"/>
    <n v="76"/>
    <n v="2.2999999999999998"/>
    <x v="0"/>
  </r>
  <r>
    <x v="2503"/>
    <s v="Rahul Iyer"/>
    <n v="29"/>
    <x v="1"/>
    <s v="A-"/>
    <s v="Jaipur"/>
    <d v="2023-03-08T00:00:00"/>
    <d v="2023-04-06T00:00:00"/>
    <n v="29"/>
    <x v="0"/>
    <s v="Dengue"/>
    <x v="1"/>
    <s v="Radiation Therapy"/>
    <x v="2"/>
    <s v="Dr. Shalini Nair"/>
    <n v="156"/>
    <s v="Private"/>
    <x v="4"/>
    <n v="25566"/>
    <n v="0"/>
    <n v="25566"/>
    <n v="7857"/>
    <n v="12902"/>
    <n v="1103"/>
    <s v="No"/>
    <n v="62"/>
    <n v="2.2999999999999998"/>
    <x v="3"/>
  </r>
  <r>
    <x v="2504"/>
    <s v="Rohan Khanna"/>
    <n v="22"/>
    <x v="0"/>
    <s v="O-"/>
    <s v="Kolkata"/>
    <d v="2024-04-13T00:00:00"/>
    <d v="2024-04-19T00:00:00"/>
    <n v="6"/>
    <x v="6"/>
    <s v="Fracture"/>
    <x v="10"/>
    <s v="Observation"/>
    <x v="2"/>
    <s v="Dr. Anjali Mehta"/>
    <n v="159"/>
    <s v="Semi-Private"/>
    <x v="1"/>
    <n v="56650"/>
    <n v="29620"/>
    <n v="27030"/>
    <n v="37277"/>
    <n v="10994"/>
    <n v="4909"/>
    <s v="No"/>
    <n v="62"/>
    <n v="2.2000000000000002"/>
    <x v="1"/>
  </r>
  <r>
    <x v="2505"/>
    <s v="Sanjay Menon"/>
    <n v="62"/>
    <x v="0"/>
    <s v="B-"/>
    <s v="Mumbai"/>
    <d v="2022-05-23T00:00:00"/>
    <d v="2022-06-02T00:00:00"/>
    <n v="10"/>
    <x v="5"/>
    <s v="Asthma"/>
    <x v="8"/>
    <s v="Chemotherapy"/>
    <x v="2"/>
    <s v="Dr. Deepak Singh"/>
    <n v="165"/>
    <s v="Private"/>
    <x v="4"/>
    <n v="121452"/>
    <n v="0"/>
    <n v="121452"/>
    <n v="92462"/>
    <n v="27205"/>
    <n v="554"/>
    <s v="Yes"/>
    <n v="49"/>
    <n v="2.4"/>
    <x v="0"/>
  </r>
  <r>
    <x v="2506"/>
    <s v="Sunita Das"/>
    <n v="69"/>
    <x v="0"/>
    <s v="A-"/>
    <s v="Chennai"/>
    <d v="2022-06-11T00:00:00"/>
    <d v="2022-06-16T00:00:00"/>
    <n v="5"/>
    <x v="0"/>
    <s v="Diabetes Type 2"/>
    <x v="9"/>
    <s v="Dietary Management"/>
    <x v="2"/>
    <s v="Dr. Arun Nair"/>
    <n v="294"/>
    <s v="Semi-Private"/>
    <x v="2"/>
    <n v="72546"/>
    <n v="59029"/>
    <n v="13517"/>
    <n v="44848"/>
    <n v="22421"/>
    <n v="3536"/>
    <s v="No"/>
    <n v="99"/>
    <n v="2.9"/>
    <x v="3"/>
  </r>
  <r>
    <x v="2507"/>
    <s v="Lata Bose"/>
    <n v="59"/>
    <x v="0"/>
    <s v="AB-"/>
    <s v="Mumbai"/>
    <d v="2024-04-07T00:00:00"/>
    <d v="2024-05-05T00:00:00"/>
    <n v="28"/>
    <x v="6"/>
    <s v="Arthritis"/>
    <x v="11"/>
    <s v="Counseling"/>
    <x v="2"/>
    <s v="Dr. Deepak Mehta"/>
    <n v="194"/>
    <s v="ICU"/>
    <x v="3"/>
    <n v="96225"/>
    <n v="76967"/>
    <n v="19258"/>
    <n v="80896"/>
    <n v="2978"/>
    <n v="11701"/>
    <s v="No"/>
    <n v="82"/>
    <n v="3.4"/>
    <x v="2"/>
  </r>
  <r>
    <x v="2508"/>
    <s v="Amit Rao"/>
    <n v="79"/>
    <x v="0"/>
    <s v="B+"/>
    <s v="Pune"/>
    <d v="2023-12-18T00:00:00"/>
    <d v="2024-01-06T00:00:00"/>
    <n v="19"/>
    <x v="4"/>
    <s v="Hypertension"/>
    <x v="7"/>
    <s v="Physiotherapy"/>
    <x v="1"/>
    <s v="Dr. Kavita Kumar"/>
    <n v="171"/>
    <s v="Semi-Private"/>
    <x v="2"/>
    <n v="50632"/>
    <n v="34214"/>
    <n v="16418"/>
    <n v="35976"/>
    <n v="6301"/>
    <n v="6039"/>
    <s v="No"/>
    <n v="67"/>
    <n v="4.2"/>
    <x v="4"/>
  </r>
  <r>
    <x v="2509"/>
    <s v="Pooja Iyer"/>
    <n v="33"/>
    <x v="0"/>
    <s v="A+"/>
    <s v="Kolkata"/>
    <d v="2024-08-31T00:00:00"/>
    <d v="2024-09-21T00:00:00"/>
    <n v="21"/>
    <x v="0"/>
    <s v="Dengue"/>
    <x v="1"/>
    <s v="Dialysis"/>
    <x v="3"/>
    <s v="Dr. Arun Reddy"/>
    <n v="323"/>
    <s v="General Ward"/>
    <x v="4"/>
    <n v="151744"/>
    <n v="0"/>
    <n v="151744"/>
    <n v="140009"/>
    <n v="6750"/>
    <n v="3506"/>
    <s v="Yes"/>
    <n v="86"/>
    <n v="2.8"/>
    <x v="1"/>
  </r>
  <r>
    <x v="2510"/>
    <s v="Vijay Bose"/>
    <n v="28"/>
    <x v="1"/>
    <s v="O-"/>
    <s v="Pune"/>
    <d v="2023-10-18T00:00:00"/>
    <d v="2023-10-26T00:00:00"/>
    <n v="8"/>
    <x v="4"/>
    <s v="Heart Attack"/>
    <x v="7"/>
    <s v="Observation"/>
    <x v="3"/>
    <s v="Dr. Nisha Kumar"/>
    <n v="1"/>
    <s v="Semi-Private"/>
    <x v="3"/>
    <n v="114042"/>
    <n v="80490"/>
    <n v="33552"/>
    <n v="79748"/>
    <n v="27163"/>
    <n v="6519"/>
    <s v="No"/>
    <n v="53"/>
    <n v="4.2"/>
    <x v="3"/>
  </r>
  <r>
    <x v="2511"/>
    <s v="Sunil Joshi"/>
    <n v="24"/>
    <x v="0"/>
    <s v="B-"/>
    <s v="Lucknow"/>
    <d v="2022-11-03T00:00:00"/>
    <d v="2022-11-29T00:00:00"/>
    <n v="26"/>
    <x v="0"/>
    <s v="Depression"/>
    <x v="5"/>
    <s v="Observation"/>
    <x v="0"/>
    <s v="Dr. Deepak Rao"/>
    <n v="271"/>
    <s v="General Ward"/>
    <x v="2"/>
    <n v="41417"/>
    <n v="36537"/>
    <n v="4880"/>
    <n v="13163"/>
    <n v="14104"/>
    <n v="10861"/>
    <s v="No"/>
    <n v="86"/>
    <n v="2.5"/>
    <x v="1"/>
  </r>
  <r>
    <x v="2512"/>
    <s v="Deepa Rao"/>
    <n v="30"/>
    <x v="1"/>
    <s v="O-"/>
    <s v="Bangalore"/>
    <d v="2023-03-09T00:00:00"/>
    <d v="2023-04-02T00:00:00"/>
    <n v="24"/>
    <x v="0"/>
    <s v="Anemia"/>
    <x v="4"/>
    <s v="Dialysis"/>
    <x v="1"/>
    <s v="Dr. Vivek Reddy"/>
    <n v="335"/>
    <s v="ICU"/>
    <x v="2"/>
    <n v="155343"/>
    <n v="135717"/>
    <n v="19626"/>
    <n v="125718"/>
    <n v="21905"/>
    <n v="3152"/>
    <s v="No"/>
    <n v="97"/>
    <n v="2.1"/>
    <x v="1"/>
  </r>
  <r>
    <x v="2513"/>
    <s v="Priya Joshi"/>
    <n v="84"/>
    <x v="0"/>
    <s v="A+"/>
    <s v="Ahmedabad"/>
    <d v="2023-04-10T00:00:00"/>
    <d v="2023-04-30T00:00:00"/>
    <n v="20"/>
    <x v="0"/>
    <s v="COVID-19"/>
    <x v="1"/>
    <s v="Counseling"/>
    <x v="1"/>
    <s v="Dr. Arun Singh"/>
    <n v="261"/>
    <s v="Private"/>
    <x v="1"/>
    <n v="57552"/>
    <n v="35817"/>
    <n v="21735"/>
    <n v="31292"/>
    <n v="12405"/>
    <n v="13153"/>
    <s v="No"/>
    <n v="50"/>
    <n v="4.5999999999999996"/>
    <x v="1"/>
  </r>
  <r>
    <x v="2514"/>
    <s v="Ritu Malhotra"/>
    <n v="71"/>
    <x v="0"/>
    <s v="A+"/>
    <s v="Hyderabad"/>
    <d v="2022-08-03T00:00:00"/>
    <d v="2022-08-28T00:00:00"/>
    <n v="25"/>
    <x v="1"/>
    <s v="UTI"/>
    <x v="2"/>
    <s v="Surgery"/>
    <x v="3"/>
    <s v="Dr. Arun Nair"/>
    <n v="441"/>
    <s v="ICU"/>
    <x v="3"/>
    <n v="139825"/>
    <n v="97455"/>
    <n v="42370"/>
    <n v="96558"/>
    <n v="28757"/>
    <n v="13375"/>
    <s v="No"/>
    <n v="79"/>
    <n v="3.8"/>
    <x v="2"/>
  </r>
  <r>
    <x v="2515"/>
    <s v="Vikram Iyer"/>
    <n v="19"/>
    <x v="1"/>
    <s v="AB-"/>
    <s v="Lucknow"/>
    <d v="2022-03-11T00:00:00"/>
    <d v="2022-04-01T00:00:00"/>
    <n v="21"/>
    <x v="6"/>
    <s v="Fracture"/>
    <x v="10"/>
    <s v="Counseling"/>
    <x v="3"/>
    <s v="Dr. Arun Singh"/>
    <n v="358"/>
    <s v="ICU"/>
    <x v="3"/>
    <n v="79022"/>
    <n v="58578"/>
    <n v="20444"/>
    <n v="66769"/>
    <n v="8528"/>
    <n v="687"/>
    <s v="No"/>
    <n v="46"/>
    <n v="2.9"/>
    <x v="1"/>
  </r>
  <r>
    <x v="2516"/>
    <s v="Rajesh Iyer"/>
    <n v="28"/>
    <x v="0"/>
    <s v="B+"/>
    <s v="Ahmedabad"/>
    <d v="2024-02-18T00:00:00"/>
    <d v="2024-03-05T00:00:00"/>
    <n v="16"/>
    <x v="0"/>
    <s v="COVID-19"/>
    <x v="1"/>
    <s v="Surgery"/>
    <x v="0"/>
    <s v="Dr. Nisha Reddy"/>
    <n v="399"/>
    <s v="ICU"/>
    <x v="4"/>
    <n v="147825"/>
    <n v="0"/>
    <n v="147825"/>
    <n v="111987"/>
    <n v="25083"/>
    <n v="6645"/>
    <s v="No"/>
    <n v="92"/>
    <n v="3.3"/>
    <x v="4"/>
  </r>
  <r>
    <x v="2517"/>
    <s v="Sneha Chopra"/>
    <n v="42"/>
    <x v="1"/>
    <s v="AB+"/>
    <s v="Delhi"/>
    <d v="2022-08-21T00:00:00"/>
    <d v="2022-08-25T00:00:00"/>
    <n v="4"/>
    <x v="3"/>
    <s v="Migraine"/>
    <x v="6"/>
    <s v="ICU Care"/>
    <x v="3"/>
    <s v="Dr. Sameer Singh"/>
    <n v="37"/>
    <s v="ICU"/>
    <x v="2"/>
    <n v="147459"/>
    <n v="110182"/>
    <n v="37277"/>
    <n v="117794"/>
    <n v="18109"/>
    <n v="8592"/>
    <s v="No"/>
    <n v="66"/>
    <n v="3.9"/>
    <x v="1"/>
  </r>
  <r>
    <x v="2518"/>
    <s v="Geeta Mehta"/>
    <n v="27"/>
    <x v="0"/>
    <s v="A-"/>
    <s v="Mumbai"/>
    <d v="2022-09-09T00:00:00"/>
    <d v="2022-10-07T00:00:00"/>
    <n v="28"/>
    <x v="6"/>
    <s v="Fracture"/>
    <x v="10"/>
    <s v="Physiotherapy"/>
    <x v="2"/>
    <s v="Dr. Prerna Singh"/>
    <n v="293"/>
    <s v="General Ward"/>
    <x v="4"/>
    <n v="30938"/>
    <n v="0"/>
    <n v="30938"/>
    <n v="25070"/>
    <n v="2744"/>
    <n v="1889"/>
    <s v="No"/>
    <n v="42"/>
    <n v="4.4000000000000004"/>
    <x v="4"/>
  </r>
  <r>
    <x v="2519"/>
    <s v="Lata Rao"/>
    <n v="64"/>
    <x v="0"/>
    <s v="A-"/>
    <s v="Pune"/>
    <d v="2024-08-30T00:00:00"/>
    <d v="2024-09-18T00:00:00"/>
    <n v="19"/>
    <x v="0"/>
    <s v="Anemia"/>
    <x v="4"/>
    <s v="Dietary Management"/>
    <x v="3"/>
    <s v="Dr. Sameer Reddy"/>
    <n v="399"/>
    <s v="General Ward"/>
    <x v="0"/>
    <n v="37276"/>
    <n v="23898"/>
    <n v="13378"/>
    <n v="22757"/>
    <n v="6662"/>
    <n v="4719"/>
    <s v="No"/>
    <n v="56"/>
    <n v="4.5999999999999996"/>
    <x v="4"/>
  </r>
  <r>
    <x v="2520"/>
    <s v="Geeta Sharma"/>
    <n v="70"/>
    <x v="1"/>
    <s v="AB-"/>
    <s v="Mumbai"/>
    <d v="2023-01-05T00:00:00"/>
    <d v="2023-01-20T00:00:00"/>
    <n v="15"/>
    <x v="6"/>
    <s v="Arthritis"/>
    <x v="11"/>
    <s v="Radiation Therapy"/>
    <x v="3"/>
    <s v="Dr. Kavita Joshi"/>
    <n v="356"/>
    <s v="Private"/>
    <x v="0"/>
    <n v="107980"/>
    <n v="65186"/>
    <n v="42794"/>
    <n v="91526"/>
    <n v="9995"/>
    <n v="3423"/>
    <s v="Yes"/>
    <n v="51"/>
    <n v="3.2"/>
    <x v="3"/>
  </r>
  <r>
    <x v="2521"/>
    <s v="Rajesh Verma"/>
    <n v="42"/>
    <x v="0"/>
    <s v="AB+"/>
    <s v="Kolkata"/>
    <d v="2022-09-27T00:00:00"/>
    <d v="2022-10-27T00:00:00"/>
    <n v="30"/>
    <x v="4"/>
    <s v="Hypertension"/>
    <x v="7"/>
    <s v="Physiotherapy"/>
    <x v="0"/>
    <s v="Dr. Sameer Mehta"/>
    <n v="402"/>
    <s v="Semi-Private"/>
    <x v="2"/>
    <n v="172772"/>
    <n v="130034"/>
    <n v="42738"/>
    <n v="142162"/>
    <n v="22232"/>
    <n v="7670"/>
    <s v="No"/>
    <n v="84"/>
    <n v="2.7"/>
    <x v="1"/>
  </r>
  <r>
    <x v="2522"/>
    <s v="Vijay Nair"/>
    <n v="49"/>
    <x v="1"/>
    <s v="AB-"/>
    <s v="Pune"/>
    <d v="2022-04-06T00:00:00"/>
    <d v="2022-04-24T00:00:00"/>
    <n v="18"/>
    <x v="4"/>
    <s v="Heart Attack"/>
    <x v="7"/>
    <s v="Medication"/>
    <x v="2"/>
    <s v="Dr. Deepak Kumar"/>
    <n v="200"/>
    <s v="General Ward"/>
    <x v="0"/>
    <n v="96885"/>
    <n v="51855"/>
    <n v="45030"/>
    <n v="84471"/>
    <n v="10125"/>
    <n v="531"/>
    <s v="No"/>
    <n v="84"/>
    <n v="2.4"/>
    <x v="4"/>
  </r>
  <r>
    <x v="2523"/>
    <s v="Ritu Nair"/>
    <n v="84"/>
    <x v="0"/>
    <s v="A-"/>
    <s v="Hyderabad"/>
    <d v="2024-07-26T00:00:00"/>
    <d v="2024-08-15T00:00:00"/>
    <n v="20"/>
    <x v="0"/>
    <s v="Diabetes Type 2"/>
    <x v="9"/>
    <s v="Dialysis"/>
    <x v="0"/>
    <s v="Dr. Nisha Patel"/>
    <n v="178"/>
    <s v="Semi-Private"/>
    <x v="3"/>
    <n v="74441"/>
    <n v="63346"/>
    <n v="11095"/>
    <n v="48709"/>
    <n v="14133"/>
    <n v="10953"/>
    <s v="No"/>
    <n v="97"/>
    <n v="3.6"/>
    <x v="2"/>
  </r>
  <r>
    <x v="2524"/>
    <s v="Kavya Das"/>
    <n v="23"/>
    <x v="1"/>
    <s v="A+"/>
    <s v="Mumbai"/>
    <d v="2022-12-19T00:00:00"/>
    <d v="2023-01-08T00:00:00"/>
    <n v="20"/>
    <x v="0"/>
    <s v="Typhoid"/>
    <x v="1"/>
    <s v="Medication"/>
    <x v="0"/>
    <s v="Dr. Anjali Nair"/>
    <n v="72"/>
    <s v="Private"/>
    <x v="3"/>
    <n v="116817"/>
    <n v="70257"/>
    <n v="46560"/>
    <n v="87329"/>
    <n v="21693"/>
    <n v="5636"/>
    <s v="Yes"/>
    <n v="51"/>
    <n v="4.9000000000000004"/>
    <x v="3"/>
  </r>
  <r>
    <x v="2525"/>
    <s v="Vikram Das"/>
    <n v="75"/>
    <x v="1"/>
    <s v="AB+"/>
    <s v="Lucknow"/>
    <d v="2022-02-12T00:00:00"/>
    <d v="2022-02-19T00:00:00"/>
    <n v="7"/>
    <x v="0"/>
    <s v="Dengue"/>
    <x v="1"/>
    <s v="Chemotherapy"/>
    <x v="2"/>
    <s v="Dr. Sameer Reddy"/>
    <n v="86"/>
    <s v="ICU"/>
    <x v="0"/>
    <n v="81482"/>
    <n v="39142"/>
    <n v="42340"/>
    <n v="64113"/>
    <n v="10993"/>
    <n v="4744"/>
    <s v="No"/>
    <n v="96"/>
    <n v="3.2"/>
    <x v="3"/>
  </r>
  <r>
    <x v="2526"/>
    <s v="Arjun Mehta"/>
    <n v="76"/>
    <x v="1"/>
    <s v="O+"/>
    <s v="Jaipur"/>
    <d v="2023-07-10T00:00:00"/>
    <d v="2023-07-28T00:00:00"/>
    <n v="18"/>
    <x v="4"/>
    <s v="Heart Attack"/>
    <x v="7"/>
    <s v="Chemotherapy"/>
    <x v="2"/>
    <s v="Dr. Sameer Mehta"/>
    <n v="258"/>
    <s v="Private"/>
    <x v="3"/>
    <n v="128011"/>
    <n v="79920"/>
    <n v="48091"/>
    <n v="108596"/>
    <n v="4914"/>
    <n v="10358"/>
    <s v="No"/>
    <n v="46"/>
    <n v="4.3"/>
    <x v="4"/>
  </r>
  <r>
    <x v="2527"/>
    <s v="Suresh Gupta"/>
    <n v="19"/>
    <x v="1"/>
    <s v="B-"/>
    <s v="Ahmedabad"/>
    <d v="2023-10-14T00:00:00"/>
    <d v="2023-11-06T00:00:00"/>
    <n v="23"/>
    <x v="4"/>
    <s v="Heart Attack"/>
    <x v="7"/>
    <s v="Dialysis"/>
    <x v="3"/>
    <s v="Dr. Nisha Singh"/>
    <n v="132"/>
    <s v="ICU"/>
    <x v="0"/>
    <n v="63998"/>
    <n v="42366"/>
    <n v="21632"/>
    <n v="45457"/>
    <n v="16665"/>
    <n v="956"/>
    <s v="No"/>
    <n v="98"/>
    <n v="3.8"/>
    <x v="0"/>
  </r>
  <r>
    <x v="2528"/>
    <s v="Meera Nair"/>
    <n v="37"/>
    <x v="1"/>
    <s v="B+"/>
    <s v="Pune"/>
    <d v="2024-07-15T00:00:00"/>
    <d v="2024-07-22T00:00:00"/>
    <n v="7"/>
    <x v="0"/>
    <s v="Diabetes Type 2"/>
    <x v="9"/>
    <s v="Radiation Therapy"/>
    <x v="3"/>
    <s v="Dr. Deepak Kumar"/>
    <n v="332"/>
    <s v="General Ward"/>
    <x v="1"/>
    <n v="97623"/>
    <n v="63844"/>
    <n v="33779"/>
    <n v="60580"/>
    <n v="26666"/>
    <n v="7675"/>
    <s v="Yes"/>
    <n v="43"/>
    <n v="4.3"/>
    <x v="3"/>
  </r>
  <r>
    <x v="2529"/>
    <s v="Karan Sharma"/>
    <n v="75"/>
    <x v="1"/>
    <s v="A+"/>
    <s v="Ahmedabad"/>
    <d v="2024-09-25T00:00:00"/>
    <d v="2024-10-03T00:00:00"/>
    <n v="8"/>
    <x v="0"/>
    <s v="Anemia"/>
    <x v="4"/>
    <s v="Radiation Therapy"/>
    <x v="3"/>
    <s v="Dr. Deepak Kumar"/>
    <n v="298"/>
    <s v="ICU"/>
    <x v="3"/>
    <n v="69988"/>
    <n v="51815"/>
    <n v="18173"/>
    <n v="29543"/>
    <n v="24828"/>
    <n v="12519"/>
    <s v="No"/>
    <n v="54"/>
    <n v="3"/>
    <x v="2"/>
  </r>
  <r>
    <x v="2530"/>
    <s v="Arjun Mehta"/>
    <n v="68"/>
    <x v="1"/>
    <s v="B+"/>
    <s v="Chennai"/>
    <d v="2024-12-29T00:00:00"/>
    <d v="2024-12-31T00:00:00"/>
    <n v="2"/>
    <x v="0"/>
    <s v="Obesity"/>
    <x v="12"/>
    <s v="Medication"/>
    <x v="3"/>
    <s v="Dr. Vivek Rao"/>
    <n v="375"/>
    <s v="Private"/>
    <x v="3"/>
    <n v="134635"/>
    <n v="99495"/>
    <n v="35140"/>
    <n v="104566"/>
    <n v="25971"/>
    <n v="2216"/>
    <s v="No"/>
    <n v="73"/>
    <n v="2.4"/>
    <x v="3"/>
  </r>
  <r>
    <x v="2531"/>
    <s v="Sunil Menon"/>
    <n v="85"/>
    <x v="0"/>
    <s v="B+"/>
    <s v="Hyderabad"/>
    <d v="2022-03-15T00:00:00"/>
    <d v="2022-04-13T00:00:00"/>
    <n v="29"/>
    <x v="0"/>
    <s v="Obesity"/>
    <x v="12"/>
    <s v="ICU Care"/>
    <x v="2"/>
    <s v="Dr. Sameer Singh"/>
    <n v="337"/>
    <s v="Semi-Private"/>
    <x v="3"/>
    <n v="112473"/>
    <n v="91664"/>
    <n v="20809"/>
    <n v="90910"/>
    <n v="14981"/>
    <n v="2397"/>
    <s v="No"/>
    <n v="68"/>
    <n v="2.5"/>
    <x v="3"/>
  </r>
  <r>
    <x v="2532"/>
    <s v="Meera Sharma"/>
    <n v="13"/>
    <x v="1"/>
    <s v="AB-"/>
    <s v="Pune"/>
    <d v="2023-11-08T00:00:00"/>
    <d v="2023-11-19T00:00:00"/>
    <n v="11"/>
    <x v="3"/>
    <s v="Migraine"/>
    <x v="6"/>
    <s v="Radiation Therapy"/>
    <x v="3"/>
    <s v="Dr. Anjali Reddy"/>
    <n v="189"/>
    <s v="General Ward"/>
    <x v="2"/>
    <n v="145804"/>
    <n v="125384"/>
    <n v="20420"/>
    <n v="114742"/>
    <n v="15853"/>
    <n v="12222"/>
    <s v="No"/>
    <n v="78"/>
    <n v="4.4000000000000004"/>
    <x v="0"/>
  </r>
  <r>
    <x v="2533"/>
    <s v="Sanjay Patel"/>
    <n v="67"/>
    <x v="1"/>
    <s v="AB+"/>
    <s v="Ahmedabad"/>
    <d v="2024-10-03T00:00:00"/>
    <d v="2024-10-20T00:00:00"/>
    <n v="17"/>
    <x v="6"/>
    <s v="Arthritis"/>
    <x v="11"/>
    <s v="Chemotherapy"/>
    <x v="1"/>
    <s v="Dr. Sameer Singh"/>
    <n v="385"/>
    <s v="Semi-Private"/>
    <x v="0"/>
    <n v="18757"/>
    <n v="8765"/>
    <n v="9992"/>
    <n v="5507"/>
    <n v="1318"/>
    <n v="9676"/>
    <s v="Yes"/>
    <n v="74"/>
    <n v="3.4"/>
    <x v="3"/>
  </r>
  <r>
    <x v="2534"/>
    <s v="Vijay Verma"/>
    <n v="45"/>
    <x v="1"/>
    <s v="B-"/>
    <s v="Lucknow"/>
    <d v="2023-02-02T00:00:00"/>
    <d v="2023-02-04T00:00:00"/>
    <n v="2"/>
    <x v="2"/>
    <s v="Cancer"/>
    <x v="3"/>
    <s v="Medication"/>
    <x v="2"/>
    <s v="Dr. Nisha Singh"/>
    <n v="106"/>
    <s v="General Ward"/>
    <x v="0"/>
    <n v="151217"/>
    <n v="67337"/>
    <n v="83880"/>
    <n v="120611"/>
    <n v="25106"/>
    <n v="4105"/>
    <s v="No"/>
    <n v="63"/>
    <n v="4.4000000000000004"/>
    <x v="3"/>
  </r>
  <r>
    <x v="2535"/>
    <s v="Lata Nair"/>
    <n v="75"/>
    <x v="1"/>
    <s v="AB-"/>
    <s v="Pune"/>
    <d v="2024-08-05T00:00:00"/>
    <d v="2024-08-13T00:00:00"/>
    <n v="8"/>
    <x v="5"/>
    <s v="Pneumonia"/>
    <x v="8"/>
    <s v="Dietary Management"/>
    <x v="2"/>
    <s v="Dr. Anjali Nair"/>
    <n v="20"/>
    <s v="Semi-Private"/>
    <x v="1"/>
    <n v="115145"/>
    <n v="59741"/>
    <n v="55404"/>
    <n v="66678"/>
    <n v="29919"/>
    <n v="13629"/>
    <s v="No"/>
    <n v="46"/>
    <n v="3.9"/>
    <x v="4"/>
  </r>
  <r>
    <x v="2536"/>
    <s v="Ananya Sharma"/>
    <n v="40"/>
    <x v="0"/>
    <s v="AB-"/>
    <s v="Jaipur"/>
    <d v="2024-04-29T00:00:00"/>
    <d v="2024-05-29T00:00:00"/>
    <n v="30"/>
    <x v="3"/>
    <s v="Stroke"/>
    <x v="6"/>
    <s v="Chemotherapy"/>
    <x v="1"/>
    <s v="Dr. Vivek Rao"/>
    <n v="35"/>
    <s v="Private"/>
    <x v="1"/>
    <n v="130192"/>
    <n v="77426"/>
    <n v="52766"/>
    <n v="108003"/>
    <n v="16718"/>
    <n v="1140"/>
    <s v="No"/>
    <n v="100"/>
    <n v="3.6"/>
    <x v="4"/>
  </r>
  <r>
    <x v="2537"/>
    <s v="Rekha Nair"/>
    <n v="39"/>
    <x v="0"/>
    <s v="A-"/>
    <s v="Delhi"/>
    <d v="2023-12-20T00:00:00"/>
    <d v="2023-12-23T00:00:00"/>
    <n v="3"/>
    <x v="0"/>
    <s v="Diabetes Type 2"/>
    <x v="9"/>
    <s v="ICU Care"/>
    <x v="3"/>
    <s v="Dr. Sameer Gupta"/>
    <n v="399"/>
    <s v="Semi-Private"/>
    <x v="4"/>
    <n v="113534"/>
    <n v="0"/>
    <n v="113534"/>
    <n v="92618"/>
    <n v="16052"/>
    <n v="4244"/>
    <s v="No"/>
    <n v="72"/>
    <n v="4.2"/>
    <x v="0"/>
  </r>
  <r>
    <x v="2538"/>
    <s v="Meera Gupta"/>
    <n v="48"/>
    <x v="0"/>
    <s v="B+"/>
    <s v="Chennai"/>
    <d v="2022-02-03T00:00:00"/>
    <d v="2022-02-08T00:00:00"/>
    <n v="5"/>
    <x v="4"/>
    <s v="Heart Attack"/>
    <x v="7"/>
    <s v="Physiotherapy"/>
    <x v="0"/>
    <s v="Dr. Nisha Mehta"/>
    <n v="59"/>
    <s v="Private"/>
    <x v="0"/>
    <n v="173376"/>
    <n v="81905"/>
    <n v="91471"/>
    <n v="132704"/>
    <n v="26512"/>
    <n v="12455"/>
    <s v="No"/>
    <n v="84"/>
    <n v="2.8"/>
    <x v="1"/>
  </r>
  <r>
    <x v="2539"/>
    <s v="Rahul Chopra"/>
    <n v="54"/>
    <x v="1"/>
    <s v="B+"/>
    <s v="Kolkata"/>
    <d v="2024-08-04T00:00:00"/>
    <d v="2024-08-19T00:00:00"/>
    <n v="15"/>
    <x v="1"/>
    <s v="Kidney Stone"/>
    <x v="2"/>
    <s v="Radiation Therapy"/>
    <x v="2"/>
    <s v="Dr. Anjali Gupta"/>
    <n v="239"/>
    <s v="General Ward"/>
    <x v="1"/>
    <n v="171206"/>
    <n v="69847"/>
    <n v="101359"/>
    <n v="138412"/>
    <n v="23950"/>
    <n v="5007"/>
    <s v="No"/>
    <n v="99"/>
    <n v="2.9"/>
    <x v="4"/>
  </r>
  <r>
    <x v="2540"/>
    <s v="Sonia Verma"/>
    <n v="61"/>
    <x v="0"/>
    <s v="A+"/>
    <s v="Lucknow"/>
    <d v="2024-02-20T00:00:00"/>
    <d v="2024-03-17T00:00:00"/>
    <n v="26"/>
    <x v="0"/>
    <s v="Depression"/>
    <x v="5"/>
    <s v="Dialysis"/>
    <x v="0"/>
    <s v="Dr. Shalini Nair"/>
    <n v="251"/>
    <s v="General Ward"/>
    <x v="3"/>
    <n v="115748"/>
    <n v="90778"/>
    <n v="24970"/>
    <n v="81097"/>
    <n v="25793"/>
    <n v="7062"/>
    <s v="No"/>
    <n v="88"/>
    <n v="3.5"/>
    <x v="2"/>
  </r>
  <r>
    <x v="2541"/>
    <s v="Karan Sharma"/>
    <n v="46"/>
    <x v="1"/>
    <s v="A+"/>
    <s v="Jaipur"/>
    <d v="2022-05-12T00:00:00"/>
    <d v="2022-05-15T00:00:00"/>
    <n v="3"/>
    <x v="4"/>
    <s v="Hypertension"/>
    <x v="7"/>
    <s v="Medication"/>
    <x v="0"/>
    <s v="Dr. Anjali Nair"/>
    <n v="122"/>
    <s v="General Ward"/>
    <x v="1"/>
    <n v="80378"/>
    <n v="43644"/>
    <n v="36734"/>
    <n v="46019"/>
    <n v="25000"/>
    <n v="7194"/>
    <s v="No"/>
    <n v="77"/>
    <n v="3.6"/>
    <x v="3"/>
  </r>
  <r>
    <x v="2542"/>
    <s v="Suresh Joshi"/>
    <n v="28"/>
    <x v="0"/>
    <s v="A+"/>
    <s v="Jaipur"/>
    <d v="2022-07-01T00:00:00"/>
    <d v="2022-07-21T00:00:00"/>
    <n v="20"/>
    <x v="3"/>
    <s v="Stroke"/>
    <x v="6"/>
    <s v="Dietary Management"/>
    <x v="2"/>
    <s v="Dr. Sameer Gupta"/>
    <n v="499"/>
    <s v="Private"/>
    <x v="4"/>
    <n v="126134"/>
    <n v="0"/>
    <n v="126134"/>
    <n v="101771"/>
    <n v="9686"/>
    <n v="11310"/>
    <s v="No"/>
    <n v="58"/>
    <n v="4.3"/>
    <x v="4"/>
  </r>
  <r>
    <x v="2543"/>
    <s v="Ananya Malhotra"/>
    <n v="71"/>
    <x v="0"/>
    <s v="B+"/>
    <s v="Hyderabad"/>
    <d v="2023-08-02T00:00:00"/>
    <d v="2023-08-28T00:00:00"/>
    <n v="26"/>
    <x v="0"/>
    <s v="COVID-19"/>
    <x v="1"/>
    <s v="Surgery"/>
    <x v="0"/>
    <s v="Dr. Rakesh Sharma"/>
    <n v="209"/>
    <s v="ICU"/>
    <x v="1"/>
    <n v="134750"/>
    <n v="58980"/>
    <n v="75770"/>
    <n v="106577"/>
    <n v="15724"/>
    <n v="9813"/>
    <s v="Yes"/>
    <n v="89"/>
    <n v="3.1"/>
    <x v="2"/>
  </r>
  <r>
    <x v="2544"/>
    <s v="Meera Khanna"/>
    <n v="82"/>
    <x v="1"/>
    <s v="B-"/>
    <s v="Ahmedabad"/>
    <d v="2024-02-09T00:00:00"/>
    <d v="2024-02-12T00:00:00"/>
    <n v="3"/>
    <x v="0"/>
    <s v="Depression"/>
    <x v="5"/>
    <s v="ICU Care"/>
    <x v="2"/>
    <s v="Dr. Arun Nair"/>
    <n v="253"/>
    <s v="ICU"/>
    <x v="1"/>
    <n v="36881"/>
    <n v="20288"/>
    <n v="16593"/>
    <n v="12623"/>
    <n v="20664"/>
    <n v="1646"/>
    <s v="Yes"/>
    <n v="100"/>
    <n v="2.2000000000000002"/>
    <x v="2"/>
  </r>
  <r>
    <x v="2545"/>
    <s v="Mukesh Chopra"/>
    <n v="32"/>
    <x v="0"/>
    <s v="A-"/>
    <s v="Pune"/>
    <d v="2024-06-08T00:00:00"/>
    <d v="2024-06-24T00:00:00"/>
    <n v="16"/>
    <x v="6"/>
    <s v="Fracture"/>
    <x v="10"/>
    <s v="Physiotherapy"/>
    <x v="0"/>
    <s v="Dr. Sameer Mehta"/>
    <n v="364"/>
    <s v="Private"/>
    <x v="2"/>
    <n v="74287"/>
    <n v="47481"/>
    <n v="26806"/>
    <n v="57370"/>
    <n v="7291"/>
    <n v="5692"/>
    <s v="No"/>
    <n v="72"/>
    <n v="4.5999999999999996"/>
    <x v="1"/>
  </r>
  <r>
    <x v="2546"/>
    <s v="Kavya Bose"/>
    <n v="28"/>
    <x v="1"/>
    <s v="O+"/>
    <s v="Mumbai"/>
    <d v="2022-07-23T00:00:00"/>
    <d v="2022-08-20T00:00:00"/>
    <n v="28"/>
    <x v="4"/>
    <s v="Heart Attack"/>
    <x v="7"/>
    <s v="Physiotherapy"/>
    <x v="1"/>
    <s v="Dr. Arun Singh"/>
    <n v="126"/>
    <s v="Semi-Private"/>
    <x v="2"/>
    <n v="49622"/>
    <n v="41116"/>
    <n v="8506"/>
    <n v="23236"/>
    <n v="18722"/>
    <n v="3066"/>
    <s v="Yes"/>
    <n v="58"/>
    <n v="3.4"/>
    <x v="0"/>
  </r>
  <r>
    <x v="2547"/>
    <s v="Karan Khanna"/>
    <n v="60"/>
    <x v="0"/>
    <s v="B-"/>
    <s v="Mumbai"/>
    <d v="2023-01-30T00:00:00"/>
    <d v="2023-02-03T00:00:00"/>
    <n v="4"/>
    <x v="0"/>
    <s v="Typhoid"/>
    <x v="1"/>
    <s v="Dietary Management"/>
    <x v="3"/>
    <s v="Dr. Arun Rao"/>
    <n v="313"/>
    <s v="Semi-Private"/>
    <x v="3"/>
    <n v="108944"/>
    <n v="78958"/>
    <n v="29986"/>
    <n v="96832"/>
    <n v="3633"/>
    <n v="3991"/>
    <s v="No"/>
    <n v="74"/>
    <n v="4.8"/>
    <x v="1"/>
  </r>
  <r>
    <x v="2548"/>
    <s v="Arjun Kumar"/>
    <n v="43"/>
    <x v="1"/>
    <s v="AB+"/>
    <s v="Ahmedabad"/>
    <d v="2022-07-24T00:00:00"/>
    <d v="2022-08-11T00:00:00"/>
    <n v="18"/>
    <x v="1"/>
    <s v="UTI"/>
    <x v="2"/>
    <s v="Surgery"/>
    <x v="2"/>
    <s v="Dr. Arun Nair"/>
    <n v="370"/>
    <s v="Private"/>
    <x v="1"/>
    <n v="138585"/>
    <n v="69402"/>
    <n v="69183"/>
    <n v="116816"/>
    <n v="12477"/>
    <n v="4591"/>
    <s v="No"/>
    <n v="56"/>
    <n v="2.1"/>
    <x v="4"/>
  </r>
  <r>
    <x v="2549"/>
    <s v="Ritu Rao"/>
    <n v="49"/>
    <x v="1"/>
    <s v="O+"/>
    <s v="Mumbai"/>
    <d v="2022-07-23T00:00:00"/>
    <d v="2022-07-25T00:00:00"/>
    <n v="2"/>
    <x v="0"/>
    <s v="COVID-19"/>
    <x v="1"/>
    <s v="Physiotherapy"/>
    <x v="0"/>
    <s v="Dr. Shalini Rao"/>
    <n v="243"/>
    <s v="Semi-Private"/>
    <x v="0"/>
    <n v="127025"/>
    <n v="52613"/>
    <n v="74412"/>
    <n v="94044"/>
    <n v="16486"/>
    <n v="13367"/>
    <s v="No"/>
    <n v="61"/>
    <n v="3.9"/>
    <x v="3"/>
  </r>
  <r>
    <x v="2550"/>
    <s v="Sunita Joshi"/>
    <n v="28"/>
    <x v="0"/>
    <s v="B+"/>
    <s v="Pune"/>
    <d v="2023-07-06T00:00:00"/>
    <d v="2023-08-04T00:00:00"/>
    <n v="29"/>
    <x v="1"/>
    <s v="UTI"/>
    <x v="2"/>
    <s v="ICU Care"/>
    <x v="3"/>
    <s v="Dr. Arun Reddy"/>
    <n v="349"/>
    <s v="General Ward"/>
    <x v="3"/>
    <n v="112913"/>
    <n v="76263"/>
    <n v="36650"/>
    <n v="88151"/>
    <n v="18886"/>
    <n v="2671"/>
    <s v="No"/>
    <n v="68"/>
    <n v="2.4"/>
    <x v="0"/>
  </r>
  <r>
    <x v="2551"/>
    <s v="Karan Malhotra"/>
    <n v="67"/>
    <x v="1"/>
    <s v="A+"/>
    <s v="Ahmedabad"/>
    <d v="2023-10-17T00:00:00"/>
    <d v="2023-11-15T00:00:00"/>
    <n v="29"/>
    <x v="6"/>
    <s v="Fracture"/>
    <x v="10"/>
    <s v="Chemotherapy"/>
    <x v="1"/>
    <s v="Dr. Vivek Joshi"/>
    <n v="93"/>
    <s v="ICU"/>
    <x v="3"/>
    <n v="96079"/>
    <n v="70877"/>
    <n v="25202"/>
    <n v="83363"/>
    <n v="1426"/>
    <n v="10475"/>
    <s v="No"/>
    <n v="48"/>
    <n v="2.5"/>
    <x v="3"/>
  </r>
  <r>
    <x v="2552"/>
    <s v="Meera Chopra"/>
    <n v="40"/>
    <x v="1"/>
    <s v="B-"/>
    <s v="Kolkata"/>
    <d v="2022-05-22T00:00:00"/>
    <d v="2022-06-01T00:00:00"/>
    <n v="10"/>
    <x v="1"/>
    <s v="Kidney Stone"/>
    <x v="2"/>
    <s v="Dialysis"/>
    <x v="1"/>
    <s v="Dr. Sameer Rao"/>
    <n v="41"/>
    <s v="Private"/>
    <x v="3"/>
    <n v="108454"/>
    <n v="89392"/>
    <n v="19062"/>
    <n v="92260"/>
    <n v="1633"/>
    <n v="11400"/>
    <s v="No"/>
    <n v="59"/>
    <n v="2.2000000000000002"/>
    <x v="1"/>
  </r>
  <r>
    <x v="2553"/>
    <s v="Sanjay Joshi"/>
    <n v="21"/>
    <x v="1"/>
    <s v="O-"/>
    <s v="Kolkata"/>
    <d v="2022-03-11T00:00:00"/>
    <d v="2022-04-03T00:00:00"/>
    <n v="23"/>
    <x v="5"/>
    <s v="Pneumonia"/>
    <x v="8"/>
    <s v="Dietary Management"/>
    <x v="2"/>
    <s v="Dr. Nisha Patel"/>
    <n v="42"/>
    <s v="ICU"/>
    <x v="4"/>
    <n v="169975"/>
    <n v="0"/>
    <n v="169975"/>
    <n v="138971"/>
    <n v="21799"/>
    <n v="7154"/>
    <s v="No"/>
    <n v="55"/>
    <n v="4.8"/>
    <x v="3"/>
  </r>
  <r>
    <x v="2554"/>
    <s v="Nisha Pillai"/>
    <n v="37"/>
    <x v="0"/>
    <s v="A+"/>
    <s v="Ahmedabad"/>
    <d v="2022-01-13T00:00:00"/>
    <d v="2022-02-04T00:00:00"/>
    <n v="22"/>
    <x v="5"/>
    <s v="Asthma"/>
    <x v="8"/>
    <s v="ICU Care"/>
    <x v="1"/>
    <s v="Dr. Anjali Kumar"/>
    <n v="311"/>
    <s v="Semi-Private"/>
    <x v="2"/>
    <n v="134407"/>
    <n v="116131"/>
    <n v="18276"/>
    <n v="119697"/>
    <n v="6259"/>
    <n v="7415"/>
    <s v="Yes"/>
    <n v="83"/>
    <n v="4.5"/>
    <x v="1"/>
  </r>
  <r>
    <x v="2555"/>
    <s v="Karan Mehta"/>
    <n v="14"/>
    <x v="0"/>
    <s v="AB-"/>
    <s v="Lucknow"/>
    <d v="2024-03-24T00:00:00"/>
    <d v="2024-03-28T00:00:00"/>
    <n v="4"/>
    <x v="4"/>
    <s v="Heart Attack"/>
    <x v="7"/>
    <s v="ICU Care"/>
    <x v="1"/>
    <s v="Dr. Deepak Nair"/>
    <n v="365"/>
    <s v="ICU"/>
    <x v="4"/>
    <n v="127351"/>
    <n v="0"/>
    <n v="127351"/>
    <n v="92820"/>
    <n v="17568"/>
    <n v="13842"/>
    <s v="No"/>
    <n v="70"/>
    <n v="3.8"/>
    <x v="4"/>
  </r>
  <r>
    <x v="2556"/>
    <s v="Ritu Das"/>
    <n v="15"/>
    <x v="0"/>
    <s v="AB+"/>
    <s v="Jaipur"/>
    <d v="2022-03-30T00:00:00"/>
    <d v="2022-04-19T00:00:00"/>
    <n v="20"/>
    <x v="3"/>
    <s v="Migraine"/>
    <x v="6"/>
    <s v="Surgery"/>
    <x v="1"/>
    <s v="Dr. Shalini Nair"/>
    <n v="491"/>
    <s v="ICU"/>
    <x v="4"/>
    <n v="118837"/>
    <n v="0"/>
    <n v="118837"/>
    <n v="84362"/>
    <n v="24107"/>
    <n v="8278"/>
    <s v="No"/>
    <n v="45"/>
    <n v="3.4"/>
    <x v="4"/>
  </r>
  <r>
    <x v="2557"/>
    <s v="Arjun Verma"/>
    <n v="42"/>
    <x v="0"/>
    <s v="AB-"/>
    <s v="Hyderabad"/>
    <d v="2024-09-03T00:00:00"/>
    <d v="2024-10-03T00:00:00"/>
    <n v="30"/>
    <x v="0"/>
    <s v="COVID-19"/>
    <x v="1"/>
    <s v="Observation"/>
    <x v="1"/>
    <s v="Dr. Deepak Kumar"/>
    <n v="378"/>
    <s v="Private"/>
    <x v="1"/>
    <n v="167673"/>
    <n v="94247"/>
    <n v="73426"/>
    <n v="138042"/>
    <n v="22949"/>
    <n v="3626"/>
    <s v="No"/>
    <n v="66"/>
    <n v="2.9"/>
    <x v="2"/>
  </r>
  <r>
    <x v="2558"/>
    <s v="Sonia Joshi"/>
    <n v="64"/>
    <x v="0"/>
    <s v="O+"/>
    <s v="Delhi"/>
    <d v="2022-05-26T00:00:00"/>
    <d v="2022-06-19T00:00:00"/>
    <n v="24"/>
    <x v="0"/>
    <s v="Dengue"/>
    <x v="1"/>
    <s v="ICU Care"/>
    <x v="2"/>
    <s v="Dr. Anjali Gupta"/>
    <n v="27"/>
    <s v="General Ward"/>
    <x v="4"/>
    <n v="122324"/>
    <n v="0"/>
    <n v="122324"/>
    <n v="105352"/>
    <n v="6303"/>
    <n v="6885"/>
    <s v="No"/>
    <n v="79"/>
    <n v="3.7"/>
    <x v="3"/>
  </r>
  <r>
    <x v="2559"/>
    <s v="Ritu Patel"/>
    <n v="52"/>
    <x v="1"/>
    <s v="AB-"/>
    <s v="Lucknow"/>
    <d v="2022-11-03T00:00:00"/>
    <d v="2022-11-04T00:00:00"/>
    <n v="1"/>
    <x v="0"/>
    <s v="Diabetes Type 2"/>
    <x v="9"/>
    <s v="ICU Care"/>
    <x v="3"/>
    <s v="Dr. Vivek Reddy"/>
    <n v="419"/>
    <s v="General Ward"/>
    <x v="3"/>
    <n v="110161"/>
    <n v="79307"/>
    <n v="30854"/>
    <n v="77767"/>
    <n v="24372"/>
    <n v="7202"/>
    <s v="No"/>
    <n v="80"/>
    <n v="2.9"/>
    <x v="2"/>
  </r>
  <r>
    <x v="2560"/>
    <s v="Rekha Joshi"/>
    <n v="35"/>
    <x v="0"/>
    <s v="O-"/>
    <s v="Pune"/>
    <d v="2023-03-08T00:00:00"/>
    <d v="2023-03-25T00:00:00"/>
    <n v="17"/>
    <x v="6"/>
    <s v="Arthritis"/>
    <x v="11"/>
    <s v="Chemotherapy"/>
    <x v="2"/>
    <s v="Dr. Prerna Singh"/>
    <n v="298"/>
    <s v="Semi-Private"/>
    <x v="0"/>
    <n v="137506"/>
    <n v="68397"/>
    <n v="69109"/>
    <n v="98757"/>
    <n v="28883"/>
    <n v="5179"/>
    <s v="No"/>
    <n v="50"/>
    <n v="3.5"/>
    <x v="2"/>
  </r>
  <r>
    <x v="2561"/>
    <s v="Geeta Sharma"/>
    <n v="55"/>
    <x v="0"/>
    <s v="AB+"/>
    <s v="Pune"/>
    <d v="2023-03-02T00:00:00"/>
    <d v="2023-03-11T00:00:00"/>
    <n v="9"/>
    <x v="0"/>
    <s v="Typhoid"/>
    <x v="1"/>
    <s v="Radiation Therapy"/>
    <x v="1"/>
    <s v="Dr. Arun Rao"/>
    <n v="11"/>
    <s v="General Ward"/>
    <x v="0"/>
    <n v="150775"/>
    <n v="61196"/>
    <n v="89579"/>
    <n v="145753"/>
    <n v="3700"/>
    <n v="501"/>
    <s v="No"/>
    <n v="87"/>
    <n v="3.3"/>
    <x v="4"/>
  </r>
  <r>
    <x v="2562"/>
    <s v="Rekha Singh"/>
    <n v="64"/>
    <x v="1"/>
    <s v="AB+"/>
    <s v="Hyderabad"/>
    <d v="2023-09-24T00:00:00"/>
    <d v="2023-10-17T00:00:00"/>
    <n v="23"/>
    <x v="0"/>
    <s v="Liver Disease"/>
    <x v="0"/>
    <s v="Surgery"/>
    <x v="0"/>
    <s v="Dr. Sameer Gupta"/>
    <n v="356"/>
    <s v="ICU"/>
    <x v="3"/>
    <n v="102570"/>
    <n v="90277"/>
    <n v="12293"/>
    <n v="95619"/>
    <n v="1115"/>
    <n v="2920"/>
    <s v="No"/>
    <n v="43"/>
    <n v="4.3"/>
    <x v="2"/>
  </r>
  <r>
    <x v="2563"/>
    <s v="Vikram Iyer"/>
    <n v="19"/>
    <x v="0"/>
    <s v="B-"/>
    <s v="Pune"/>
    <d v="2023-02-20T00:00:00"/>
    <d v="2023-03-07T00:00:00"/>
    <n v="15"/>
    <x v="0"/>
    <s v="Dengue"/>
    <x v="1"/>
    <s v="Physiotherapy"/>
    <x v="0"/>
    <s v="Dr. Prerna Rao"/>
    <n v="238"/>
    <s v="ICU"/>
    <x v="3"/>
    <n v="54896"/>
    <n v="35182"/>
    <n v="19714"/>
    <n v="35474"/>
    <n v="13319"/>
    <n v="3239"/>
    <s v="No"/>
    <n v="52"/>
    <n v="2.6"/>
    <x v="3"/>
  </r>
  <r>
    <x v="2564"/>
    <s v="Sneha Patel"/>
    <n v="65"/>
    <x v="1"/>
    <s v="A-"/>
    <s v="Ahmedabad"/>
    <d v="2024-08-02T00:00:00"/>
    <d v="2024-08-27T00:00:00"/>
    <n v="25"/>
    <x v="1"/>
    <s v="UTI"/>
    <x v="2"/>
    <s v="Observation"/>
    <x v="1"/>
    <s v="Dr. Deepak Reddy"/>
    <n v="152"/>
    <s v="ICU"/>
    <x v="4"/>
    <n v="68490"/>
    <n v="0"/>
    <n v="68490"/>
    <n v="35692"/>
    <n v="16970"/>
    <n v="12679"/>
    <s v="Yes"/>
    <n v="75"/>
    <n v="4.3"/>
    <x v="2"/>
  </r>
  <r>
    <x v="2565"/>
    <s v="Sneha Gupta"/>
    <n v="31"/>
    <x v="1"/>
    <s v="A-"/>
    <s v="Pune"/>
    <d v="2023-04-09T00:00:00"/>
    <d v="2023-04-18T00:00:00"/>
    <n v="9"/>
    <x v="0"/>
    <s v="Liver Disease"/>
    <x v="0"/>
    <s v="Observation"/>
    <x v="2"/>
    <s v="Dr. Prerna Gupta"/>
    <n v="147"/>
    <s v="General Ward"/>
    <x v="2"/>
    <n v="86399"/>
    <n v="59568"/>
    <n v="26831"/>
    <n v="63007"/>
    <n v="15828"/>
    <n v="6208"/>
    <s v="No"/>
    <n v="75"/>
    <n v="4.2"/>
    <x v="4"/>
  </r>
  <r>
    <x v="2566"/>
    <s v="Manoj Chopra"/>
    <n v="72"/>
    <x v="1"/>
    <s v="B-"/>
    <s v="Lucknow"/>
    <d v="2024-07-18T00:00:00"/>
    <d v="2024-08-09T00:00:00"/>
    <n v="22"/>
    <x v="3"/>
    <s v="Stroke"/>
    <x v="6"/>
    <s v="Radiation Therapy"/>
    <x v="0"/>
    <s v="Dr. Arun Mehta"/>
    <n v="416"/>
    <s v="Private"/>
    <x v="1"/>
    <n v="131253"/>
    <n v="88785"/>
    <n v="42468"/>
    <n v="113298"/>
    <n v="8059"/>
    <n v="6395"/>
    <s v="No"/>
    <n v="41"/>
    <n v="2.2000000000000002"/>
    <x v="3"/>
  </r>
  <r>
    <x v="2567"/>
    <s v="Sunita Menon"/>
    <n v="77"/>
    <x v="1"/>
    <s v="O+"/>
    <s v="Lucknow"/>
    <d v="2023-12-14T00:00:00"/>
    <d v="2023-12-19T00:00:00"/>
    <n v="5"/>
    <x v="0"/>
    <s v="Dengue"/>
    <x v="1"/>
    <s v="ICU Care"/>
    <x v="3"/>
    <s v="Dr. Kavita Sharma"/>
    <n v="43"/>
    <s v="ICU"/>
    <x v="4"/>
    <n v="112808"/>
    <n v="0"/>
    <n v="112808"/>
    <n v="76192"/>
    <n v="19653"/>
    <n v="12466"/>
    <s v="Yes"/>
    <n v="90"/>
    <n v="4.9000000000000004"/>
    <x v="1"/>
  </r>
  <r>
    <x v="2568"/>
    <s v="Rohan Shah"/>
    <n v="80"/>
    <x v="1"/>
    <s v="O+"/>
    <s v="Pune"/>
    <d v="2022-10-30T00:00:00"/>
    <d v="2022-11-24T00:00:00"/>
    <n v="25"/>
    <x v="6"/>
    <s v="Fracture"/>
    <x v="10"/>
    <s v="Physiotherapy"/>
    <x v="1"/>
    <s v="Dr. Kavita Nair"/>
    <n v="280"/>
    <s v="ICU"/>
    <x v="2"/>
    <n v="135448"/>
    <n v="82170"/>
    <n v="53278"/>
    <n v="123499"/>
    <n v="3386"/>
    <n v="4545"/>
    <s v="No"/>
    <n v="48"/>
    <n v="2.2000000000000002"/>
    <x v="3"/>
  </r>
  <r>
    <x v="2569"/>
    <s v="Lata Sharma"/>
    <n v="9"/>
    <x v="0"/>
    <s v="AB+"/>
    <s v="Jaipur"/>
    <d v="2024-09-20T00:00:00"/>
    <d v="2024-10-10T00:00:00"/>
    <n v="20"/>
    <x v="0"/>
    <s v="Typhoid"/>
    <x v="1"/>
    <s v="Physiotherapy"/>
    <x v="1"/>
    <s v="Dr. Arun Sharma"/>
    <n v="270"/>
    <s v="Private"/>
    <x v="1"/>
    <n v="136767"/>
    <n v="68946"/>
    <n v="67821"/>
    <n v="118144"/>
    <n v="11279"/>
    <n v="5408"/>
    <s v="No"/>
    <n v="85"/>
    <n v="3.3"/>
    <x v="0"/>
  </r>
  <r>
    <x v="2570"/>
    <s v="Karan Gupta"/>
    <n v="28"/>
    <x v="1"/>
    <s v="A+"/>
    <s v="Pune"/>
    <d v="2023-06-30T00:00:00"/>
    <d v="2023-07-10T00:00:00"/>
    <n v="10"/>
    <x v="0"/>
    <s v="Appendicitis"/>
    <x v="0"/>
    <s v="Surgery"/>
    <x v="1"/>
    <s v="Dr. Nisha Joshi"/>
    <n v="255"/>
    <s v="Semi-Private"/>
    <x v="1"/>
    <n v="71868"/>
    <n v="45005"/>
    <n v="26863"/>
    <n v="42634"/>
    <n v="21317"/>
    <n v="4047"/>
    <s v="No"/>
    <n v="69"/>
    <n v="5"/>
    <x v="4"/>
  </r>
  <r>
    <x v="2571"/>
    <s v="Rohan Das"/>
    <n v="68"/>
    <x v="1"/>
    <s v="B-"/>
    <s v="Pune"/>
    <d v="2024-12-10T00:00:00"/>
    <d v="2024-12-31T00:00:00"/>
    <n v="21"/>
    <x v="3"/>
    <s v="Stroke"/>
    <x v="6"/>
    <s v="Dietary Management"/>
    <x v="3"/>
    <s v="Dr. Prerna Gupta"/>
    <n v="449"/>
    <s v="Private"/>
    <x v="0"/>
    <n v="42791"/>
    <n v="17414"/>
    <n v="25377"/>
    <n v="19256"/>
    <n v="10966"/>
    <n v="8112"/>
    <s v="No"/>
    <n v="52"/>
    <n v="4.0999999999999996"/>
    <x v="4"/>
  </r>
  <r>
    <x v="2572"/>
    <s v="Karan Gupta"/>
    <n v="64"/>
    <x v="1"/>
    <s v="B+"/>
    <s v="Pune"/>
    <d v="2023-12-04T00:00:00"/>
    <d v="2023-12-11T00:00:00"/>
    <n v="7"/>
    <x v="0"/>
    <s v="Depression"/>
    <x v="5"/>
    <s v="Radiation Therapy"/>
    <x v="3"/>
    <s v="Dr. Kavita Nair"/>
    <n v="120"/>
    <s v="Semi-Private"/>
    <x v="3"/>
    <n v="82512"/>
    <n v="50952"/>
    <n v="31560"/>
    <n v="47281"/>
    <n v="29380"/>
    <n v="2588"/>
    <s v="No"/>
    <n v="53"/>
    <n v="2.9"/>
    <x v="2"/>
  </r>
  <r>
    <x v="2573"/>
    <s v="Sunil Reddy"/>
    <n v="22"/>
    <x v="1"/>
    <s v="A+"/>
    <s v="Delhi"/>
    <d v="2023-06-17T00:00:00"/>
    <d v="2023-07-16T00:00:00"/>
    <n v="29"/>
    <x v="0"/>
    <s v="Anemia"/>
    <x v="4"/>
    <s v="Observation"/>
    <x v="0"/>
    <s v="Dr. Nisha Sharma"/>
    <n v="128"/>
    <s v="General Ward"/>
    <x v="1"/>
    <n v="122417"/>
    <n v="68851"/>
    <n v="53566"/>
    <n v="90649"/>
    <n v="25236"/>
    <n v="5335"/>
    <s v="No"/>
    <n v="43"/>
    <n v="2.6"/>
    <x v="4"/>
  </r>
  <r>
    <x v="2574"/>
    <s v="Sneha Patel"/>
    <n v="20"/>
    <x v="1"/>
    <s v="O+"/>
    <s v="Hyderabad"/>
    <d v="2023-03-20T00:00:00"/>
    <d v="2023-03-27T00:00:00"/>
    <n v="7"/>
    <x v="0"/>
    <s v="Diabetes Type 2"/>
    <x v="9"/>
    <s v="Medication"/>
    <x v="1"/>
    <s v="Dr. Shalini Rao"/>
    <n v="459"/>
    <s v="Semi-Private"/>
    <x v="4"/>
    <n v="52349"/>
    <n v="0"/>
    <n v="52349"/>
    <n v="15754"/>
    <n v="22745"/>
    <n v="10001"/>
    <s v="No"/>
    <n v="43"/>
    <n v="4.2"/>
    <x v="4"/>
  </r>
  <r>
    <x v="2575"/>
    <s v="Mukesh Chopra"/>
    <n v="69"/>
    <x v="0"/>
    <s v="AB+"/>
    <s v="Pune"/>
    <d v="2023-11-02T00:00:00"/>
    <d v="2023-11-19T00:00:00"/>
    <n v="17"/>
    <x v="1"/>
    <s v="UTI"/>
    <x v="2"/>
    <s v="Physiotherapy"/>
    <x v="3"/>
    <s v="Dr. Sameer Gupta"/>
    <n v="226"/>
    <s v="ICU"/>
    <x v="1"/>
    <n v="123005"/>
    <n v="74779"/>
    <n v="48226"/>
    <n v="97187"/>
    <n v="16321"/>
    <n v="5997"/>
    <s v="No"/>
    <n v="96"/>
    <n v="2.9"/>
    <x v="2"/>
  </r>
  <r>
    <x v="2576"/>
    <s v="Sanjay Joshi"/>
    <n v="68"/>
    <x v="0"/>
    <s v="O-"/>
    <s v="Mumbai"/>
    <d v="2022-06-27T00:00:00"/>
    <d v="2022-07-17T00:00:00"/>
    <n v="20"/>
    <x v="3"/>
    <s v="Stroke"/>
    <x v="6"/>
    <s v="ICU Care"/>
    <x v="2"/>
    <s v="Dr. Vivek Gupta"/>
    <n v="160"/>
    <s v="Private"/>
    <x v="0"/>
    <n v="96334"/>
    <n v="41140"/>
    <n v="55194"/>
    <n v="54027"/>
    <n v="26003"/>
    <n v="14387"/>
    <s v="No"/>
    <n v="79"/>
    <n v="4.9000000000000004"/>
    <x v="1"/>
  </r>
  <r>
    <x v="2577"/>
    <s v="Ananya Mehta"/>
    <n v="70"/>
    <x v="1"/>
    <s v="O+"/>
    <s v="Lucknow"/>
    <d v="2024-07-10T00:00:00"/>
    <d v="2024-07-13T00:00:00"/>
    <n v="3"/>
    <x v="1"/>
    <s v="UTI"/>
    <x v="2"/>
    <s v="Medication"/>
    <x v="2"/>
    <s v="Dr. Nisha Gupta"/>
    <n v="452"/>
    <s v="ICU"/>
    <x v="3"/>
    <n v="73689"/>
    <n v="45335"/>
    <n v="28354"/>
    <n v="62779"/>
    <n v="4938"/>
    <n v="3396"/>
    <s v="No"/>
    <n v="73"/>
    <n v="3.1"/>
    <x v="2"/>
  </r>
  <r>
    <x v="2578"/>
    <s v="Karan Gupta"/>
    <n v="34"/>
    <x v="1"/>
    <s v="AB-"/>
    <s v="Pune"/>
    <d v="2023-12-21T00:00:00"/>
    <d v="2023-12-28T00:00:00"/>
    <n v="7"/>
    <x v="3"/>
    <s v="Stroke"/>
    <x v="6"/>
    <s v="Chemotherapy"/>
    <x v="3"/>
    <s v="Dr. Anjali Gupta"/>
    <n v="333"/>
    <s v="ICU"/>
    <x v="0"/>
    <n v="68209"/>
    <n v="33837"/>
    <n v="34372"/>
    <n v="21356"/>
    <n v="29615"/>
    <n v="13180"/>
    <s v="No"/>
    <n v="72"/>
    <n v="2.4"/>
    <x v="4"/>
  </r>
  <r>
    <x v="2579"/>
    <s v="Nisha Rao"/>
    <n v="85"/>
    <x v="0"/>
    <s v="A-"/>
    <s v="Pune"/>
    <d v="2024-09-29T00:00:00"/>
    <d v="2024-10-07T00:00:00"/>
    <n v="8"/>
    <x v="4"/>
    <s v="Hypertension"/>
    <x v="7"/>
    <s v="Radiation Therapy"/>
    <x v="3"/>
    <s v="Dr. Deepak Patel"/>
    <n v="471"/>
    <s v="Private"/>
    <x v="4"/>
    <n v="69048"/>
    <n v="0"/>
    <n v="69048"/>
    <n v="38261"/>
    <n v="19569"/>
    <n v="9085"/>
    <s v="No"/>
    <n v="69"/>
    <n v="3.2"/>
    <x v="0"/>
  </r>
  <r>
    <x v="2580"/>
    <s v="Aditya Malhotra"/>
    <n v="45"/>
    <x v="1"/>
    <s v="O-"/>
    <s v="Kolkata"/>
    <d v="2022-06-10T00:00:00"/>
    <d v="2022-06-14T00:00:00"/>
    <n v="4"/>
    <x v="1"/>
    <s v="Kidney Stone"/>
    <x v="2"/>
    <s v="ICU Care"/>
    <x v="1"/>
    <s v="Dr. Arun Gupta"/>
    <n v="477"/>
    <s v="Private"/>
    <x v="1"/>
    <n v="167371"/>
    <n v="87104"/>
    <n v="80267"/>
    <n v="147870"/>
    <n v="5018"/>
    <n v="9714"/>
    <s v="No"/>
    <n v="95"/>
    <n v="3.1"/>
    <x v="3"/>
  </r>
  <r>
    <x v="2581"/>
    <s v="Rahul Shah"/>
    <n v="76"/>
    <x v="1"/>
    <s v="A-"/>
    <s v="Ahmedabad"/>
    <d v="2022-05-28T00:00:00"/>
    <d v="2022-06-21T00:00:00"/>
    <n v="24"/>
    <x v="6"/>
    <s v="Arthritis"/>
    <x v="11"/>
    <s v="Physiotherapy"/>
    <x v="0"/>
    <s v="Dr. Arun Patel"/>
    <n v="374"/>
    <s v="Semi-Private"/>
    <x v="3"/>
    <n v="158386"/>
    <n v="111953"/>
    <n v="46433"/>
    <n v="137910"/>
    <n v="8005"/>
    <n v="11014"/>
    <s v="No"/>
    <n v="81"/>
    <n v="4.5999999999999996"/>
    <x v="2"/>
  </r>
  <r>
    <x v="2582"/>
    <s v="Priya Chopra"/>
    <n v="11"/>
    <x v="0"/>
    <s v="A-"/>
    <s v="Delhi"/>
    <d v="2024-04-06T00:00:00"/>
    <d v="2024-04-26T00:00:00"/>
    <n v="20"/>
    <x v="0"/>
    <s v="Typhoid"/>
    <x v="1"/>
    <s v="Dietary Management"/>
    <x v="1"/>
    <s v="Dr. Nisha Singh"/>
    <n v="127"/>
    <s v="Private"/>
    <x v="0"/>
    <n v="152069"/>
    <n v="94333"/>
    <n v="57736"/>
    <n v="111288"/>
    <n v="29715"/>
    <n v="9539"/>
    <s v="No"/>
    <n v="78"/>
    <n v="4.5"/>
    <x v="1"/>
  </r>
  <r>
    <x v="2583"/>
    <s v="Manoj Malhotra"/>
    <n v="15"/>
    <x v="1"/>
    <s v="B+"/>
    <s v="Chennai"/>
    <d v="2022-12-21T00:00:00"/>
    <d v="2023-01-06T00:00:00"/>
    <n v="16"/>
    <x v="0"/>
    <s v="Appendicitis"/>
    <x v="0"/>
    <s v="Radiation Therapy"/>
    <x v="2"/>
    <s v="Dr. Sameer Kumar"/>
    <n v="487"/>
    <s v="ICU"/>
    <x v="4"/>
    <n v="52599"/>
    <n v="0"/>
    <n v="52599"/>
    <n v="41723"/>
    <n v="4946"/>
    <n v="3464"/>
    <s v="No"/>
    <n v="91"/>
    <n v="4.9000000000000004"/>
    <x v="1"/>
  </r>
  <r>
    <x v="2584"/>
    <s v="Arjun Menon"/>
    <n v="77"/>
    <x v="1"/>
    <s v="O-"/>
    <s v="Kolkata"/>
    <d v="2023-05-30T00:00:00"/>
    <d v="2023-06-25T00:00:00"/>
    <n v="26"/>
    <x v="3"/>
    <s v="Stroke"/>
    <x v="6"/>
    <s v="Radiation Therapy"/>
    <x v="2"/>
    <s v="Dr. Prerna Sharma"/>
    <n v="331"/>
    <s v="Private"/>
    <x v="3"/>
    <n v="101052"/>
    <n v="84594"/>
    <n v="16458"/>
    <n v="59927"/>
    <n v="26259"/>
    <n v="13820"/>
    <s v="No"/>
    <n v="64"/>
    <n v="4.3"/>
    <x v="4"/>
  </r>
  <r>
    <x v="2585"/>
    <s v="Rekha Sharma"/>
    <n v="13"/>
    <x v="0"/>
    <s v="B-"/>
    <s v="Pune"/>
    <d v="2022-02-10T00:00:00"/>
    <d v="2022-03-04T00:00:00"/>
    <n v="22"/>
    <x v="0"/>
    <s v="Dengue"/>
    <x v="1"/>
    <s v="Dialysis"/>
    <x v="3"/>
    <s v="Dr. Shalini Reddy"/>
    <n v="56"/>
    <s v="General Ward"/>
    <x v="0"/>
    <n v="45081"/>
    <n v="30232"/>
    <n v="14849"/>
    <n v="29935"/>
    <n v="5870"/>
    <n v="6382"/>
    <s v="Yes"/>
    <n v="99"/>
    <n v="3.7"/>
    <x v="4"/>
  </r>
  <r>
    <x v="2586"/>
    <s v="Suresh Nair"/>
    <n v="18"/>
    <x v="1"/>
    <s v="O-"/>
    <s v="Mumbai"/>
    <d v="2023-12-02T00:00:00"/>
    <d v="2023-12-11T00:00:00"/>
    <n v="9"/>
    <x v="4"/>
    <s v="Hypertension"/>
    <x v="7"/>
    <s v="Observation"/>
    <x v="3"/>
    <s v="Dr. Anjali Patel"/>
    <n v="333"/>
    <s v="ICU"/>
    <x v="0"/>
    <n v="95262"/>
    <n v="57823"/>
    <n v="37439"/>
    <n v="75783"/>
    <n v="7287"/>
    <n v="7201"/>
    <s v="No"/>
    <n v="58"/>
    <n v="4.5999999999999996"/>
    <x v="2"/>
  </r>
  <r>
    <x v="2587"/>
    <s v="Vijay Menon"/>
    <n v="41"/>
    <x v="1"/>
    <s v="AB-"/>
    <s v="Bangalore"/>
    <d v="2022-02-16T00:00:00"/>
    <d v="2022-03-15T00:00:00"/>
    <n v="27"/>
    <x v="0"/>
    <s v="COVID-19"/>
    <x v="1"/>
    <s v="Dialysis"/>
    <x v="3"/>
    <s v="Dr. Deepak Singh"/>
    <n v="169"/>
    <s v="Private"/>
    <x v="2"/>
    <n v="63953"/>
    <n v="52181"/>
    <n v="11772"/>
    <n v="51343"/>
    <n v="5330"/>
    <n v="3147"/>
    <s v="No"/>
    <n v="83"/>
    <n v="2"/>
    <x v="3"/>
  </r>
  <r>
    <x v="2588"/>
    <s v="Ritu Patel"/>
    <n v="59"/>
    <x v="0"/>
    <s v="AB-"/>
    <s v="Bangalore"/>
    <d v="2023-11-19T00:00:00"/>
    <d v="2023-11-25T00:00:00"/>
    <n v="6"/>
    <x v="0"/>
    <s v="COVID-19"/>
    <x v="1"/>
    <s v="Chemotherapy"/>
    <x v="3"/>
    <s v="Dr. Rakesh Singh"/>
    <n v="180"/>
    <s v="General Ward"/>
    <x v="1"/>
    <n v="41527"/>
    <n v="20313"/>
    <n v="21214"/>
    <n v="15024"/>
    <n v="14290"/>
    <n v="7709"/>
    <s v="Yes"/>
    <n v="86"/>
    <n v="4.5"/>
    <x v="0"/>
  </r>
  <r>
    <x v="2589"/>
    <s v="Suresh Sharma"/>
    <n v="58"/>
    <x v="1"/>
    <s v="O+"/>
    <s v="Hyderabad"/>
    <d v="2023-02-14T00:00:00"/>
    <d v="2023-03-13T00:00:00"/>
    <n v="27"/>
    <x v="0"/>
    <s v="Typhoid"/>
    <x v="1"/>
    <s v="Medication"/>
    <x v="3"/>
    <s v="Dr. Sameer Kumar"/>
    <n v="228"/>
    <s v="Private"/>
    <x v="4"/>
    <n v="89679"/>
    <n v="0"/>
    <n v="89679"/>
    <n v="53574"/>
    <n v="27583"/>
    <n v="4253"/>
    <s v="No"/>
    <n v="61"/>
    <n v="2.6"/>
    <x v="1"/>
  </r>
  <r>
    <x v="2590"/>
    <s v="Sanjay Malhotra"/>
    <n v="21"/>
    <x v="0"/>
    <s v="AB+"/>
    <s v="Jaipur"/>
    <d v="2024-11-09T00:00:00"/>
    <d v="2024-12-06T00:00:00"/>
    <n v="27"/>
    <x v="3"/>
    <s v="Stroke"/>
    <x v="6"/>
    <s v="Physiotherapy"/>
    <x v="3"/>
    <s v="Dr. Kavita Kumar"/>
    <n v="14"/>
    <s v="Semi-Private"/>
    <x v="0"/>
    <n v="146389"/>
    <n v="86649"/>
    <n v="59740"/>
    <n v="122252"/>
    <n v="15612"/>
    <n v="4785"/>
    <s v="Yes"/>
    <n v="54"/>
    <n v="3.6"/>
    <x v="4"/>
  </r>
  <r>
    <x v="2591"/>
    <s v="Rekha Kumar"/>
    <n v="33"/>
    <x v="0"/>
    <s v="A+"/>
    <s v="Pune"/>
    <d v="2024-12-17T00:00:00"/>
    <d v="2024-12-31T00:00:00"/>
    <n v="14"/>
    <x v="0"/>
    <s v="Typhoid"/>
    <x v="1"/>
    <s v="ICU Care"/>
    <x v="2"/>
    <s v="Dr. Sameer Mehta"/>
    <n v="404"/>
    <s v="General Ward"/>
    <x v="0"/>
    <n v="34456"/>
    <n v="13909"/>
    <n v="20547"/>
    <n v="16832"/>
    <n v="2099"/>
    <n v="12524"/>
    <s v="No"/>
    <n v="82"/>
    <n v="4.9000000000000004"/>
    <x v="2"/>
  </r>
  <r>
    <x v="2592"/>
    <s v="Sonia Patel"/>
    <n v="29"/>
    <x v="1"/>
    <s v="AB-"/>
    <s v="Chennai"/>
    <d v="2023-09-10T00:00:00"/>
    <d v="2023-09-22T00:00:00"/>
    <n v="12"/>
    <x v="3"/>
    <s v="Stroke"/>
    <x v="6"/>
    <s v="Medication"/>
    <x v="1"/>
    <s v="Dr. Sameer Patel"/>
    <n v="161"/>
    <s v="ICU"/>
    <x v="0"/>
    <n v="165544"/>
    <n v="86853"/>
    <n v="78691"/>
    <n v="147354"/>
    <n v="7496"/>
    <n v="7101"/>
    <s v="No"/>
    <n v="88"/>
    <n v="2.6"/>
    <x v="1"/>
  </r>
  <r>
    <x v="2593"/>
    <s v="Arjun Chopra"/>
    <n v="84"/>
    <x v="0"/>
    <s v="A-"/>
    <s v="Lucknow"/>
    <d v="2024-09-09T00:00:00"/>
    <d v="2024-09-27T00:00:00"/>
    <n v="18"/>
    <x v="0"/>
    <s v="Dengue"/>
    <x v="1"/>
    <s v="Chemotherapy"/>
    <x v="3"/>
    <s v="Dr. Rakesh Kumar"/>
    <n v="372"/>
    <s v="Private"/>
    <x v="0"/>
    <n v="79376"/>
    <n v="43593"/>
    <n v="35783"/>
    <n v="47365"/>
    <n v="20545"/>
    <n v="6887"/>
    <s v="No"/>
    <n v="60"/>
    <n v="3.7"/>
    <x v="2"/>
  </r>
  <r>
    <x v="2594"/>
    <s v="Ritu Mehta"/>
    <n v="16"/>
    <x v="0"/>
    <s v="A-"/>
    <s v="Kolkata"/>
    <d v="2024-05-07T00:00:00"/>
    <d v="2024-05-20T00:00:00"/>
    <n v="13"/>
    <x v="2"/>
    <s v="Cancer"/>
    <x v="3"/>
    <s v="Dialysis"/>
    <x v="2"/>
    <s v="Dr. Deepak Sharma"/>
    <n v="309"/>
    <s v="General Ward"/>
    <x v="2"/>
    <n v="117323"/>
    <n v="83738"/>
    <n v="33585"/>
    <n v="93911"/>
    <n v="9506"/>
    <n v="12486"/>
    <s v="No"/>
    <n v="78"/>
    <n v="4.4000000000000004"/>
    <x v="4"/>
  </r>
  <r>
    <x v="2595"/>
    <s v="Aditya Shah"/>
    <n v="38"/>
    <x v="1"/>
    <s v="A-"/>
    <s v="Hyderabad"/>
    <d v="2022-03-06T00:00:00"/>
    <d v="2022-04-03T00:00:00"/>
    <n v="28"/>
    <x v="0"/>
    <s v="Anemia"/>
    <x v="4"/>
    <s v="Dialysis"/>
    <x v="0"/>
    <s v="Dr. Vivek Kumar"/>
    <n v="49"/>
    <s v="Semi-Private"/>
    <x v="3"/>
    <n v="168634"/>
    <n v="150562"/>
    <n v="18072"/>
    <n v="131478"/>
    <n v="23422"/>
    <n v="10994"/>
    <s v="No"/>
    <n v="69"/>
    <n v="3.1"/>
    <x v="2"/>
  </r>
  <r>
    <x v="2596"/>
    <s v="Nisha Kumar"/>
    <n v="30"/>
    <x v="1"/>
    <s v="O+"/>
    <s v="Pune"/>
    <d v="2024-04-26T00:00:00"/>
    <d v="2024-05-02T00:00:00"/>
    <n v="6"/>
    <x v="0"/>
    <s v="Obesity"/>
    <x v="12"/>
    <s v="Chemotherapy"/>
    <x v="3"/>
    <s v="Dr. Shalini Kumar"/>
    <n v="217"/>
    <s v="Private"/>
    <x v="2"/>
    <n v="127387"/>
    <n v="82350"/>
    <n v="45037"/>
    <n v="92728"/>
    <n v="23688"/>
    <n v="9214"/>
    <s v="No"/>
    <n v="53"/>
    <n v="4.5"/>
    <x v="0"/>
  </r>
  <r>
    <x v="2597"/>
    <s v="Ashok Rao"/>
    <n v="67"/>
    <x v="0"/>
    <s v="A+"/>
    <s v="Pune"/>
    <d v="2024-05-24T00:00:00"/>
    <d v="2024-06-08T00:00:00"/>
    <n v="15"/>
    <x v="0"/>
    <s v="Anemia"/>
    <x v="4"/>
    <s v="Observation"/>
    <x v="1"/>
    <s v="Dr. Sameer Singh"/>
    <n v="290"/>
    <s v="Semi-Private"/>
    <x v="0"/>
    <n v="97877"/>
    <n v="50364"/>
    <n v="47513"/>
    <n v="83258"/>
    <n v="9462"/>
    <n v="2099"/>
    <s v="No"/>
    <n v="93"/>
    <n v="3.2"/>
    <x v="2"/>
  </r>
  <r>
    <x v="2598"/>
    <s v="Arjun Iyer"/>
    <n v="24"/>
    <x v="0"/>
    <s v="B+"/>
    <s v="Lucknow"/>
    <d v="2022-07-26T00:00:00"/>
    <d v="2022-08-21T00:00:00"/>
    <n v="26"/>
    <x v="1"/>
    <s v="UTI"/>
    <x v="2"/>
    <s v="Chemotherapy"/>
    <x v="0"/>
    <s v="Dr. Kavita Kumar"/>
    <n v="328"/>
    <s v="Semi-Private"/>
    <x v="1"/>
    <n v="40885"/>
    <n v="25682"/>
    <n v="15203"/>
    <n v="17502"/>
    <n v="18014"/>
    <n v="4181"/>
    <s v="Yes"/>
    <n v="65"/>
    <n v="4.0999999999999996"/>
    <x v="0"/>
  </r>
  <r>
    <x v="2599"/>
    <s v="Pooja Malhotra"/>
    <n v="38"/>
    <x v="0"/>
    <s v="AB-"/>
    <s v="Jaipur"/>
    <d v="2024-06-13T00:00:00"/>
    <d v="2024-07-10T00:00:00"/>
    <n v="27"/>
    <x v="6"/>
    <s v="Arthritis"/>
    <x v="11"/>
    <s v="Chemotherapy"/>
    <x v="2"/>
    <s v="Dr. Arun Gupta"/>
    <n v="33"/>
    <s v="General Ward"/>
    <x v="2"/>
    <n v="139313"/>
    <n v="118575"/>
    <n v="20738"/>
    <n v="110886"/>
    <n v="21222"/>
    <n v="4649"/>
    <s v="No"/>
    <n v="49"/>
    <n v="3.2"/>
    <x v="0"/>
  </r>
  <r>
    <x v="2600"/>
    <s v="Meera Singh"/>
    <n v="69"/>
    <x v="0"/>
    <s v="A+"/>
    <s v="Delhi"/>
    <d v="2023-12-04T00:00:00"/>
    <d v="2023-12-12T00:00:00"/>
    <n v="8"/>
    <x v="0"/>
    <s v="Obesity"/>
    <x v="12"/>
    <s v="Radiation Therapy"/>
    <x v="3"/>
    <s v="Dr. Arun Kumar"/>
    <n v="385"/>
    <s v="Private"/>
    <x v="2"/>
    <n v="58689"/>
    <n v="47851"/>
    <n v="10838"/>
    <n v="21931"/>
    <n v="20102"/>
    <n v="13705"/>
    <s v="No"/>
    <n v="74"/>
    <n v="3.9"/>
    <x v="3"/>
  </r>
  <r>
    <x v="2601"/>
    <s v="Rekha Kumar"/>
    <n v="66"/>
    <x v="0"/>
    <s v="B+"/>
    <s v="Kolkata"/>
    <d v="2022-06-13T00:00:00"/>
    <d v="2022-06-23T00:00:00"/>
    <n v="10"/>
    <x v="5"/>
    <s v="Pneumonia"/>
    <x v="8"/>
    <s v="Radiation Therapy"/>
    <x v="3"/>
    <s v="Dr. Arun Singh"/>
    <n v="184"/>
    <s v="General Ward"/>
    <x v="0"/>
    <n v="81626"/>
    <n v="53518"/>
    <n v="28108"/>
    <n v="48630"/>
    <n v="18165"/>
    <n v="11636"/>
    <s v="No"/>
    <n v="72"/>
    <n v="3.7"/>
    <x v="2"/>
  </r>
  <r>
    <x v="2602"/>
    <s v="Rajesh Malhotra"/>
    <n v="8"/>
    <x v="1"/>
    <s v="A+"/>
    <s v="Chennai"/>
    <d v="2023-12-09T00:00:00"/>
    <d v="2023-12-24T00:00:00"/>
    <n v="15"/>
    <x v="5"/>
    <s v="Asthma"/>
    <x v="8"/>
    <s v="Surgery"/>
    <x v="1"/>
    <s v="Dr. Arun Sharma"/>
    <n v="160"/>
    <s v="Semi-Private"/>
    <x v="4"/>
    <n v="128235"/>
    <n v="0"/>
    <n v="128235"/>
    <n v="110386"/>
    <n v="2196"/>
    <n v="14166"/>
    <s v="No"/>
    <n v="49"/>
    <n v="3.6"/>
    <x v="1"/>
  </r>
  <r>
    <x v="2603"/>
    <s v="Rohan Iyer"/>
    <n v="78"/>
    <x v="0"/>
    <s v="B+"/>
    <s v="Kolkata"/>
    <d v="2023-04-12T00:00:00"/>
    <d v="2023-04-16T00:00:00"/>
    <n v="4"/>
    <x v="0"/>
    <s v="Dengue"/>
    <x v="1"/>
    <s v="Counseling"/>
    <x v="1"/>
    <s v="Dr. Arun Nair"/>
    <n v="223"/>
    <s v="ICU"/>
    <x v="3"/>
    <n v="41770"/>
    <n v="34301"/>
    <n v="7469"/>
    <n v="18837"/>
    <n v="9799"/>
    <n v="11575"/>
    <s v="No"/>
    <n v="83"/>
    <n v="3.3"/>
    <x v="3"/>
  </r>
  <r>
    <x v="2604"/>
    <s v="Suresh Verma"/>
    <n v="40"/>
    <x v="1"/>
    <s v="AB+"/>
    <s v="Hyderabad"/>
    <d v="2022-11-03T00:00:00"/>
    <d v="2022-11-27T00:00:00"/>
    <n v="24"/>
    <x v="6"/>
    <s v="Arthritis"/>
    <x v="11"/>
    <s v="Chemotherapy"/>
    <x v="3"/>
    <s v="Dr. Shalini Nair"/>
    <n v="144"/>
    <s v="ICU"/>
    <x v="3"/>
    <n v="60442"/>
    <n v="41389"/>
    <n v="19053"/>
    <n v="25629"/>
    <n v="18620"/>
    <n v="12264"/>
    <s v="No"/>
    <n v="73"/>
    <n v="4.0999999999999996"/>
    <x v="1"/>
  </r>
  <r>
    <x v="2605"/>
    <s v="Rahul Joshi"/>
    <n v="15"/>
    <x v="1"/>
    <s v="B-"/>
    <s v="Hyderabad"/>
    <d v="2024-02-17T00:00:00"/>
    <d v="2024-02-19T00:00:00"/>
    <n v="2"/>
    <x v="1"/>
    <s v="Kidney Stone"/>
    <x v="2"/>
    <s v="Chemotherapy"/>
    <x v="0"/>
    <s v="Dr. Arun Joshi"/>
    <n v="75"/>
    <s v="ICU"/>
    <x v="0"/>
    <n v="82625"/>
    <n v="39752"/>
    <n v="42873"/>
    <n v="64192"/>
    <n v="11947"/>
    <n v="2781"/>
    <s v="No"/>
    <n v="53"/>
    <n v="3.1"/>
    <x v="3"/>
  </r>
  <r>
    <x v="2606"/>
    <s v="Kavya Das"/>
    <n v="73"/>
    <x v="0"/>
    <s v="A+"/>
    <s v="Pune"/>
    <d v="2024-08-19T00:00:00"/>
    <d v="2024-08-23T00:00:00"/>
    <n v="4"/>
    <x v="0"/>
    <s v="Anemia"/>
    <x v="4"/>
    <s v="Dietary Management"/>
    <x v="3"/>
    <s v="Dr. Anjali Kumar"/>
    <n v="470"/>
    <s v="Private"/>
    <x v="1"/>
    <n v="150200"/>
    <n v="85706"/>
    <n v="64494"/>
    <n v="134207"/>
    <n v="2464"/>
    <n v="12598"/>
    <s v="No"/>
    <n v="47"/>
    <n v="2.8"/>
    <x v="0"/>
  </r>
  <r>
    <x v="2607"/>
    <s v="Divya Nair"/>
    <n v="70"/>
    <x v="1"/>
    <s v="O-"/>
    <s v="Kolkata"/>
    <d v="2022-04-01T00:00:00"/>
    <d v="2022-04-05T00:00:00"/>
    <n v="4"/>
    <x v="0"/>
    <s v="Anemia"/>
    <x v="4"/>
    <s v="Counseling"/>
    <x v="3"/>
    <s v="Dr. Deepak Joshi"/>
    <n v="233"/>
    <s v="ICU"/>
    <x v="1"/>
    <n v="114977"/>
    <n v="56577"/>
    <n v="58400"/>
    <n v="92277"/>
    <n v="8563"/>
    <n v="12514"/>
    <s v="No"/>
    <n v="61"/>
    <n v="4.4000000000000004"/>
    <x v="0"/>
  </r>
  <r>
    <x v="2608"/>
    <s v="Suresh Patel"/>
    <n v="34"/>
    <x v="0"/>
    <s v="A-"/>
    <s v="Lucknow"/>
    <d v="2023-03-04T00:00:00"/>
    <d v="2023-03-09T00:00:00"/>
    <n v="5"/>
    <x v="3"/>
    <s v="Migraine"/>
    <x v="6"/>
    <s v="Chemotherapy"/>
    <x v="0"/>
    <s v="Dr. Prerna Kumar"/>
    <n v="370"/>
    <s v="ICU"/>
    <x v="4"/>
    <n v="85456"/>
    <n v="0"/>
    <n v="85456"/>
    <n v="39726"/>
    <n v="29423"/>
    <n v="14257"/>
    <s v="No"/>
    <n v="74"/>
    <n v="2.6"/>
    <x v="0"/>
  </r>
  <r>
    <x v="2609"/>
    <s v="Aditya Mehta"/>
    <n v="62"/>
    <x v="1"/>
    <s v="AB-"/>
    <s v="Delhi"/>
    <d v="2024-06-06T00:00:00"/>
    <d v="2024-06-17T00:00:00"/>
    <n v="11"/>
    <x v="0"/>
    <s v="Depression"/>
    <x v="5"/>
    <s v="Medication"/>
    <x v="0"/>
    <s v="Dr. Rakesh Joshi"/>
    <n v="401"/>
    <s v="General Ward"/>
    <x v="0"/>
    <n v="42637"/>
    <n v="21376"/>
    <n v="21261"/>
    <n v="15304"/>
    <n v="9235"/>
    <n v="14209"/>
    <s v="No"/>
    <n v="60"/>
    <n v="3.3"/>
    <x v="2"/>
  </r>
  <r>
    <x v="2610"/>
    <s v="Manoj Chopra"/>
    <n v="31"/>
    <x v="0"/>
    <s v="B-"/>
    <s v="Jaipur"/>
    <d v="2022-08-21T00:00:00"/>
    <d v="2022-08-28T00:00:00"/>
    <n v="7"/>
    <x v="0"/>
    <s v="Liver Disease"/>
    <x v="0"/>
    <s v="Physiotherapy"/>
    <x v="2"/>
    <s v="Dr. Kavita Sharma"/>
    <n v="464"/>
    <s v="Private"/>
    <x v="0"/>
    <n v="42055"/>
    <n v="24322"/>
    <n v="17733"/>
    <n v="30385"/>
    <n v="2856"/>
    <n v="4283"/>
    <s v="No"/>
    <n v="76"/>
    <n v="3.6"/>
    <x v="2"/>
  </r>
  <r>
    <x v="2611"/>
    <s v="Mukesh Sharma"/>
    <n v="43"/>
    <x v="0"/>
    <s v="B-"/>
    <s v="Ahmedabad"/>
    <d v="2022-04-05T00:00:00"/>
    <d v="2022-05-05T00:00:00"/>
    <n v="30"/>
    <x v="6"/>
    <s v="Fracture"/>
    <x v="10"/>
    <s v="Chemotherapy"/>
    <x v="2"/>
    <s v="Dr. Nisha Gupta"/>
    <n v="427"/>
    <s v="Semi-Private"/>
    <x v="3"/>
    <n v="168630"/>
    <n v="131383"/>
    <n v="37247"/>
    <n v="128509"/>
    <n v="24210"/>
    <n v="12569"/>
    <s v="Yes"/>
    <n v="78"/>
    <n v="2.4"/>
    <x v="0"/>
  </r>
  <r>
    <x v="2612"/>
    <s v="Vikram Menon"/>
    <n v="24"/>
    <x v="1"/>
    <s v="A-"/>
    <s v="Chennai"/>
    <d v="2023-03-05T00:00:00"/>
    <d v="2023-03-20T00:00:00"/>
    <n v="15"/>
    <x v="4"/>
    <s v="Hypertension"/>
    <x v="7"/>
    <s v="ICU Care"/>
    <x v="0"/>
    <s v="Dr. Rakesh Sharma"/>
    <n v="339"/>
    <s v="Private"/>
    <x v="2"/>
    <n v="159496"/>
    <n v="139968"/>
    <n v="19528"/>
    <n v="128863"/>
    <n v="24131"/>
    <n v="5361"/>
    <s v="Yes"/>
    <n v="54"/>
    <n v="3.8"/>
    <x v="0"/>
  </r>
  <r>
    <x v="2613"/>
    <s v="Vikram Mehta"/>
    <n v="57"/>
    <x v="0"/>
    <s v="O+"/>
    <s v="Lucknow"/>
    <d v="2023-05-06T00:00:00"/>
    <d v="2023-05-24T00:00:00"/>
    <n v="18"/>
    <x v="5"/>
    <s v="Pneumonia"/>
    <x v="8"/>
    <s v="Counseling"/>
    <x v="2"/>
    <s v="Dr. Prerna Reddy"/>
    <n v="281"/>
    <s v="General Ward"/>
    <x v="2"/>
    <n v="83185"/>
    <n v="70639"/>
    <n v="12546"/>
    <n v="62174"/>
    <n v="9183"/>
    <n v="9709"/>
    <s v="No"/>
    <n v="87"/>
    <n v="3.4"/>
    <x v="2"/>
  </r>
  <r>
    <x v="2614"/>
    <s v="Manoj Chopra"/>
    <n v="13"/>
    <x v="0"/>
    <s v="A+"/>
    <s v="Hyderabad"/>
    <d v="2024-10-18T00:00:00"/>
    <d v="2024-11-09T00:00:00"/>
    <n v="22"/>
    <x v="0"/>
    <s v="Anemia"/>
    <x v="4"/>
    <s v="Dietary Management"/>
    <x v="3"/>
    <s v="Dr. Nisha Joshi"/>
    <n v="45"/>
    <s v="Private"/>
    <x v="1"/>
    <n v="54214"/>
    <n v="21876"/>
    <n v="32338"/>
    <n v="33229"/>
    <n v="17551"/>
    <n v="2322"/>
    <s v="No"/>
    <n v="79"/>
    <n v="3.8"/>
    <x v="2"/>
  </r>
  <r>
    <x v="2615"/>
    <s v="Lata Iyer"/>
    <n v="28"/>
    <x v="1"/>
    <s v="B-"/>
    <s v="Delhi"/>
    <d v="2024-10-01T00:00:00"/>
    <d v="2024-10-25T00:00:00"/>
    <n v="24"/>
    <x v="6"/>
    <s v="Arthritis"/>
    <x v="11"/>
    <s v="ICU Care"/>
    <x v="2"/>
    <s v="Dr. Sameer Sharma"/>
    <n v="33"/>
    <s v="General Ward"/>
    <x v="1"/>
    <n v="166601"/>
    <n v="90670"/>
    <n v="75931"/>
    <n v="140756"/>
    <n v="23558"/>
    <n v="1729"/>
    <s v="No"/>
    <n v="86"/>
    <n v="4.4000000000000004"/>
    <x v="4"/>
  </r>
  <r>
    <x v="2616"/>
    <s v="Deepa Malhotra"/>
    <n v="71"/>
    <x v="1"/>
    <s v="A+"/>
    <s v="Delhi"/>
    <d v="2023-09-25T00:00:00"/>
    <d v="2023-10-04T00:00:00"/>
    <n v="9"/>
    <x v="0"/>
    <s v="Appendicitis"/>
    <x v="0"/>
    <s v="Counseling"/>
    <x v="2"/>
    <s v="Dr. Rakesh Singh"/>
    <n v="129"/>
    <s v="Semi-Private"/>
    <x v="4"/>
    <n v="93881"/>
    <n v="0"/>
    <n v="93881"/>
    <n v="70052"/>
    <n v="16917"/>
    <n v="5277"/>
    <s v="No"/>
    <n v="88"/>
    <n v="2.9"/>
    <x v="4"/>
  </r>
  <r>
    <x v="2617"/>
    <s v="Arjun Verma"/>
    <n v="75"/>
    <x v="0"/>
    <s v="AB-"/>
    <s v="Ahmedabad"/>
    <d v="2022-03-30T00:00:00"/>
    <d v="2022-04-04T00:00:00"/>
    <n v="5"/>
    <x v="3"/>
    <s v="Stroke"/>
    <x v="6"/>
    <s v="Physiotherapy"/>
    <x v="2"/>
    <s v="Dr. Prerna Sharma"/>
    <n v="309"/>
    <s v="General Ward"/>
    <x v="4"/>
    <n v="134922"/>
    <n v="0"/>
    <n v="134922"/>
    <n v="120126"/>
    <n v="3245"/>
    <n v="10284"/>
    <s v="Yes"/>
    <n v="81"/>
    <n v="2.7"/>
    <x v="0"/>
  </r>
  <r>
    <x v="2618"/>
    <s v="Sunil Iyer"/>
    <n v="27"/>
    <x v="1"/>
    <s v="O+"/>
    <s v="Delhi"/>
    <d v="2022-02-27T00:00:00"/>
    <d v="2022-03-21T00:00:00"/>
    <n v="22"/>
    <x v="5"/>
    <s v="Pneumonia"/>
    <x v="8"/>
    <s v="Physiotherapy"/>
    <x v="3"/>
    <s v="Dr. Arun Kumar"/>
    <n v="311"/>
    <s v="ICU"/>
    <x v="0"/>
    <n v="44182"/>
    <n v="23290"/>
    <n v="20892"/>
    <n v="32888"/>
    <n v="2834"/>
    <n v="6669"/>
    <s v="No"/>
    <n v="58"/>
    <n v="4.7"/>
    <x v="0"/>
  </r>
  <r>
    <x v="2619"/>
    <s v="Sunil Malhotra"/>
    <n v="60"/>
    <x v="0"/>
    <s v="A-"/>
    <s v="Ahmedabad"/>
    <d v="2024-05-25T00:00:00"/>
    <d v="2024-06-15T00:00:00"/>
    <n v="21"/>
    <x v="0"/>
    <s v="Depression"/>
    <x v="5"/>
    <s v="Physiotherapy"/>
    <x v="0"/>
    <s v="Dr. Sameer Sharma"/>
    <n v="155"/>
    <s v="Semi-Private"/>
    <x v="1"/>
    <n v="165573"/>
    <n v="97443"/>
    <n v="68130"/>
    <n v="134082"/>
    <n v="13024"/>
    <n v="13494"/>
    <s v="Yes"/>
    <n v="45"/>
    <n v="4.0999999999999996"/>
    <x v="1"/>
  </r>
  <r>
    <x v="2620"/>
    <s v="Rahul Patel"/>
    <n v="8"/>
    <x v="1"/>
    <s v="O-"/>
    <s v="Lucknow"/>
    <d v="2023-01-02T00:00:00"/>
    <d v="2023-01-09T00:00:00"/>
    <n v="7"/>
    <x v="0"/>
    <s v="Diabetes Type 2"/>
    <x v="9"/>
    <s v="ICU Care"/>
    <x v="1"/>
    <s v="Dr. Prerna Gupta"/>
    <n v="212"/>
    <s v="Semi-Private"/>
    <x v="4"/>
    <n v="55272"/>
    <n v="0"/>
    <n v="55272"/>
    <n v="36160"/>
    <n v="11485"/>
    <n v="2990"/>
    <s v="No"/>
    <n v="42"/>
    <n v="2.9"/>
    <x v="4"/>
  </r>
  <r>
    <x v="2621"/>
    <s v="Aditya Shah"/>
    <n v="40"/>
    <x v="0"/>
    <s v="A+"/>
    <s v="Pune"/>
    <d v="2022-03-30T00:00:00"/>
    <d v="2022-04-16T00:00:00"/>
    <n v="17"/>
    <x v="1"/>
    <s v="UTI"/>
    <x v="2"/>
    <s v="ICU Care"/>
    <x v="1"/>
    <s v="Dr. Anjali Sharma"/>
    <n v="469"/>
    <s v="Private"/>
    <x v="0"/>
    <n v="53479"/>
    <n v="24772"/>
    <n v="28707"/>
    <n v="18027"/>
    <n v="25893"/>
    <n v="5133"/>
    <s v="Yes"/>
    <n v="73"/>
    <n v="4.5"/>
    <x v="0"/>
  </r>
  <r>
    <x v="2622"/>
    <s v="Ritu Malhotra"/>
    <n v="47"/>
    <x v="1"/>
    <s v="AB+"/>
    <s v="Chennai"/>
    <d v="2022-11-26T00:00:00"/>
    <d v="2022-12-02T00:00:00"/>
    <n v="6"/>
    <x v="6"/>
    <s v="Arthritis"/>
    <x v="11"/>
    <s v="Dialysis"/>
    <x v="1"/>
    <s v="Dr. Kavita Reddy"/>
    <n v="348"/>
    <s v="Semi-Private"/>
    <x v="4"/>
    <n v="175396"/>
    <n v="0"/>
    <n v="175396"/>
    <n v="149703"/>
    <n v="22368"/>
    <n v="1392"/>
    <s v="No"/>
    <n v="44"/>
    <n v="2.2000000000000002"/>
    <x v="4"/>
  </r>
  <r>
    <x v="2623"/>
    <s v="Geeta Bose"/>
    <n v="6"/>
    <x v="1"/>
    <s v="B+"/>
    <s v="Chennai"/>
    <d v="2023-03-16T00:00:00"/>
    <d v="2023-03-27T00:00:00"/>
    <n v="11"/>
    <x v="0"/>
    <s v="Depression"/>
    <x v="5"/>
    <s v="Chemotherapy"/>
    <x v="3"/>
    <s v="Dr. Arun Joshi"/>
    <n v="90"/>
    <s v="ICU"/>
    <x v="4"/>
    <n v="69299"/>
    <n v="0"/>
    <n v="69299"/>
    <n v="26674"/>
    <n v="25301"/>
    <n v="13793"/>
    <s v="No"/>
    <n v="43"/>
    <n v="4.7"/>
    <x v="0"/>
  </r>
  <r>
    <x v="2624"/>
    <s v="Suresh Joshi"/>
    <n v="69"/>
    <x v="0"/>
    <s v="A+"/>
    <s v="Hyderabad"/>
    <d v="2022-07-16T00:00:00"/>
    <d v="2022-07-29T00:00:00"/>
    <n v="13"/>
    <x v="0"/>
    <s v="Appendicitis"/>
    <x v="0"/>
    <s v="Chemotherapy"/>
    <x v="3"/>
    <s v="Dr. Rakesh Reddy"/>
    <n v="415"/>
    <s v="Private"/>
    <x v="1"/>
    <n v="76319"/>
    <n v="43631"/>
    <n v="32688"/>
    <n v="34439"/>
    <n v="24434"/>
    <n v="12826"/>
    <s v="No"/>
    <n v="92"/>
    <n v="3"/>
    <x v="1"/>
  </r>
  <r>
    <x v="2625"/>
    <s v="Sunil Rao"/>
    <n v="58"/>
    <x v="0"/>
    <s v="B-"/>
    <s v="Chennai"/>
    <d v="2023-04-18T00:00:00"/>
    <d v="2023-04-20T00:00:00"/>
    <n v="2"/>
    <x v="5"/>
    <s v="Asthma"/>
    <x v="8"/>
    <s v="Chemotherapy"/>
    <x v="1"/>
    <s v="Dr. Nisha Nair"/>
    <n v="399"/>
    <s v="General Ward"/>
    <x v="1"/>
    <n v="64878"/>
    <n v="45133"/>
    <n v="19745"/>
    <n v="36009"/>
    <n v="12807"/>
    <n v="11356"/>
    <s v="No"/>
    <n v="40"/>
    <n v="4.5999999999999996"/>
    <x v="4"/>
  </r>
  <r>
    <x v="2626"/>
    <s v="Vikram Menon"/>
    <n v="24"/>
    <x v="0"/>
    <s v="A+"/>
    <s v="Lucknow"/>
    <d v="2023-07-20T00:00:00"/>
    <d v="2023-08-09T00:00:00"/>
    <n v="20"/>
    <x v="6"/>
    <s v="Fracture"/>
    <x v="10"/>
    <s v="Dialysis"/>
    <x v="2"/>
    <s v="Dr. Anjali Reddy"/>
    <n v="122"/>
    <s v="Semi-Private"/>
    <x v="2"/>
    <n v="95216"/>
    <n v="77045"/>
    <n v="18171"/>
    <n v="51181"/>
    <n v="27684"/>
    <n v="14175"/>
    <s v="No"/>
    <n v="95"/>
    <n v="4.5999999999999996"/>
    <x v="1"/>
  </r>
  <r>
    <x v="2627"/>
    <s v="Karan Pillai"/>
    <n v="48"/>
    <x v="1"/>
    <s v="B+"/>
    <s v="Bangalore"/>
    <d v="2022-01-20T00:00:00"/>
    <d v="2022-02-10T00:00:00"/>
    <n v="21"/>
    <x v="0"/>
    <s v="Depression"/>
    <x v="5"/>
    <s v="ICU Care"/>
    <x v="2"/>
    <s v="Dr. Deepak Singh"/>
    <n v="387"/>
    <s v="ICU"/>
    <x v="1"/>
    <n v="74603"/>
    <n v="31303"/>
    <n v="43300"/>
    <n v="45102"/>
    <n v="15742"/>
    <n v="10232"/>
    <s v="No"/>
    <n v="89"/>
    <n v="4.2"/>
    <x v="4"/>
  </r>
  <r>
    <x v="2628"/>
    <s v="Amit Singh"/>
    <n v="74"/>
    <x v="1"/>
    <s v="O-"/>
    <s v="Lucknow"/>
    <d v="2022-07-23T00:00:00"/>
    <d v="2022-08-01T00:00:00"/>
    <n v="9"/>
    <x v="0"/>
    <s v="Anemia"/>
    <x v="4"/>
    <s v="Physiotherapy"/>
    <x v="1"/>
    <s v="Dr. Prerna Singh"/>
    <n v="21"/>
    <s v="ICU"/>
    <x v="1"/>
    <n v="151807"/>
    <n v="60975"/>
    <n v="90832"/>
    <n v="137761"/>
    <n v="8399"/>
    <n v="4998"/>
    <s v="No"/>
    <n v="90"/>
    <n v="2.2000000000000002"/>
    <x v="4"/>
  </r>
  <r>
    <x v="2629"/>
    <s v="Rajesh Patel"/>
    <n v="17"/>
    <x v="1"/>
    <s v="B-"/>
    <s v="Delhi"/>
    <d v="2024-06-22T00:00:00"/>
    <d v="2024-07-18T00:00:00"/>
    <n v="26"/>
    <x v="2"/>
    <s v="Cancer"/>
    <x v="3"/>
    <s v="Dietary Management"/>
    <x v="0"/>
    <s v="Dr. Kavita Mehta"/>
    <n v="49"/>
    <s v="Private"/>
    <x v="4"/>
    <n v="100839"/>
    <n v="0"/>
    <n v="100839"/>
    <n v="63078"/>
    <n v="22316"/>
    <n v="12971"/>
    <s v="No"/>
    <n v="90"/>
    <n v="3.4"/>
    <x v="1"/>
  </r>
  <r>
    <x v="2630"/>
    <s v="Suresh Kumar"/>
    <n v="68"/>
    <x v="0"/>
    <s v="B+"/>
    <s v="Jaipur"/>
    <d v="2024-02-09T00:00:00"/>
    <d v="2024-02-13T00:00:00"/>
    <n v="4"/>
    <x v="4"/>
    <s v="Heart Attack"/>
    <x v="7"/>
    <s v="Dialysis"/>
    <x v="1"/>
    <s v="Dr. Arun Sharma"/>
    <n v="69"/>
    <s v="Private"/>
    <x v="1"/>
    <n v="91398"/>
    <n v="60046"/>
    <n v="31352"/>
    <n v="56726"/>
    <n v="17187"/>
    <n v="14248"/>
    <s v="Yes"/>
    <n v="54"/>
    <n v="3"/>
    <x v="3"/>
  </r>
  <r>
    <x v="2631"/>
    <s v="Ananya Gupta"/>
    <n v="76"/>
    <x v="0"/>
    <s v="O+"/>
    <s v="Mumbai"/>
    <d v="2024-12-22T00:00:00"/>
    <d v="2024-12-31T00:00:00"/>
    <n v="9"/>
    <x v="0"/>
    <s v="Typhoid"/>
    <x v="1"/>
    <s v="Radiation Therapy"/>
    <x v="3"/>
    <s v="Dr. Sameer Reddy"/>
    <n v="178"/>
    <s v="General Ward"/>
    <x v="1"/>
    <n v="55131"/>
    <n v="35360"/>
    <n v="19771"/>
    <n v="14971"/>
    <n v="24185"/>
    <n v="14164"/>
    <s v="No"/>
    <n v="47"/>
    <n v="3.9"/>
    <x v="0"/>
  </r>
  <r>
    <x v="2632"/>
    <s v="Vikram Pillai"/>
    <n v="70"/>
    <x v="0"/>
    <s v="A-"/>
    <s v="Kolkata"/>
    <d v="2023-04-22T00:00:00"/>
    <d v="2023-05-21T00:00:00"/>
    <n v="29"/>
    <x v="5"/>
    <s v="Asthma"/>
    <x v="8"/>
    <s v="Radiation Therapy"/>
    <x v="0"/>
    <s v="Dr. Shalini Mehta"/>
    <n v="249"/>
    <s v="ICU"/>
    <x v="1"/>
    <n v="91574"/>
    <n v="36787"/>
    <n v="54787"/>
    <n v="57096"/>
    <n v="21239"/>
    <n v="11505"/>
    <s v="No"/>
    <n v="45"/>
    <n v="4.5"/>
    <x v="1"/>
  </r>
  <r>
    <x v="2633"/>
    <s v="Geeta Malhotra"/>
    <n v="5"/>
    <x v="0"/>
    <s v="O-"/>
    <s v="Chennai"/>
    <d v="2023-04-19T00:00:00"/>
    <d v="2023-04-20T00:00:00"/>
    <n v="1"/>
    <x v="1"/>
    <s v="UTI"/>
    <x v="2"/>
    <s v="Dialysis"/>
    <x v="3"/>
    <s v="Dr. Deepak Patel"/>
    <n v="186"/>
    <s v="Semi-Private"/>
    <x v="3"/>
    <n v="164991"/>
    <n v="109908"/>
    <n v="55083"/>
    <n v="140397"/>
    <n v="16415"/>
    <n v="5295"/>
    <s v="No"/>
    <n v="98"/>
    <n v="4.9000000000000004"/>
    <x v="3"/>
  </r>
  <r>
    <x v="2634"/>
    <s v="Rohan Sharma"/>
    <n v="23"/>
    <x v="1"/>
    <s v="B-"/>
    <s v="Mumbai"/>
    <d v="2022-04-14T00:00:00"/>
    <d v="2022-05-02T00:00:00"/>
    <n v="18"/>
    <x v="0"/>
    <s v="Appendicitis"/>
    <x v="0"/>
    <s v="Chemotherapy"/>
    <x v="1"/>
    <s v="Dr. Prerna Patel"/>
    <n v="330"/>
    <s v="Private"/>
    <x v="2"/>
    <n v="157103"/>
    <n v="119599"/>
    <n v="37504"/>
    <n v="133863"/>
    <n v="12283"/>
    <n v="6622"/>
    <s v="No"/>
    <n v="44"/>
    <n v="4.5999999999999996"/>
    <x v="2"/>
  </r>
  <r>
    <x v="2635"/>
    <s v="Rohan Das"/>
    <n v="44"/>
    <x v="0"/>
    <s v="B-"/>
    <s v="Mumbai"/>
    <d v="2023-11-15T00:00:00"/>
    <d v="2023-11-22T00:00:00"/>
    <n v="7"/>
    <x v="1"/>
    <s v="UTI"/>
    <x v="2"/>
    <s v="Radiation Therapy"/>
    <x v="3"/>
    <s v="Dr. Nisha Sharma"/>
    <n v="406"/>
    <s v="Semi-Private"/>
    <x v="0"/>
    <n v="77222"/>
    <n v="43823"/>
    <n v="33399"/>
    <n v="43138"/>
    <n v="18309"/>
    <n v="10907"/>
    <s v="No"/>
    <n v="45"/>
    <n v="2.7"/>
    <x v="4"/>
  </r>
  <r>
    <x v="2636"/>
    <s v="Rajesh Singh"/>
    <n v="79"/>
    <x v="0"/>
    <s v="A+"/>
    <s v="Ahmedabad"/>
    <d v="2023-04-08T00:00:00"/>
    <d v="2023-05-04T00:00:00"/>
    <n v="26"/>
    <x v="5"/>
    <s v="Pneumonia"/>
    <x v="8"/>
    <s v="Surgery"/>
    <x v="3"/>
    <s v="Dr. Vivek Reddy"/>
    <n v="179"/>
    <s v="Private"/>
    <x v="4"/>
    <n v="70418"/>
    <n v="0"/>
    <n v="70418"/>
    <n v="42354"/>
    <n v="18499"/>
    <n v="5504"/>
    <s v="No"/>
    <n v="92"/>
    <n v="3.2"/>
    <x v="0"/>
  </r>
  <r>
    <x v="2637"/>
    <s v="Sunil Joshi"/>
    <n v="11"/>
    <x v="1"/>
    <s v="B+"/>
    <s v="Chennai"/>
    <d v="2024-12-11T00:00:00"/>
    <d v="2024-12-19T00:00:00"/>
    <n v="8"/>
    <x v="5"/>
    <s v="Pneumonia"/>
    <x v="8"/>
    <s v="Radiation Therapy"/>
    <x v="1"/>
    <s v="Dr. Rakesh Rao"/>
    <n v="134"/>
    <s v="Semi-Private"/>
    <x v="0"/>
    <n v="159797"/>
    <n v="71588"/>
    <n v="88209"/>
    <n v="130020"/>
    <n v="23753"/>
    <n v="5292"/>
    <s v="No"/>
    <n v="75"/>
    <n v="3"/>
    <x v="2"/>
  </r>
  <r>
    <x v="2638"/>
    <s v="Rohan Shah"/>
    <n v="76"/>
    <x v="1"/>
    <s v="B+"/>
    <s v="Chennai"/>
    <d v="2023-05-23T00:00:00"/>
    <d v="2023-05-27T00:00:00"/>
    <n v="4"/>
    <x v="4"/>
    <s v="Hypertension"/>
    <x v="7"/>
    <s v="Surgery"/>
    <x v="3"/>
    <s v="Dr. Rakesh Nair"/>
    <n v="374"/>
    <s v="General Ward"/>
    <x v="4"/>
    <n v="47739"/>
    <n v="0"/>
    <n v="47739"/>
    <n v="29356"/>
    <n v="9295"/>
    <n v="4360"/>
    <s v="No"/>
    <n v="51"/>
    <n v="3.4"/>
    <x v="4"/>
  </r>
  <r>
    <x v="2639"/>
    <s v="Rajesh Nair"/>
    <n v="79"/>
    <x v="1"/>
    <s v="O+"/>
    <s v="Hyderabad"/>
    <d v="2024-10-15T00:00:00"/>
    <d v="2024-10-18T00:00:00"/>
    <n v="3"/>
    <x v="0"/>
    <s v="Depression"/>
    <x v="5"/>
    <s v="Chemotherapy"/>
    <x v="2"/>
    <s v="Dr. Rakesh Sharma"/>
    <n v="209"/>
    <s v="Semi-Private"/>
    <x v="2"/>
    <n v="98580"/>
    <n v="65554"/>
    <n v="33026"/>
    <n v="79717"/>
    <n v="14405"/>
    <n v="2055"/>
    <s v="No"/>
    <n v="52"/>
    <n v="4.4000000000000004"/>
    <x v="2"/>
  </r>
  <r>
    <x v="2640"/>
    <s v="Meera Patel"/>
    <n v="26"/>
    <x v="0"/>
    <s v="O-"/>
    <s v="Pune"/>
    <d v="2024-03-11T00:00:00"/>
    <d v="2024-03-18T00:00:00"/>
    <n v="7"/>
    <x v="1"/>
    <s v="UTI"/>
    <x v="2"/>
    <s v="Surgery"/>
    <x v="3"/>
    <s v="Dr. Prerna Kumar"/>
    <n v="238"/>
    <s v="ICU"/>
    <x v="2"/>
    <n v="55734"/>
    <n v="42880"/>
    <n v="12854"/>
    <n v="19815"/>
    <n v="25483"/>
    <n v="7874"/>
    <s v="Yes"/>
    <n v="82"/>
    <n v="3.9"/>
    <x v="2"/>
  </r>
  <r>
    <x v="2641"/>
    <s v="Divya Khanna"/>
    <n v="58"/>
    <x v="0"/>
    <s v="B+"/>
    <s v="Jaipur"/>
    <d v="2024-01-19T00:00:00"/>
    <d v="2024-02-11T00:00:00"/>
    <n v="23"/>
    <x v="0"/>
    <s v="Appendicitis"/>
    <x v="0"/>
    <s v="Surgery"/>
    <x v="1"/>
    <s v="Dr. Deepak Mehta"/>
    <n v="393"/>
    <s v="ICU"/>
    <x v="4"/>
    <n v="121347"/>
    <n v="0"/>
    <n v="121347"/>
    <n v="88127"/>
    <n v="22551"/>
    <n v="7915"/>
    <s v="No"/>
    <n v="62"/>
    <n v="4.5999999999999996"/>
    <x v="0"/>
  </r>
  <r>
    <x v="2642"/>
    <s v="Rajesh Menon"/>
    <n v="24"/>
    <x v="0"/>
    <s v="A+"/>
    <s v="Ahmedabad"/>
    <d v="2024-05-29T00:00:00"/>
    <d v="2024-06-26T00:00:00"/>
    <n v="28"/>
    <x v="3"/>
    <s v="Stroke"/>
    <x v="6"/>
    <s v="Radiation Therapy"/>
    <x v="2"/>
    <s v="Dr. Vivek Singh"/>
    <n v="434"/>
    <s v="Semi-Private"/>
    <x v="4"/>
    <n v="87003"/>
    <n v="0"/>
    <n v="87003"/>
    <n v="65450"/>
    <n v="17235"/>
    <n v="2338"/>
    <s v="Yes"/>
    <n v="65"/>
    <n v="2.7"/>
    <x v="4"/>
  </r>
  <r>
    <x v="2643"/>
    <s v="Priya Patel"/>
    <n v="82"/>
    <x v="0"/>
    <s v="B-"/>
    <s v="Mumbai"/>
    <d v="2023-06-11T00:00:00"/>
    <d v="2023-06-17T00:00:00"/>
    <n v="6"/>
    <x v="0"/>
    <s v="Depression"/>
    <x v="5"/>
    <s v="Chemotherapy"/>
    <x v="2"/>
    <s v="Dr. Kavita Patel"/>
    <n v="26"/>
    <s v="Semi-Private"/>
    <x v="3"/>
    <n v="132958"/>
    <n v="90997"/>
    <n v="41961"/>
    <n v="99103"/>
    <n v="23544"/>
    <n v="5739"/>
    <s v="No"/>
    <n v="58"/>
    <n v="3.8"/>
    <x v="4"/>
  </r>
  <r>
    <x v="2644"/>
    <s v="Karan Bose"/>
    <n v="34"/>
    <x v="0"/>
    <s v="B+"/>
    <s v="Delhi"/>
    <d v="2024-03-30T00:00:00"/>
    <d v="2024-03-31T00:00:00"/>
    <n v="1"/>
    <x v="6"/>
    <s v="Arthritis"/>
    <x v="11"/>
    <s v="Dialysis"/>
    <x v="1"/>
    <s v="Dr. Sameer Nair"/>
    <n v="304"/>
    <s v="ICU"/>
    <x v="4"/>
    <n v="33366"/>
    <n v="0"/>
    <n v="33366"/>
    <n v="5990"/>
    <n v="21239"/>
    <n v="3970"/>
    <s v="No"/>
    <n v="100"/>
    <n v="3.8"/>
    <x v="4"/>
  </r>
  <r>
    <x v="2645"/>
    <s v="Rohan Bose"/>
    <n v="81"/>
    <x v="1"/>
    <s v="O-"/>
    <s v="Chennai"/>
    <d v="2023-11-20T00:00:00"/>
    <d v="2023-12-18T00:00:00"/>
    <n v="28"/>
    <x v="3"/>
    <s v="Migraine"/>
    <x v="6"/>
    <s v="Surgery"/>
    <x v="3"/>
    <s v="Dr. Rakesh Mehta"/>
    <n v="361"/>
    <s v="ICU"/>
    <x v="0"/>
    <n v="144849"/>
    <n v="99430"/>
    <n v="45419"/>
    <n v="113442"/>
    <n v="15895"/>
    <n v="14348"/>
    <s v="No"/>
    <n v="92"/>
    <n v="3.9"/>
    <x v="2"/>
  </r>
  <r>
    <x v="2646"/>
    <s v="Sonia Khanna"/>
    <n v="66"/>
    <x v="1"/>
    <s v="A-"/>
    <s v="Chennai"/>
    <d v="2024-06-01T00:00:00"/>
    <d v="2024-06-04T00:00:00"/>
    <n v="3"/>
    <x v="0"/>
    <s v="Obesity"/>
    <x v="12"/>
    <s v="Observation"/>
    <x v="0"/>
    <s v="Dr. Anjali Reddy"/>
    <n v="96"/>
    <s v="Semi-Private"/>
    <x v="2"/>
    <n v="164504"/>
    <n v="147461"/>
    <n v="17043"/>
    <n v="124954"/>
    <n v="22274"/>
    <n v="13108"/>
    <s v="No"/>
    <n v="91"/>
    <n v="2.2000000000000002"/>
    <x v="1"/>
  </r>
  <r>
    <x v="2647"/>
    <s v="Meera Bose"/>
    <n v="27"/>
    <x v="1"/>
    <s v="O+"/>
    <s v="Pune"/>
    <d v="2023-04-07T00:00:00"/>
    <d v="2023-05-06T00:00:00"/>
    <n v="29"/>
    <x v="2"/>
    <s v="Cancer"/>
    <x v="3"/>
    <s v="Observation"/>
    <x v="0"/>
    <s v="Dr. Shalini Patel"/>
    <n v="357"/>
    <s v="ICU"/>
    <x v="0"/>
    <n v="145404"/>
    <n v="68835"/>
    <n v="76569"/>
    <n v="125636"/>
    <n v="14067"/>
    <n v="2963"/>
    <s v="No"/>
    <n v="97"/>
    <n v="2.2000000000000002"/>
    <x v="4"/>
  </r>
  <r>
    <x v="2648"/>
    <s v="Kavya Patel"/>
    <n v="9"/>
    <x v="0"/>
    <s v="B+"/>
    <s v="Chennai"/>
    <d v="2023-03-19T00:00:00"/>
    <d v="2023-04-09T00:00:00"/>
    <n v="21"/>
    <x v="0"/>
    <s v="Depression"/>
    <x v="5"/>
    <s v="Surgery"/>
    <x v="0"/>
    <s v="Dr. Deepak Gupta"/>
    <n v="387"/>
    <s v="Semi-Private"/>
    <x v="4"/>
    <n v="135718"/>
    <n v="0"/>
    <n v="135718"/>
    <n v="114769"/>
    <n v="8241"/>
    <n v="10692"/>
    <s v="Yes"/>
    <n v="72"/>
    <n v="4.8"/>
    <x v="0"/>
  </r>
  <r>
    <x v="2649"/>
    <s v="Mukesh Kumar"/>
    <n v="54"/>
    <x v="1"/>
    <s v="AB+"/>
    <s v="Lucknow"/>
    <d v="2024-12-13T00:00:00"/>
    <d v="2024-12-29T00:00:00"/>
    <n v="16"/>
    <x v="0"/>
    <s v="COVID-19"/>
    <x v="1"/>
    <s v="ICU Care"/>
    <x v="1"/>
    <s v="Dr. Arun Kumar"/>
    <n v="433"/>
    <s v="ICU"/>
    <x v="0"/>
    <n v="111349"/>
    <n v="62021"/>
    <n v="49328"/>
    <n v="83350"/>
    <n v="10833"/>
    <n v="13292"/>
    <s v="No"/>
    <n v="40"/>
    <n v="2.1"/>
    <x v="1"/>
  </r>
  <r>
    <x v="2650"/>
    <s v="Sunil Menon"/>
    <n v="38"/>
    <x v="0"/>
    <s v="B+"/>
    <s v="Lucknow"/>
    <d v="2023-04-25T00:00:00"/>
    <d v="2023-05-23T00:00:00"/>
    <n v="28"/>
    <x v="3"/>
    <s v="Migraine"/>
    <x v="6"/>
    <s v="Observation"/>
    <x v="0"/>
    <s v="Dr. Sameer Rao"/>
    <n v="484"/>
    <s v="General Ward"/>
    <x v="1"/>
    <n v="157906"/>
    <n v="90141"/>
    <n v="67765"/>
    <n v="121626"/>
    <n v="19790"/>
    <n v="14903"/>
    <s v="No"/>
    <n v="96"/>
    <n v="3.1"/>
    <x v="4"/>
  </r>
  <r>
    <x v="2651"/>
    <s v="Geeta Bose"/>
    <n v="62"/>
    <x v="0"/>
    <s v="B-"/>
    <s v="Lucknow"/>
    <d v="2024-02-08T00:00:00"/>
    <d v="2024-02-21T00:00:00"/>
    <n v="13"/>
    <x v="2"/>
    <s v="Cancer"/>
    <x v="3"/>
    <s v="Physiotherapy"/>
    <x v="0"/>
    <s v="Dr. Kavita Joshi"/>
    <n v="6"/>
    <s v="General Ward"/>
    <x v="3"/>
    <n v="116035"/>
    <n v="69936"/>
    <n v="46099"/>
    <n v="99698"/>
    <n v="13051"/>
    <n v="683"/>
    <s v="No"/>
    <n v="47"/>
    <n v="4.0999999999999996"/>
    <x v="0"/>
  </r>
  <r>
    <x v="2652"/>
    <s v="Kavya Das"/>
    <n v="78"/>
    <x v="1"/>
    <s v="A-"/>
    <s v="Delhi"/>
    <d v="2024-07-29T00:00:00"/>
    <d v="2024-08-09T00:00:00"/>
    <n v="11"/>
    <x v="5"/>
    <s v="Pneumonia"/>
    <x v="8"/>
    <s v="Physiotherapy"/>
    <x v="1"/>
    <s v="Dr. Anjali Rao"/>
    <n v="7"/>
    <s v="ICU"/>
    <x v="3"/>
    <n v="178829"/>
    <n v="143806"/>
    <n v="35023"/>
    <n v="136735"/>
    <n v="24800"/>
    <n v="12395"/>
    <s v="Yes"/>
    <n v="73"/>
    <n v="2.5"/>
    <x v="4"/>
  </r>
  <r>
    <x v="2653"/>
    <s v="Manoj Singh"/>
    <n v="58"/>
    <x v="0"/>
    <s v="O+"/>
    <s v="Mumbai"/>
    <d v="2022-12-17T00:00:00"/>
    <d v="2023-01-04T00:00:00"/>
    <n v="18"/>
    <x v="4"/>
    <s v="Hypertension"/>
    <x v="7"/>
    <s v="Counseling"/>
    <x v="1"/>
    <s v="Dr. Sameer Mehta"/>
    <n v="464"/>
    <s v="Semi-Private"/>
    <x v="4"/>
    <n v="121577"/>
    <n v="0"/>
    <n v="121577"/>
    <n v="82118"/>
    <n v="28556"/>
    <n v="6855"/>
    <s v="Yes"/>
    <n v="84"/>
    <n v="3.2"/>
    <x v="3"/>
  </r>
  <r>
    <x v="2654"/>
    <s v="Meera Shah"/>
    <n v="76"/>
    <x v="0"/>
    <s v="AB+"/>
    <s v="Kolkata"/>
    <d v="2023-01-11T00:00:00"/>
    <d v="2023-02-08T00:00:00"/>
    <n v="28"/>
    <x v="3"/>
    <s v="Migraine"/>
    <x v="6"/>
    <s v="Radiation Therapy"/>
    <x v="1"/>
    <s v="Dr. Rakesh Reddy"/>
    <n v="279"/>
    <s v="Semi-Private"/>
    <x v="0"/>
    <n v="74812"/>
    <n v="35874"/>
    <n v="38938"/>
    <n v="51023"/>
    <n v="7478"/>
    <n v="11535"/>
    <s v="No"/>
    <n v="85"/>
    <n v="2.4"/>
    <x v="4"/>
  </r>
  <r>
    <x v="2655"/>
    <s v="Mukesh Menon"/>
    <n v="14"/>
    <x v="0"/>
    <s v="AB+"/>
    <s v="Hyderabad"/>
    <d v="2024-01-19T00:00:00"/>
    <d v="2024-02-03T00:00:00"/>
    <n v="15"/>
    <x v="0"/>
    <s v="COVID-19"/>
    <x v="1"/>
    <s v="Physiotherapy"/>
    <x v="0"/>
    <s v="Dr. Kavita Kumar"/>
    <n v="291"/>
    <s v="Private"/>
    <x v="2"/>
    <n v="142125"/>
    <n v="98065"/>
    <n v="44060"/>
    <n v="124803"/>
    <n v="1846"/>
    <n v="12339"/>
    <s v="No"/>
    <n v="88"/>
    <n v="3.9"/>
    <x v="4"/>
  </r>
  <r>
    <x v="2656"/>
    <s v="Rohan Chopra"/>
    <n v="46"/>
    <x v="1"/>
    <s v="AB+"/>
    <s v="Ahmedabad"/>
    <d v="2023-05-30T00:00:00"/>
    <d v="2023-06-28T00:00:00"/>
    <n v="29"/>
    <x v="0"/>
    <s v="Typhoid"/>
    <x v="1"/>
    <s v="Counseling"/>
    <x v="1"/>
    <s v="Dr. Vivek Joshi"/>
    <n v="277"/>
    <s v="General Ward"/>
    <x v="3"/>
    <n v="109369"/>
    <n v="89447"/>
    <n v="19922"/>
    <n v="65896"/>
    <n v="29825"/>
    <n v="12211"/>
    <s v="Yes"/>
    <n v="99"/>
    <n v="2.2000000000000002"/>
    <x v="4"/>
  </r>
  <r>
    <x v="2657"/>
    <s v="Sanjay Bose"/>
    <n v="65"/>
    <x v="0"/>
    <s v="AB+"/>
    <s v="Mumbai"/>
    <d v="2022-04-18T00:00:00"/>
    <d v="2022-04-24T00:00:00"/>
    <n v="6"/>
    <x v="4"/>
    <s v="Heart Attack"/>
    <x v="7"/>
    <s v="Medication"/>
    <x v="2"/>
    <s v="Dr. Vivek Singh"/>
    <n v="396"/>
    <s v="Semi-Private"/>
    <x v="0"/>
    <n v="150852"/>
    <n v="75893"/>
    <n v="74959"/>
    <n v="139119"/>
    <n v="6464"/>
    <n v="2736"/>
    <s v="No"/>
    <n v="41"/>
    <n v="3.8"/>
    <x v="3"/>
  </r>
  <r>
    <x v="2658"/>
    <s v="Ananya Nair"/>
    <n v="48"/>
    <x v="0"/>
    <s v="B+"/>
    <s v="Delhi"/>
    <d v="2022-10-30T00:00:00"/>
    <d v="2022-11-23T00:00:00"/>
    <n v="24"/>
    <x v="4"/>
    <s v="Hypertension"/>
    <x v="7"/>
    <s v="ICU Care"/>
    <x v="3"/>
    <s v="Dr. Arun Rao"/>
    <n v="130"/>
    <s v="General Ward"/>
    <x v="2"/>
    <n v="91440"/>
    <n v="64007"/>
    <n v="27433"/>
    <n v="54596"/>
    <n v="19651"/>
    <n v="13394"/>
    <s v="No"/>
    <n v="61"/>
    <n v="4.0999999999999996"/>
    <x v="3"/>
  </r>
  <r>
    <x v="2659"/>
    <s v="Sunil Chopra"/>
    <n v="45"/>
    <x v="0"/>
    <s v="B-"/>
    <s v="Kolkata"/>
    <d v="2023-09-13T00:00:00"/>
    <d v="2023-10-11T00:00:00"/>
    <n v="28"/>
    <x v="0"/>
    <s v="Liver Disease"/>
    <x v="0"/>
    <s v="Medication"/>
    <x v="2"/>
    <s v="Dr. Vivek Mehta"/>
    <n v="262"/>
    <s v="ICU"/>
    <x v="4"/>
    <n v="143265"/>
    <n v="0"/>
    <n v="143265"/>
    <n v="133724"/>
    <n v="6000"/>
    <n v="1472"/>
    <s v="No"/>
    <n v="46"/>
    <n v="2.9"/>
    <x v="2"/>
  </r>
  <r>
    <x v="2660"/>
    <s v="Rekha Sharma"/>
    <n v="56"/>
    <x v="1"/>
    <s v="O+"/>
    <s v="Chennai"/>
    <d v="2022-12-30T00:00:00"/>
    <d v="2023-01-16T00:00:00"/>
    <n v="17"/>
    <x v="6"/>
    <s v="Arthritis"/>
    <x v="11"/>
    <s v="Counseling"/>
    <x v="3"/>
    <s v="Dr. Anjali Sharma"/>
    <n v="308"/>
    <s v="General Ward"/>
    <x v="3"/>
    <n v="164256"/>
    <n v="109544"/>
    <n v="54712"/>
    <n v="148436"/>
    <n v="4724"/>
    <n v="9543"/>
    <s v="No"/>
    <n v="44"/>
    <n v="2.2000000000000002"/>
    <x v="1"/>
  </r>
  <r>
    <x v="2661"/>
    <s v="Sanjay Patel"/>
    <n v="68"/>
    <x v="1"/>
    <s v="A-"/>
    <s v="Chennai"/>
    <d v="2024-05-14T00:00:00"/>
    <d v="2024-05-23T00:00:00"/>
    <n v="9"/>
    <x v="0"/>
    <s v="Anemia"/>
    <x v="4"/>
    <s v="Dietary Management"/>
    <x v="1"/>
    <s v="Dr. Vivek Nair"/>
    <n v="461"/>
    <s v="ICU"/>
    <x v="1"/>
    <n v="108973"/>
    <n v="63165"/>
    <n v="45808"/>
    <n v="87343"/>
    <n v="18659"/>
    <n v="920"/>
    <s v="Yes"/>
    <n v="91"/>
    <n v="3.4"/>
    <x v="4"/>
  </r>
  <r>
    <x v="2662"/>
    <s v="Divya Patel"/>
    <n v="48"/>
    <x v="1"/>
    <s v="AB-"/>
    <s v="Pune"/>
    <d v="2022-06-05T00:00:00"/>
    <d v="2022-06-29T00:00:00"/>
    <n v="24"/>
    <x v="6"/>
    <s v="Arthritis"/>
    <x v="11"/>
    <s v="ICU Care"/>
    <x v="2"/>
    <s v="Dr. Rakesh Mehta"/>
    <n v="429"/>
    <s v="ICU"/>
    <x v="2"/>
    <n v="101864"/>
    <n v="83486"/>
    <n v="18378"/>
    <n v="65263"/>
    <n v="19624"/>
    <n v="12688"/>
    <s v="No"/>
    <n v="52"/>
    <n v="2.7"/>
    <x v="0"/>
  </r>
  <r>
    <x v="2663"/>
    <s v="Aditya Sharma"/>
    <n v="37"/>
    <x v="1"/>
    <s v="O+"/>
    <s v="Chennai"/>
    <d v="2022-12-04T00:00:00"/>
    <d v="2022-12-25T00:00:00"/>
    <n v="21"/>
    <x v="0"/>
    <s v="Anemia"/>
    <x v="4"/>
    <s v="Dialysis"/>
    <x v="3"/>
    <s v="Dr. Prerna Sharma"/>
    <n v="422"/>
    <s v="Private"/>
    <x v="0"/>
    <n v="89903"/>
    <n v="36866"/>
    <n v="53037"/>
    <n v="58803"/>
    <n v="27675"/>
    <n v="2811"/>
    <s v="No"/>
    <n v="95"/>
    <n v="4"/>
    <x v="4"/>
  </r>
  <r>
    <x v="2664"/>
    <s v="Nisha Pillai"/>
    <n v="53"/>
    <x v="1"/>
    <s v="B-"/>
    <s v="Chennai"/>
    <d v="2023-06-16T00:00:00"/>
    <d v="2023-07-04T00:00:00"/>
    <n v="18"/>
    <x v="0"/>
    <s v="Typhoid"/>
    <x v="1"/>
    <s v="Surgery"/>
    <x v="2"/>
    <s v="Dr. Rakesh Mehta"/>
    <n v="460"/>
    <s v="General Ward"/>
    <x v="2"/>
    <n v="108868"/>
    <n v="78280"/>
    <n v="30588"/>
    <n v="79639"/>
    <n v="15351"/>
    <n v="11063"/>
    <s v="No"/>
    <n v="97"/>
    <n v="3.5"/>
    <x v="2"/>
  </r>
  <r>
    <x v="2665"/>
    <s v="Manoj Verma"/>
    <n v="15"/>
    <x v="0"/>
    <s v="A-"/>
    <s v="Pune"/>
    <d v="2024-05-09T00:00:00"/>
    <d v="2024-05-12T00:00:00"/>
    <n v="3"/>
    <x v="0"/>
    <s v="COVID-19"/>
    <x v="1"/>
    <s v="Surgery"/>
    <x v="2"/>
    <s v="Dr. Rakesh Reddy"/>
    <n v="77"/>
    <s v="General Ward"/>
    <x v="1"/>
    <n v="150457"/>
    <n v="104472"/>
    <n v="45985"/>
    <n v="125110"/>
    <n v="19757"/>
    <n v="3020"/>
    <s v="No"/>
    <n v="84"/>
    <n v="3.2"/>
    <x v="3"/>
  </r>
  <r>
    <x v="2666"/>
    <s v="Sunil Nair"/>
    <n v="11"/>
    <x v="1"/>
    <s v="O-"/>
    <s v="Chennai"/>
    <d v="2022-03-18T00:00:00"/>
    <d v="2022-03-20T00:00:00"/>
    <n v="2"/>
    <x v="0"/>
    <s v="Dengue"/>
    <x v="1"/>
    <s v="Counseling"/>
    <x v="3"/>
    <s v="Dr. Prerna Gupta"/>
    <n v="80"/>
    <s v="ICU"/>
    <x v="0"/>
    <n v="90296"/>
    <n v="58061"/>
    <n v="32235"/>
    <n v="76046"/>
    <n v="2827"/>
    <n v="6906"/>
    <s v="No"/>
    <n v="54"/>
    <n v="5"/>
    <x v="2"/>
  </r>
  <r>
    <x v="2667"/>
    <s v="Karan Mehta"/>
    <n v="5"/>
    <x v="1"/>
    <s v="O-"/>
    <s v="Mumbai"/>
    <d v="2022-09-27T00:00:00"/>
    <d v="2022-10-02T00:00:00"/>
    <n v="5"/>
    <x v="0"/>
    <s v="Liver Disease"/>
    <x v="0"/>
    <s v="Chemotherapy"/>
    <x v="1"/>
    <s v="Dr. Shalini Mehta"/>
    <n v="75"/>
    <s v="General Ward"/>
    <x v="0"/>
    <n v="97878"/>
    <n v="46581"/>
    <n v="51297"/>
    <n v="59231"/>
    <n v="29785"/>
    <n v="8112"/>
    <s v="No"/>
    <n v="84"/>
    <n v="2.1"/>
    <x v="0"/>
  </r>
  <r>
    <x v="2668"/>
    <s v="Pooja Sharma"/>
    <n v="68"/>
    <x v="1"/>
    <s v="O+"/>
    <s v="Chennai"/>
    <d v="2022-03-13T00:00:00"/>
    <d v="2022-03-27T00:00:00"/>
    <n v="14"/>
    <x v="5"/>
    <s v="Pneumonia"/>
    <x v="8"/>
    <s v="Radiation Therapy"/>
    <x v="2"/>
    <s v="Dr. Rakesh Kumar"/>
    <n v="64"/>
    <s v="Semi-Private"/>
    <x v="1"/>
    <n v="136376"/>
    <n v="82123"/>
    <n v="54253"/>
    <n v="101770"/>
    <n v="28075"/>
    <n v="2414"/>
    <s v="No"/>
    <n v="74"/>
    <n v="4.2"/>
    <x v="1"/>
  </r>
  <r>
    <x v="2669"/>
    <s v="Ritu Chopra"/>
    <n v="68"/>
    <x v="1"/>
    <s v="A-"/>
    <s v="Kolkata"/>
    <d v="2022-03-23T00:00:00"/>
    <d v="2022-04-13T00:00:00"/>
    <n v="21"/>
    <x v="5"/>
    <s v="Pneumonia"/>
    <x v="8"/>
    <s v="Counseling"/>
    <x v="0"/>
    <s v="Dr. Kavita Singh"/>
    <n v="274"/>
    <s v="ICU"/>
    <x v="3"/>
    <n v="132546"/>
    <n v="84828"/>
    <n v="47718"/>
    <n v="99786"/>
    <n v="24555"/>
    <n v="6922"/>
    <s v="No"/>
    <n v="99"/>
    <n v="3.2"/>
    <x v="1"/>
  </r>
  <r>
    <x v="2670"/>
    <s v="Sonia Verma"/>
    <n v="25"/>
    <x v="1"/>
    <s v="A-"/>
    <s v="Mumbai"/>
    <d v="2023-11-10T00:00:00"/>
    <d v="2023-11-17T00:00:00"/>
    <n v="7"/>
    <x v="6"/>
    <s v="Fracture"/>
    <x v="10"/>
    <s v="Surgery"/>
    <x v="3"/>
    <s v="Dr. Vivek Joshi"/>
    <n v="242"/>
    <s v="Private"/>
    <x v="1"/>
    <n v="151456"/>
    <n v="72767"/>
    <n v="78689"/>
    <n v="121295"/>
    <n v="25720"/>
    <n v="2213"/>
    <s v="Yes"/>
    <n v="100"/>
    <n v="4.5"/>
    <x v="0"/>
  </r>
  <r>
    <x v="2671"/>
    <s v="Vikram Pillai"/>
    <n v="71"/>
    <x v="1"/>
    <s v="A+"/>
    <s v="Hyderabad"/>
    <d v="2022-12-12T00:00:00"/>
    <d v="2023-01-09T00:00:00"/>
    <n v="28"/>
    <x v="3"/>
    <s v="Stroke"/>
    <x v="6"/>
    <s v="ICU Care"/>
    <x v="2"/>
    <s v="Dr. Rakesh Gupta"/>
    <n v="318"/>
    <s v="ICU"/>
    <x v="4"/>
    <n v="116444"/>
    <n v="0"/>
    <n v="116444"/>
    <n v="98767"/>
    <n v="10502"/>
    <n v="6323"/>
    <s v="No"/>
    <n v="60"/>
    <n v="3"/>
    <x v="0"/>
  </r>
  <r>
    <x v="2672"/>
    <s v="Arjun Verma"/>
    <n v="81"/>
    <x v="1"/>
    <s v="AB+"/>
    <s v="Lucknow"/>
    <d v="2022-04-14T00:00:00"/>
    <d v="2022-04-24T00:00:00"/>
    <n v="10"/>
    <x v="2"/>
    <s v="Cancer"/>
    <x v="3"/>
    <s v="Counseling"/>
    <x v="0"/>
    <s v="Dr. Deepak Nair"/>
    <n v="277"/>
    <s v="Private"/>
    <x v="1"/>
    <n v="185463"/>
    <n v="121192"/>
    <n v="64271"/>
    <n v="147794"/>
    <n v="29387"/>
    <n v="5489"/>
    <s v="No"/>
    <n v="49"/>
    <n v="4.4000000000000004"/>
    <x v="0"/>
  </r>
  <r>
    <x v="2673"/>
    <s v="Vijay Patel"/>
    <n v="78"/>
    <x v="0"/>
    <s v="O+"/>
    <s v="Mumbai"/>
    <d v="2023-12-09T00:00:00"/>
    <d v="2023-12-31T00:00:00"/>
    <n v="22"/>
    <x v="5"/>
    <s v="Pneumonia"/>
    <x v="8"/>
    <s v="Dietary Management"/>
    <x v="1"/>
    <s v="Dr. Sameer Sharma"/>
    <n v="408"/>
    <s v="ICU"/>
    <x v="3"/>
    <n v="149308"/>
    <n v="132389"/>
    <n v="16919"/>
    <n v="135749"/>
    <n v="7356"/>
    <n v="1336"/>
    <s v="No"/>
    <n v="45"/>
    <n v="3"/>
    <x v="3"/>
  </r>
  <r>
    <x v="2674"/>
    <s v="Ananya Iyer"/>
    <n v="33"/>
    <x v="1"/>
    <s v="B-"/>
    <s v="Kolkata"/>
    <d v="2024-08-10T00:00:00"/>
    <d v="2024-08-25T00:00:00"/>
    <n v="15"/>
    <x v="0"/>
    <s v="Diabetes Type 2"/>
    <x v="9"/>
    <s v="Physiotherapy"/>
    <x v="0"/>
    <s v="Dr. Shalini Mehta"/>
    <n v="181"/>
    <s v="Semi-Private"/>
    <x v="1"/>
    <n v="103679"/>
    <n v="70604"/>
    <n v="33075"/>
    <n v="85630"/>
    <n v="4313"/>
    <n v="12055"/>
    <s v="No"/>
    <n v="77"/>
    <n v="3.9"/>
    <x v="2"/>
  </r>
  <r>
    <x v="2675"/>
    <s v="Vikram Shah"/>
    <n v="33"/>
    <x v="1"/>
    <s v="B+"/>
    <s v="Pune"/>
    <d v="2024-12-01T00:00:00"/>
    <d v="2024-12-26T00:00:00"/>
    <n v="25"/>
    <x v="0"/>
    <s v="Depression"/>
    <x v="5"/>
    <s v="Dialysis"/>
    <x v="1"/>
    <s v="Dr. Rakesh Patel"/>
    <n v="217"/>
    <s v="Semi-Private"/>
    <x v="3"/>
    <n v="88011"/>
    <n v="56204"/>
    <n v="31807"/>
    <n v="77159"/>
    <n v="6810"/>
    <n v="2746"/>
    <s v="No"/>
    <n v="45"/>
    <n v="4.2"/>
    <x v="1"/>
  </r>
  <r>
    <x v="2676"/>
    <s v="Deepa Nair"/>
    <n v="44"/>
    <x v="0"/>
    <s v="A+"/>
    <s v="Bangalore"/>
    <d v="2023-09-04T00:00:00"/>
    <d v="2023-09-29T00:00:00"/>
    <n v="25"/>
    <x v="0"/>
    <s v="Anemia"/>
    <x v="4"/>
    <s v="Medication"/>
    <x v="1"/>
    <s v="Dr. Vivek Nair"/>
    <n v="48"/>
    <s v="General Ward"/>
    <x v="3"/>
    <n v="53767"/>
    <n v="43202"/>
    <n v="10565"/>
    <n v="31814"/>
    <n v="9087"/>
    <n v="8397"/>
    <s v="No"/>
    <n v="71"/>
    <n v="2.7"/>
    <x v="0"/>
  </r>
  <r>
    <x v="2677"/>
    <s v="Rajesh Verma"/>
    <n v="17"/>
    <x v="0"/>
    <s v="AB+"/>
    <s v="Mumbai"/>
    <d v="2024-07-04T00:00:00"/>
    <d v="2024-07-11T00:00:00"/>
    <n v="7"/>
    <x v="0"/>
    <s v="Typhoid"/>
    <x v="1"/>
    <s v="Medication"/>
    <x v="3"/>
    <s v="Dr. Arun Reddy"/>
    <n v="326"/>
    <s v="Semi-Private"/>
    <x v="4"/>
    <n v="23804"/>
    <n v="0"/>
    <n v="23804"/>
    <n v="7369"/>
    <n v="10298"/>
    <n v="5470"/>
    <s v="Yes"/>
    <n v="44"/>
    <n v="3.3"/>
    <x v="1"/>
  </r>
  <r>
    <x v="2678"/>
    <s v="Pooja Mehta"/>
    <n v="44"/>
    <x v="1"/>
    <s v="AB+"/>
    <s v="Delhi"/>
    <d v="2023-07-15T00:00:00"/>
    <d v="2023-07-26T00:00:00"/>
    <n v="11"/>
    <x v="1"/>
    <s v="Kidney Stone"/>
    <x v="2"/>
    <s v="Surgery"/>
    <x v="2"/>
    <s v="Dr. Shalini Sharma"/>
    <n v="129"/>
    <s v="Semi-Private"/>
    <x v="2"/>
    <n v="77647"/>
    <n v="66895"/>
    <n v="10752"/>
    <n v="46802"/>
    <n v="18330"/>
    <n v="7623"/>
    <s v="No"/>
    <n v="68"/>
    <n v="3"/>
    <x v="1"/>
  </r>
  <r>
    <x v="2679"/>
    <s v="Karan Menon"/>
    <n v="69"/>
    <x v="1"/>
    <s v="AB+"/>
    <s v="Chennai"/>
    <d v="2023-02-27T00:00:00"/>
    <d v="2023-03-24T00:00:00"/>
    <n v="25"/>
    <x v="5"/>
    <s v="Pneumonia"/>
    <x v="8"/>
    <s v="Dietary Management"/>
    <x v="3"/>
    <s v="Dr. Deepak Patel"/>
    <n v="209"/>
    <s v="Private"/>
    <x v="0"/>
    <n v="67903"/>
    <n v="41172"/>
    <n v="26731"/>
    <n v="27385"/>
    <n v="29965"/>
    <n v="10040"/>
    <s v="No"/>
    <n v="92"/>
    <n v="2.1"/>
    <x v="1"/>
  </r>
  <r>
    <x v="2680"/>
    <s v="Karan Kumar"/>
    <n v="70"/>
    <x v="0"/>
    <s v="A+"/>
    <s v="Bangalore"/>
    <d v="2024-09-02T00:00:00"/>
    <d v="2024-09-25T00:00:00"/>
    <n v="23"/>
    <x v="2"/>
    <s v="Cancer"/>
    <x v="3"/>
    <s v="Physiotherapy"/>
    <x v="3"/>
    <s v="Dr. Vivek Gupta"/>
    <n v="276"/>
    <s v="Semi-Private"/>
    <x v="2"/>
    <n v="125517"/>
    <n v="85861"/>
    <n v="39656"/>
    <n v="84908"/>
    <n v="23604"/>
    <n v="13326"/>
    <s v="No"/>
    <n v="41"/>
    <n v="3.5"/>
    <x v="0"/>
  </r>
  <r>
    <x v="2681"/>
    <s v="Geeta Joshi"/>
    <n v="35"/>
    <x v="1"/>
    <s v="O+"/>
    <s v="Chennai"/>
    <d v="2024-04-21T00:00:00"/>
    <d v="2024-05-18T00:00:00"/>
    <n v="27"/>
    <x v="0"/>
    <s v="Obesity"/>
    <x v="12"/>
    <s v="Dialysis"/>
    <x v="0"/>
    <s v="Dr. Anjali Reddy"/>
    <n v="486"/>
    <s v="Semi-Private"/>
    <x v="0"/>
    <n v="146675"/>
    <n v="85267"/>
    <n v="61408"/>
    <n v="133994"/>
    <n v="6143"/>
    <n v="4689"/>
    <s v="No"/>
    <n v="55"/>
    <n v="2.7"/>
    <x v="1"/>
  </r>
  <r>
    <x v="2682"/>
    <s v="Aditya Chopra"/>
    <n v="14"/>
    <x v="0"/>
    <s v="O+"/>
    <s v="Kolkata"/>
    <d v="2022-02-11T00:00:00"/>
    <d v="2022-02-23T00:00:00"/>
    <n v="12"/>
    <x v="3"/>
    <s v="Migraine"/>
    <x v="6"/>
    <s v="Physiotherapy"/>
    <x v="0"/>
    <s v="Dr. Rakesh Kumar"/>
    <n v="14"/>
    <s v="Private"/>
    <x v="3"/>
    <n v="132773"/>
    <n v="94894"/>
    <n v="37879"/>
    <n v="98984"/>
    <n v="22832"/>
    <n v="9082"/>
    <s v="No"/>
    <n v="96"/>
    <n v="3.3"/>
    <x v="0"/>
  </r>
  <r>
    <x v="2683"/>
    <s v="Sneha Mehta"/>
    <n v="40"/>
    <x v="1"/>
    <s v="A-"/>
    <s v="Bangalore"/>
    <d v="2023-11-26T00:00:00"/>
    <d v="2023-12-14T00:00:00"/>
    <n v="18"/>
    <x v="0"/>
    <s v="Diabetes Type 2"/>
    <x v="9"/>
    <s v="ICU Care"/>
    <x v="0"/>
    <s v="Dr. Sameer Patel"/>
    <n v="307"/>
    <s v="ICU"/>
    <x v="4"/>
    <n v="149117"/>
    <n v="0"/>
    <n v="149117"/>
    <n v="129603"/>
    <n v="15281"/>
    <n v="1278"/>
    <s v="No"/>
    <n v="43"/>
    <n v="2.9"/>
    <x v="1"/>
  </r>
  <r>
    <x v="2684"/>
    <s v="Sneha Rao"/>
    <n v="23"/>
    <x v="0"/>
    <s v="O-"/>
    <s v="Kolkata"/>
    <d v="2022-11-14T00:00:00"/>
    <d v="2022-11-28T00:00:00"/>
    <n v="14"/>
    <x v="6"/>
    <s v="Fracture"/>
    <x v="10"/>
    <s v="Medication"/>
    <x v="3"/>
    <s v="Dr. Vivek Singh"/>
    <n v="127"/>
    <s v="General Ward"/>
    <x v="2"/>
    <n v="136046"/>
    <n v="118351"/>
    <n v="17695"/>
    <n v="119998"/>
    <n v="6249"/>
    <n v="5506"/>
    <s v="No"/>
    <n v="84"/>
    <n v="2"/>
    <x v="1"/>
  </r>
  <r>
    <x v="2685"/>
    <s v="Vijay Mehta"/>
    <n v="14"/>
    <x v="1"/>
    <s v="AB-"/>
    <s v="Jaipur"/>
    <d v="2023-03-06T00:00:00"/>
    <d v="2023-03-21T00:00:00"/>
    <n v="15"/>
    <x v="1"/>
    <s v="UTI"/>
    <x v="2"/>
    <s v="Observation"/>
    <x v="0"/>
    <s v="Dr. Shalini Reddy"/>
    <n v="253"/>
    <s v="ICU"/>
    <x v="3"/>
    <n v="79698"/>
    <n v="69207"/>
    <n v="10491"/>
    <n v="53611"/>
    <n v="10998"/>
    <n v="13146"/>
    <s v="No"/>
    <n v="72"/>
    <n v="2.9"/>
    <x v="3"/>
  </r>
  <r>
    <x v="2686"/>
    <s v="Ananya Pillai"/>
    <n v="67"/>
    <x v="0"/>
    <s v="A-"/>
    <s v="Bangalore"/>
    <d v="2024-10-30T00:00:00"/>
    <d v="2024-11-04T00:00:00"/>
    <n v="5"/>
    <x v="0"/>
    <s v="Anemia"/>
    <x v="4"/>
    <s v="Physiotherapy"/>
    <x v="3"/>
    <s v="Dr. Shalini Rao"/>
    <n v="444"/>
    <s v="ICU"/>
    <x v="3"/>
    <n v="121460"/>
    <n v="75545"/>
    <n v="45915"/>
    <n v="80122"/>
    <n v="22584"/>
    <n v="14117"/>
    <s v="No"/>
    <n v="94"/>
    <n v="2.1"/>
    <x v="0"/>
  </r>
  <r>
    <x v="2687"/>
    <s v="Sneha Joshi"/>
    <n v="63"/>
    <x v="0"/>
    <s v="AB+"/>
    <s v="Delhi"/>
    <d v="2022-01-22T00:00:00"/>
    <d v="2022-02-01T00:00:00"/>
    <n v="10"/>
    <x v="0"/>
    <s v="Diabetes Type 2"/>
    <x v="9"/>
    <s v="Observation"/>
    <x v="0"/>
    <s v="Dr. Kavita Mehta"/>
    <n v="166"/>
    <s v="ICU"/>
    <x v="1"/>
    <n v="95244"/>
    <n v="48910"/>
    <n v="46334"/>
    <n v="74762"/>
    <n v="18060"/>
    <n v="1675"/>
    <s v="No"/>
    <n v="69"/>
    <n v="2.2000000000000002"/>
    <x v="4"/>
  </r>
  <r>
    <x v="2688"/>
    <s v="Nisha Chopra"/>
    <n v="83"/>
    <x v="1"/>
    <s v="AB+"/>
    <s v="Pune"/>
    <d v="2022-05-23T00:00:00"/>
    <d v="2022-06-22T00:00:00"/>
    <n v="30"/>
    <x v="4"/>
    <s v="Heart Attack"/>
    <x v="7"/>
    <s v="ICU Care"/>
    <x v="3"/>
    <s v="Dr. Prerna Kumar"/>
    <n v="406"/>
    <s v="Semi-Private"/>
    <x v="1"/>
    <n v="49824"/>
    <n v="26224"/>
    <n v="23600"/>
    <n v="11903"/>
    <n v="24895"/>
    <n v="8421"/>
    <s v="No"/>
    <n v="69"/>
    <n v="4.3"/>
    <x v="3"/>
  </r>
  <r>
    <x v="2689"/>
    <s v="Sneha Khanna"/>
    <n v="79"/>
    <x v="0"/>
    <s v="B+"/>
    <s v="Mumbai"/>
    <d v="2022-11-06T00:00:00"/>
    <d v="2022-11-28T00:00:00"/>
    <n v="22"/>
    <x v="2"/>
    <s v="Cancer"/>
    <x v="3"/>
    <s v="Observation"/>
    <x v="2"/>
    <s v="Dr. Anjali Sharma"/>
    <n v="205"/>
    <s v="Private"/>
    <x v="0"/>
    <n v="49922"/>
    <n v="28057"/>
    <n v="21865"/>
    <n v="23915"/>
    <n v="7829"/>
    <n v="13810"/>
    <s v="No"/>
    <n v="64"/>
    <n v="4.0999999999999996"/>
    <x v="2"/>
  </r>
  <r>
    <x v="2690"/>
    <s v="Amit Rao"/>
    <n v="33"/>
    <x v="0"/>
    <s v="A-"/>
    <s v="Bangalore"/>
    <d v="2022-02-09T00:00:00"/>
    <d v="2022-02-19T00:00:00"/>
    <n v="10"/>
    <x v="1"/>
    <s v="Kidney Stone"/>
    <x v="2"/>
    <s v="Dietary Management"/>
    <x v="0"/>
    <s v="Dr. Kavita Nair"/>
    <n v="182"/>
    <s v="Private"/>
    <x v="0"/>
    <n v="124290"/>
    <n v="62377"/>
    <n v="61913"/>
    <n v="81053"/>
    <n v="27771"/>
    <n v="14573"/>
    <s v="Yes"/>
    <n v="57"/>
    <n v="4.5"/>
    <x v="3"/>
  </r>
  <r>
    <x v="2691"/>
    <s v="Geeta Sharma"/>
    <n v="56"/>
    <x v="0"/>
    <s v="AB+"/>
    <s v="Mumbai"/>
    <d v="2024-02-04T00:00:00"/>
    <d v="2024-02-22T00:00:00"/>
    <n v="18"/>
    <x v="6"/>
    <s v="Arthritis"/>
    <x v="11"/>
    <s v="Dietary Management"/>
    <x v="3"/>
    <s v="Dr. Shalini Mehta"/>
    <n v="329"/>
    <s v="Private"/>
    <x v="0"/>
    <n v="151718"/>
    <n v="89180"/>
    <n v="62538"/>
    <n v="137094"/>
    <n v="3792"/>
    <n v="6019"/>
    <s v="No"/>
    <n v="49"/>
    <n v="4.8"/>
    <x v="4"/>
  </r>
  <r>
    <x v="2692"/>
    <s v="Priya Joshi"/>
    <n v="19"/>
    <x v="1"/>
    <s v="AB+"/>
    <s v="Jaipur"/>
    <d v="2024-03-10T00:00:00"/>
    <d v="2024-03-23T00:00:00"/>
    <n v="13"/>
    <x v="0"/>
    <s v="Diabetes Type 2"/>
    <x v="9"/>
    <s v="Counseling"/>
    <x v="2"/>
    <s v="Dr. Deepak Patel"/>
    <n v="132"/>
    <s v="ICU"/>
    <x v="4"/>
    <n v="160630"/>
    <n v="0"/>
    <n v="160630"/>
    <n v="118901"/>
    <n v="29189"/>
    <n v="11266"/>
    <s v="No"/>
    <n v="70"/>
    <n v="3.7"/>
    <x v="1"/>
  </r>
  <r>
    <x v="2693"/>
    <s v="Rohan Pillai"/>
    <n v="29"/>
    <x v="0"/>
    <s v="A-"/>
    <s v="Delhi"/>
    <d v="2023-10-10T00:00:00"/>
    <d v="2023-10-18T00:00:00"/>
    <n v="8"/>
    <x v="0"/>
    <s v="Depression"/>
    <x v="5"/>
    <s v="Chemotherapy"/>
    <x v="0"/>
    <s v="Dr. Vivek Singh"/>
    <n v="146"/>
    <s v="Semi-Private"/>
    <x v="4"/>
    <n v="158703"/>
    <n v="0"/>
    <n v="158703"/>
    <n v="127244"/>
    <n v="23967"/>
    <n v="5119"/>
    <s v="Yes"/>
    <n v="58"/>
    <n v="3.9"/>
    <x v="4"/>
  </r>
  <r>
    <x v="2694"/>
    <s v="Sunil Pillai"/>
    <n v="39"/>
    <x v="0"/>
    <s v="AB+"/>
    <s v="Kolkata"/>
    <d v="2022-05-13T00:00:00"/>
    <d v="2022-05-17T00:00:00"/>
    <n v="4"/>
    <x v="0"/>
    <s v="Dengue"/>
    <x v="1"/>
    <s v="Observation"/>
    <x v="1"/>
    <s v="Dr. Vivek Sharma"/>
    <n v="306"/>
    <s v="ICU"/>
    <x v="4"/>
    <n v="45585"/>
    <n v="0"/>
    <n v="45585"/>
    <n v="20082"/>
    <n v="13126"/>
    <n v="7688"/>
    <s v="No"/>
    <n v="67"/>
    <n v="3.3"/>
    <x v="3"/>
  </r>
  <r>
    <x v="2695"/>
    <s v="Meera Pillai"/>
    <n v="25"/>
    <x v="0"/>
    <s v="A-"/>
    <s v="Hyderabad"/>
    <d v="2024-08-22T00:00:00"/>
    <d v="2024-08-30T00:00:00"/>
    <n v="8"/>
    <x v="4"/>
    <s v="Hypertension"/>
    <x v="7"/>
    <s v="Dialysis"/>
    <x v="1"/>
    <s v="Dr. Sameer Gupta"/>
    <n v="307"/>
    <s v="ICU"/>
    <x v="0"/>
    <n v="144831"/>
    <n v="93725"/>
    <n v="51106"/>
    <n v="135081"/>
    <n v="7629"/>
    <n v="705"/>
    <s v="No"/>
    <n v="67"/>
    <n v="3.9"/>
    <x v="0"/>
  </r>
  <r>
    <x v="2696"/>
    <s v="Deepa Chopra"/>
    <n v="52"/>
    <x v="1"/>
    <s v="A-"/>
    <s v="Ahmedabad"/>
    <d v="2023-08-22T00:00:00"/>
    <d v="2023-09-19T00:00:00"/>
    <n v="28"/>
    <x v="1"/>
    <s v="Kidney Stone"/>
    <x v="2"/>
    <s v="ICU Care"/>
    <x v="3"/>
    <s v="Dr. Kavita Nair"/>
    <n v="217"/>
    <s v="Private"/>
    <x v="4"/>
    <n v="98214"/>
    <n v="0"/>
    <n v="98214"/>
    <n v="64333"/>
    <n v="23564"/>
    <n v="9633"/>
    <s v="No"/>
    <n v="96"/>
    <n v="3.6"/>
    <x v="3"/>
  </r>
  <r>
    <x v="2697"/>
    <s v="Ashok Rao"/>
    <n v="52"/>
    <x v="0"/>
    <s v="O-"/>
    <s v="Pune"/>
    <d v="2024-07-19T00:00:00"/>
    <d v="2024-07-26T00:00:00"/>
    <n v="7"/>
    <x v="0"/>
    <s v="Depression"/>
    <x v="5"/>
    <s v="ICU Care"/>
    <x v="0"/>
    <s v="Dr. Anjali Rao"/>
    <n v="481"/>
    <s v="ICU"/>
    <x v="0"/>
    <n v="157526"/>
    <n v="66974"/>
    <n v="90552"/>
    <n v="143783"/>
    <n v="3635"/>
    <n v="6132"/>
    <s v="No"/>
    <n v="48"/>
    <n v="5"/>
    <x v="2"/>
  </r>
  <r>
    <x v="2698"/>
    <s v="Rekha Joshi"/>
    <n v="66"/>
    <x v="0"/>
    <s v="B-"/>
    <s v="Lucknow"/>
    <d v="2022-07-04T00:00:00"/>
    <d v="2022-07-17T00:00:00"/>
    <n v="13"/>
    <x v="0"/>
    <s v="Liver Disease"/>
    <x v="0"/>
    <s v="Dietary Management"/>
    <x v="0"/>
    <s v="Dr. Kavita Rao"/>
    <n v="231"/>
    <s v="ICU"/>
    <x v="1"/>
    <n v="165380"/>
    <n v="84334"/>
    <n v="81046"/>
    <n v="126589"/>
    <n v="23275"/>
    <n v="11876"/>
    <s v="No"/>
    <n v="58"/>
    <n v="5"/>
    <x v="4"/>
  </r>
  <r>
    <x v="2699"/>
    <s v="Sneha Pillai"/>
    <n v="15"/>
    <x v="0"/>
    <s v="O-"/>
    <s v="Chennai"/>
    <d v="2023-06-30T00:00:00"/>
    <d v="2023-07-02T00:00:00"/>
    <n v="2"/>
    <x v="0"/>
    <s v="Obesity"/>
    <x v="12"/>
    <s v="Surgery"/>
    <x v="0"/>
    <s v="Dr. Nisha Patel"/>
    <n v="45"/>
    <s v="ICU"/>
    <x v="4"/>
    <n v="139813"/>
    <n v="0"/>
    <n v="139813"/>
    <n v="114883"/>
    <n v="8148"/>
    <n v="13963"/>
    <s v="No"/>
    <n v="43"/>
    <n v="3.2"/>
    <x v="2"/>
  </r>
  <r>
    <x v="2700"/>
    <s v="Sneha Patel"/>
    <n v="80"/>
    <x v="1"/>
    <s v="AB+"/>
    <s v="Bangalore"/>
    <d v="2024-06-06T00:00:00"/>
    <d v="2024-06-26T00:00:00"/>
    <n v="20"/>
    <x v="0"/>
    <s v="Anemia"/>
    <x v="4"/>
    <s v="Observation"/>
    <x v="0"/>
    <s v="Dr. Sameer Gupta"/>
    <n v="404"/>
    <s v="Semi-Private"/>
    <x v="0"/>
    <n v="94167"/>
    <n v="48382"/>
    <n v="45785"/>
    <n v="50901"/>
    <n v="27530"/>
    <n v="13780"/>
    <s v="No"/>
    <n v="71"/>
    <n v="2.6"/>
    <x v="0"/>
  </r>
  <r>
    <x v="2701"/>
    <s v="Pooja Das"/>
    <n v="27"/>
    <x v="0"/>
    <s v="B-"/>
    <s v="Kolkata"/>
    <d v="2024-10-21T00:00:00"/>
    <d v="2024-10-24T00:00:00"/>
    <n v="3"/>
    <x v="5"/>
    <s v="Pneumonia"/>
    <x v="8"/>
    <s v="Medication"/>
    <x v="0"/>
    <s v="Dr. Anjali Nair"/>
    <n v="353"/>
    <s v="ICU"/>
    <x v="0"/>
    <n v="137689"/>
    <n v="94940"/>
    <n v="42749"/>
    <n v="115651"/>
    <n v="16029"/>
    <n v="2475"/>
    <s v="No"/>
    <n v="80"/>
    <n v="2.9"/>
    <x v="4"/>
  </r>
  <r>
    <x v="2702"/>
    <s v="Lata Sharma"/>
    <n v="14"/>
    <x v="1"/>
    <s v="B-"/>
    <s v="Lucknow"/>
    <d v="2023-06-08T00:00:00"/>
    <d v="2023-06-30T00:00:00"/>
    <n v="22"/>
    <x v="1"/>
    <s v="Kidney Stone"/>
    <x v="2"/>
    <s v="Surgery"/>
    <x v="0"/>
    <s v="Dr. Rakesh Joshi"/>
    <n v="14"/>
    <s v="ICU"/>
    <x v="2"/>
    <n v="103997"/>
    <n v="82363"/>
    <n v="21634"/>
    <n v="97063"/>
    <n v="2381"/>
    <n v="518"/>
    <s v="No"/>
    <n v="62"/>
    <n v="4.7"/>
    <x v="0"/>
  </r>
  <r>
    <x v="2703"/>
    <s v="Amit Mehta"/>
    <n v="11"/>
    <x v="1"/>
    <s v="O+"/>
    <s v="Pune"/>
    <d v="2024-02-06T00:00:00"/>
    <d v="2024-02-22T00:00:00"/>
    <n v="16"/>
    <x v="6"/>
    <s v="Arthritis"/>
    <x v="11"/>
    <s v="Counseling"/>
    <x v="3"/>
    <s v="Dr. Shalini Mehta"/>
    <n v="77"/>
    <s v="Semi-Private"/>
    <x v="0"/>
    <n v="37056"/>
    <n v="25126"/>
    <n v="11930"/>
    <n v="18697"/>
    <n v="1604"/>
    <n v="13103"/>
    <s v="No"/>
    <n v="83"/>
    <n v="3.9"/>
    <x v="4"/>
  </r>
  <r>
    <x v="2704"/>
    <s v="Rajesh Malhotra"/>
    <n v="44"/>
    <x v="1"/>
    <s v="O+"/>
    <s v="Hyderabad"/>
    <d v="2022-10-05T00:00:00"/>
    <d v="2022-10-26T00:00:00"/>
    <n v="21"/>
    <x v="0"/>
    <s v="Diabetes Type 2"/>
    <x v="9"/>
    <s v="Counseling"/>
    <x v="1"/>
    <s v="Dr. Kavita Singh"/>
    <n v="485"/>
    <s v="Semi-Private"/>
    <x v="2"/>
    <n v="143102"/>
    <n v="122265"/>
    <n v="20837"/>
    <n v="104238"/>
    <n v="25035"/>
    <n v="9502"/>
    <s v="No"/>
    <n v="99"/>
    <n v="3.5"/>
    <x v="1"/>
  </r>
  <r>
    <x v="2705"/>
    <s v="Ashok Khanna"/>
    <n v="58"/>
    <x v="0"/>
    <s v="A+"/>
    <s v="Jaipur"/>
    <d v="2022-09-05T00:00:00"/>
    <d v="2022-10-01T00:00:00"/>
    <n v="26"/>
    <x v="0"/>
    <s v="Typhoid"/>
    <x v="1"/>
    <s v="Observation"/>
    <x v="2"/>
    <s v="Dr. Prerna Patel"/>
    <n v="490"/>
    <s v="ICU"/>
    <x v="3"/>
    <n v="44489"/>
    <n v="30233"/>
    <n v="14256"/>
    <n v="33492"/>
    <n v="5811"/>
    <n v="4353"/>
    <s v="No"/>
    <n v="72"/>
    <n v="2.7"/>
    <x v="4"/>
  </r>
  <r>
    <x v="2706"/>
    <s v="Lata Shah"/>
    <n v="82"/>
    <x v="1"/>
    <s v="A-"/>
    <s v="Kolkata"/>
    <d v="2024-04-30T00:00:00"/>
    <d v="2024-05-12T00:00:00"/>
    <n v="12"/>
    <x v="0"/>
    <s v="Depression"/>
    <x v="5"/>
    <s v="Chemotherapy"/>
    <x v="0"/>
    <s v="Dr. Vivek Mehta"/>
    <n v="86"/>
    <s v="Semi-Private"/>
    <x v="2"/>
    <n v="176378"/>
    <n v="142065"/>
    <n v="34313"/>
    <n v="147389"/>
    <n v="13325"/>
    <n v="14649"/>
    <s v="Yes"/>
    <n v="55"/>
    <n v="4.5999999999999996"/>
    <x v="1"/>
  </r>
  <r>
    <x v="2707"/>
    <s v="Aditya Iyer"/>
    <n v="53"/>
    <x v="1"/>
    <s v="O+"/>
    <s v="Ahmedabad"/>
    <d v="2023-02-02T00:00:00"/>
    <d v="2023-03-03T00:00:00"/>
    <n v="29"/>
    <x v="1"/>
    <s v="UTI"/>
    <x v="2"/>
    <s v="Counseling"/>
    <x v="1"/>
    <s v="Dr. Rakesh Joshi"/>
    <n v="4"/>
    <s v="Semi-Private"/>
    <x v="4"/>
    <n v="137356"/>
    <n v="0"/>
    <n v="137356"/>
    <n v="121371"/>
    <n v="10895"/>
    <n v="753"/>
    <s v="No"/>
    <n v="94"/>
    <n v="2.9"/>
    <x v="2"/>
  </r>
  <r>
    <x v="2708"/>
    <s v="Deepa Rao"/>
    <n v="41"/>
    <x v="1"/>
    <s v="AB-"/>
    <s v="Pune"/>
    <d v="2024-02-11T00:00:00"/>
    <d v="2024-02-25T00:00:00"/>
    <n v="14"/>
    <x v="3"/>
    <s v="Migraine"/>
    <x v="6"/>
    <s v="Dietary Management"/>
    <x v="0"/>
    <s v="Dr. Sameer Patel"/>
    <n v="114"/>
    <s v="Semi-Private"/>
    <x v="0"/>
    <n v="80870"/>
    <n v="35127"/>
    <n v="45743"/>
    <n v="52336"/>
    <n v="21334"/>
    <n v="6619"/>
    <s v="No"/>
    <n v="94"/>
    <n v="3.8"/>
    <x v="4"/>
  </r>
  <r>
    <x v="2709"/>
    <s v="Rahul Patel"/>
    <n v="29"/>
    <x v="1"/>
    <s v="A-"/>
    <s v="Kolkata"/>
    <d v="2023-11-27T00:00:00"/>
    <d v="2023-12-25T00:00:00"/>
    <n v="28"/>
    <x v="6"/>
    <s v="Arthritis"/>
    <x v="11"/>
    <s v="Counseling"/>
    <x v="0"/>
    <s v="Dr. Sameer Joshi"/>
    <n v="343"/>
    <s v="ICU"/>
    <x v="2"/>
    <n v="117792"/>
    <n v="92584"/>
    <n v="25208"/>
    <n v="92028"/>
    <n v="22587"/>
    <n v="1740"/>
    <s v="No"/>
    <n v="74"/>
    <n v="2.6"/>
    <x v="3"/>
  </r>
  <r>
    <x v="2710"/>
    <s v="Divya Sharma"/>
    <n v="39"/>
    <x v="0"/>
    <s v="A-"/>
    <s v="Kolkata"/>
    <d v="2024-08-20T00:00:00"/>
    <d v="2024-09-16T00:00:00"/>
    <n v="27"/>
    <x v="4"/>
    <s v="Heart Attack"/>
    <x v="7"/>
    <s v="Surgery"/>
    <x v="2"/>
    <s v="Dr. Arun Singh"/>
    <n v="67"/>
    <s v="General Ward"/>
    <x v="2"/>
    <n v="125914"/>
    <n v="81595"/>
    <n v="44319"/>
    <n v="100851"/>
    <n v="20192"/>
    <n v="1506"/>
    <s v="No"/>
    <n v="45"/>
    <n v="4.3"/>
    <x v="4"/>
  </r>
  <r>
    <x v="2711"/>
    <s v="Mukesh Chopra"/>
    <n v="49"/>
    <x v="0"/>
    <s v="AB-"/>
    <s v="Bangalore"/>
    <d v="2023-01-16T00:00:00"/>
    <d v="2023-01-25T00:00:00"/>
    <n v="9"/>
    <x v="0"/>
    <s v="Appendicitis"/>
    <x v="0"/>
    <s v="Counseling"/>
    <x v="0"/>
    <s v="Dr. Nisha Sharma"/>
    <n v="359"/>
    <s v="Semi-Private"/>
    <x v="1"/>
    <n v="94623"/>
    <n v="64512"/>
    <n v="30111"/>
    <n v="86853"/>
    <n v="5091"/>
    <n v="1394"/>
    <s v="No"/>
    <n v="91"/>
    <n v="4.5999999999999996"/>
    <x v="0"/>
  </r>
  <r>
    <x v="2712"/>
    <s v="Rajesh Joshi"/>
    <n v="25"/>
    <x v="1"/>
    <s v="O+"/>
    <s v="Lucknow"/>
    <d v="2022-12-31T00:00:00"/>
    <d v="2023-01-23T00:00:00"/>
    <n v="23"/>
    <x v="5"/>
    <s v="Asthma"/>
    <x v="8"/>
    <s v="Dialysis"/>
    <x v="1"/>
    <s v="Dr. Vivek Joshi"/>
    <n v="475"/>
    <s v="General Ward"/>
    <x v="4"/>
    <n v="79257"/>
    <n v="0"/>
    <n v="79257"/>
    <n v="51340"/>
    <n v="23722"/>
    <n v="2596"/>
    <s v="Yes"/>
    <n v="77"/>
    <n v="3.5"/>
    <x v="4"/>
  </r>
  <r>
    <x v="2713"/>
    <s v="Manoj Nair"/>
    <n v="74"/>
    <x v="0"/>
    <s v="A-"/>
    <s v="Jaipur"/>
    <d v="2023-01-21T00:00:00"/>
    <d v="2023-02-14T00:00:00"/>
    <n v="24"/>
    <x v="0"/>
    <s v="Depression"/>
    <x v="5"/>
    <s v="ICU Care"/>
    <x v="3"/>
    <s v="Dr. Shalini Patel"/>
    <n v="151"/>
    <s v="Semi-Private"/>
    <x v="0"/>
    <n v="58382"/>
    <n v="26338"/>
    <n v="32044"/>
    <n v="24495"/>
    <n v="27061"/>
    <n v="2373"/>
    <s v="No"/>
    <n v="87"/>
    <n v="2.2000000000000002"/>
    <x v="1"/>
  </r>
  <r>
    <x v="2714"/>
    <s v="Rahul Das"/>
    <n v="27"/>
    <x v="1"/>
    <s v="A+"/>
    <s v="Jaipur"/>
    <d v="2024-04-27T00:00:00"/>
    <d v="2024-05-01T00:00:00"/>
    <n v="4"/>
    <x v="0"/>
    <s v="COVID-19"/>
    <x v="1"/>
    <s v="Medication"/>
    <x v="0"/>
    <s v="Dr. Prerna Reddy"/>
    <n v="175"/>
    <s v="Semi-Private"/>
    <x v="1"/>
    <n v="117683"/>
    <n v="52353"/>
    <n v="65330"/>
    <n v="85458"/>
    <n v="15494"/>
    <n v="14624"/>
    <s v="No"/>
    <n v="97"/>
    <n v="2.2000000000000002"/>
    <x v="1"/>
  </r>
  <r>
    <x v="2715"/>
    <s v="Sunil Patel"/>
    <n v="33"/>
    <x v="0"/>
    <s v="O-"/>
    <s v="Lucknow"/>
    <d v="2024-02-06T00:00:00"/>
    <d v="2024-02-25T00:00:00"/>
    <n v="19"/>
    <x v="4"/>
    <s v="Heart Attack"/>
    <x v="7"/>
    <s v="Radiation Therapy"/>
    <x v="1"/>
    <s v="Dr. Anjali Mehta"/>
    <n v="405"/>
    <s v="ICU"/>
    <x v="1"/>
    <n v="70070"/>
    <n v="42919"/>
    <n v="27151"/>
    <n v="46191"/>
    <n v="20705"/>
    <n v="530"/>
    <s v="No"/>
    <n v="100"/>
    <n v="4.2"/>
    <x v="0"/>
  </r>
  <r>
    <x v="2716"/>
    <s v="Vijay Singh"/>
    <n v="13"/>
    <x v="0"/>
    <s v="B+"/>
    <s v="Delhi"/>
    <d v="2023-04-12T00:00:00"/>
    <d v="2023-04-28T00:00:00"/>
    <n v="16"/>
    <x v="0"/>
    <s v="Diabetes Type 2"/>
    <x v="9"/>
    <s v="Observation"/>
    <x v="1"/>
    <s v="Dr. Vivek Gupta"/>
    <n v="48"/>
    <s v="ICU"/>
    <x v="3"/>
    <n v="89789"/>
    <n v="57943"/>
    <n v="31846"/>
    <n v="52419"/>
    <n v="27781"/>
    <n v="8651"/>
    <s v="No"/>
    <n v="45"/>
    <n v="2.1"/>
    <x v="2"/>
  </r>
  <r>
    <x v="2717"/>
    <s v="Pooja Joshi"/>
    <n v="17"/>
    <x v="1"/>
    <s v="B-"/>
    <s v="Mumbai"/>
    <d v="2023-02-27T00:00:00"/>
    <d v="2023-03-26T00:00:00"/>
    <n v="27"/>
    <x v="4"/>
    <s v="Heart Attack"/>
    <x v="7"/>
    <s v="Dietary Management"/>
    <x v="1"/>
    <s v="Dr. Rakesh Reddy"/>
    <n v="327"/>
    <s v="General Ward"/>
    <x v="1"/>
    <n v="102213"/>
    <n v="66743"/>
    <n v="35470"/>
    <n v="67331"/>
    <n v="18560"/>
    <n v="13732"/>
    <s v="No"/>
    <n v="91"/>
    <n v="4.5"/>
    <x v="3"/>
  </r>
  <r>
    <x v="2718"/>
    <s v="Sunita Singh"/>
    <n v="71"/>
    <x v="1"/>
    <s v="B-"/>
    <s v="Mumbai"/>
    <d v="2024-09-13T00:00:00"/>
    <d v="2024-10-10T00:00:00"/>
    <n v="27"/>
    <x v="2"/>
    <s v="Cancer"/>
    <x v="3"/>
    <s v="Chemotherapy"/>
    <x v="0"/>
    <s v="Dr. Sameer Rao"/>
    <n v="277"/>
    <s v="ICU"/>
    <x v="0"/>
    <n v="168621"/>
    <n v="78091"/>
    <n v="90530"/>
    <n v="143708"/>
    <n v="15759"/>
    <n v="8058"/>
    <s v="No"/>
    <n v="87"/>
    <n v="2.1"/>
    <x v="2"/>
  </r>
  <r>
    <x v="2719"/>
    <s v="Rekha Reddy"/>
    <n v="69"/>
    <x v="0"/>
    <s v="AB+"/>
    <s v="Jaipur"/>
    <d v="2022-02-16T00:00:00"/>
    <d v="2022-03-12T00:00:00"/>
    <n v="24"/>
    <x v="0"/>
    <s v="Obesity"/>
    <x v="12"/>
    <s v="Medication"/>
    <x v="0"/>
    <s v="Dr. Anjali Rao"/>
    <n v="219"/>
    <s v="Private"/>
    <x v="0"/>
    <n v="164212"/>
    <n v="95554"/>
    <n v="68658"/>
    <n v="125736"/>
    <n v="29711"/>
    <n v="7983"/>
    <s v="No"/>
    <n v="90"/>
    <n v="3.1"/>
    <x v="1"/>
  </r>
  <r>
    <x v="2720"/>
    <s v="Kavya Iyer"/>
    <n v="84"/>
    <x v="1"/>
    <s v="B-"/>
    <s v="Jaipur"/>
    <d v="2023-10-23T00:00:00"/>
    <d v="2023-11-20T00:00:00"/>
    <n v="28"/>
    <x v="1"/>
    <s v="UTI"/>
    <x v="2"/>
    <s v="Chemotherapy"/>
    <x v="1"/>
    <s v="Dr. Anjali Singh"/>
    <n v="129"/>
    <s v="Private"/>
    <x v="2"/>
    <n v="115300"/>
    <n v="92393"/>
    <n v="22907"/>
    <n v="99015"/>
    <n v="9282"/>
    <n v="5107"/>
    <s v="No"/>
    <n v="56"/>
    <n v="2.1"/>
    <x v="1"/>
  </r>
  <r>
    <x v="2721"/>
    <s v="Manoj Pillai"/>
    <n v="69"/>
    <x v="0"/>
    <s v="O-"/>
    <s v="Delhi"/>
    <d v="2022-01-20T00:00:00"/>
    <d v="2022-02-06T00:00:00"/>
    <n v="17"/>
    <x v="6"/>
    <s v="Arthritis"/>
    <x v="11"/>
    <s v="Physiotherapy"/>
    <x v="1"/>
    <s v="Dr. Anjali Patel"/>
    <n v="1"/>
    <s v="ICU"/>
    <x v="4"/>
    <n v="162654"/>
    <n v="0"/>
    <n v="162654"/>
    <n v="145359"/>
    <n v="11652"/>
    <n v="4487"/>
    <s v="No"/>
    <n v="93"/>
    <n v="3.9"/>
    <x v="0"/>
  </r>
  <r>
    <x v="2722"/>
    <s v="Pooja Rao"/>
    <n v="55"/>
    <x v="1"/>
    <s v="AB-"/>
    <s v="Bangalore"/>
    <d v="2023-11-25T00:00:00"/>
    <d v="2023-12-04T00:00:00"/>
    <n v="9"/>
    <x v="0"/>
    <s v="Typhoid"/>
    <x v="1"/>
    <s v="Radiation Therapy"/>
    <x v="3"/>
    <s v="Dr. Kavita Nair"/>
    <n v="389"/>
    <s v="General Ward"/>
    <x v="3"/>
    <n v="145292"/>
    <n v="95451"/>
    <n v="49841"/>
    <n v="118999"/>
    <n v="18593"/>
    <n v="4181"/>
    <s v="No"/>
    <n v="73"/>
    <n v="2.2000000000000002"/>
    <x v="3"/>
  </r>
  <r>
    <x v="2723"/>
    <s v="Aditya Kumar"/>
    <n v="59"/>
    <x v="1"/>
    <s v="A-"/>
    <s v="Lucknow"/>
    <d v="2024-12-01T00:00:00"/>
    <d v="2024-12-20T00:00:00"/>
    <n v="19"/>
    <x v="0"/>
    <s v="Typhoid"/>
    <x v="1"/>
    <s v="Dialysis"/>
    <x v="0"/>
    <s v="Dr. Shalini Reddy"/>
    <n v="47"/>
    <s v="ICU"/>
    <x v="1"/>
    <n v="73828"/>
    <n v="44545"/>
    <n v="29283"/>
    <n v="28294"/>
    <n v="27427"/>
    <n v="14782"/>
    <s v="Yes"/>
    <n v="58"/>
    <n v="3.8"/>
    <x v="0"/>
  </r>
  <r>
    <x v="2724"/>
    <s v="Aditya Bose"/>
    <n v="11"/>
    <x v="0"/>
    <s v="O+"/>
    <s v="Pune"/>
    <d v="2022-08-26T00:00:00"/>
    <d v="2022-09-15T00:00:00"/>
    <n v="20"/>
    <x v="3"/>
    <s v="Migraine"/>
    <x v="6"/>
    <s v="Dietary Management"/>
    <x v="2"/>
    <s v="Dr. Kavita Sharma"/>
    <n v="195"/>
    <s v="ICU"/>
    <x v="2"/>
    <n v="24408"/>
    <n v="20369"/>
    <n v="4039"/>
    <n v="8584"/>
    <n v="4755"/>
    <n v="8344"/>
    <s v="No"/>
    <n v="95"/>
    <n v="5"/>
    <x v="2"/>
  </r>
  <r>
    <x v="2725"/>
    <s v="Amit Joshi"/>
    <n v="39"/>
    <x v="0"/>
    <s v="AB-"/>
    <s v="Delhi"/>
    <d v="2023-03-23T00:00:00"/>
    <d v="2023-03-25T00:00:00"/>
    <n v="2"/>
    <x v="3"/>
    <s v="Migraine"/>
    <x v="6"/>
    <s v="Radiation Therapy"/>
    <x v="2"/>
    <s v="Dr. Shalini Sharma"/>
    <n v="395"/>
    <s v="ICU"/>
    <x v="4"/>
    <n v="79051"/>
    <n v="0"/>
    <n v="79051"/>
    <n v="55495"/>
    <n v="12147"/>
    <n v="9240"/>
    <s v="No"/>
    <n v="57"/>
    <n v="4.9000000000000004"/>
    <x v="1"/>
  </r>
  <r>
    <x v="2726"/>
    <s v="Sunita Menon"/>
    <n v="51"/>
    <x v="1"/>
    <s v="B-"/>
    <s v="Chennai"/>
    <d v="2023-04-09T00:00:00"/>
    <d v="2023-04-12T00:00:00"/>
    <n v="3"/>
    <x v="0"/>
    <s v="Anemia"/>
    <x v="4"/>
    <s v="ICU Care"/>
    <x v="3"/>
    <s v="Dr. Kavita Mehta"/>
    <n v="126"/>
    <s v="Semi-Private"/>
    <x v="4"/>
    <n v="140912"/>
    <n v="0"/>
    <n v="140912"/>
    <n v="113867"/>
    <n v="19578"/>
    <n v="4094"/>
    <s v="No"/>
    <n v="66"/>
    <n v="3.9"/>
    <x v="0"/>
  </r>
  <r>
    <x v="2727"/>
    <s v="Arjun Mehta"/>
    <n v="68"/>
    <x v="0"/>
    <s v="AB-"/>
    <s v="Bangalore"/>
    <d v="2022-04-20T00:00:00"/>
    <d v="2022-04-30T00:00:00"/>
    <n v="10"/>
    <x v="2"/>
    <s v="Cancer"/>
    <x v="3"/>
    <s v="Radiation Therapy"/>
    <x v="1"/>
    <s v="Dr. Deepak Nair"/>
    <n v="281"/>
    <s v="Private"/>
    <x v="0"/>
    <n v="161608"/>
    <n v="99762"/>
    <n v="61846"/>
    <n v="126995"/>
    <n v="28714"/>
    <n v="2320"/>
    <s v="No"/>
    <n v="66"/>
    <n v="2.8"/>
    <x v="1"/>
  </r>
  <r>
    <x v="2728"/>
    <s v="Nisha Mehta"/>
    <n v="81"/>
    <x v="1"/>
    <s v="O+"/>
    <s v="Mumbai"/>
    <d v="2023-02-21T00:00:00"/>
    <d v="2023-03-02T00:00:00"/>
    <n v="9"/>
    <x v="0"/>
    <s v="Typhoid"/>
    <x v="1"/>
    <s v="Dietary Management"/>
    <x v="0"/>
    <s v="Dr. Rakesh Kumar"/>
    <n v="356"/>
    <s v="Private"/>
    <x v="4"/>
    <n v="31487"/>
    <n v="0"/>
    <n v="31487"/>
    <n v="5116"/>
    <n v="14691"/>
    <n v="6939"/>
    <s v="No"/>
    <n v="77"/>
    <n v="4.2"/>
    <x v="2"/>
  </r>
  <r>
    <x v="2729"/>
    <s v="Amit Mehta"/>
    <n v="25"/>
    <x v="1"/>
    <s v="AB+"/>
    <s v="Lucknow"/>
    <d v="2023-04-21T00:00:00"/>
    <d v="2023-04-22T00:00:00"/>
    <n v="1"/>
    <x v="0"/>
    <s v="Depression"/>
    <x v="5"/>
    <s v="Surgery"/>
    <x v="1"/>
    <s v="Dr. Deepak Gupta"/>
    <n v="90"/>
    <s v="General Ward"/>
    <x v="0"/>
    <n v="176540"/>
    <n v="119353"/>
    <n v="57187"/>
    <n v="147484"/>
    <n v="24819"/>
    <n v="3598"/>
    <s v="Yes"/>
    <n v="41"/>
    <n v="4.4000000000000004"/>
    <x v="4"/>
  </r>
  <r>
    <x v="2730"/>
    <s v="Rajesh Verma"/>
    <n v="62"/>
    <x v="1"/>
    <s v="B-"/>
    <s v="Jaipur"/>
    <d v="2024-05-28T00:00:00"/>
    <d v="2024-06-19T00:00:00"/>
    <n v="22"/>
    <x v="0"/>
    <s v="Appendicitis"/>
    <x v="0"/>
    <s v="Medication"/>
    <x v="1"/>
    <s v="Dr. Deepak Joshi"/>
    <n v="36"/>
    <s v="General Ward"/>
    <x v="0"/>
    <n v="147143"/>
    <n v="89327"/>
    <n v="57816"/>
    <n v="118033"/>
    <n v="23190"/>
    <n v="4935"/>
    <s v="No"/>
    <n v="100"/>
    <n v="3.6"/>
    <x v="1"/>
  </r>
  <r>
    <x v="2731"/>
    <s v="Geeta Singh"/>
    <n v="70"/>
    <x v="0"/>
    <s v="A+"/>
    <s v="Hyderabad"/>
    <d v="2024-10-08T00:00:00"/>
    <d v="2024-11-07T00:00:00"/>
    <n v="30"/>
    <x v="0"/>
    <s v="Typhoid"/>
    <x v="1"/>
    <s v="ICU Care"/>
    <x v="1"/>
    <s v="Dr. Kavita Patel"/>
    <n v="263"/>
    <s v="Private"/>
    <x v="1"/>
    <n v="160153"/>
    <n v="82694"/>
    <n v="77459"/>
    <n v="125581"/>
    <n v="28244"/>
    <n v="5305"/>
    <s v="No"/>
    <n v="73"/>
    <n v="2.9"/>
    <x v="4"/>
  </r>
  <r>
    <x v="2732"/>
    <s v="Rekha Reddy"/>
    <n v="34"/>
    <x v="0"/>
    <s v="AB+"/>
    <s v="Mumbai"/>
    <d v="2023-01-12T00:00:00"/>
    <d v="2023-01-20T00:00:00"/>
    <n v="8"/>
    <x v="0"/>
    <s v="Dengue"/>
    <x v="1"/>
    <s v="Surgery"/>
    <x v="0"/>
    <s v="Dr. Shalini Mehta"/>
    <n v="456"/>
    <s v="General Ward"/>
    <x v="2"/>
    <n v="80184"/>
    <n v="54073"/>
    <n v="26111"/>
    <n v="50697"/>
    <n v="18516"/>
    <n v="9903"/>
    <s v="No"/>
    <n v="60"/>
    <n v="2.2000000000000002"/>
    <x v="2"/>
  </r>
  <r>
    <x v="2733"/>
    <s v="Sunil Singh"/>
    <n v="83"/>
    <x v="1"/>
    <s v="O-"/>
    <s v="Jaipur"/>
    <d v="2022-06-29T00:00:00"/>
    <d v="2022-07-08T00:00:00"/>
    <n v="9"/>
    <x v="0"/>
    <s v="COVID-19"/>
    <x v="1"/>
    <s v="Observation"/>
    <x v="1"/>
    <s v="Dr. Nisha Joshi"/>
    <n v="72"/>
    <s v="Semi-Private"/>
    <x v="0"/>
    <n v="43529"/>
    <n v="24942"/>
    <n v="18587"/>
    <n v="14228"/>
    <n v="20357"/>
    <n v="4687"/>
    <s v="No"/>
    <n v="68"/>
    <n v="3.2"/>
    <x v="0"/>
  </r>
  <r>
    <x v="2734"/>
    <s v="Arjun Verma"/>
    <n v="39"/>
    <x v="1"/>
    <s v="O+"/>
    <s v="Kolkata"/>
    <d v="2023-07-15T00:00:00"/>
    <d v="2023-07-26T00:00:00"/>
    <n v="11"/>
    <x v="6"/>
    <s v="Arthritis"/>
    <x v="11"/>
    <s v="Dietary Management"/>
    <x v="3"/>
    <s v="Dr. Rakesh Joshi"/>
    <n v="430"/>
    <s v="Semi-Private"/>
    <x v="3"/>
    <n v="73277"/>
    <n v="44886"/>
    <n v="28391"/>
    <n v="59463"/>
    <n v="9136"/>
    <n v="4098"/>
    <s v="No"/>
    <n v="57"/>
    <n v="3.4"/>
    <x v="4"/>
  </r>
  <r>
    <x v="2735"/>
    <s v="Sunita Chopra"/>
    <n v="24"/>
    <x v="1"/>
    <s v="O+"/>
    <s v="Bangalore"/>
    <d v="2024-01-20T00:00:00"/>
    <d v="2024-01-28T00:00:00"/>
    <n v="8"/>
    <x v="0"/>
    <s v="Diabetes Type 2"/>
    <x v="9"/>
    <s v="Physiotherapy"/>
    <x v="1"/>
    <s v="Dr. Shalini Singh"/>
    <n v="7"/>
    <s v="General Ward"/>
    <x v="2"/>
    <n v="47435"/>
    <n v="30371"/>
    <n v="17064"/>
    <n v="28532"/>
    <n v="5458"/>
    <n v="10128"/>
    <s v="No"/>
    <n v="86"/>
    <n v="3.5"/>
    <x v="0"/>
  </r>
  <r>
    <x v="2736"/>
    <s v="Meera Rao"/>
    <n v="17"/>
    <x v="0"/>
    <s v="AB+"/>
    <s v="Pune"/>
    <d v="2024-05-02T00:00:00"/>
    <d v="2024-05-29T00:00:00"/>
    <n v="27"/>
    <x v="0"/>
    <s v="Anemia"/>
    <x v="4"/>
    <s v="Radiation Therapy"/>
    <x v="1"/>
    <s v="Dr. Anjali Sharma"/>
    <n v="324"/>
    <s v="Private"/>
    <x v="0"/>
    <n v="154144"/>
    <n v="94207"/>
    <n v="59937"/>
    <n v="129474"/>
    <n v="7394"/>
    <n v="13041"/>
    <s v="Yes"/>
    <n v="55"/>
    <n v="3.1"/>
    <x v="2"/>
  </r>
  <r>
    <x v="2737"/>
    <s v="Rekha Verma"/>
    <n v="49"/>
    <x v="0"/>
    <s v="AB+"/>
    <s v="Bangalore"/>
    <d v="2022-09-16T00:00:00"/>
    <d v="2022-09-21T00:00:00"/>
    <n v="5"/>
    <x v="0"/>
    <s v="Depression"/>
    <x v="5"/>
    <s v="Radiation Therapy"/>
    <x v="0"/>
    <s v="Dr. Vivek Sharma"/>
    <n v="29"/>
    <s v="ICU"/>
    <x v="4"/>
    <n v="28996"/>
    <n v="0"/>
    <n v="28996"/>
    <n v="5381"/>
    <n v="19859"/>
    <n v="1994"/>
    <s v="No"/>
    <n v="78"/>
    <n v="2.7"/>
    <x v="0"/>
  </r>
  <r>
    <x v="2738"/>
    <s v="Sneha Shah"/>
    <n v="17"/>
    <x v="0"/>
    <s v="A-"/>
    <s v="Jaipur"/>
    <d v="2024-01-30T00:00:00"/>
    <d v="2024-02-19T00:00:00"/>
    <n v="20"/>
    <x v="1"/>
    <s v="UTI"/>
    <x v="2"/>
    <s v="Medication"/>
    <x v="3"/>
    <s v="Dr. Deepak Rao"/>
    <n v="412"/>
    <s v="ICU"/>
    <x v="4"/>
    <n v="132310"/>
    <n v="0"/>
    <n v="132310"/>
    <n v="118962"/>
    <n v="1255"/>
    <n v="9545"/>
    <s v="No"/>
    <n v="63"/>
    <n v="2.8"/>
    <x v="1"/>
  </r>
  <r>
    <x v="2739"/>
    <s v="Divya Verma"/>
    <n v="53"/>
    <x v="0"/>
    <s v="AB-"/>
    <s v="Pune"/>
    <d v="2024-01-25T00:00:00"/>
    <d v="2024-02-08T00:00:00"/>
    <n v="14"/>
    <x v="6"/>
    <s v="Fracture"/>
    <x v="10"/>
    <s v="Chemotherapy"/>
    <x v="3"/>
    <s v="Dr. Arun Sharma"/>
    <n v="42"/>
    <s v="Private"/>
    <x v="0"/>
    <n v="76758"/>
    <n v="31287"/>
    <n v="45471"/>
    <n v="51856"/>
    <n v="21066"/>
    <n v="930"/>
    <s v="Yes"/>
    <n v="41"/>
    <n v="3.4"/>
    <x v="2"/>
  </r>
  <r>
    <x v="2740"/>
    <s v="Sanjay Nair"/>
    <n v="26"/>
    <x v="1"/>
    <s v="A-"/>
    <s v="Bangalore"/>
    <d v="2022-08-12T00:00:00"/>
    <d v="2022-08-27T00:00:00"/>
    <n v="15"/>
    <x v="5"/>
    <s v="Pneumonia"/>
    <x v="8"/>
    <s v="Medication"/>
    <x v="3"/>
    <s v="Dr. Kavita Singh"/>
    <n v="90"/>
    <s v="Semi-Private"/>
    <x v="2"/>
    <n v="152803"/>
    <n v="122543"/>
    <n v="30260"/>
    <n v="140740"/>
    <n v="5503"/>
    <n v="5367"/>
    <s v="No"/>
    <n v="63"/>
    <n v="3.4"/>
    <x v="0"/>
  </r>
  <r>
    <x v="2741"/>
    <s v="Meera Mehta"/>
    <n v="41"/>
    <x v="1"/>
    <s v="B-"/>
    <s v="Ahmedabad"/>
    <d v="2022-11-02T00:00:00"/>
    <d v="2022-11-09T00:00:00"/>
    <n v="7"/>
    <x v="0"/>
    <s v="Diabetes Type 2"/>
    <x v="9"/>
    <s v="Chemotherapy"/>
    <x v="3"/>
    <s v="Dr. Anjali Patel"/>
    <n v="327"/>
    <s v="Semi-Private"/>
    <x v="3"/>
    <n v="52532"/>
    <n v="35523"/>
    <n v="17009"/>
    <n v="23007"/>
    <n v="17421"/>
    <n v="7784"/>
    <s v="No"/>
    <n v="98"/>
    <n v="4.5"/>
    <x v="1"/>
  </r>
  <r>
    <x v="2742"/>
    <s v="Suresh Shah"/>
    <n v="25"/>
    <x v="0"/>
    <s v="O-"/>
    <s v="Chennai"/>
    <d v="2023-10-15T00:00:00"/>
    <d v="2023-10-26T00:00:00"/>
    <n v="11"/>
    <x v="0"/>
    <s v="Liver Disease"/>
    <x v="0"/>
    <s v="ICU Care"/>
    <x v="1"/>
    <s v="Dr. Nisha Singh"/>
    <n v="54"/>
    <s v="Private"/>
    <x v="0"/>
    <n v="125831"/>
    <n v="71004"/>
    <n v="54827"/>
    <n v="115363"/>
    <n v="2770"/>
    <n v="5233"/>
    <s v="Yes"/>
    <n v="58"/>
    <n v="2.7"/>
    <x v="0"/>
  </r>
  <r>
    <x v="2743"/>
    <s v="Arjun Rao"/>
    <n v="76"/>
    <x v="0"/>
    <s v="A+"/>
    <s v="Kolkata"/>
    <d v="2023-06-23T00:00:00"/>
    <d v="2023-07-14T00:00:00"/>
    <n v="21"/>
    <x v="0"/>
    <s v="Appendicitis"/>
    <x v="0"/>
    <s v="Dialysis"/>
    <x v="2"/>
    <s v="Dr. Nisha Sharma"/>
    <n v="291"/>
    <s v="ICU"/>
    <x v="1"/>
    <n v="82361"/>
    <n v="41147"/>
    <n v="41214"/>
    <n v="55359"/>
    <n v="9133"/>
    <n v="13299"/>
    <s v="No"/>
    <n v="83"/>
    <n v="2.1"/>
    <x v="1"/>
  </r>
  <r>
    <x v="2744"/>
    <s v="Nisha Sharma"/>
    <n v="72"/>
    <x v="1"/>
    <s v="AB+"/>
    <s v="Chennai"/>
    <d v="2023-11-27T00:00:00"/>
    <d v="2023-12-14T00:00:00"/>
    <n v="17"/>
    <x v="1"/>
    <s v="UTI"/>
    <x v="2"/>
    <s v="Dialysis"/>
    <x v="3"/>
    <s v="Dr. Arun Kumar"/>
    <n v="460"/>
    <s v="Semi-Private"/>
    <x v="1"/>
    <n v="128104"/>
    <n v="53006"/>
    <n v="75098"/>
    <n v="106966"/>
    <n v="12271"/>
    <n v="4414"/>
    <s v="No"/>
    <n v="56"/>
    <n v="3.4"/>
    <x v="0"/>
  </r>
  <r>
    <x v="2745"/>
    <s v="Mukesh Patel"/>
    <n v="82"/>
    <x v="0"/>
    <s v="AB+"/>
    <s v="Jaipur"/>
    <d v="2023-04-28T00:00:00"/>
    <d v="2023-05-28T00:00:00"/>
    <n v="30"/>
    <x v="0"/>
    <s v="Dengue"/>
    <x v="1"/>
    <s v="ICU Care"/>
    <x v="1"/>
    <s v="Dr. Deepak Reddy"/>
    <n v="142"/>
    <s v="Private"/>
    <x v="2"/>
    <n v="78685"/>
    <n v="53392"/>
    <n v="25293"/>
    <n v="52777"/>
    <n v="16000"/>
    <n v="6437"/>
    <s v="No"/>
    <n v="43"/>
    <n v="2.4"/>
    <x v="1"/>
  </r>
  <r>
    <x v="2746"/>
    <s v="Ananya Iyer"/>
    <n v="48"/>
    <x v="1"/>
    <s v="B-"/>
    <s v="Chennai"/>
    <d v="2024-05-26T00:00:00"/>
    <d v="2024-06-14T00:00:00"/>
    <n v="19"/>
    <x v="2"/>
    <s v="Cancer"/>
    <x v="3"/>
    <s v="Counseling"/>
    <x v="2"/>
    <s v="Dr. Rakesh Sharma"/>
    <n v="80"/>
    <s v="General Ward"/>
    <x v="2"/>
    <n v="31472"/>
    <n v="25987"/>
    <n v="5485"/>
    <n v="12557"/>
    <n v="9808"/>
    <n v="6166"/>
    <s v="No"/>
    <n v="80"/>
    <n v="3.9"/>
    <x v="1"/>
  </r>
  <r>
    <x v="2747"/>
    <s v="Karan Sharma"/>
    <n v="55"/>
    <x v="0"/>
    <s v="B-"/>
    <s v="Hyderabad"/>
    <d v="2023-03-13T00:00:00"/>
    <d v="2023-03-14T00:00:00"/>
    <n v="1"/>
    <x v="0"/>
    <s v="Liver Disease"/>
    <x v="0"/>
    <s v="Observation"/>
    <x v="0"/>
    <s v="Dr. Kavita Singh"/>
    <n v="309"/>
    <s v="General Ward"/>
    <x v="3"/>
    <n v="137873"/>
    <n v="113432"/>
    <n v="24441"/>
    <n v="103553"/>
    <n v="29376"/>
    <n v="1382"/>
    <s v="No"/>
    <n v="52"/>
    <n v="4.5"/>
    <x v="0"/>
  </r>
  <r>
    <x v="2748"/>
    <s v="Priya Nair"/>
    <n v="50"/>
    <x v="0"/>
    <s v="O+"/>
    <s v="Chennai"/>
    <d v="2024-05-02T00:00:00"/>
    <d v="2024-05-08T00:00:00"/>
    <n v="6"/>
    <x v="2"/>
    <s v="Cancer"/>
    <x v="3"/>
    <s v="Surgery"/>
    <x v="2"/>
    <s v="Dr. Prerna Mehta"/>
    <n v="352"/>
    <s v="General Ward"/>
    <x v="2"/>
    <n v="54957"/>
    <n v="36550"/>
    <n v="18407"/>
    <n v="37600"/>
    <n v="4851"/>
    <n v="11673"/>
    <s v="No"/>
    <n v="52"/>
    <n v="4.8"/>
    <x v="0"/>
  </r>
  <r>
    <x v="2749"/>
    <s v="Aditya Patel"/>
    <n v="62"/>
    <x v="0"/>
    <s v="A-"/>
    <s v="Lucknow"/>
    <d v="2024-04-05T00:00:00"/>
    <d v="2024-04-23T00:00:00"/>
    <n v="18"/>
    <x v="0"/>
    <s v="COVID-19"/>
    <x v="1"/>
    <s v="Observation"/>
    <x v="0"/>
    <s v="Dr. Vivek Nair"/>
    <n v="339"/>
    <s v="Private"/>
    <x v="0"/>
    <n v="71069"/>
    <n v="29120"/>
    <n v="41949"/>
    <n v="56444"/>
    <n v="3897"/>
    <n v="7603"/>
    <s v="No"/>
    <n v="54"/>
    <n v="4.7"/>
    <x v="3"/>
  </r>
  <r>
    <x v="2750"/>
    <s v="Sunita Joshi"/>
    <n v="67"/>
    <x v="1"/>
    <s v="O+"/>
    <s v="Lucknow"/>
    <d v="2022-04-02T00:00:00"/>
    <d v="2022-04-06T00:00:00"/>
    <n v="4"/>
    <x v="5"/>
    <s v="Asthma"/>
    <x v="8"/>
    <s v="ICU Care"/>
    <x v="3"/>
    <s v="Dr. Kavita Rao"/>
    <n v="118"/>
    <s v="Private"/>
    <x v="3"/>
    <n v="172854"/>
    <n v="128523"/>
    <n v="44331"/>
    <n v="140440"/>
    <n v="20704"/>
    <n v="9038"/>
    <s v="No"/>
    <n v="96"/>
    <n v="2.8"/>
    <x v="0"/>
  </r>
  <r>
    <x v="2751"/>
    <s v="Amit Mehta"/>
    <n v="67"/>
    <x v="1"/>
    <s v="O-"/>
    <s v="Jaipur"/>
    <d v="2022-01-26T00:00:00"/>
    <d v="2022-01-29T00:00:00"/>
    <n v="3"/>
    <x v="0"/>
    <s v="Dengue"/>
    <x v="1"/>
    <s v="ICU Care"/>
    <x v="3"/>
    <s v="Dr. Shalini Joshi"/>
    <n v="79"/>
    <s v="General Ward"/>
    <x v="2"/>
    <n v="82180"/>
    <n v="50178"/>
    <n v="32002"/>
    <n v="58600"/>
    <n v="6979"/>
    <n v="14261"/>
    <s v="Yes"/>
    <n v="98"/>
    <n v="4.2"/>
    <x v="2"/>
  </r>
  <r>
    <x v="2752"/>
    <s v="Karan Pillai"/>
    <n v="56"/>
    <x v="1"/>
    <s v="A-"/>
    <s v="Ahmedabad"/>
    <d v="2023-04-15T00:00:00"/>
    <d v="2023-05-02T00:00:00"/>
    <n v="17"/>
    <x v="1"/>
    <s v="Kidney Stone"/>
    <x v="2"/>
    <s v="ICU Care"/>
    <x v="3"/>
    <s v="Dr. Nisha Sharma"/>
    <n v="177"/>
    <s v="General Ward"/>
    <x v="1"/>
    <n v="73515"/>
    <n v="48115"/>
    <n v="25400"/>
    <n v="29111"/>
    <n v="28048"/>
    <n v="12035"/>
    <s v="No"/>
    <n v="99"/>
    <n v="4.5999999999999996"/>
    <x v="1"/>
  </r>
  <r>
    <x v="2753"/>
    <s v="Ananya Chopra"/>
    <n v="58"/>
    <x v="1"/>
    <s v="O+"/>
    <s v="Hyderabad"/>
    <d v="2023-04-10T00:00:00"/>
    <d v="2023-04-24T00:00:00"/>
    <n v="14"/>
    <x v="0"/>
    <s v="Typhoid"/>
    <x v="1"/>
    <s v="Medication"/>
    <x v="3"/>
    <s v="Dr. Prerna Patel"/>
    <n v="9"/>
    <s v="General Ward"/>
    <x v="2"/>
    <n v="92371"/>
    <n v="80184"/>
    <n v="12187"/>
    <n v="51838"/>
    <n v="22110"/>
    <n v="14704"/>
    <s v="No"/>
    <n v="52"/>
    <n v="4.8"/>
    <x v="0"/>
  </r>
  <r>
    <x v="2754"/>
    <s v="Meera Nair"/>
    <n v="72"/>
    <x v="0"/>
    <s v="AB+"/>
    <s v="Hyderabad"/>
    <d v="2022-10-14T00:00:00"/>
    <d v="2022-10-26T00:00:00"/>
    <n v="12"/>
    <x v="5"/>
    <s v="Pneumonia"/>
    <x v="8"/>
    <s v="ICU Care"/>
    <x v="2"/>
    <s v="Dr. Prerna Gupta"/>
    <n v="251"/>
    <s v="General Ward"/>
    <x v="2"/>
    <n v="134921"/>
    <n v="88032"/>
    <n v="46889"/>
    <n v="100090"/>
    <n v="26430"/>
    <n v="4282"/>
    <s v="No"/>
    <n v="62"/>
    <n v="3.2"/>
    <x v="2"/>
  </r>
  <r>
    <x v="2755"/>
    <s v="Meera Mehta"/>
    <n v="37"/>
    <x v="1"/>
    <s v="O+"/>
    <s v="Jaipur"/>
    <d v="2022-06-01T00:00:00"/>
    <d v="2022-06-21T00:00:00"/>
    <n v="20"/>
    <x v="0"/>
    <s v="Diabetes Type 2"/>
    <x v="9"/>
    <s v="Medication"/>
    <x v="1"/>
    <s v="Dr. Sameer Singh"/>
    <n v="91"/>
    <s v="General Ward"/>
    <x v="2"/>
    <n v="67114"/>
    <n v="56213"/>
    <n v="10901"/>
    <n v="39746"/>
    <n v="15720"/>
    <n v="8072"/>
    <s v="No"/>
    <n v="65"/>
    <n v="5"/>
    <x v="2"/>
  </r>
  <r>
    <x v="2756"/>
    <s v="Nisha Iyer"/>
    <n v="52"/>
    <x v="0"/>
    <s v="AB-"/>
    <s v="Hyderabad"/>
    <d v="2023-09-03T00:00:00"/>
    <d v="2023-09-07T00:00:00"/>
    <n v="4"/>
    <x v="0"/>
    <s v="Appendicitis"/>
    <x v="0"/>
    <s v="Counseling"/>
    <x v="3"/>
    <s v="Dr. Deepak Singh"/>
    <n v="90"/>
    <s v="General Ward"/>
    <x v="3"/>
    <n v="88891"/>
    <n v="73852"/>
    <n v="15039"/>
    <n v="50984"/>
    <n v="26864"/>
    <n v="8467"/>
    <s v="No"/>
    <n v="49"/>
    <n v="2.2000000000000002"/>
    <x v="0"/>
  </r>
  <r>
    <x v="2757"/>
    <s v="Rohan Patel"/>
    <n v="41"/>
    <x v="0"/>
    <s v="A-"/>
    <s v="Chennai"/>
    <d v="2024-06-04T00:00:00"/>
    <d v="2024-06-20T00:00:00"/>
    <n v="16"/>
    <x v="0"/>
    <s v="Appendicitis"/>
    <x v="0"/>
    <s v="Surgery"/>
    <x v="0"/>
    <s v="Dr. Deepak Singh"/>
    <n v="389"/>
    <s v="General Ward"/>
    <x v="0"/>
    <n v="144434"/>
    <n v="87578"/>
    <n v="56856"/>
    <n v="105619"/>
    <n v="29607"/>
    <n v="4358"/>
    <s v="Yes"/>
    <n v="96"/>
    <n v="3.8"/>
    <x v="3"/>
  </r>
  <r>
    <x v="2758"/>
    <s v="Deepa Shah"/>
    <n v="49"/>
    <x v="1"/>
    <s v="AB-"/>
    <s v="Chennai"/>
    <d v="2023-03-09T00:00:00"/>
    <d v="2023-03-16T00:00:00"/>
    <n v="7"/>
    <x v="0"/>
    <s v="Diabetes Type 2"/>
    <x v="9"/>
    <s v="Counseling"/>
    <x v="0"/>
    <s v="Dr. Arun Reddy"/>
    <n v="438"/>
    <s v="Semi-Private"/>
    <x v="4"/>
    <n v="82867"/>
    <n v="0"/>
    <n v="82867"/>
    <n v="49547"/>
    <n v="20413"/>
    <n v="9456"/>
    <s v="No"/>
    <n v="71"/>
    <n v="2.2000000000000002"/>
    <x v="0"/>
  </r>
  <r>
    <x v="2759"/>
    <s v="Sunil Reddy"/>
    <n v="40"/>
    <x v="0"/>
    <s v="O+"/>
    <s v="Kolkata"/>
    <d v="2023-03-06T00:00:00"/>
    <d v="2023-04-01T00:00:00"/>
    <n v="26"/>
    <x v="1"/>
    <s v="UTI"/>
    <x v="2"/>
    <s v="Dialysis"/>
    <x v="0"/>
    <s v="Dr. Rakesh Rao"/>
    <n v="222"/>
    <s v="Private"/>
    <x v="1"/>
    <n v="49247"/>
    <n v="19912"/>
    <n v="29335"/>
    <n v="36780"/>
    <n v="9172"/>
    <n v="2115"/>
    <s v="No"/>
    <n v="63"/>
    <n v="2.4"/>
    <x v="2"/>
  </r>
  <r>
    <x v="2760"/>
    <s v="Geeta Singh"/>
    <n v="85"/>
    <x v="1"/>
    <s v="O-"/>
    <s v="Lucknow"/>
    <d v="2023-12-29T00:00:00"/>
    <d v="2024-01-16T00:00:00"/>
    <n v="18"/>
    <x v="0"/>
    <s v="Depression"/>
    <x v="5"/>
    <s v="Physiotherapy"/>
    <x v="2"/>
    <s v="Dr. Vivek Nair"/>
    <n v="270"/>
    <s v="ICU"/>
    <x v="3"/>
    <n v="44512"/>
    <n v="29808"/>
    <n v="14704"/>
    <n v="13675"/>
    <n v="17653"/>
    <n v="11267"/>
    <s v="No"/>
    <n v="63"/>
    <n v="2.2999999999999998"/>
    <x v="2"/>
  </r>
  <r>
    <x v="2761"/>
    <s v="Sunita Iyer"/>
    <n v="47"/>
    <x v="1"/>
    <s v="B+"/>
    <s v="Pune"/>
    <d v="2023-06-26T00:00:00"/>
    <d v="2023-07-15T00:00:00"/>
    <n v="19"/>
    <x v="1"/>
    <s v="UTI"/>
    <x v="2"/>
    <s v="Radiation Therapy"/>
    <x v="1"/>
    <s v="Dr. Kavita Patel"/>
    <n v="241"/>
    <s v="ICU"/>
    <x v="1"/>
    <n v="49879"/>
    <n v="34823"/>
    <n v="15056"/>
    <n v="31927"/>
    <n v="2832"/>
    <n v="13911"/>
    <s v="No"/>
    <n v="93"/>
    <n v="2.5"/>
    <x v="4"/>
  </r>
  <r>
    <x v="2762"/>
    <s v="Priya Bose"/>
    <n v="29"/>
    <x v="1"/>
    <s v="A-"/>
    <s v="Hyderabad"/>
    <d v="2022-06-11T00:00:00"/>
    <d v="2022-06-20T00:00:00"/>
    <n v="9"/>
    <x v="4"/>
    <s v="Heart Attack"/>
    <x v="7"/>
    <s v="Radiation Therapy"/>
    <x v="3"/>
    <s v="Dr. Anjali Singh"/>
    <n v="363"/>
    <s v="Private"/>
    <x v="4"/>
    <n v="145009"/>
    <n v="0"/>
    <n v="145009"/>
    <n v="103067"/>
    <n v="29288"/>
    <n v="11151"/>
    <s v="No"/>
    <n v="68"/>
    <n v="4.3"/>
    <x v="2"/>
  </r>
  <r>
    <x v="2763"/>
    <s v="Vijay Mehta"/>
    <n v="5"/>
    <x v="1"/>
    <s v="AB+"/>
    <s v="Pune"/>
    <d v="2023-06-22T00:00:00"/>
    <d v="2023-07-19T00:00:00"/>
    <n v="27"/>
    <x v="6"/>
    <s v="Arthritis"/>
    <x v="11"/>
    <s v="Observation"/>
    <x v="3"/>
    <s v="Dr. Anjali Nair"/>
    <n v="47"/>
    <s v="Private"/>
    <x v="1"/>
    <n v="49364"/>
    <n v="24718"/>
    <n v="24646"/>
    <n v="24281"/>
    <n v="14785"/>
    <n v="6905"/>
    <s v="No"/>
    <n v="45"/>
    <n v="4.4000000000000004"/>
    <x v="2"/>
  </r>
  <r>
    <x v="2764"/>
    <s v="Lata Pillai"/>
    <n v="54"/>
    <x v="0"/>
    <s v="B+"/>
    <s v="Delhi"/>
    <d v="2023-03-20T00:00:00"/>
    <d v="2023-04-03T00:00:00"/>
    <n v="14"/>
    <x v="0"/>
    <s v="Diabetes Type 2"/>
    <x v="9"/>
    <s v="Radiation Therapy"/>
    <x v="1"/>
    <s v="Dr. Rakesh Gupta"/>
    <n v="467"/>
    <s v="Semi-Private"/>
    <x v="0"/>
    <n v="75153"/>
    <n v="37516"/>
    <n v="37637"/>
    <n v="37902"/>
    <n v="20900"/>
    <n v="13525"/>
    <s v="No"/>
    <n v="76"/>
    <n v="3.2"/>
    <x v="1"/>
  </r>
  <r>
    <x v="2765"/>
    <s v="Rahul Chopra"/>
    <n v="41"/>
    <x v="0"/>
    <s v="A-"/>
    <s v="Jaipur"/>
    <d v="2022-02-01T00:00:00"/>
    <d v="2022-02-27T00:00:00"/>
    <n v="26"/>
    <x v="0"/>
    <s v="Dengue"/>
    <x v="1"/>
    <s v="Medication"/>
    <x v="1"/>
    <s v="Dr. Deepak Kumar"/>
    <n v="372"/>
    <s v="Semi-Private"/>
    <x v="1"/>
    <n v="45437"/>
    <n v="28661"/>
    <n v="16776"/>
    <n v="8553"/>
    <n v="22782"/>
    <n v="11364"/>
    <s v="Yes"/>
    <n v="96"/>
    <n v="3.4"/>
    <x v="0"/>
  </r>
  <r>
    <x v="2766"/>
    <s v="Karan Kumar"/>
    <n v="83"/>
    <x v="1"/>
    <s v="AB-"/>
    <s v="Lucknow"/>
    <d v="2024-05-22T00:00:00"/>
    <d v="2024-06-02T00:00:00"/>
    <n v="11"/>
    <x v="0"/>
    <s v="Obesity"/>
    <x v="12"/>
    <s v="Chemotherapy"/>
    <x v="1"/>
    <s v="Dr. Prerna Nair"/>
    <n v="453"/>
    <s v="ICU"/>
    <x v="2"/>
    <n v="168387"/>
    <n v="117879"/>
    <n v="50508"/>
    <n v="142204"/>
    <n v="16049"/>
    <n v="9008"/>
    <s v="No"/>
    <n v="84"/>
    <n v="3.8"/>
    <x v="3"/>
  </r>
  <r>
    <x v="2767"/>
    <s v="Pooja Bose"/>
    <n v="13"/>
    <x v="0"/>
    <s v="O-"/>
    <s v="Kolkata"/>
    <d v="2024-08-24T00:00:00"/>
    <d v="2024-08-26T00:00:00"/>
    <n v="2"/>
    <x v="0"/>
    <s v="Obesity"/>
    <x v="12"/>
    <s v="Observation"/>
    <x v="0"/>
    <s v="Dr. Anjali Nair"/>
    <n v="274"/>
    <s v="Private"/>
    <x v="2"/>
    <n v="139670"/>
    <n v="92237"/>
    <n v="47433"/>
    <n v="116531"/>
    <n v="19036"/>
    <n v="3414"/>
    <s v="No"/>
    <n v="99"/>
    <n v="4.5"/>
    <x v="2"/>
  </r>
  <r>
    <x v="2768"/>
    <s v="Rajesh Das"/>
    <n v="51"/>
    <x v="0"/>
    <s v="O+"/>
    <s v="Mumbai"/>
    <d v="2022-05-16T00:00:00"/>
    <d v="2022-06-13T00:00:00"/>
    <n v="28"/>
    <x v="0"/>
    <s v="Dengue"/>
    <x v="1"/>
    <s v="Surgery"/>
    <x v="3"/>
    <s v="Dr. Arun Joshi"/>
    <n v="264"/>
    <s v="Private"/>
    <x v="2"/>
    <n v="62312"/>
    <n v="38892"/>
    <n v="23420"/>
    <n v="32704"/>
    <n v="18800"/>
    <n v="9562"/>
    <s v="No"/>
    <n v="89"/>
    <n v="4.5"/>
    <x v="0"/>
  </r>
  <r>
    <x v="2769"/>
    <s v="Meera Mehta"/>
    <n v="39"/>
    <x v="1"/>
    <s v="O-"/>
    <s v="Delhi"/>
    <d v="2023-06-01T00:00:00"/>
    <d v="2023-06-21T00:00:00"/>
    <n v="20"/>
    <x v="3"/>
    <s v="Migraine"/>
    <x v="6"/>
    <s v="Radiation Therapy"/>
    <x v="3"/>
    <s v="Dr. Anjali Patel"/>
    <n v="357"/>
    <s v="ICU"/>
    <x v="1"/>
    <n v="101022"/>
    <n v="46228"/>
    <n v="54794"/>
    <n v="87958"/>
    <n v="10516"/>
    <n v="897"/>
    <s v="No"/>
    <n v="52"/>
    <n v="4.3"/>
    <x v="1"/>
  </r>
  <r>
    <x v="2770"/>
    <s v="Ananya Chopra"/>
    <n v="76"/>
    <x v="1"/>
    <s v="AB+"/>
    <s v="Lucknow"/>
    <d v="2023-12-06T00:00:00"/>
    <d v="2023-12-21T00:00:00"/>
    <n v="15"/>
    <x v="0"/>
    <s v="Appendicitis"/>
    <x v="0"/>
    <s v="Dietary Management"/>
    <x v="3"/>
    <s v="Dr. Anjali Sharma"/>
    <n v="24"/>
    <s v="General Ward"/>
    <x v="3"/>
    <n v="166206"/>
    <n v="130919"/>
    <n v="35287"/>
    <n v="148396"/>
    <n v="10577"/>
    <n v="6195"/>
    <s v="No"/>
    <n v="57"/>
    <n v="4.7"/>
    <x v="3"/>
  </r>
  <r>
    <x v="2771"/>
    <s v="Ananya Reddy"/>
    <n v="71"/>
    <x v="0"/>
    <s v="B-"/>
    <s v="Mumbai"/>
    <d v="2023-02-20T00:00:00"/>
    <d v="2023-03-10T00:00:00"/>
    <n v="18"/>
    <x v="0"/>
    <s v="Appendicitis"/>
    <x v="0"/>
    <s v="Radiation Therapy"/>
    <x v="0"/>
    <s v="Dr. Arun Singh"/>
    <n v="2"/>
    <s v="ICU"/>
    <x v="0"/>
    <n v="133021"/>
    <n v="59219"/>
    <n v="73802"/>
    <n v="115754"/>
    <n v="5725"/>
    <n v="9728"/>
    <s v="No"/>
    <n v="76"/>
    <n v="4.4000000000000004"/>
    <x v="1"/>
  </r>
  <r>
    <x v="2772"/>
    <s v="Suresh Malhotra"/>
    <n v="59"/>
    <x v="1"/>
    <s v="A-"/>
    <s v="Mumbai"/>
    <d v="2024-01-07T00:00:00"/>
    <d v="2024-01-14T00:00:00"/>
    <n v="7"/>
    <x v="4"/>
    <s v="Heart Attack"/>
    <x v="7"/>
    <s v="Physiotherapy"/>
    <x v="0"/>
    <s v="Dr. Sameer Sharma"/>
    <n v="222"/>
    <s v="ICU"/>
    <x v="3"/>
    <n v="127159"/>
    <n v="90174"/>
    <n v="36985"/>
    <n v="101626"/>
    <n v="9984"/>
    <n v="14927"/>
    <s v="No"/>
    <n v="53"/>
    <n v="4.9000000000000004"/>
    <x v="2"/>
  </r>
  <r>
    <x v="2773"/>
    <s v="Sunil Verma"/>
    <n v="35"/>
    <x v="0"/>
    <s v="O+"/>
    <s v="Pune"/>
    <d v="2022-05-05T00:00:00"/>
    <d v="2022-05-22T00:00:00"/>
    <n v="17"/>
    <x v="6"/>
    <s v="Arthritis"/>
    <x v="11"/>
    <s v="Medication"/>
    <x v="0"/>
    <s v="Dr. Deepak Mehta"/>
    <n v="289"/>
    <s v="Private"/>
    <x v="1"/>
    <n v="74939"/>
    <n v="36232"/>
    <n v="38707"/>
    <n v="37248"/>
    <n v="29026"/>
    <n v="7743"/>
    <s v="No"/>
    <n v="66"/>
    <n v="3.5"/>
    <x v="0"/>
  </r>
  <r>
    <x v="2774"/>
    <s v="Deepa Gupta"/>
    <n v="62"/>
    <x v="1"/>
    <s v="A-"/>
    <s v="Kolkata"/>
    <d v="2023-03-11T00:00:00"/>
    <d v="2023-03-26T00:00:00"/>
    <n v="15"/>
    <x v="0"/>
    <s v="Liver Disease"/>
    <x v="0"/>
    <s v="Medication"/>
    <x v="1"/>
    <s v="Dr. Rakesh Gupta"/>
    <n v="75"/>
    <s v="General Ward"/>
    <x v="0"/>
    <n v="174225"/>
    <n v="121387"/>
    <n v="52838"/>
    <n v="144106"/>
    <n v="18617"/>
    <n v="9620"/>
    <s v="No"/>
    <n v="76"/>
    <n v="4.8"/>
    <x v="4"/>
  </r>
  <r>
    <x v="2775"/>
    <s v="Aditya Pillai"/>
    <n v="61"/>
    <x v="0"/>
    <s v="A+"/>
    <s v="Delhi"/>
    <d v="2023-10-10T00:00:00"/>
    <d v="2023-11-01T00:00:00"/>
    <n v="22"/>
    <x v="4"/>
    <s v="Heart Attack"/>
    <x v="7"/>
    <s v="Physiotherapy"/>
    <x v="3"/>
    <s v="Dr. Rakesh Reddy"/>
    <n v="45"/>
    <s v="General Ward"/>
    <x v="0"/>
    <n v="93614"/>
    <n v="38053"/>
    <n v="55561"/>
    <n v="61919"/>
    <n v="27583"/>
    <n v="2837"/>
    <s v="No"/>
    <n v="65"/>
    <n v="3.4"/>
    <x v="1"/>
  </r>
  <r>
    <x v="2776"/>
    <s v="Ashok Patel"/>
    <n v="9"/>
    <x v="1"/>
    <s v="O-"/>
    <s v="Hyderabad"/>
    <d v="2022-10-29T00:00:00"/>
    <d v="2022-11-14T00:00:00"/>
    <n v="16"/>
    <x v="4"/>
    <s v="Hypertension"/>
    <x v="7"/>
    <s v="Counseling"/>
    <x v="2"/>
    <s v="Dr. Prerna Nair"/>
    <n v="438"/>
    <s v="General Ward"/>
    <x v="1"/>
    <n v="45668"/>
    <n v="20844"/>
    <n v="24824"/>
    <n v="20896"/>
    <n v="8771"/>
    <n v="13220"/>
    <s v="No"/>
    <n v="46"/>
    <n v="2.9"/>
    <x v="0"/>
  </r>
  <r>
    <x v="2777"/>
    <s v="Lata Pillai"/>
    <n v="32"/>
    <x v="1"/>
    <s v="O-"/>
    <s v="Hyderabad"/>
    <d v="2023-12-09T00:00:00"/>
    <d v="2023-12-10T00:00:00"/>
    <n v="1"/>
    <x v="0"/>
    <s v="Depression"/>
    <x v="5"/>
    <s v="Radiation Therapy"/>
    <x v="3"/>
    <s v="Dr. Shalini Nair"/>
    <n v="415"/>
    <s v="ICU"/>
    <x v="1"/>
    <n v="127461"/>
    <n v="61697"/>
    <n v="65764"/>
    <n v="101670"/>
    <n v="19165"/>
    <n v="2086"/>
    <s v="No"/>
    <n v="84"/>
    <n v="4.4000000000000004"/>
    <x v="4"/>
  </r>
  <r>
    <x v="2778"/>
    <s v="Rajesh Malhotra"/>
    <n v="38"/>
    <x v="1"/>
    <s v="B+"/>
    <s v="Chennai"/>
    <d v="2022-12-17T00:00:00"/>
    <d v="2023-01-12T00:00:00"/>
    <n v="26"/>
    <x v="0"/>
    <s v="Depression"/>
    <x v="5"/>
    <s v="Dialysis"/>
    <x v="2"/>
    <s v="Dr. Nisha Sharma"/>
    <n v="156"/>
    <s v="ICU"/>
    <x v="4"/>
    <n v="146500"/>
    <n v="0"/>
    <n v="146500"/>
    <n v="126046"/>
    <n v="4066"/>
    <n v="11912"/>
    <s v="No"/>
    <n v="64"/>
    <n v="3.1"/>
    <x v="0"/>
  </r>
  <r>
    <x v="2779"/>
    <s v="Ritu Rao"/>
    <n v="11"/>
    <x v="0"/>
    <s v="AB+"/>
    <s v="Delhi"/>
    <d v="2022-11-04T00:00:00"/>
    <d v="2022-11-13T00:00:00"/>
    <n v="9"/>
    <x v="1"/>
    <s v="Kidney Stone"/>
    <x v="2"/>
    <s v="Surgery"/>
    <x v="1"/>
    <s v="Dr. Vivek Sharma"/>
    <n v="415"/>
    <s v="General Ward"/>
    <x v="0"/>
    <n v="115833"/>
    <n v="75311"/>
    <n v="40522"/>
    <n v="75906"/>
    <n v="24063"/>
    <n v="14425"/>
    <s v="Yes"/>
    <n v="84"/>
    <n v="3.2"/>
    <x v="4"/>
  </r>
  <r>
    <x v="2780"/>
    <s v="Karan Joshi"/>
    <n v="17"/>
    <x v="1"/>
    <s v="AB+"/>
    <s v="Lucknow"/>
    <d v="2022-11-30T00:00:00"/>
    <d v="2022-12-14T00:00:00"/>
    <n v="14"/>
    <x v="4"/>
    <s v="Heart Attack"/>
    <x v="7"/>
    <s v="Observation"/>
    <x v="3"/>
    <s v="Dr. Anjali Mehta"/>
    <n v="375"/>
    <s v="General Ward"/>
    <x v="0"/>
    <n v="35563"/>
    <n v="22587"/>
    <n v="12976"/>
    <n v="17361"/>
    <n v="13441"/>
    <n v="3693"/>
    <s v="Yes"/>
    <n v="42"/>
    <n v="4.8"/>
    <x v="2"/>
  </r>
  <r>
    <x v="2781"/>
    <s v="Rohan Nair"/>
    <n v="32"/>
    <x v="1"/>
    <s v="O-"/>
    <s v="Hyderabad"/>
    <d v="2022-01-09T00:00:00"/>
    <d v="2022-01-31T00:00:00"/>
    <n v="22"/>
    <x v="1"/>
    <s v="Kidney Stone"/>
    <x v="2"/>
    <s v="Counseling"/>
    <x v="0"/>
    <s v="Dr. Rakesh Mehta"/>
    <n v="487"/>
    <s v="ICU"/>
    <x v="2"/>
    <n v="156359"/>
    <n v="130935"/>
    <n v="25424"/>
    <n v="133859"/>
    <n v="6665"/>
    <n v="13066"/>
    <s v="No"/>
    <n v="98"/>
    <n v="4.3"/>
    <x v="4"/>
  </r>
  <r>
    <x v="2782"/>
    <s v="Sunita Mehta"/>
    <n v="13"/>
    <x v="0"/>
    <s v="A+"/>
    <s v="Kolkata"/>
    <d v="2022-04-08T00:00:00"/>
    <d v="2022-04-18T00:00:00"/>
    <n v="10"/>
    <x v="5"/>
    <s v="Asthma"/>
    <x v="8"/>
    <s v="Physiotherapy"/>
    <x v="1"/>
    <s v="Dr. Kavita Gupta"/>
    <n v="145"/>
    <s v="Private"/>
    <x v="4"/>
    <n v="144131"/>
    <n v="0"/>
    <n v="144131"/>
    <n v="129657"/>
    <n v="3401"/>
    <n v="9949"/>
    <s v="No"/>
    <n v="83"/>
    <n v="3.4"/>
    <x v="1"/>
  </r>
  <r>
    <x v="2783"/>
    <s v="Manoj Gupta"/>
    <n v="85"/>
    <x v="1"/>
    <s v="O+"/>
    <s v="Bangalore"/>
    <d v="2022-07-07T00:00:00"/>
    <d v="2022-07-11T00:00:00"/>
    <n v="4"/>
    <x v="5"/>
    <s v="Asthma"/>
    <x v="8"/>
    <s v="Radiation Therapy"/>
    <x v="1"/>
    <s v="Dr. Kavita Joshi"/>
    <n v="340"/>
    <s v="ICU"/>
    <x v="4"/>
    <n v="78428"/>
    <n v="0"/>
    <n v="78428"/>
    <n v="39570"/>
    <n v="28062"/>
    <n v="10215"/>
    <s v="No"/>
    <n v="52"/>
    <n v="3.6"/>
    <x v="2"/>
  </r>
  <r>
    <x v="2784"/>
    <s v="Rekha Iyer"/>
    <n v="42"/>
    <x v="1"/>
    <s v="AB-"/>
    <s v="Delhi"/>
    <d v="2023-03-27T00:00:00"/>
    <d v="2023-04-20T00:00:00"/>
    <n v="24"/>
    <x v="5"/>
    <s v="Asthma"/>
    <x v="8"/>
    <s v="Dialysis"/>
    <x v="0"/>
    <s v="Dr. Arun Joshi"/>
    <n v="342"/>
    <s v="Private"/>
    <x v="1"/>
    <n v="60910"/>
    <n v="30112"/>
    <n v="30798"/>
    <n v="40048"/>
    <n v="5200"/>
    <n v="14115"/>
    <s v="No"/>
    <n v="92"/>
    <n v="4.3"/>
    <x v="4"/>
  </r>
  <r>
    <x v="2785"/>
    <s v="Geeta Rao"/>
    <n v="11"/>
    <x v="1"/>
    <s v="O+"/>
    <s v="Jaipur"/>
    <d v="2024-01-08T00:00:00"/>
    <d v="2024-02-04T00:00:00"/>
    <n v="27"/>
    <x v="4"/>
    <s v="Heart Attack"/>
    <x v="7"/>
    <s v="Surgery"/>
    <x v="3"/>
    <s v="Dr. Kavita Singh"/>
    <n v="403"/>
    <s v="Private"/>
    <x v="3"/>
    <n v="109301"/>
    <n v="85370"/>
    <n v="23931"/>
    <n v="85673"/>
    <n v="14377"/>
    <n v="6964"/>
    <s v="Yes"/>
    <n v="72"/>
    <n v="2.1"/>
    <x v="3"/>
  </r>
  <r>
    <x v="2786"/>
    <s v="Vikram Patel"/>
    <n v="54"/>
    <x v="1"/>
    <s v="B-"/>
    <s v="Pune"/>
    <d v="2024-10-08T00:00:00"/>
    <d v="2024-10-20T00:00:00"/>
    <n v="12"/>
    <x v="0"/>
    <s v="Obesity"/>
    <x v="12"/>
    <s v="Radiation Therapy"/>
    <x v="3"/>
    <s v="Dr. Shalini Gupta"/>
    <n v="162"/>
    <s v="ICU"/>
    <x v="3"/>
    <n v="121729"/>
    <n v="97137"/>
    <n v="24592"/>
    <n v="98320"/>
    <n v="14715"/>
    <n v="5092"/>
    <s v="No"/>
    <n v="65"/>
    <n v="4.8"/>
    <x v="1"/>
  </r>
  <r>
    <x v="2787"/>
    <s v="Sanjay Singh"/>
    <n v="33"/>
    <x v="0"/>
    <s v="A-"/>
    <s v="Kolkata"/>
    <d v="2023-07-25T00:00:00"/>
    <d v="2023-08-24T00:00:00"/>
    <n v="30"/>
    <x v="4"/>
    <s v="Hypertension"/>
    <x v="7"/>
    <s v="Physiotherapy"/>
    <x v="3"/>
    <s v="Dr. Sameer Mehta"/>
    <n v="57"/>
    <s v="ICU"/>
    <x v="4"/>
    <n v="118723"/>
    <n v="0"/>
    <n v="118723"/>
    <n v="97574"/>
    <n v="7540"/>
    <n v="11997"/>
    <s v="No"/>
    <n v="58"/>
    <n v="4.2"/>
    <x v="1"/>
  </r>
  <r>
    <x v="2788"/>
    <s v="Manoj Gupta"/>
    <n v="20"/>
    <x v="0"/>
    <s v="AB+"/>
    <s v="Delhi"/>
    <d v="2022-01-28T00:00:00"/>
    <d v="2022-01-29T00:00:00"/>
    <n v="1"/>
    <x v="1"/>
    <s v="UTI"/>
    <x v="2"/>
    <s v="Counseling"/>
    <x v="2"/>
    <s v="Dr. Nisha Rao"/>
    <n v="22"/>
    <s v="General Ward"/>
    <x v="4"/>
    <n v="156030"/>
    <n v="0"/>
    <n v="156030"/>
    <n v="136651"/>
    <n v="4284"/>
    <n v="13023"/>
    <s v="No"/>
    <n v="44"/>
    <n v="4.3"/>
    <x v="4"/>
  </r>
  <r>
    <x v="2789"/>
    <s v="Sanjay Patel"/>
    <n v="46"/>
    <x v="1"/>
    <s v="B-"/>
    <s v="Ahmedabad"/>
    <d v="2024-04-25T00:00:00"/>
    <d v="2024-05-07T00:00:00"/>
    <n v="12"/>
    <x v="3"/>
    <s v="Stroke"/>
    <x v="6"/>
    <s v="Radiation Therapy"/>
    <x v="1"/>
    <s v="Dr. Arun Kumar"/>
    <n v="235"/>
    <s v="Semi-Private"/>
    <x v="4"/>
    <n v="40774"/>
    <n v="0"/>
    <n v="40774"/>
    <n v="28917"/>
    <n v="1557"/>
    <n v="9395"/>
    <s v="No"/>
    <n v="42"/>
    <n v="4.9000000000000004"/>
    <x v="0"/>
  </r>
  <r>
    <x v="2790"/>
    <s v="Amit Patel"/>
    <n v="32"/>
    <x v="0"/>
    <s v="O+"/>
    <s v="Pune"/>
    <d v="2022-08-18T00:00:00"/>
    <d v="2022-08-25T00:00:00"/>
    <n v="7"/>
    <x v="0"/>
    <s v="Anemia"/>
    <x v="4"/>
    <s v="Medication"/>
    <x v="2"/>
    <s v="Dr. Shalini Singh"/>
    <n v="90"/>
    <s v="Semi-Private"/>
    <x v="2"/>
    <n v="118668"/>
    <n v="104774"/>
    <n v="13894"/>
    <n v="92191"/>
    <n v="20192"/>
    <n v="5764"/>
    <s v="No"/>
    <n v="46"/>
    <n v="2.4"/>
    <x v="3"/>
  </r>
  <r>
    <x v="2791"/>
    <s v="Nisha Verma"/>
    <n v="78"/>
    <x v="0"/>
    <s v="O-"/>
    <s v="Lucknow"/>
    <d v="2022-12-21T00:00:00"/>
    <d v="2023-01-20T00:00:00"/>
    <n v="30"/>
    <x v="5"/>
    <s v="Asthma"/>
    <x v="8"/>
    <s v="Dietary Management"/>
    <x v="0"/>
    <s v="Dr. Prerna Joshi"/>
    <n v="201"/>
    <s v="Private"/>
    <x v="4"/>
    <n v="89882"/>
    <n v="0"/>
    <n v="89882"/>
    <n v="61811"/>
    <n v="13421"/>
    <n v="13773"/>
    <s v="Yes"/>
    <n v="45"/>
    <n v="2.2999999999999998"/>
    <x v="4"/>
  </r>
  <r>
    <x v="2792"/>
    <s v="Vijay Sharma"/>
    <n v="31"/>
    <x v="1"/>
    <s v="A+"/>
    <s v="Chennai"/>
    <d v="2022-11-06T00:00:00"/>
    <d v="2022-11-29T00:00:00"/>
    <n v="23"/>
    <x v="1"/>
    <s v="Kidney Stone"/>
    <x v="2"/>
    <s v="Counseling"/>
    <x v="2"/>
    <s v="Dr. Vivek Patel"/>
    <n v="449"/>
    <s v="Private"/>
    <x v="4"/>
    <n v="64915"/>
    <n v="0"/>
    <n v="64915"/>
    <n v="36750"/>
    <n v="16392"/>
    <n v="9995"/>
    <s v="No"/>
    <n v="81"/>
    <n v="3.3"/>
    <x v="3"/>
  </r>
  <r>
    <x v="2793"/>
    <s v="Deepa Pillai"/>
    <n v="20"/>
    <x v="1"/>
    <s v="A-"/>
    <s v="Hyderabad"/>
    <d v="2024-04-16T00:00:00"/>
    <d v="2024-05-04T00:00:00"/>
    <n v="18"/>
    <x v="0"/>
    <s v="Typhoid"/>
    <x v="1"/>
    <s v="Observation"/>
    <x v="1"/>
    <s v="Dr. Prerna Gupta"/>
    <n v="121"/>
    <s v="ICU"/>
    <x v="2"/>
    <n v="64206"/>
    <n v="49022"/>
    <n v="15184"/>
    <n v="50352"/>
    <n v="5001"/>
    <n v="6642"/>
    <s v="No"/>
    <n v="56"/>
    <n v="3.1"/>
    <x v="2"/>
  </r>
  <r>
    <x v="2794"/>
    <s v="Nisha Verma"/>
    <n v="85"/>
    <x v="0"/>
    <s v="AB-"/>
    <s v="Chennai"/>
    <d v="2022-06-30T00:00:00"/>
    <d v="2022-07-07T00:00:00"/>
    <n v="7"/>
    <x v="0"/>
    <s v="Appendicitis"/>
    <x v="0"/>
    <s v="Surgery"/>
    <x v="2"/>
    <s v="Dr. Prerna Mehta"/>
    <n v="159"/>
    <s v="Semi-Private"/>
    <x v="4"/>
    <n v="133964"/>
    <n v="0"/>
    <n v="133964"/>
    <n v="104926"/>
    <n v="13437"/>
    <n v="11921"/>
    <s v="Yes"/>
    <n v="78"/>
    <n v="2.2999999999999998"/>
    <x v="2"/>
  </r>
  <r>
    <x v="2795"/>
    <s v="Sonia Chopra"/>
    <n v="27"/>
    <x v="1"/>
    <s v="O-"/>
    <s v="Chennai"/>
    <d v="2023-07-20T00:00:00"/>
    <d v="2023-08-17T00:00:00"/>
    <n v="28"/>
    <x v="5"/>
    <s v="Asthma"/>
    <x v="8"/>
    <s v="Observation"/>
    <x v="1"/>
    <s v="Dr. Prerna Singh"/>
    <n v="215"/>
    <s v="General Ward"/>
    <x v="0"/>
    <n v="34726"/>
    <n v="20099"/>
    <n v="14627"/>
    <n v="7452"/>
    <n v="12246"/>
    <n v="12274"/>
    <s v="No"/>
    <n v="99"/>
    <n v="3.4"/>
    <x v="2"/>
  </r>
  <r>
    <x v="2796"/>
    <s v="Divya Mehta"/>
    <n v="59"/>
    <x v="1"/>
    <s v="A+"/>
    <s v="Ahmedabad"/>
    <d v="2023-08-30T00:00:00"/>
    <d v="2023-09-16T00:00:00"/>
    <n v="17"/>
    <x v="0"/>
    <s v="Appendicitis"/>
    <x v="0"/>
    <s v="Chemotherapy"/>
    <x v="3"/>
    <s v="Dr. Kavita Reddy"/>
    <n v="492"/>
    <s v="Semi-Private"/>
    <x v="3"/>
    <n v="99136"/>
    <n v="69895"/>
    <n v="29241"/>
    <n v="77173"/>
    <n v="3064"/>
    <n v="14770"/>
    <s v="No"/>
    <n v="83"/>
    <n v="2"/>
    <x v="1"/>
  </r>
  <r>
    <x v="2797"/>
    <s v="Karan Shah"/>
    <n v="73"/>
    <x v="1"/>
    <s v="O-"/>
    <s v="Pune"/>
    <d v="2023-06-19T00:00:00"/>
    <d v="2023-07-06T00:00:00"/>
    <n v="17"/>
    <x v="2"/>
    <s v="Cancer"/>
    <x v="3"/>
    <s v="Observation"/>
    <x v="0"/>
    <s v="Dr. Prerna Mehta"/>
    <n v="102"/>
    <s v="Private"/>
    <x v="1"/>
    <n v="157312"/>
    <n v="63139"/>
    <n v="94173"/>
    <n v="132528"/>
    <n v="20981"/>
    <n v="534"/>
    <s v="No"/>
    <n v="42"/>
    <n v="4.0999999999999996"/>
    <x v="0"/>
  </r>
  <r>
    <x v="2798"/>
    <s v="Priya Bose"/>
    <n v="21"/>
    <x v="0"/>
    <s v="O-"/>
    <s v="Kolkata"/>
    <d v="2023-05-24T00:00:00"/>
    <d v="2023-06-06T00:00:00"/>
    <n v="13"/>
    <x v="0"/>
    <s v="Anemia"/>
    <x v="4"/>
    <s v="Radiation Therapy"/>
    <x v="2"/>
    <s v="Dr. Prerna Reddy"/>
    <n v="388"/>
    <s v="ICU"/>
    <x v="0"/>
    <n v="161783"/>
    <n v="91156"/>
    <n v="70627"/>
    <n v="141070"/>
    <n v="13993"/>
    <n v="4547"/>
    <s v="No"/>
    <n v="59"/>
    <n v="3.5"/>
    <x v="3"/>
  </r>
  <r>
    <x v="2799"/>
    <s v="Sunita Singh"/>
    <n v="28"/>
    <x v="1"/>
    <s v="O+"/>
    <s v="Chennai"/>
    <d v="2024-01-05T00:00:00"/>
    <d v="2024-01-25T00:00:00"/>
    <n v="20"/>
    <x v="3"/>
    <s v="Stroke"/>
    <x v="6"/>
    <s v="Chemotherapy"/>
    <x v="3"/>
    <s v="Dr. Sameer Gupta"/>
    <n v="88"/>
    <s v="Semi-Private"/>
    <x v="1"/>
    <n v="160427"/>
    <n v="106731"/>
    <n v="53696"/>
    <n v="139015"/>
    <n v="4945"/>
    <n v="13090"/>
    <s v="No"/>
    <n v="79"/>
    <n v="4.3"/>
    <x v="4"/>
  </r>
  <r>
    <x v="2800"/>
    <s v="Aditya Rao"/>
    <n v="11"/>
    <x v="1"/>
    <s v="AB-"/>
    <s v="Hyderabad"/>
    <d v="2023-09-17T00:00:00"/>
    <d v="2023-10-02T00:00:00"/>
    <n v="15"/>
    <x v="0"/>
    <s v="COVID-19"/>
    <x v="1"/>
    <s v="Observation"/>
    <x v="3"/>
    <s v="Dr. Deepak Patel"/>
    <n v="106"/>
    <s v="Semi-Private"/>
    <x v="4"/>
    <n v="158945"/>
    <n v="0"/>
    <n v="158945"/>
    <n v="135957"/>
    <n v="18121"/>
    <n v="3096"/>
    <s v="No"/>
    <n v="87"/>
    <n v="2.9"/>
    <x v="2"/>
  </r>
  <r>
    <x v="2801"/>
    <s v="Kavya Verma"/>
    <n v="10"/>
    <x v="0"/>
    <s v="O+"/>
    <s v="Chennai"/>
    <d v="2023-05-23T00:00:00"/>
    <d v="2023-06-11T00:00:00"/>
    <n v="19"/>
    <x v="2"/>
    <s v="Cancer"/>
    <x v="3"/>
    <s v="Observation"/>
    <x v="1"/>
    <s v="Dr. Vivek Mehta"/>
    <n v="447"/>
    <s v="ICU"/>
    <x v="0"/>
    <n v="176643"/>
    <n v="103523"/>
    <n v="73120"/>
    <n v="147289"/>
    <n v="24051"/>
    <n v="2918"/>
    <s v="No"/>
    <n v="77"/>
    <n v="2.9"/>
    <x v="0"/>
  </r>
  <r>
    <x v="2802"/>
    <s v="Sunita Bose"/>
    <n v="40"/>
    <x v="0"/>
    <s v="O+"/>
    <s v="Pune"/>
    <d v="2024-05-09T00:00:00"/>
    <d v="2024-06-01T00:00:00"/>
    <n v="23"/>
    <x v="4"/>
    <s v="Hypertension"/>
    <x v="7"/>
    <s v="Surgery"/>
    <x v="0"/>
    <s v="Dr. Deepak Joshi"/>
    <n v="185"/>
    <s v="Semi-Private"/>
    <x v="3"/>
    <n v="108642"/>
    <n v="84940"/>
    <n v="23702"/>
    <n v="86414"/>
    <n v="17915"/>
    <n v="2367"/>
    <s v="No"/>
    <n v="60"/>
    <n v="4.9000000000000004"/>
    <x v="1"/>
  </r>
  <r>
    <x v="2803"/>
    <s v="Arjun Gupta"/>
    <n v="63"/>
    <x v="0"/>
    <s v="A-"/>
    <s v="Lucknow"/>
    <d v="2023-12-13T00:00:00"/>
    <d v="2024-01-02T00:00:00"/>
    <n v="20"/>
    <x v="6"/>
    <s v="Fracture"/>
    <x v="10"/>
    <s v="Dietary Management"/>
    <x v="3"/>
    <s v="Dr. Prerna Reddy"/>
    <n v="205"/>
    <s v="Private"/>
    <x v="4"/>
    <n v="142612"/>
    <n v="0"/>
    <n v="142612"/>
    <n v="121764"/>
    <n v="16424"/>
    <n v="3134"/>
    <s v="Yes"/>
    <n v="72"/>
    <n v="5"/>
    <x v="1"/>
  </r>
  <r>
    <x v="2804"/>
    <s v="Priya Kumar"/>
    <n v="37"/>
    <x v="0"/>
    <s v="A+"/>
    <s v="Jaipur"/>
    <d v="2022-12-29T00:00:00"/>
    <d v="2023-01-05T00:00:00"/>
    <n v="7"/>
    <x v="6"/>
    <s v="Fracture"/>
    <x v="10"/>
    <s v="Observation"/>
    <x v="1"/>
    <s v="Dr. Anjali Mehta"/>
    <n v="181"/>
    <s v="Semi-Private"/>
    <x v="1"/>
    <n v="102971"/>
    <n v="70621"/>
    <n v="32350"/>
    <n v="72745"/>
    <n v="23531"/>
    <n v="4798"/>
    <s v="No"/>
    <n v="80"/>
    <n v="4.4000000000000004"/>
    <x v="3"/>
  </r>
  <r>
    <x v="2805"/>
    <s v="Rohan Shah"/>
    <n v="46"/>
    <x v="1"/>
    <s v="B+"/>
    <s v="Jaipur"/>
    <d v="2024-02-03T00:00:00"/>
    <d v="2024-02-07T00:00:00"/>
    <n v="4"/>
    <x v="4"/>
    <s v="Heart Attack"/>
    <x v="7"/>
    <s v="Radiation Therapy"/>
    <x v="3"/>
    <s v="Dr. Rakesh Gupta"/>
    <n v="477"/>
    <s v="Private"/>
    <x v="3"/>
    <n v="86518"/>
    <n v="74032"/>
    <n v="12486"/>
    <n v="65072"/>
    <n v="13829"/>
    <n v="6101"/>
    <s v="No"/>
    <n v="89"/>
    <n v="3.4"/>
    <x v="1"/>
  </r>
  <r>
    <x v="2806"/>
    <s v="Sunil Patel"/>
    <n v="25"/>
    <x v="1"/>
    <s v="AB-"/>
    <s v="Delhi"/>
    <d v="2022-11-30T00:00:00"/>
    <d v="2022-12-12T00:00:00"/>
    <n v="12"/>
    <x v="4"/>
    <s v="Hypertension"/>
    <x v="7"/>
    <s v="Counseling"/>
    <x v="2"/>
    <s v="Dr. Prerna Mehta"/>
    <n v="4"/>
    <s v="Semi-Private"/>
    <x v="4"/>
    <n v="160524"/>
    <n v="0"/>
    <n v="160524"/>
    <n v="139842"/>
    <n v="4926"/>
    <n v="13288"/>
    <s v="No"/>
    <n v="99"/>
    <n v="3.9"/>
    <x v="4"/>
  </r>
  <r>
    <x v="2807"/>
    <s v="Divya Verma"/>
    <n v="15"/>
    <x v="0"/>
    <s v="B+"/>
    <s v="Hyderabad"/>
    <d v="2024-02-06T00:00:00"/>
    <d v="2024-02-11T00:00:00"/>
    <n v="5"/>
    <x v="5"/>
    <s v="Asthma"/>
    <x v="8"/>
    <s v="ICU Care"/>
    <x v="3"/>
    <s v="Dr. Deepak Rao"/>
    <n v="239"/>
    <s v="Semi-Private"/>
    <x v="0"/>
    <n v="126973"/>
    <n v="81385"/>
    <n v="45588"/>
    <n v="100226"/>
    <n v="20508"/>
    <n v="1538"/>
    <s v="No"/>
    <n v="89"/>
    <n v="4.8"/>
    <x v="2"/>
  </r>
  <r>
    <x v="2808"/>
    <s v="Rekha Joshi"/>
    <n v="81"/>
    <x v="1"/>
    <s v="AB-"/>
    <s v="Ahmedabad"/>
    <d v="2022-03-10T00:00:00"/>
    <d v="2022-03-16T00:00:00"/>
    <n v="6"/>
    <x v="1"/>
    <s v="Kidney Stone"/>
    <x v="2"/>
    <s v="Counseling"/>
    <x v="3"/>
    <s v="Dr. Nisha Nair"/>
    <n v="415"/>
    <s v="Private"/>
    <x v="4"/>
    <n v="89033"/>
    <n v="0"/>
    <n v="89033"/>
    <n v="79680"/>
    <n v="5458"/>
    <n v="3084"/>
    <s v="No"/>
    <n v="86"/>
    <n v="4.9000000000000004"/>
    <x v="4"/>
  </r>
  <r>
    <x v="2809"/>
    <s v="Sonia Joshi"/>
    <n v="78"/>
    <x v="1"/>
    <s v="B+"/>
    <s v="Lucknow"/>
    <d v="2024-10-29T00:00:00"/>
    <d v="2024-11-20T00:00:00"/>
    <n v="22"/>
    <x v="0"/>
    <s v="Obesity"/>
    <x v="12"/>
    <s v="Radiation Therapy"/>
    <x v="2"/>
    <s v="Dr. Kavita Kumar"/>
    <n v="347"/>
    <s v="Semi-Private"/>
    <x v="3"/>
    <n v="56008"/>
    <n v="46146"/>
    <n v="9862"/>
    <n v="12497"/>
    <n v="28650"/>
    <n v="10852"/>
    <s v="Yes"/>
    <n v="43"/>
    <n v="2"/>
    <x v="3"/>
  </r>
  <r>
    <x v="2810"/>
    <s v="Sunil Singh"/>
    <n v="82"/>
    <x v="0"/>
    <s v="O-"/>
    <s v="Ahmedabad"/>
    <d v="2024-05-30T00:00:00"/>
    <d v="2024-06-06T00:00:00"/>
    <n v="7"/>
    <x v="5"/>
    <s v="Pneumonia"/>
    <x v="8"/>
    <s v="ICU Care"/>
    <x v="1"/>
    <s v="Dr. Vivek Joshi"/>
    <n v="65"/>
    <s v="General Ward"/>
    <x v="4"/>
    <n v="156498"/>
    <n v="0"/>
    <n v="156498"/>
    <n v="115926"/>
    <n v="21817"/>
    <n v="14383"/>
    <s v="No"/>
    <n v="75"/>
    <n v="4.2"/>
    <x v="2"/>
  </r>
  <r>
    <x v="2811"/>
    <s v="Meera Rao"/>
    <n v="67"/>
    <x v="1"/>
    <s v="B-"/>
    <s v="Mumbai"/>
    <d v="2023-03-12T00:00:00"/>
    <d v="2023-03-26T00:00:00"/>
    <n v="14"/>
    <x v="3"/>
    <s v="Migraine"/>
    <x v="6"/>
    <s v="Counseling"/>
    <x v="0"/>
    <s v="Dr. Arun Mehta"/>
    <n v="198"/>
    <s v="ICU"/>
    <x v="2"/>
    <n v="147914"/>
    <n v="129034"/>
    <n v="18880"/>
    <n v="124637"/>
    <n v="11930"/>
    <n v="8735"/>
    <s v="Yes"/>
    <n v="54"/>
    <n v="4.9000000000000004"/>
    <x v="3"/>
  </r>
  <r>
    <x v="2812"/>
    <s v="Ritu Pillai"/>
    <n v="57"/>
    <x v="0"/>
    <s v="O-"/>
    <s v="Bangalore"/>
    <d v="2023-01-17T00:00:00"/>
    <d v="2023-02-03T00:00:00"/>
    <n v="17"/>
    <x v="6"/>
    <s v="Arthritis"/>
    <x v="11"/>
    <s v="Observation"/>
    <x v="1"/>
    <s v="Dr. Anjali Mehta"/>
    <n v="237"/>
    <s v="Private"/>
    <x v="3"/>
    <n v="28970"/>
    <n v="18163"/>
    <n v="10807"/>
    <n v="20191"/>
    <n v="1342"/>
    <n v="4528"/>
    <s v="No"/>
    <n v="95"/>
    <n v="3.7"/>
    <x v="0"/>
  </r>
  <r>
    <x v="2813"/>
    <s v="Ananya Das"/>
    <n v="62"/>
    <x v="1"/>
    <s v="B-"/>
    <s v="Pune"/>
    <d v="2022-07-01T00:00:00"/>
    <d v="2022-07-17T00:00:00"/>
    <n v="16"/>
    <x v="6"/>
    <s v="Fracture"/>
    <x v="10"/>
    <s v="Dietary Management"/>
    <x v="3"/>
    <s v="Dr. Shalini Gupta"/>
    <n v="133"/>
    <s v="Private"/>
    <x v="2"/>
    <n v="40323"/>
    <n v="29362"/>
    <n v="10961"/>
    <n v="10320"/>
    <n v="20786"/>
    <n v="8310"/>
    <s v="No"/>
    <n v="56"/>
    <n v="2.2000000000000002"/>
    <x v="4"/>
  </r>
  <r>
    <x v="2814"/>
    <s v="Sunita Singh"/>
    <n v="27"/>
    <x v="0"/>
    <s v="B-"/>
    <s v="Hyderabad"/>
    <d v="2024-05-06T00:00:00"/>
    <d v="2024-05-10T00:00:00"/>
    <n v="4"/>
    <x v="0"/>
    <s v="Appendicitis"/>
    <x v="0"/>
    <s v="ICU Care"/>
    <x v="3"/>
    <s v="Dr. Sameer Singh"/>
    <n v="323"/>
    <s v="General Ward"/>
    <x v="0"/>
    <n v="155250"/>
    <n v="64607"/>
    <n v="90643"/>
    <n v="120151"/>
    <n v="19354"/>
    <n v="13734"/>
    <s v="No"/>
    <n v="44"/>
    <n v="2.2999999999999998"/>
    <x v="3"/>
  </r>
  <r>
    <x v="2815"/>
    <s v="Mukesh Das"/>
    <n v="34"/>
    <x v="0"/>
    <s v="B-"/>
    <s v="Delhi"/>
    <d v="2022-06-02T00:00:00"/>
    <d v="2022-06-27T00:00:00"/>
    <n v="25"/>
    <x v="0"/>
    <s v="Anemia"/>
    <x v="4"/>
    <s v="ICU Care"/>
    <x v="1"/>
    <s v="Dr. Nisha Mehta"/>
    <n v="76"/>
    <s v="Semi-Private"/>
    <x v="4"/>
    <n v="131851"/>
    <n v="0"/>
    <n v="131851"/>
    <n v="90830"/>
    <n v="26956"/>
    <n v="13117"/>
    <s v="No"/>
    <n v="75"/>
    <n v="3.7"/>
    <x v="3"/>
  </r>
  <r>
    <x v="2816"/>
    <s v="Sunita Bose"/>
    <n v="14"/>
    <x v="1"/>
    <s v="AB-"/>
    <s v="Kolkata"/>
    <d v="2024-02-24T00:00:00"/>
    <d v="2024-03-21T00:00:00"/>
    <n v="26"/>
    <x v="0"/>
    <s v="COVID-19"/>
    <x v="1"/>
    <s v="Counseling"/>
    <x v="1"/>
    <s v="Dr. Vivek Sharma"/>
    <n v="220"/>
    <s v="General Ward"/>
    <x v="4"/>
    <n v="55270"/>
    <n v="0"/>
    <n v="55270"/>
    <n v="20705"/>
    <n v="24315"/>
    <n v="7377"/>
    <s v="Yes"/>
    <n v="46"/>
    <n v="2.2999999999999998"/>
    <x v="2"/>
  </r>
  <r>
    <x v="2817"/>
    <s v="Ananya Pillai"/>
    <n v="40"/>
    <x v="1"/>
    <s v="A-"/>
    <s v="Hyderabad"/>
    <d v="2023-07-29T00:00:00"/>
    <d v="2023-07-31T00:00:00"/>
    <n v="2"/>
    <x v="0"/>
    <s v="COVID-19"/>
    <x v="1"/>
    <s v="Medication"/>
    <x v="3"/>
    <s v="Dr. Kavita Nair"/>
    <n v="290"/>
    <s v="Semi-Private"/>
    <x v="4"/>
    <n v="78334"/>
    <n v="0"/>
    <n v="78334"/>
    <n v="64014"/>
    <n v="4317"/>
    <n v="7946"/>
    <s v="No"/>
    <n v="95"/>
    <n v="2.9"/>
    <x v="3"/>
  </r>
  <r>
    <x v="2818"/>
    <s v="Nisha Shah"/>
    <n v="25"/>
    <x v="1"/>
    <s v="O+"/>
    <s v="Delhi"/>
    <d v="2022-05-17T00:00:00"/>
    <d v="2022-05-25T00:00:00"/>
    <n v="8"/>
    <x v="5"/>
    <s v="Asthma"/>
    <x v="8"/>
    <s v="Dialysis"/>
    <x v="1"/>
    <s v="Dr. Sameer Joshi"/>
    <n v="375"/>
    <s v="Semi-Private"/>
    <x v="3"/>
    <n v="134842"/>
    <n v="94171"/>
    <n v="40671"/>
    <n v="101971"/>
    <n v="18679"/>
    <n v="11897"/>
    <s v="No"/>
    <n v="70"/>
    <n v="2.7"/>
    <x v="2"/>
  </r>
  <r>
    <x v="2819"/>
    <s v="Rekha Menon"/>
    <n v="57"/>
    <x v="0"/>
    <s v="AB+"/>
    <s v="Mumbai"/>
    <d v="2024-04-18T00:00:00"/>
    <d v="2024-05-18T00:00:00"/>
    <n v="30"/>
    <x v="0"/>
    <s v="Liver Disease"/>
    <x v="0"/>
    <s v="ICU Care"/>
    <x v="0"/>
    <s v="Dr. Deepak Singh"/>
    <n v="225"/>
    <s v="General Ward"/>
    <x v="1"/>
    <n v="96584"/>
    <n v="52879"/>
    <n v="43705"/>
    <n v="61419"/>
    <n v="29775"/>
    <n v="1820"/>
    <s v="No"/>
    <n v="67"/>
    <n v="3"/>
    <x v="3"/>
  </r>
  <r>
    <x v="2820"/>
    <s v="Ananya Reddy"/>
    <n v="81"/>
    <x v="0"/>
    <s v="O+"/>
    <s v="Lucknow"/>
    <d v="2023-06-07T00:00:00"/>
    <d v="2023-06-27T00:00:00"/>
    <n v="20"/>
    <x v="3"/>
    <s v="Stroke"/>
    <x v="6"/>
    <s v="Radiation Therapy"/>
    <x v="3"/>
    <s v="Dr. Nisha Gupta"/>
    <n v="440"/>
    <s v="Private"/>
    <x v="4"/>
    <n v="61910"/>
    <n v="0"/>
    <n v="61910"/>
    <n v="21241"/>
    <n v="25089"/>
    <n v="13699"/>
    <s v="No"/>
    <n v="54"/>
    <n v="2.2000000000000002"/>
    <x v="4"/>
  </r>
  <r>
    <x v="2821"/>
    <s v="Sneha Rao"/>
    <n v="54"/>
    <x v="0"/>
    <s v="A+"/>
    <s v="Bangalore"/>
    <d v="2024-05-14T00:00:00"/>
    <d v="2024-05-15T00:00:00"/>
    <n v="1"/>
    <x v="6"/>
    <s v="Fracture"/>
    <x v="10"/>
    <s v="Counseling"/>
    <x v="2"/>
    <s v="Dr. Anjali Joshi"/>
    <n v="428"/>
    <s v="General Ward"/>
    <x v="2"/>
    <n v="160595"/>
    <n v="130653"/>
    <n v="29942"/>
    <n v="138872"/>
    <n v="3382"/>
    <n v="13362"/>
    <s v="No"/>
    <n v="84"/>
    <n v="3.9"/>
    <x v="2"/>
  </r>
  <r>
    <x v="2822"/>
    <s v="Meera Das"/>
    <n v="12"/>
    <x v="1"/>
    <s v="A-"/>
    <s v="Mumbai"/>
    <d v="2023-08-07T00:00:00"/>
    <d v="2023-08-22T00:00:00"/>
    <n v="15"/>
    <x v="4"/>
    <s v="Hypertension"/>
    <x v="7"/>
    <s v="Dialysis"/>
    <x v="3"/>
    <s v="Dr. Rakesh Singh"/>
    <n v="162"/>
    <s v="Semi-Private"/>
    <x v="0"/>
    <n v="120614"/>
    <n v="51480"/>
    <n v="69134"/>
    <n v="96518"/>
    <n v="14301"/>
    <n v="8199"/>
    <s v="No"/>
    <n v="84"/>
    <n v="2.2000000000000002"/>
    <x v="1"/>
  </r>
  <r>
    <x v="2823"/>
    <s v="Rahul Singh"/>
    <n v="5"/>
    <x v="0"/>
    <s v="O-"/>
    <s v="Bangalore"/>
    <d v="2024-04-03T00:00:00"/>
    <d v="2024-04-15T00:00:00"/>
    <n v="12"/>
    <x v="6"/>
    <s v="Arthritis"/>
    <x v="11"/>
    <s v="Surgery"/>
    <x v="0"/>
    <s v="Dr. Nisha Kumar"/>
    <n v="46"/>
    <s v="Private"/>
    <x v="3"/>
    <n v="89021"/>
    <n v="76113"/>
    <n v="12908"/>
    <n v="50252"/>
    <n v="23296"/>
    <n v="14884"/>
    <s v="Yes"/>
    <n v="72"/>
    <n v="3.6"/>
    <x v="0"/>
  </r>
  <r>
    <x v="2824"/>
    <s v="Rajesh Bose"/>
    <n v="58"/>
    <x v="0"/>
    <s v="A-"/>
    <s v="Hyderabad"/>
    <d v="2023-05-07T00:00:00"/>
    <d v="2023-05-22T00:00:00"/>
    <n v="15"/>
    <x v="0"/>
    <s v="COVID-19"/>
    <x v="1"/>
    <s v="Physiotherapy"/>
    <x v="2"/>
    <s v="Dr. Deepak Kumar"/>
    <n v="167"/>
    <s v="ICU"/>
    <x v="1"/>
    <n v="75399"/>
    <n v="42910"/>
    <n v="32489"/>
    <n v="54782"/>
    <n v="3561"/>
    <n v="14271"/>
    <s v="No"/>
    <n v="74"/>
    <n v="3.7"/>
    <x v="3"/>
  </r>
  <r>
    <x v="2825"/>
    <s v="Geeta Bose"/>
    <n v="30"/>
    <x v="1"/>
    <s v="AB-"/>
    <s v="Kolkata"/>
    <d v="2022-05-28T00:00:00"/>
    <d v="2022-06-16T00:00:00"/>
    <n v="19"/>
    <x v="0"/>
    <s v="Liver Disease"/>
    <x v="0"/>
    <s v="Chemotherapy"/>
    <x v="0"/>
    <s v="Dr. Anjali Gupta"/>
    <n v="127"/>
    <s v="General Ward"/>
    <x v="2"/>
    <n v="40835"/>
    <n v="32958"/>
    <n v="7877"/>
    <n v="7451"/>
    <n v="26986"/>
    <n v="3285"/>
    <s v="No"/>
    <n v="69"/>
    <n v="5"/>
    <x v="1"/>
  </r>
  <r>
    <x v="2826"/>
    <s v="Rekha Iyer"/>
    <n v="33"/>
    <x v="1"/>
    <s v="O-"/>
    <s v="Jaipur"/>
    <d v="2023-10-05T00:00:00"/>
    <d v="2023-10-09T00:00:00"/>
    <n v="4"/>
    <x v="1"/>
    <s v="Kidney Stone"/>
    <x v="2"/>
    <s v="Dialysis"/>
    <x v="3"/>
    <s v="Dr. Arun Sharma"/>
    <n v="254"/>
    <s v="Private"/>
    <x v="3"/>
    <n v="142867"/>
    <n v="118833"/>
    <n v="24034"/>
    <n v="128989"/>
    <n v="5402"/>
    <n v="4224"/>
    <s v="No"/>
    <n v="99"/>
    <n v="4.8"/>
    <x v="0"/>
  </r>
  <r>
    <x v="2827"/>
    <s v="Rahul Kumar"/>
    <n v="72"/>
    <x v="1"/>
    <s v="A-"/>
    <s v="Mumbai"/>
    <d v="2024-06-18T00:00:00"/>
    <d v="2024-07-01T00:00:00"/>
    <n v="13"/>
    <x v="0"/>
    <s v="Diabetes Type 2"/>
    <x v="9"/>
    <s v="Dietary Management"/>
    <x v="3"/>
    <s v="Dr. Nisha Nair"/>
    <n v="338"/>
    <s v="ICU"/>
    <x v="2"/>
    <n v="85583"/>
    <n v="69124"/>
    <n v="16459"/>
    <n v="70995"/>
    <n v="5721"/>
    <n v="6538"/>
    <s v="No"/>
    <n v="66"/>
    <n v="3.8"/>
    <x v="4"/>
  </r>
  <r>
    <x v="2828"/>
    <s v="Meera Reddy"/>
    <n v="21"/>
    <x v="0"/>
    <s v="O+"/>
    <s v="Lucknow"/>
    <d v="2024-03-14T00:00:00"/>
    <d v="2024-03-27T00:00:00"/>
    <n v="13"/>
    <x v="4"/>
    <s v="Hypertension"/>
    <x v="7"/>
    <s v="Medication"/>
    <x v="2"/>
    <s v="Dr. Deepak Gupta"/>
    <n v="110"/>
    <s v="ICU"/>
    <x v="0"/>
    <n v="83302"/>
    <n v="44710"/>
    <n v="38592"/>
    <n v="59864"/>
    <n v="19017"/>
    <n v="966"/>
    <s v="No"/>
    <n v="47"/>
    <n v="3.2"/>
    <x v="4"/>
  </r>
  <r>
    <x v="2829"/>
    <s v="Ananya Menon"/>
    <n v="54"/>
    <x v="0"/>
    <s v="B+"/>
    <s v="Ahmedabad"/>
    <d v="2023-04-14T00:00:00"/>
    <d v="2023-04-23T00:00:00"/>
    <n v="9"/>
    <x v="4"/>
    <s v="Heart Attack"/>
    <x v="7"/>
    <s v="Dietary Management"/>
    <x v="1"/>
    <s v="Dr. Rakesh Mehta"/>
    <n v="204"/>
    <s v="Private"/>
    <x v="4"/>
    <n v="109613"/>
    <n v="0"/>
    <n v="109613"/>
    <n v="81177"/>
    <n v="13914"/>
    <n v="13998"/>
    <s v="No"/>
    <n v="80"/>
    <n v="4.0999999999999996"/>
    <x v="4"/>
  </r>
  <r>
    <x v="2830"/>
    <s v="Arjun Das"/>
    <n v="78"/>
    <x v="0"/>
    <s v="B-"/>
    <s v="Bangalore"/>
    <d v="2022-05-25T00:00:00"/>
    <d v="2022-06-14T00:00:00"/>
    <n v="20"/>
    <x v="6"/>
    <s v="Fracture"/>
    <x v="10"/>
    <s v="Chemotherapy"/>
    <x v="1"/>
    <s v="Dr. Rakesh Singh"/>
    <n v="65"/>
    <s v="General Ward"/>
    <x v="3"/>
    <n v="108440"/>
    <n v="90405"/>
    <n v="18035"/>
    <n v="90285"/>
    <n v="7888"/>
    <n v="5409"/>
    <s v="No"/>
    <n v="95"/>
    <n v="3.1"/>
    <x v="3"/>
  </r>
  <r>
    <x v="2831"/>
    <s v="Deepa Rao"/>
    <n v="58"/>
    <x v="1"/>
    <s v="O+"/>
    <s v="Mumbai"/>
    <d v="2023-09-26T00:00:00"/>
    <d v="2023-10-18T00:00:00"/>
    <n v="22"/>
    <x v="1"/>
    <s v="UTI"/>
    <x v="2"/>
    <s v="Observation"/>
    <x v="2"/>
    <s v="Dr. Prerna Joshi"/>
    <n v="372"/>
    <s v="ICU"/>
    <x v="4"/>
    <n v="49250"/>
    <n v="0"/>
    <n v="49250"/>
    <n v="29960"/>
    <n v="16955"/>
    <n v="1400"/>
    <s v="Yes"/>
    <n v="54"/>
    <n v="3.3"/>
    <x v="3"/>
  </r>
  <r>
    <x v="2832"/>
    <s v="Rohan Malhotra"/>
    <n v="39"/>
    <x v="1"/>
    <s v="A-"/>
    <s v="Bangalore"/>
    <d v="2022-03-22T00:00:00"/>
    <d v="2022-04-05T00:00:00"/>
    <n v="14"/>
    <x v="3"/>
    <s v="Migraine"/>
    <x v="6"/>
    <s v="ICU Care"/>
    <x v="1"/>
    <s v="Dr. Deepak Kumar"/>
    <n v="215"/>
    <s v="General Ward"/>
    <x v="0"/>
    <n v="61514"/>
    <n v="33847"/>
    <n v="27667"/>
    <n v="30374"/>
    <n v="21556"/>
    <n v="8657"/>
    <s v="No"/>
    <n v="40"/>
    <n v="3.3"/>
    <x v="2"/>
  </r>
  <r>
    <x v="2833"/>
    <s v="Rohan Gupta"/>
    <n v="12"/>
    <x v="0"/>
    <s v="O-"/>
    <s v="Chennai"/>
    <d v="2022-02-06T00:00:00"/>
    <d v="2022-03-03T00:00:00"/>
    <n v="25"/>
    <x v="0"/>
    <s v="Depression"/>
    <x v="5"/>
    <s v="Radiation Therapy"/>
    <x v="2"/>
    <s v="Dr. Sameer Joshi"/>
    <n v="428"/>
    <s v="ICU"/>
    <x v="3"/>
    <n v="138197"/>
    <n v="119813"/>
    <n v="18384"/>
    <n v="121652"/>
    <n v="8395"/>
    <n v="5069"/>
    <s v="No"/>
    <n v="90"/>
    <n v="3.3"/>
    <x v="3"/>
  </r>
  <r>
    <x v="2834"/>
    <s v="Rahul Verma"/>
    <n v="9"/>
    <x v="1"/>
    <s v="O-"/>
    <s v="Jaipur"/>
    <d v="2023-10-23T00:00:00"/>
    <d v="2023-11-17T00:00:00"/>
    <n v="25"/>
    <x v="5"/>
    <s v="Asthma"/>
    <x v="8"/>
    <s v="Surgery"/>
    <x v="3"/>
    <s v="Dr. Vivek Kumar"/>
    <n v="35"/>
    <s v="ICU"/>
    <x v="3"/>
    <n v="60753"/>
    <n v="37639"/>
    <n v="23114"/>
    <n v="49178"/>
    <n v="4620"/>
    <n v="2842"/>
    <s v="No"/>
    <n v="94"/>
    <n v="3"/>
    <x v="4"/>
  </r>
  <r>
    <x v="2835"/>
    <s v="Rahul Bose"/>
    <n v="20"/>
    <x v="0"/>
    <s v="AB-"/>
    <s v="Mumbai"/>
    <d v="2024-05-31T00:00:00"/>
    <d v="2024-06-17T00:00:00"/>
    <n v="17"/>
    <x v="2"/>
    <s v="Cancer"/>
    <x v="3"/>
    <s v="Physiotherapy"/>
    <x v="1"/>
    <s v="Dr. Prerna Joshi"/>
    <n v="131"/>
    <s v="Private"/>
    <x v="4"/>
    <n v="136660"/>
    <n v="0"/>
    <n v="136660"/>
    <n v="126268"/>
    <n v="3563"/>
    <n v="4537"/>
    <s v="Yes"/>
    <n v="60"/>
    <n v="3.7"/>
    <x v="0"/>
  </r>
  <r>
    <x v="2836"/>
    <s v="Manoj Khanna"/>
    <n v="31"/>
    <x v="0"/>
    <s v="A-"/>
    <s v="Chennai"/>
    <d v="2022-02-07T00:00:00"/>
    <d v="2022-03-06T00:00:00"/>
    <n v="27"/>
    <x v="0"/>
    <s v="Diabetes Type 2"/>
    <x v="9"/>
    <s v="Chemotherapy"/>
    <x v="0"/>
    <s v="Dr. Sameer Kumar"/>
    <n v="329"/>
    <s v="ICU"/>
    <x v="1"/>
    <n v="66531"/>
    <n v="45627"/>
    <n v="20904"/>
    <n v="35166"/>
    <n v="22895"/>
    <n v="5957"/>
    <s v="No"/>
    <n v="78"/>
    <n v="4.5999999999999996"/>
    <x v="2"/>
  </r>
  <r>
    <x v="2837"/>
    <s v="Aditya Verma"/>
    <n v="76"/>
    <x v="1"/>
    <s v="AB-"/>
    <s v="Kolkata"/>
    <d v="2022-12-05T00:00:00"/>
    <d v="2023-01-04T00:00:00"/>
    <n v="30"/>
    <x v="1"/>
    <s v="UTI"/>
    <x v="2"/>
    <s v="Dialysis"/>
    <x v="0"/>
    <s v="Dr. Vivek Patel"/>
    <n v="15"/>
    <s v="General Ward"/>
    <x v="2"/>
    <n v="155512"/>
    <n v="120025"/>
    <n v="35487"/>
    <n v="118969"/>
    <n v="23492"/>
    <n v="12018"/>
    <s v="No"/>
    <n v="94"/>
    <n v="2.2000000000000002"/>
    <x v="4"/>
  </r>
  <r>
    <x v="2838"/>
    <s v="Rahul Das"/>
    <n v="83"/>
    <x v="1"/>
    <s v="B+"/>
    <s v="Lucknow"/>
    <d v="2024-06-01T00:00:00"/>
    <d v="2024-06-12T00:00:00"/>
    <n v="11"/>
    <x v="3"/>
    <s v="Stroke"/>
    <x v="6"/>
    <s v="Observation"/>
    <x v="1"/>
    <s v="Dr. Rakesh Kumar"/>
    <n v="9"/>
    <s v="General Ward"/>
    <x v="1"/>
    <n v="55029"/>
    <n v="36454"/>
    <n v="18575"/>
    <n v="23801"/>
    <n v="19397"/>
    <n v="8357"/>
    <s v="No"/>
    <n v="92"/>
    <n v="3.4"/>
    <x v="2"/>
  </r>
  <r>
    <x v="2839"/>
    <s v="Karan Singh"/>
    <n v="27"/>
    <x v="0"/>
    <s v="A-"/>
    <s v="Hyderabad"/>
    <d v="2022-12-07T00:00:00"/>
    <d v="2023-01-01T00:00:00"/>
    <n v="25"/>
    <x v="3"/>
    <s v="Migraine"/>
    <x v="6"/>
    <s v="Counseling"/>
    <x v="1"/>
    <s v="Dr. Sameer Singh"/>
    <n v="33"/>
    <s v="Private"/>
    <x v="0"/>
    <n v="32887"/>
    <n v="20953"/>
    <n v="11934"/>
    <n v="22501"/>
    <n v="6097"/>
    <n v="1822"/>
    <s v="No"/>
    <n v="69"/>
    <n v="2.6"/>
    <x v="3"/>
  </r>
  <r>
    <x v="2840"/>
    <s v="Sunita Chopra"/>
    <n v="9"/>
    <x v="1"/>
    <s v="B+"/>
    <s v="Jaipur"/>
    <d v="2024-06-28T00:00:00"/>
    <d v="2024-07-18T00:00:00"/>
    <n v="20"/>
    <x v="1"/>
    <s v="Kidney Stone"/>
    <x v="2"/>
    <s v="Chemotherapy"/>
    <x v="0"/>
    <s v="Dr. Anjali Kumar"/>
    <n v="224"/>
    <s v="Private"/>
    <x v="2"/>
    <n v="42890"/>
    <n v="30494"/>
    <n v="12396"/>
    <n v="10671"/>
    <n v="19025"/>
    <n v="10171"/>
    <s v="Yes"/>
    <n v="48"/>
    <n v="4.9000000000000004"/>
    <x v="1"/>
  </r>
  <r>
    <x v="2841"/>
    <s v="Divya Nair"/>
    <n v="5"/>
    <x v="1"/>
    <s v="AB-"/>
    <s v="Kolkata"/>
    <d v="2023-06-21T00:00:00"/>
    <d v="2023-07-10T00:00:00"/>
    <n v="19"/>
    <x v="1"/>
    <s v="UTI"/>
    <x v="2"/>
    <s v="Chemotherapy"/>
    <x v="2"/>
    <s v="Dr. Arun Rao"/>
    <n v="263"/>
    <s v="Private"/>
    <x v="4"/>
    <n v="119548"/>
    <n v="0"/>
    <n v="119548"/>
    <n v="99638"/>
    <n v="6104"/>
    <n v="12199"/>
    <s v="No"/>
    <n v="60"/>
    <n v="2.9"/>
    <x v="0"/>
  </r>
  <r>
    <x v="2842"/>
    <s v="Manoj Nair"/>
    <n v="21"/>
    <x v="1"/>
    <s v="O-"/>
    <s v="Delhi"/>
    <d v="2023-06-15T00:00:00"/>
    <d v="2023-06-18T00:00:00"/>
    <n v="3"/>
    <x v="2"/>
    <s v="Cancer"/>
    <x v="3"/>
    <s v="Chemotherapy"/>
    <x v="2"/>
    <s v="Dr. Nisha Kumar"/>
    <n v="271"/>
    <s v="ICU"/>
    <x v="2"/>
    <n v="89158"/>
    <n v="78309"/>
    <n v="10849"/>
    <n v="66654"/>
    <n v="7916"/>
    <n v="12534"/>
    <s v="No"/>
    <n v="62"/>
    <n v="3.3"/>
    <x v="2"/>
  </r>
  <r>
    <x v="2843"/>
    <s v="Sneha Singh"/>
    <n v="20"/>
    <x v="1"/>
    <s v="AB-"/>
    <s v="Bangalore"/>
    <d v="2023-02-28T00:00:00"/>
    <d v="2023-03-23T00:00:00"/>
    <n v="23"/>
    <x v="0"/>
    <s v="Anemia"/>
    <x v="4"/>
    <s v="Dietary Management"/>
    <x v="1"/>
    <s v="Dr. Deepak Mehta"/>
    <n v="381"/>
    <s v="General Ward"/>
    <x v="0"/>
    <n v="139695"/>
    <n v="86892"/>
    <n v="52803"/>
    <n v="102106"/>
    <n v="24792"/>
    <n v="10856"/>
    <s v="No"/>
    <n v="92"/>
    <n v="2.4"/>
    <x v="3"/>
  </r>
  <r>
    <x v="2844"/>
    <s v="Arjun Iyer"/>
    <n v="8"/>
    <x v="1"/>
    <s v="A+"/>
    <s v="Jaipur"/>
    <d v="2024-09-14T00:00:00"/>
    <d v="2024-10-03T00:00:00"/>
    <n v="19"/>
    <x v="0"/>
    <s v="Obesity"/>
    <x v="12"/>
    <s v="Chemotherapy"/>
    <x v="2"/>
    <s v="Dr. Arun Rao"/>
    <n v="335"/>
    <s v="General Ward"/>
    <x v="0"/>
    <n v="180039"/>
    <n v="106058"/>
    <n v="73981"/>
    <n v="140337"/>
    <n v="27392"/>
    <n v="11135"/>
    <s v="No"/>
    <n v="100"/>
    <n v="5"/>
    <x v="4"/>
  </r>
  <r>
    <x v="2845"/>
    <s v="Ashok Sharma"/>
    <n v="25"/>
    <x v="1"/>
    <s v="B+"/>
    <s v="Jaipur"/>
    <d v="2024-04-13T00:00:00"/>
    <d v="2024-05-05T00:00:00"/>
    <n v="22"/>
    <x v="6"/>
    <s v="Arthritis"/>
    <x v="11"/>
    <s v="Counseling"/>
    <x v="1"/>
    <s v="Dr. Rakesh Reddy"/>
    <n v="105"/>
    <s v="Private"/>
    <x v="1"/>
    <n v="134325"/>
    <n v="89317"/>
    <n v="45008"/>
    <n v="115535"/>
    <n v="6873"/>
    <n v="9385"/>
    <s v="No"/>
    <n v="85"/>
    <n v="3.7"/>
    <x v="1"/>
  </r>
  <r>
    <x v="2846"/>
    <s v="Ritu Das"/>
    <n v="62"/>
    <x v="0"/>
    <s v="AB+"/>
    <s v="Jaipur"/>
    <d v="2022-03-16T00:00:00"/>
    <d v="2022-03-31T00:00:00"/>
    <n v="15"/>
    <x v="0"/>
    <s v="Anemia"/>
    <x v="4"/>
    <s v="Radiation Therapy"/>
    <x v="1"/>
    <s v="Dr. Sameer Singh"/>
    <n v="146"/>
    <s v="ICU"/>
    <x v="4"/>
    <n v="89948"/>
    <n v="0"/>
    <n v="89948"/>
    <n v="76664"/>
    <n v="6193"/>
    <n v="3770"/>
    <s v="No"/>
    <n v="73"/>
    <n v="4.2"/>
    <x v="4"/>
  </r>
  <r>
    <x v="2847"/>
    <s v="Rohan Das"/>
    <n v="39"/>
    <x v="1"/>
    <s v="B+"/>
    <s v="Ahmedabad"/>
    <d v="2022-03-01T00:00:00"/>
    <d v="2022-03-30T00:00:00"/>
    <n v="29"/>
    <x v="5"/>
    <s v="Pneumonia"/>
    <x v="8"/>
    <s v="Medication"/>
    <x v="0"/>
    <s v="Dr. Nisha Singh"/>
    <n v="75"/>
    <s v="Semi-Private"/>
    <x v="4"/>
    <n v="156985"/>
    <n v="0"/>
    <n v="156985"/>
    <n v="149822"/>
    <n v="2211"/>
    <n v="1985"/>
    <s v="No"/>
    <n v="74"/>
    <n v="3.7"/>
    <x v="2"/>
  </r>
  <r>
    <x v="2848"/>
    <s v="Ashok Chopra"/>
    <n v="29"/>
    <x v="1"/>
    <s v="O-"/>
    <s v="Lucknow"/>
    <d v="2024-03-13T00:00:00"/>
    <d v="2024-03-25T00:00:00"/>
    <n v="12"/>
    <x v="6"/>
    <s v="Arthritis"/>
    <x v="11"/>
    <s v="Observation"/>
    <x v="1"/>
    <s v="Dr. Rakesh Sharma"/>
    <n v="400"/>
    <s v="Semi-Private"/>
    <x v="4"/>
    <n v="183017"/>
    <n v="0"/>
    <n v="183017"/>
    <n v="146236"/>
    <n v="28862"/>
    <n v="4631"/>
    <s v="No"/>
    <n v="60"/>
    <n v="2.7"/>
    <x v="4"/>
  </r>
  <r>
    <x v="2849"/>
    <s v="Sanjay Mehta"/>
    <n v="27"/>
    <x v="0"/>
    <s v="B-"/>
    <s v="Chennai"/>
    <d v="2023-06-18T00:00:00"/>
    <d v="2023-06-30T00:00:00"/>
    <n v="12"/>
    <x v="0"/>
    <s v="COVID-19"/>
    <x v="1"/>
    <s v="Counseling"/>
    <x v="1"/>
    <s v="Dr. Prerna Gupta"/>
    <n v="184"/>
    <s v="ICU"/>
    <x v="3"/>
    <n v="60111"/>
    <n v="47967"/>
    <n v="12144"/>
    <n v="27774"/>
    <n v="24059"/>
    <n v="5273"/>
    <s v="No"/>
    <n v="73"/>
    <n v="4"/>
    <x v="0"/>
  </r>
  <r>
    <x v="2850"/>
    <s v="Priya Das"/>
    <n v="82"/>
    <x v="0"/>
    <s v="AB-"/>
    <s v="Delhi"/>
    <d v="2022-04-11T00:00:00"/>
    <d v="2022-04-27T00:00:00"/>
    <n v="16"/>
    <x v="0"/>
    <s v="Diabetes Type 2"/>
    <x v="9"/>
    <s v="Surgery"/>
    <x v="1"/>
    <s v="Dr. Rakesh Sharma"/>
    <n v="481"/>
    <s v="Semi-Private"/>
    <x v="0"/>
    <n v="103463"/>
    <n v="69144"/>
    <n v="34319"/>
    <n v="61116"/>
    <n v="28074"/>
    <n v="10993"/>
    <s v="No"/>
    <n v="66"/>
    <n v="2"/>
    <x v="1"/>
  </r>
  <r>
    <x v="2851"/>
    <s v="Arjun Verma"/>
    <n v="50"/>
    <x v="1"/>
    <s v="B+"/>
    <s v="Lucknow"/>
    <d v="2024-01-12T00:00:00"/>
    <d v="2024-01-13T00:00:00"/>
    <n v="1"/>
    <x v="0"/>
    <s v="Liver Disease"/>
    <x v="0"/>
    <s v="Dialysis"/>
    <x v="2"/>
    <s v="Dr. Vivek Sharma"/>
    <n v="411"/>
    <s v="Private"/>
    <x v="1"/>
    <n v="177469"/>
    <n v="106007"/>
    <n v="71462"/>
    <n v="139782"/>
    <n v="27600"/>
    <n v="5214"/>
    <s v="No"/>
    <n v="65"/>
    <n v="4.2"/>
    <x v="3"/>
  </r>
  <r>
    <x v="2852"/>
    <s v="Ritu Kumar"/>
    <n v="68"/>
    <x v="0"/>
    <s v="O-"/>
    <s v="Ahmedabad"/>
    <d v="2023-10-10T00:00:00"/>
    <d v="2023-10-25T00:00:00"/>
    <n v="15"/>
    <x v="3"/>
    <s v="Migraine"/>
    <x v="6"/>
    <s v="Physiotherapy"/>
    <x v="0"/>
    <s v="Dr. Kavita Joshi"/>
    <n v="307"/>
    <s v="General Ward"/>
    <x v="2"/>
    <n v="173690"/>
    <n v="153356"/>
    <n v="20334"/>
    <n v="137961"/>
    <n v="20036"/>
    <n v="11291"/>
    <s v="No"/>
    <n v="81"/>
    <n v="4.4000000000000004"/>
    <x v="2"/>
  </r>
  <r>
    <x v="2853"/>
    <s v="Pooja Shah"/>
    <n v="83"/>
    <x v="1"/>
    <s v="AB-"/>
    <s v="Ahmedabad"/>
    <d v="2023-07-18T00:00:00"/>
    <d v="2023-08-01T00:00:00"/>
    <n v="14"/>
    <x v="0"/>
    <s v="COVID-19"/>
    <x v="1"/>
    <s v="Chemotherapy"/>
    <x v="2"/>
    <s v="Dr. Rakesh Sharma"/>
    <n v="291"/>
    <s v="ICU"/>
    <x v="2"/>
    <n v="107851"/>
    <n v="68276"/>
    <n v="39575"/>
    <n v="89009"/>
    <n v="12074"/>
    <n v="6025"/>
    <s v="No"/>
    <n v="92"/>
    <n v="2.6"/>
    <x v="2"/>
  </r>
  <r>
    <x v="2854"/>
    <s v="Ashok Rao"/>
    <n v="34"/>
    <x v="1"/>
    <s v="AB-"/>
    <s v="Bangalore"/>
    <d v="2024-09-24T00:00:00"/>
    <d v="2024-10-17T00:00:00"/>
    <n v="23"/>
    <x v="1"/>
    <s v="UTI"/>
    <x v="2"/>
    <s v="Observation"/>
    <x v="2"/>
    <s v="Dr. Prerna Nair"/>
    <n v="260"/>
    <s v="Private"/>
    <x v="0"/>
    <n v="88813"/>
    <n v="45949"/>
    <n v="42864"/>
    <n v="72456"/>
    <n v="1663"/>
    <n v="13004"/>
    <s v="Yes"/>
    <n v="83"/>
    <n v="2.1"/>
    <x v="1"/>
  </r>
  <r>
    <x v="2855"/>
    <s v="Geeta Das"/>
    <n v="45"/>
    <x v="1"/>
    <s v="AB+"/>
    <s v="Chennai"/>
    <d v="2022-12-13T00:00:00"/>
    <d v="2022-12-20T00:00:00"/>
    <n v="7"/>
    <x v="6"/>
    <s v="Fracture"/>
    <x v="10"/>
    <s v="Radiation Therapy"/>
    <x v="3"/>
    <s v="Dr. Anjali Gupta"/>
    <n v="264"/>
    <s v="Private"/>
    <x v="3"/>
    <n v="53488"/>
    <n v="34250"/>
    <n v="19238"/>
    <n v="41971"/>
    <n v="2048"/>
    <n v="6591"/>
    <s v="No"/>
    <n v="45"/>
    <n v="2.2999999999999998"/>
    <x v="4"/>
  </r>
  <r>
    <x v="2856"/>
    <s v="Karan Das"/>
    <n v="27"/>
    <x v="0"/>
    <s v="B+"/>
    <s v="Kolkata"/>
    <d v="2023-04-10T00:00:00"/>
    <d v="2023-05-04T00:00:00"/>
    <n v="24"/>
    <x v="1"/>
    <s v="UTI"/>
    <x v="2"/>
    <s v="Surgery"/>
    <x v="1"/>
    <s v="Dr. Rakesh Rao"/>
    <n v="225"/>
    <s v="ICU"/>
    <x v="4"/>
    <n v="58685"/>
    <n v="0"/>
    <n v="58685"/>
    <n v="33330"/>
    <n v="19013"/>
    <n v="1721"/>
    <s v="No"/>
    <n v="48"/>
    <n v="3.4"/>
    <x v="1"/>
  </r>
  <r>
    <x v="2857"/>
    <s v="Mukesh Kumar"/>
    <n v="29"/>
    <x v="1"/>
    <s v="O+"/>
    <s v="Jaipur"/>
    <d v="2022-12-14T00:00:00"/>
    <d v="2023-01-07T00:00:00"/>
    <n v="24"/>
    <x v="0"/>
    <s v="Depression"/>
    <x v="5"/>
    <s v="Physiotherapy"/>
    <x v="0"/>
    <s v="Dr. Vivek Reddy"/>
    <n v="139"/>
    <s v="Semi-Private"/>
    <x v="1"/>
    <n v="96999"/>
    <n v="51798"/>
    <n v="45201"/>
    <n v="73981"/>
    <n v="15161"/>
    <n v="4317"/>
    <s v="Yes"/>
    <n v="91"/>
    <n v="4.0999999999999996"/>
    <x v="0"/>
  </r>
  <r>
    <x v="2858"/>
    <s v="Karan Pillai"/>
    <n v="30"/>
    <x v="0"/>
    <s v="O+"/>
    <s v="Ahmedabad"/>
    <d v="2023-04-18T00:00:00"/>
    <d v="2023-05-15T00:00:00"/>
    <n v="27"/>
    <x v="0"/>
    <s v="COVID-19"/>
    <x v="1"/>
    <s v="ICU Care"/>
    <x v="0"/>
    <s v="Dr. Prerna Singh"/>
    <n v="428"/>
    <s v="ICU"/>
    <x v="0"/>
    <n v="147948"/>
    <n v="85609"/>
    <n v="62339"/>
    <n v="122519"/>
    <n v="9654"/>
    <n v="11546"/>
    <s v="No"/>
    <n v="96"/>
    <n v="4.0999999999999996"/>
    <x v="0"/>
  </r>
  <r>
    <x v="2859"/>
    <s v="Ritu Sharma"/>
    <n v="61"/>
    <x v="1"/>
    <s v="B+"/>
    <s v="Chennai"/>
    <d v="2023-01-25T00:00:00"/>
    <d v="2023-02-08T00:00:00"/>
    <n v="14"/>
    <x v="0"/>
    <s v="COVID-19"/>
    <x v="1"/>
    <s v="Surgery"/>
    <x v="2"/>
    <s v="Dr. Prerna Kumar"/>
    <n v="182"/>
    <s v="Private"/>
    <x v="0"/>
    <n v="86621"/>
    <n v="46396"/>
    <n v="40225"/>
    <n v="62521"/>
    <n v="15383"/>
    <n v="4517"/>
    <s v="No"/>
    <n v="41"/>
    <n v="2.8"/>
    <x v="3"/>
  </r>
  <r>
    <x v="2860"/>
    <s v="Rohan Verma"/>
    <n v="74"/>
    <x v="0"/>
    <s v="A-"/>
    <s v="Chennai"/>
    <d v="2024-03-19T00:00:00"/>
    <d v="2024-03-28T00:00:00"/>
    <n v="9"/>
    <x v="3"/>
    <s v="Stroke"/>
    <x v="6"/>
    <s v="Chemotherapy"/>
    <x v="3"/>
    <s v="Dr. Shalini Sharma"/>
    <n v="205"/>
    <s v="Semi-Private"/>
    <x v="0"/>
    <n v="164599"/>
    <n v="103245"/>
    <n v="61354"/>
    <n v="137576"/>
    <n v="15996"/>
    <n v="7901"/>
    <s v="No"/>
    <n v="86"/>
    <n v="5"/>
    <x v="1"/>
  </r>
  <r>
    <x v="2861"/>
    <s v="Priya Sharma"/>
    <n v="41"/>
    <x v="1"/>
    <s v="A-"/>
    <s v="Mumbai"/>
    <d v="2024-09-22T00:00:00"/>
    <d v="2024-10-11T00:00:00"/>
    <n v="19"/>
    <x v="6"/>
    <s v="Arthritis"/>
    <x v="11"/>
    <s v="ICU Care"/>
    <x v="0"/>
    <s v="Dr. Vivek Sharma"/>
    <n v="36"/>
    <s v="ICU"/>
    <x v="3"/>
    <n v="140778"/>
    <n v="119211"/>
    <n v="21567"/>
    <n v="107341"/>
    <n v="23516"/>
    <n v="7745"/>
    <s v="No"/>
    <n v="51"/>
    <n v="3.5"/>
    <x v="0"/>
  </r>
  <r>
    <x v="2862"/>
    <s v="Sunita Mehta"/>
    <n v="54"/>
    <x v="1"/>
    <s v="AB-"/>
    <s v="Lucknow"/>
    <d v="2024-11-29T00:00:00"/>
    <d v="2024-12-19T00:00:00"/>
    <n v="20"/>
    <x v="0"/>
    <s v="Diabetes Type 2"/>
    <x v="9"/>
    <s v="Radiation Therapy"/>
    <x v="2"/>
    <s v="Dr. Arun Gupta"/>
    <n v="338"/>
    <s v="Semi-Private"/>
    <x v="0"/>
    <n v="160225"/>
    <n v="69287"/>
    <n v="90938"/>
    <n v="141401"/>
    <n v="3304"/>
    <n v="14913"/>
    <s v="No"/>
    <n v="65"/>
    <n v="4.5999999999999996"/>
    <x v="1"/>
  </r>
  <r>
    <x v="2863"/>
    <s v="Aditya Das"/>
    <n v="29"/>
    <x v="1"/>
    <s v="O-"/>
    <s v="Bangalore"/>
    <d v="2024-02-15T00:00:00"/>
    <d v="2024-02-24T00:00:00"/>
    <n v="9"/>
    <x v="3"/>
    <s v="Migraine"/>
    <x v="6"/>
    <s v="Dialysis"/>
    <x v="3"/>
    <s v="Dr. Nisha Joshi"/>
    <n v="354"/>
    <s v="Semi-Private"/>
    <x v="0"/>
    <n v="80744"/>
    <n v="32842"/>
    <n v="47902"/>
    <n v="42892"/>
    <n v="22115"/>
    <n v="12543"/>
    <s v="No"/>
    <n v="64"/>
    <n v="3.4"/>
    <x v="0"/>
  </r>
  <r>
    <x v="2864"/>
    <s v="Rekha Das"/>
    <n v="41"/>
    <x v="1"/>
    <s v="O-"/>
    <s v="Lucknow"/>
    <d v="2023-11-10T00:00:00"/>
    <d v="2023-11-19T00:00:00"/>
    <n v="9"/>
    <x v="0"/>
    <s v="Typhoid"/>
    <x v="1"/>
    <s v="Physiotherapy"/>
    <x v="1"/>
    <s v="Dr. Arun Mehta"/>
    <n v="273"/>
    <s v="Semi-Private"/>
    <x v="0"/>
    <n v="120109"/>
    <n v="79233"/>
    <n v="40876"/>
    <n v="84633"/>
    <n v="27149"/>
    <n v="4118"/>
    <s v="Yes"/>
    <n v="58"/>
    <n v="4.5999999999999996"/>
    <x v="1"/>
  </r>
  <r>
    <x v="2865"/>
    <s v="Suresh Das"/>
    <n v="70"/>
    <x v="1"/>
    <s v="A-"/>
    <s v="Chennai"/>
    <d v="2024-08-02T00:00:00"/>
    <d v="2024-08-30T00:00:00"/>
    <n v="28"/>
    <x v="4"/>
    <s v="Heart Attack"/>
    <x v="7"/>
    <s v="Dietary Management"/>
    <x v="2"/>
    <s v="Dr. Deepak Nair"/>
    <n v="444"/>
    <s v="Private"/>
    <x v="2"/>
    <n v="148589"/>
    <n v="103263"/>
    <n v="45326"/>
    <n v="110653"/>
    <n v="20887"/>
    <n v="13115"/>
    <s v="No"/>
    <n v="83"/>
    <n v="4.7"/>
    <x v="2"/>
  </r>
  <r>
    <x v="2866"/>
    <s v="Rajesh Malhotra"/>
    <n v="45"/>
    <x v="1"/>
    <s v="B+"/>
    <s v="Bangalore"/>
    <d v="2022-01-25T00:00:00"/>
    <d v="2022-02-10T00:00:00"/>
    <n v="16"/>
    <x v="5"/>
    <s v="Pneumonia"/>
    <x v="8"/>
    <s v="ICU Care"/>
    <x v="1"/>
    <s v="Dr. Nisha Joshi"/>
    <n v="3"/>
    <s v="Semi-Private"/>
    <x v="0"/>
    <n v="63590"/>
    <n v="29841"/>
    <n v="33749"/>
    <n v="44357"/>
    <n v="9817"/>
    <n v="8626"/>
    <s v="No"/>
    <n v="84"/>
    <n v="2.2999999999999998"/>
    <x v="2"/>
  </r>
  <r>
    <x v="2867"/>
    <s v="Sunil Pillai"/>
    <n v="7"/>
    <x v="1"/>
    <s v="AB+"/>
    <s v="Jaipur"/>
    <d v="2023-09-25T00:00:00"/>
    <d v="2023-09-26T00:00:00"/>
    <n v="1"/>
    <x v="0"/>
    <s v="Liver Disease"/>
    <x v="0"/>
    <s v="Dialysis"/>
    <x v="2"/>
    <s v="Dr. Shalini Reddy"/>
    <n v="287"/>
    <s v="Private"/>
    <x v="4"/>
    <n v="113026"/>
    <n v="0"/>
    <n v="113026"/>
    <n v="101002"/>
    <n v="2288"/>
    <n v="7689"/>
    <s v="No"/>
    <n v="95"/>
    <n v="4.3"/>
    <x v="3"/>
  </r>
  <r>
    <x v="2868"/>
    <s v="Manoj Das"/>
    <n v="22"/>
    <x v="1"/>
    <s v="O+"/>
    <s v="Hyderabad"/>
    <d v="2022-09-06T00:00:00"/>
    <d v="2022-09-14T00:00:00"/>
    <n v="8"/>
    <x v="0"/>
    <s v="Diabetes Type 2"/>
    <x v="9"/>
    <s v="Surgery"/>
    <x v="1"/>
    <s v="Dr. Deepak Kumar"/>
    <n v="163"/>
    <s v="ICU"/>
    <x v="2"/>
    <n v="95239"/>
    <n v="68788"/>
    <n v="26451"/>
    <n v="78243"/>
    <n v="4971"/>
    <n v="9982"/>
    <s v="Yes"/>
    <n v="88"/>
    <n v="4.5999999999999996"/>
    <x v="1"/>
  </r>
  <r>
    <x v="2869"/>
    <s v="Sneha Shah"/>
    <n v="18"/>
    <x v="1"/>
    <s v="B+"/>
    <s v="Bangalore"/>
    <d v="2022-12-15T00:00:00"/>
    <d v="2022-12-25T00:00:00"/>
    <n v="10"/>
    <x v="0"/>
    <s v="Appendicitis"/>
    <x v="0"/>
    <s v="Physiotherapy"/>
    <x v="3"/>
    <s v="Dr. Arun Patel"/>
    <n v="14"/>
    <s v="Semi-Private"/>
    <x v="0"/>
    <n v="75954"/>
    <n v="46816"/>
    <n v="29138"/>
    <n v="51895"/>
    <n v="7379"/>
    <n v="14886"/>
    <s v="No"/>
    <n v="47"/>
    <n v="2.7"/>
    <x v="0"/>
  </r>
  <r>
    <x v="2870"/>
    <s v="Rajesh Gupta"/>
    <n v="74"/>
    <x v="0"/>
    <s v="A-"/>
    <s v="Hyderabad"/>
    <d v="2023-01-18T00:00:00"/>
    <d v="2023-02-03T00:00:00"/>
    <n v="16"/>
    <x v="2"/>
    <s v="Cancer"/>
    <x v="3"/>
    <s v="Medication"/>
    <x v="2"/>
    <s v="Dr. Sameer Patel"/>
    <n v="366"/>
    <s v="Private"/>
    <x v="1"/>
    <n v="56754"/>
    <n v="23594"/>
    <n v="33160"/>
    <n v="27234"/>
    <n v="13863"/>
    <n v="14395"/>
    <s v="No"/>
    <n v="78"/>
    <n v="4.5"/>
    <x v="0"/>
  </r>
  <r>
    <x v="2871"/>
    <s v="Amit Reddy"/>
    <n v="23"/>
    <x v="1"/>
    <s v="A+"/>
    <s v="Pune"/>
    <d v="2024-09-08T00:00:00"/>
    <d v="2024-09-25T00:00:00"/>
    <n v="17"/>
    <x v="1"/>
    <s v="UTI"/>
    <x v="2"/>
    <s v="Counseling"/>
    <x v="1"/>
    <s v="Dr. Rakesh Reddy"/>
    <n v="326"/>
    <s v="Private"/>
    <x v="2"/>
    <n v="121972"/>
    <n v="96047"/>
    <n v="25925"/>
    <n v="84866"/>
    <n v="23533"/>
    <n v="12073"/>
    <s v="No"/>
    <n v="100"/>
    <n v="3.8"/>
    <x v="0"/>
  </r>
  <r>
    <x v="2872"/>
    <s v="Rekha Singh"/>
    <n v="67"/>
    <x v="0"/>
    <s v="B-"/>
    <s v="Mumbai"/>
    <d v="2022-08-06T00:00:00"/>
    <d v="2022-08-26T00:00:00"/>
    <n v="20"/>
    <x v="0"/>
    <s v="Appendicitis"/>
    <x v="0"/>
    <s v="ICU Care"/>
    <x v="3"/>
    <s v="Dr. Kavita Patel"/>
    <n v="417"/>
    <s v="ICU"/>
    <x v="3"/>
    <n v="36492"/>
    <n v="23096"/>
    <n v="13396"/>
    <n v="18591"/>
    <n v="3567"/>
    <n v="11439"/>
    <s v="No"/>
    <n v="100"/>
    <n v="4.8"/>
    <x v="1"/>
  </r>
  <r>
    <x v="2873"/>
    <s v="Sunita Pillai"/>
    <n v="71"/>
    <x v="1"/>
    <s v="A+"/>
    <s v="Kolkata"/>
    <d v="2023-06-22T00:00:00"/>
    <d v="2023-07-14T00:00:00"/>
    <n v="22"/>
    <x v="1"/>
    <s v="Kidney Stone"/>
    <x v="2"/>
    <s v="Physiotherapy"/>
    <x v="1"/>
    <s v="Dr. Arun Rao"/>
    <n v="281"/>
    <s v="Semi-Private"/>
    <x v="0"/>
    <n v="153060"/>
    <n v="67886"/>
    <n v="85174"/>
    <n v="134704"/>
    <n v="7241"/>
    <n v="7600"/>
    <s v="No"/>
    <n v="76"/>
    <n v="4.9000000000000004"/>
    <x v="0"/>
  </r>
  <r>
    <x v="2874"/>
    <s v="Sunil Gupta"/>
    <n v="52"/>
    <x v="1"/>
    <s v="A+"/>
    <s v="Pune"/>
    <d v="2024-02-15T00:00:00"/>
    <d v="2024-02-27T00:00:00"/>
    <n v="12"/>
    <x v="0"/>
    <s v="Anemia"/>
    <x v="4"/>
    <s v="Dietary Management"/>
    <x v="1"/>
    <s v="Dr. Vivek Gupta"/>
    <n v="485"/>
    <s v="General Ward"/>
    <x v="0"/>
    <n v="171179"/>
    <n v="109755"/>
    <n v="61424"/>
    <n v="126613"/>
    <n v="27789"/>
    <n v="13732"/>
    <s v="No"/>
    <n v="46"/>
    <n v="2.7"/>
    <x v="1"/>
  </r>
  <r>
    <x v="2875"/>
    <s v="Sanjay Malhotra"/>
    <n v="21"/>
    <x v="0"/>
    <s v="B-"/>
    <s v="Chennai"/>
    <d v="2022-12-05T00:00:00"/>
    <d v="2022-12-15T00:00:00"/>
    <n v="10"/>
    <x v="0"/>
    <s v="Obesity"/>
    <x v="12"/>
    <s v="Medication"/>
    <x v="0"/>
    <s v="Dr. Kavita Sharma"/>
    <n v="203"/>
    <s v="ICU"/>
    <x v="1"/>
    <n v="168674"/>
    <n v="109341"/>
    <n v="59333"/>
    <n v="138580"/>
    <n v="16486"/>
    <n v="9529"/>
    <s v="No"/>
    <n v="100"/>
    <n v="4.8"/>
    <x v="3"/>
  </r>
  <r>
    <x v="2876"/>
    <s v="Manoj Gupta"/>
    <n v="23"/>
    <x v="0"/>
    <s v="O+"/>
    <s v="Mumbai"/>
    <d v="2023-07-04T00:00:00"/>
    <d v="2023-07-05T00:00:00"/>
    <n v="1"/>
    <x v="5"/>
    <s v="Pneumonia"/>
    <x v="8"/>
    <s v="Surgery"/>
    <x v="0"/>
    <s v="Dr. Vivek Nair"/>
    <n v="337"/>
    <s v="Private"/>
    <x v="4"/>
    <n v="34973"/>
    <n v="0"/>
    <n v="34973"/>
    <n v="20921"/>
    <n v="4285"/>
    <n v="5730"/>
    <s v="No"/>
    <n v="48"/>
    <n v="2.5"/>
    <x v="0"/>
  </r>
  <r>
    <x v="2877"/>
    <s v="Rohan Das"/>
    <n v="19"/>
    <x v="1"/>
    <s v="AB+"/>
    <s v="Mumbai"/>
    <d v="2023-08-18T00:00:00"/>
    <d v="2023-08-29T00:00:00"/>
    <n v="11"/>
    <x v="0"/>
    <s v="Liver Disease"/>
    <x v="0"/>
    <s v="Physiotherapy"/>
    <x v="0"/>
    <s v="Dr. Deepak Patel"/>
    <n v="145"/>
    <s v="ICU"/>
    <x v="2"/>
    <n v="133992"/>
    <n v="92499"/>
    <n v="41493"/>
    <n v="94522"/>
    <n v="22749"/>
    <n v="12662"/>
    <s v="No"/>
    <n v="83"/>
    <n v="2.2999999999999998"/>
    <x v="4"/>
  </r>
  <r>
    <x v="2878"/>
    <s v="Vikram Iyer"/>
    <n v="20"/>
    <x v="1"/>
    <s v="AB+"/>
    <s v="Lucknow"/>
    <d v="2024-11-17T00:00:00"/>
    <d v="2024-11-21T00:00:00"/>
    <n v="4"/>
    <x v="0"/>
    <s v="Dengue"/>
    <x v="1"/>
    <s v="Chemotherapy"/>
    <x v="3"/>
    <s v="Dr. Nisha Reddy"/>
    <n v="99"/>
    <s v="Private"/>
    <x v="0"/>
    <n v="44086"/>
    <n v="23156"/>
    <n v="20930"/>
    <n v="10483"/>
    <n v="21036"/>
    <n v="10934"/>
    <s v="No"/>
    <n v="72"/>
    <n v="4"/>
    <x v="2"/>
  </r>
  <r>
    <x v="2879"/>
    <s v="Sneha Patel"/>
    <n v="27"/>
    <x v="1"/>
    <s v="O-"/>
    <s v="Bangalore"/>
    <d v="2022-03-30T00:00:00"/>
    <d v="2022-04-20T00:00:00"/>
    <n v="21"/>
    <x v="1"/>
    <s v="Kidney Stone"/>
    <x v="2"/>
    <s v="Dialysis"/>
    <x v="3"/>
    <s v="Dr. Shalini Nair"/>
    <n v="5"/>
    <s v="Semi-Private"/>
    <x v="4"/>
    <n v="85643"/>
    <n v="0"/>
    <n v="85643"/>
    <n v="71965"/>
    <n v="2697"/>
    <n v="6081"/>
    <s v="No"/>
    <n v="67"/>
    <n v="3.1"/>
    <x v="0"/>
  </r>
  <r>
    <x v="2880"/>
    <s v="Ashok Shah"/>
    <n v="15"/>
    <x v="0"/>
    <s v="O+"/>
    <s v="Chennai"/>
    <d v="2023-12-09T00:00:00"/>
    <d v="2023-12-11T00:00:00"/>
    <n v="2"/>
    <x v="5"/>
    <s v="Asthma"/>
    <x v="8"/>
    <s v="Dialysis"/>
    <x v="2"/>
    <s v="Dr. Arun Rao"/>
    <n v="191"/>
    <s v="Private"/>
    <x v="4"/>
    <n v="122193"/>
    <n v="0"/>
    <n v="122193"/>
    <n v="100751"/>
    <n v="9859"/>
    <n v="10372"/>
    <s v="No"/>
    <n v="73"/>
    <n v="2.6"/>
    <x v="3"/>
  </r>
  <r>
    <x v="2881"/>
    <s v="Lata Malhotra"/>
    <n v="78"/>
    <x v="0"/>
    <s v="O+"/>
    <s v="Hyderabad"/>
    <d v="2022-09-27T00:00:00"/>
    <d v="2022-10-03T00:00:00"/>
    <n v="6"/>
    <x v="6"/>
    <s v="Arthritis"/>
    <x v="11"/>
    <s v="Physiotherapy"/>
    <x v="3"/>
    <s v="Dr. Deepak Gupta"/>
    <n v="448"/>
    <s v="Private"/>
    <x v="0"/>
    <n v="158438"/>
    <n v="98616"/>
    <n v="59822"/>
    <n v="119899"/>
    <n v="20649"/>
    <n v="14029"/>
    <s v="Yes"/>
    <n v="57"/>
    <n v="3.8"/>
    <x v="1"/>
  </r>
  <r>
    <x v="2882"/>
    <s v="Ashok Verma"/>
    <n v="7"/>
    <x v="0"/>
    <s v="AB-"/>
    <s v="Jaipur"/>
    <d v="2024-02-17T00:00:00"/>
    <d v="2024-03-11T00:00:00"/>
    <n v="23"/>
    <x v="1"/>
    <s v="UTI"/>
    <x v="2"/>
    <s v="Observation"/>
    <x v="2"/>
    <s v="Dr. Deepak Nair"/>
    <n v="426"/>
    <s v="Semi-Private"/>
    <x v="1"/>
    <n v="38651"/>
    <n v="23807"/>
    <n v="14844"/>
    <n v="21644"/>
    <n v="1438"/>
    <n v="12314"/>
    <s v="No"/>
    <n v="50"/>
    <n v="3"/>
    <x v="2"/>
  </r>
  <r>
    <x v="2883"/>
    <s v="Sneha Kumar"/>
    <n v="69"/>
    <x v="0"/>
    <s v="AB+"/>
    <s v="Bangalore"/>
    <d v="2023-05-17T00:00:00"/>
    <d v="2023-05-21T00:00:00"/>
    <n v="4"/>
    <x v="6"/>
    <s v="Fracture"/>
    <x v="10"/>
    <s v="Observation"/>
    <x v="3"/>
    <s v="Dr. Nisha Joshi"/>
    <n v="115"/>
    <s v="ICU"/>
    <x v="0"/>
    <n v="22263"/>
    <n v="14385"/>
    <n v="7878"/>
    <n v="5120"/>
    <n v="2584"/>
    <n v="11640"/>
    <s v="No"/>
    <n v="52"/>
    <n v="3"/>
    <x v="3"/>
  </r>
  <r>
    <x v="2884"/>
    <s v="Rahul Shah"/>
    <n v="55"/>
    <x v="0"/>
    <s v="A+"/>
    <s v="Ahmedabad"/>
    <d v="2024-01-18T00:00:00"/>
    <d v="2024-02-14T00:00:00"/>
    <n v="27"/>
    <x v="0"/>
    <s v="Dengue"/>
    <x v="1"/>
    <s v="Dietary Management"/>
    <x v="3"/>
    <s v="Dr. Prerna Singh"/>
    <n v="478"/>
    <s v="ICU"/>
    <x v="3"/>
    <n v="84702"/>
    <n v="68358"/>
    <n v="16344"/>
    <n v="60221"/>
    <n v="12147"/>
    <n v="10642"/>
    <s v="No"/>
    <n v="83"/>
    <n v="4.5"/>
    <x v="4"/>
  </r>
  <r>
    <x v="2885"/>
    <s v="Lata Gupta"/>
    <n v="52"/>
    <x v="0"/>
    <s v="AB-"/>
    <s v="Hyderabad"/>
    <d v="2022-07-27T00:00:00"/>
    <d v="2022-08-18T00:00:00"/>
    <n v="22"/>
    <x v="3"/>
    <s v="Migraine"/>
    <x v="6"/>
    <s v="Observation"/>
    <x v="3"/>
    <s v="Dr. Vivek Joshi"/>
    <n v="385"/>
    <s v="Private"/>
    <x v="3"/>
    <n v="126014"/>
    <n v="83647"/>
    <n v="42367"/>
    <n v="110380"/>
    <n v="11156"/>
    <n v="723"/>
    <s v="No"/>
    <n v="61"/>
    <n v="3.5"/>
    <x v="3"/>
  </r>
  <r>
    <x v="2886"/>
    <s v="Sunil Kumar"/>
    <n v="15"/>
    <x v="1"/>
    <s v="AB+"/>
    <s v="Lucknow"/>
    <d v="2024-04-17T00:00:00"/>
    <d v="2024-05-02T00:00:00"/>
    <n v="15"/>
    <x v="0"/>
    <s v="Obesity"/>
    <x v="12"/>
    <s v="Dietary Management"/>
    <x v="2"/>
    <s v="Dr. Shalini Mehta"/>
    <n v="144"/>
    <s v="ICU"/>
    <x v="0"/>
    <n v="82885"/>
    <n v="43674"/>
    <n v="39211"/>
    <n v="64401"/>
    <n v="11197"/>
    <n v="5142"/>
    <s v="No"/>
    <n v="72"/>
    <n v="4.7"/>
    <x v="3"/>
  </r>
  <r>
    <x v="2887"/>
    <s v="Nisha Khanna"/>
    <n v="28"/>
    <x v="1"/>
    <s v="AB-"/>
    <s v="Lucknow"/>
    <d v="2023-08-06T00:00:00"/>
    <d v="2023-08-21T00:00:00"/>
    <n v="15"/>
    <x v="0"/>
    <s v="COVID-19"/>
    <x v="1"/>
    <s v="Surgery"/>
    <x v="0"/>
    <s v="Dr. Kavita Reddy"/>
    <n v="359"/>
    <s v="Semi-Private"/>
    <x v="3"/>
    <n v="30139"/>
    <n v="26661"/>
    <n v="3478"/>
    <n v="19627"/>
    <n v="4793"/>
    <n v="1371"/>
    <s v="No"/>
    <n v="70"/>
    <n v="3.1"/>
    <x v="3"/>
  </r>
  <r>
    <x v="2888"/>
    <s v="Nisha Mehta"/>
    <n v="41"/>
    <x v="0"/>
    <s v="A+"/>
    <s v="Chennai"/>
    <d v="2023-11-04T00:00:00"/>
    <d v="2023-12-04T00:00:00"/>
    <n v="30"/>
    <x v="0"/>
    <s v="Depression"/>
    <x v="5"/>
    <s v="Observation"/>
    <x v="3"/>
    <s v="Dr. Rakesh Rao"/>
    <n v="370"/>
    <s v="General Ward"/>
    <x v="3"/>
    <n v="68765"/>
    <n v="49141"/>
    <n v="19624"/>
    <n v="33599"/>
    <n v="17752"/>
    <n v="14361"/>
    <s v="No"/>
    <n v="94"/>
    <n v="3.5"/>
    <x v="3"/>
  </r>
  <r>
    <x v="2889"/>
    <s v="Arjun Shah"/>
    <n v="62"/>
    <x v="0"/>
    <s v="O+"/>
    <s v="Kolkata"/>
    <d v="2022-02-22T00:00:00"/>
    <d v="2022-03-01T00:00:00"/>
    <n v="7"/>
    <x v="3"/>
    <s v="Migraine"/>
    <x v="6"/>
    <s v="Physiotherapy"/>
    <x v="3"/>
    <s v="Dr. Sameer Nair"/>
    <n v="400"/>
    <s v="ICU"/>
    <x v="3"/>
    <n v="67508"/>
    <n v="59049"/>
    <n v="8459"/>
    <n v="51816"/>
    <n v="5706"/>
    <n v="8680"/>
    <s v="No"/>
    <n v="49"/>
    <n v="2.2999999999999998"/>
    <x v="2"/>
  </r>
  <r>
    <x v="2890"/>
    <s v="Pooja Chopra"/>
    <n v="48"/>
    <x v="0"/>
    <s v="AB+"/>
    <s v="Ahmedabad"/>
    <d v="2023-04-20T00:00:00"/>
    <d v="2023-05-10T00:00:00"/>
    <n v="20"/>
    <x v="0"/>
    <s v="Diabetes Type 2"/>
    <x v="9"/>
    <s v="Medication"/>
    <x v="0"/>
    <s v="Dr. Sameer Gupta"/>
    <n v="349"/>
    <s v="ICU"/>
    <x v="0"/>
    <n v="81511"/>
    <n v="42682"/>
    <n v="38829"/>
    <n v="56188"/>
    <n v="14550"/>
    <n v="6618"/>
    <s v="No"/>
    <n v="69"/>
    <n v="4.0999999999999996"/>
    <x v="4"/>
  </r>
  <r>
    <x v="2891"/>
    <s v="Nisha Bose"/>
    <n v="85"/>
    <x v="1"/>
    <s v="AB+"/>
    <s v="Hyderabad"/>
    <d v="2022-02-27T00:00:00"/>
    <d v="2022-03-28T00:00:00"/>
    <n v="29"/>
    <x v="4"/>
    <s v="Heart Attack"/>
    <x v="7"/>
    <s v="Observation"/>
    <x v="1"/>
    <s v="Dr. Sameer Reddy"/>
    <n v="131"/>
    <s v="Private"/>
    <x v="4"/>
    <n v="136823"/>
    <n v="0"/>
    <n v="136823"/>
    <n v="122593"/>
    <n v="6711"/>
    <n v="4869"/>
    <s v="No"/>
    <n v="45"/>
    <n v="3.4"/>
    <x v="1"/>
  </r>
  <r>
    <x v="2892"/>
    <s v="Ritu Joshi"/>
    <n v="59"/>
    <x v="1"/>
    <s v="O+"/>
    <s v="Jaipur"/>
    <d v="2022-05-30T00:00:00"/>
    <d v="2022-05-31T00:00:00"/>
    <n v="1"/>
    <x v="0"/>
    <s v="Obesity"/>
    <x v="12"/>
    <s v="ICU Care"/>
    <x v="0"/>
    <s v="Dr. Deepak Patel"/>
    <n v="494"/>
    <s v="Semi-Private"/>
    <x v="0"/>
    <n v="176657"/>
    <n v="96690"/>
    <n v="79967"/>
    <n v="141151"/>
    <n v="21899"/>
    <n v="12969"/>
    <s v="Yes"/>
    <n v="80"/>
    <n v="2.7"/>
    <x v="3"/>
  </r>
  <r>
    <x v="2893"/>
    <s v="Nisha Chopra"/>
    <n v="58"/>
    <x v="0"/>
    <s v="A+"/>
    <s v="Pune"/>
    <d v="2023-01-31T00:00:00"/>
    <d v="2023-02-27T00:00:00"/>
    <n v="27"/>
    <x v="2"/>
    <s v="Cancer"/>
    <x v="3"/>
    <s v="Counseling"/>
    <x v="3"/>
    <s v="Dr. Prerna Rao"/>
    <n v="275"/>
    <s v="Semi-Private"/>
    <x v="1"/>
    <n v="119740"/>
    <n v="72672"/>
    <n v="47068"/>
    <n v="106049"/>
    <n v="2884"/>
    <n v="7009"/>
    <s v="No"/>
    <n v="79"/>
    <n v="3.6"/>
    <x v="0"/>
  </r>
  <r>
    <x v="2894"/>
    <s v="Nisha Khanna"/>
    <n v="78"/>
    <x v="1"/>
    <s v="A-"/>
    <s v="Mumbai"/>
    <d v="2023-02-02T00:00:00"/>
    <d v="2023-02-03T00:00:00"/>
    <n v="1"/>
    <x v="0"/>
    <s v="Depression"/>
    <x v="5"/>
    <s v="Radiation Therapy"/>
    <x v="3"/>
    <s v="Dr. Deepak Joshi"/>
    <n v="110"/>
    <s v="General Ward"/>
    <x v="4"/>
    <n v="54907"/>
    <n v="0"/>
    <n v="54907"/>
    <n v="19415"/>
    <n v="27440"/>
    <n v="5358"/>
    <s v="Yes"/>
    <n v="64"/>
    <n v="2.2000000000000002"/>
    <x v="4"/>
  </r>
  <r>
    <x v="2895"/>
    <s v="Rajesh Kumar"/>
    <n v="30"/>
    <x v="1"/>
    <s v="AB+"/>
    <s v="Chennai"/>
    <d v="2023-11-03T00:00:00"/>
    <d v="2023-11-13T00:00:00"/>
    <n v="10"/>
    <x v="6"/>
    <s v="Arthritis"/>
    <x v="11"/>
    <s v="Chemotherapy"/>
    <x v="0"/>
    <s v="Dr. Prerna Sharma"/>
    <n v="149"/>
    <s v="General Ward"/>
    <x v="1"/>
    <n v="36664"/>
    <n v="24507"/>
    <n v="12157"/>
    <n v="6596"/>
    <n v="11304"/>
    <n v="14345"/>
    <s v="No"/>
    <n v="83"/>
    <n v="3.7"/>
    <x v="4"/>
  </r>
  <r>
    <x v="2896"/>
    <s v="Nisha Das"/>
    <n v="37"/>
    <x v="1"/>
    <s v="B+"/>
    <s v="Hyderabad"/>
    <d v="2023-05-15T00:00:00"/>
    <d v="2023-06-01T00:00:00"/>
    <n v="17"/>
    <x v="0"/>
    <s v="COVID-19"/>
    <x v="1"/>
    <s v="Chemotherapy"/>
    <x v="2"/>
    <s v="Dr. Anjali Rao"/>
    <n v="353"/>
    <s v="Semi-Private"/>
    <x v="4"/>
    <n v="121819"/>
    <n v="0"/>
    <n v="121819"/>
    <n v="78735"/>
    <n v="25783"/>
    <n v="14646"/>
    <s v="No"/>
    <n v="61"/>
    <n v="4.4000000000000004"/>
    <x v="0"/>
  </r>
  <r>
    <x v="2897"/>
    <s v="Mukesh Menon"/>
    <n v="7"/>
    <x v="0"/>
    <s v="AB-"/>
    <s v="Chennai"/>
    <d v="2022-05-08T00:00:00"/>
    <d v="2022-05-12T00:00:00"/>
    <n v="4"/>
    <x v="0"/>
    <s v="Obesity"/>
    <x v="12"/>
    <s v="ICU Care"/>
    <x v="2"/>
    <s v="Dr. Vivek Patel"/>
    <n v="393"/>
    <s v="Private"/>
    <x v="4"/>
    <n v="154559"/>
    <n v="0"/>
    <n v="154559"/>
    <n v="121709"/>
    <n v="21974"/>
    <n v="8980"/>
    <s v="No"/>
    <n v="63"/>
    <n v="4.2"/>
    <x v="4"/>
  </r>
  <r>
    <x v="2898"/>
    <s v="Pooja Reddy"/>
    <n v="60"/>
    <x v="1"/>
    <s v="A+"/>
    <s v="Pune"/>
    <d v="2022-08-15T00:00:00"/>
    <d v="2022-08-20T00:00:00"/>
    <n v="5"/>
    <x v="6"/>
    <s v="Arthritis"/>
    <x v="11"/>
    <s v="Observation"/>
    <x v="2"/>
    <s v="Dr. Anjali Rao"/>
    <n v="300"/>
    <s v="ICU"/>
    <x v="0"/>
    <n v="51075"/>
    <n v="31986"/>
    <n v="19089"/>
    <n v="28399"/>
    <n v="16094"/>
    <n v="4470"/>
    <s v="No"/>
    <n v="95"/>
    <n v="3.7"/>
    <x v="1"/>
  </r>
  <r>
    <x v="2899"/>
    <s v="Karan Pillai"/>
    <n v="85"/>
    <x v="1"/>
    <s v="AB+"/>
    <s v="Lucknow"/>
    <d v="2023-11-14T00:00:00"/>
    <d v="2023-11-29T00:00:00"/>
    <n v="15"/>
    <x v="0"/>
    <s v="Diabetes Type 2"/>
    <x v="9"/>
    <s v="Surgery"/>
    <x v="3"/>
    <s v="Dr. Arun Reddy"/>
    <n v="139"/>
    <s v="Semi-Private"/>
    <x v="2"/>
    <n v="135770"/>
    <n v="89655"/>
    <n v="46115"/>
    <n v="117304"/>
    <n v="6031"/>
    <n v="10484"/>
    <s v="No"/>
    <n v="51"/>
    <n v="2.4"/>
    <x v="2"/>
  </r>
  <r>
    <x v="2900"/>
    <s v="Rohan Mehta"/>
    <n v="35"/>
    <x v="0"/>
    <s v="AB-"/>
    <s v="Delhi"/>
    <d v="2022-12-21T00:00:00"/>
    <d v="2022-12-22T00:00:00"/>
    <n v="1"/>
    <x v="0"/>
    <s v="Dengue"/>
    <x v="1"/>
    <s v="Dialysis"/>
    <x v="2"/>
    <s v="Dr. Prerna Reddy"/>
    <n v="328"/>
    <s v="ICU"/>
    <x v="2"/>
    <n v="130518"/>
    <n v="102248"/>
    <n v="28270"/>
    <n v="104586"/>
    <n v="17522"/>
    <n v="3563"/>
    <s v="No"/>
    <n v="90"/>
    <n v="4"/>
    <x v="0"/>
  </r>
  <r>
    <x v="2901"/>
    <s v="Sunil Patel"/>
    <n v="23"/>
    <x v="0"/>
    <s v="O-"/>
    <s v="Kolkata"/>
    <d v="2023-09-27T00:00:00"/>
    <d v="2023-10-23T00:00:00"/>
    <n v="26"/>
    <x v="0"/>
    <s v="Dengue"/>
    <x v="1"/>
    <s v="Surgery"/>
    <x v="1"/>
    <s v="Dr. Anjali Joshi"/>
    <n v="328"/>
    <s v="General Ward"/>
    <x v="3"/>
    <n v="30981"/>
    <n v="18967"/>
    <n v="12014"/>
    <n v="12787"/>
    <n v="1491"/>
    <n v="13044"/>
    <s v="No"/>
    <n v="69"/>
    <n v="2.9"/>
    <x v="2"/>
  </r>
  <r>
    <x v="2902"/>
    <s v="Rajesh Verma"/>
    <n v="80"/>
    <x v="1"/>
    <s v="O+"/>
    <s v="Pune"/>
    <d v="2024-10-06T00:00:00"/>
    <d v="2024-11-05T00:00:00"/>
    <n v="30"/>
    <x v="6"/>
    <s v="Fracture"/>
    <x v="10"/>
    <s v="Surgery"/>
    <x v="3"/>
    <s v="Dr. Vivek Reddy"/>
    <n v="126"/>
    <s v="ICU"/>
    <x v="2"/>
    <n v="137617"/>
    <n v="113548"/>
    <n v="24069"/>
    <n v="111902"/>
    <n v="23246"/>
    <n v="1828"/>
    <s v="No"/>
    <n v="94"/>
    <n v="2.7"/>
    <x v="2"/>
  </r>
  <r>
    <x v="2903"/>
    <s v="Suresh Singh"/>
    <n v="28"/>
    <x v="1"/>
    <s v="A+"/>
    <s v="Chennai"/>
    <d v="2024-03-28T00:00:00"/>
    <d v="2024-04-13T00:00:00"/>
    <n v="16"/>
    <x v="4"/>
    <s v="Heart Attack"/>
    <x v="7"/>
    <s v="Counseling"/>
    <x v="3"/>
    <s v="Dr. Anjali Reddy"/>
    <n v="21"/>
    <s v="General Ward"/>
    <x v="3"/>
    <n v="30399"/>
    <n v="20130"/>
    <n v="10269"/>
    <n v="16073"/>
    <n v="7479"/>
    <n v="6113"/>
    <s v="No"/>
    <n v="48"/>
    <n v="2.1"/>
    <x v="2"/>
  </r>
  <r>
    <x v="2904"/>
    <s v="Arjun Menon"/>
    <n v="48"/>
    <x v="1"/>
    <s v="O+"/>
    <s v="Bangalore"/>
    <d v="2023-08-21T00:00:00"/>
    <d v="2023-09-19T00:00:00"/>
    <n v="29"/>
    <x v="0"/>
    <s v="Depression"/>
    <x v="5"/>
    <s v="Surgery"/>
    <x v="1"/>
    <s v="Dr. Vivek Nair"/>
    <n v="369"/>
    <s v="Semi-Private"/>
    <x v="1"/>
    <n v="65191"/>
    <n v="43230"/>
    <n v="21961"/>
    <n v="46942"/>
    <n v="3390"/>
    <n v="13825"/>
    <s v="No"/>
    <n v="80"/>
    <n v="3.1"/>
    <x v="0"/>
  </r>
  <r>
    <x v="2905"/>
    <s v="Nisha Das"/>
    <n v="62"/>
    <x v="1"/>
    <s v="B-"/>
    <s v="Hyderabad"/>
    <d v="2024-03-02T00:00:00"/>
    <d v="2024-03-15T00:00:00"/>
    <n v="13"/>
    <x v="0"/>
    <s v="Typhoid"/>
    <x v="1"/>
    <s v="Observation"/>
    <x v="2"/>
    <s v="Dr. Shalini Reddy"/>
    <n v="28"/>
    <s v="General Ward"/>
    <x v="3"/>
    <n v="79393"/>
    <n v="69086"/>
    <n v="10307"/>
    <n v="59727"/>
    <n v="16461"/>
    <n v="739"/>
    <s v="No"/>
    <n v="90"/>
    <n v="3.5"/>
    <x v="4"/>
  </r>
  <r>
    <x v="2906"/>
    <s v="Rekha Nair"/>
    <n v="34"/>
    <x v="0"/>
    <s v="A+"/>
    <s v="Jaipur"/>
    <d v="2024-11-27T00:00:00"/>
    <d v="2024-12-25T00:00:00"/>
    <n v="28"/>
    <x v="4"/>
    <s v="Heart Attack"/>
    <x v="7"/>
    <s v="Radiation Therapy"/>
    <x v="1"/>
    <s v="Dr. Rakesh Singh"/>
    <n v="461"/>
    <s v="Private"/>
    <x v="4"/>
    <n v="90031"/>
    <n v="0"/>
    <n v="90031"/>
    <n v="71510"/>
    <n v="6366"/>
    <n v="9642"/>
    <s v="No"/>
    <n v="72"/>
    <n v="3.6"/>
    <x v="4"/>
  </r>
  <r>
    <x v="2907"/>
    <s v="Rajesh Nair"/>
    <n v="27"/>
    <x v="1"/>
    <s v="A+"/>
    <s v="Lucknow"/>
    <d v="2023-06-30T00:00:00"/>
    <d v="2023-07-08T00:00:00"/>
    <n v="8"/>
    <x v="0"/>
    <s v="Depression"/>
    <x v="5"/>
    <s v="ICU Care"/>
    <x v="3"/>
    <s v="Dr. Anjali Rao"/>
    <n v="333"/>
    <s v="Private"/>
    <x v="1"/>
    <n v="149672"/>
    <n v="83264"/>
    <n v="66408"/>
    <n v="138968"/>
    <n v="8614"/>
    <n v="608"/>
    <s v="No"/>
    <n v="92"/>
    <n v="2.1"/>
    <x v="0"/>
  </r>
  <r>
    <x v="2908"/>
    <s v="Aditya Malhotra"/>
    <n v="52"/>
    <x v="1"/>
    <s v="B-"/>
    <s v="Lucknow"/>
    <d v="2024-01-09T00:00:00"/>
    <d v="2024-02-03T00:00:00"/>
    <n v="25"/>
    <x v="3"/>
    <s v="Migraine"/>
    <x v="6"/>
    <s v="Observation"/>
    <x v="1"/>
    <s v="Dr. Arun Singh"/>
    <n v="93"/>
    <s v="ICU"/>
    <x v="2"/>
    <n v="163032"/>
    <n v="134512"/>
    <n v="28520"/>
    <n v="139944"/>
    <n v="8853"/>
    <n v="10367"/>
    <s v="No"/>
    <n v="87"/>
    <n v="4.5"/>
    <x v="0"/>
  </r>
  <r>
    <x v="2909"/>
    <s v="Mukesh Iyer"/>
    <n v="43"/>
    <x v="1"/>
    <s v="B-"/>
    <s v="Jaipur"/>
    <d v="2022-01-17T00:00:00"/>
    <d v="2022-02-16T00:00:00"/>
    <n v="30"/>
    <x v="1"/>
    <s v="Kidney Stone"/>
    <x v="2"/>
    <s v="Observation"/>
    <x v="2"/>
    <s v="Dr. Rakesh Gupta"/>
    <n v="405"/>
    <s v="General Ward"/>
    <x v="3"/>
    <n v="156120"/>
    <n v="130237"/>
    <n v="25883"/>
    <n v="134868"/>
    <n v="17475"/>
    <n v="1167"/>
    <s v="No"/>
    <n v="68"/>
    <n v="4"/>
    <x v="0"/>
  </r>
  <r>
    <x v="2910"/>
    <s v="Priya Shah"/>
    <n v="85"/>
    <x v="0"/>
    <s v="O+"/>
    <s v="Pune"/>
    <d v="2022-09-26T00:00:00"/>
    <d v="2022-10-15T00:00:00"/>
    <n v="19"/>
    <x v="4"/>
    <s v="Heart Attack"/>
    <x v="7"/>
    <s v="Counseling"/>
    <x v="2"/>
    <s v="Dr. Rakesh Rao"/>
    <n v="56"/>
    <s v="Private"/>
    <x v="1"/>
    <n v="36504"/>
    <n v="18176"/>
    <n v="18328"/>
    <n v="6744"/>
    <n v="19298"/>
    <n v="7842"/>
    <s v="No"/>
    <n v="81"/>
    <n v="3.5"/>
    <x v="2"/>
  </r>
  <r>
    <x v="2911"/>
    <s v="Sneha Patel"/>
    <n v="49"/>
    <x v="0"/>
    <s v="AB+"/>
    <s v="Jaipur"/>
    <d v="2024-03-29T00:00:00"/>
    <d v="2024-04-24T00:00:00"/>
    <n v="26"/>
    <x v="0"/>
    <s v="Liver Disease"/>
    <x v="0"/>
    <s v="Observation"/>
    <x v="1"/>
    <s v="Dr. Deepak Singh"/>
    <n v="433"/>
    <s v="General Ward"/>
    <x v="3"/>
    <n v="124188"/>
    <n v="84203"/>
    <n v="39985"/>
    <n v="89489"/>
    <n v="25026"/>
    <n v="8661"/>
    <s v="No"/>
    <n v="97"/>
    <n v="3.7"/>
    <x v="4"/>
  </r>
  <r>
    <x v="2912"/>
    <s v="Vijay Rao"/>
    <n v="20"/>
    <x v="1"/>
    <s v="O-"/>
    <s v="Kolkata"/>
    <d v="2024-04-22T00:00:00"/>
    <d v="2024-04-29T00:00:00"/>
    <n v="7"/>
    <x v="5"/>
    <s v="Pneumonia"/>
    <x v="8"/>
    <s v="Physiotherapy"/>
    <x v="3"/>
    <s v="Dr. Vivek Reddy"/>
    <n v="478"/>
    <s v="General Ward"/>
    <x v="0"/>
    <n v="136921"/>
    <n v="77066"/>
    <n v="59855"/>
    <n v="94160"/>
    <n v="25691"/>
    <n v="12533"/>
    <s v="No"/>
    <n v="94"/>
    <n v="2.7"/>
    <x v="4"/>
  </r>
  <r>
    <x v="2913"/>
    <s v="Ritu Chopra"/>
    <n v="58"/>
    <x v="0"/>
    <s v="AB-"/>
    <s v="Chennai"/>
    <d v="2024-05-23T00:00:00"/>
    <d v="2024-06-19T00:00:00"/>
    <n v="27"/>
    <x v="4"/>
    <s v="Hypertension"/>
    <x v="7"/>
    <s v="Physiotherapy"/>
    <x v="1"/>
    <s v="Dr. Prerna Mehta"/>
    <n v="142"/>
    <s v="Private"/>
    <x v="1"/>
    <n v="130392"/>
    <n v="71031"/>
    <n v="59361"/>
    <n v="117590"/>
    <n v="3688"/>
    <n v="6364"/>
    <s v="No"/>
    <n v="72"/>
    <n v="4.5999999999999996"/>
    <x v="1"/>
  </r>
  <r>
    <x v="2914"/>
    <s v="Mukesh Nair"/>
    <n v="17"/>
    <x v="0"/>
    <s v="A-"/>
    <s v="Lucknow"/>
    <d v="2024-04-21T00:00:00"/>
    <d v="2024-05-08T00:00:00"/>
    <n v="17"/>
    <x v="3"/>
    <s v="Stroke"/>
    <x v="6"/>
    <s v="Radiation Therapy"/>
    <x v="0"/>
    <s v="Dr. Sameer Nair"/>
    <n v="302"/>
    <s v="General Ward"/>
    <x v="1"/>
    <n v="60728"/>
    <n v="24795"/>
    <n v="35933"/>
    <n v="42695"/>
    <n v="8191"/>
    <n v="8445"/>
    <s v="No"/>
    <n v="40"/>
    <n v="4.9000000000000004"/>
    <x v="2"/>
  </r>
  <r>
    <x v="2915"/>
    <s v="Kavya Menon"/>
    <n v="70"/>
    <x v="1"/>
    <s v="O+"/>
    <s v="Ahmedabad"/>
    <d v="2023-05-18T00:00:00"/>
    <d v="2023-05-23T00:00:00"/>
    <n v="5"/>
    <x v="0"/>
    <s v="Typhoid"/>
    <x v="1"/>
    <s v="Physiotherapy"/>
    <x v="3"/>
    <s v="Dr. Kavita Gupta"/>
    <n v="473"/>
    <s v="Private"/>
    <x v="1"/>
    <n v="44095"/>
    <n v="22188"/>
    <n v="21907"/>
    <n v="30657"/>
    <n v="4362"/>
    <n v="7479"/>
    <s v="No"/>
    <n v="87"/>
    <n v="3.8"/>
    <x v="4"/>
  </r>
  <r>
    <x v="2916"/>
    <s v="Rahul Das"/>
    <n v="52"/>
    <x v="1"/>
    <s v="A-"/>
    <s v="Hyderabad"/>
    <d v="2024-06-23T00:00:00"/>
    <d v="2024-07-08T00:00:00"/>
    <n v="15"/>
    <x v="0"/>
    <s v="COVID-19"/>
    <x v="1"/>
    <s v="Observation"/>
    <x v="2"/>
    <s v="Dr. Prerna Kumar"/>
    <n v="316"/>
    <s v="Semi-Private"/>
    <x v="1"/>
    <n v="55985"/>
    <n v="24784"/>
    <n v="31201"/>
    <n v="18225"/>
    <n v="20461"/>
    <n v="13510"/>
    <s v="No"/>
    <n v="69"/>
    <n v="3.5"/>
    <x v="4"/>
  </r>
  <r>
    <x v="2917"/>
    <s v="Mukesh Kumar"/>
    <n v="16"/>
    <x v="1"/>
    <s v="B+"/>
    <s v="Jaipur"/>
    <d v="2023-04-18T00:00:00"/>
    <d v="2023-05-10T00:00:00"/>
    <n v="22"/>
    <x v="5"/>
    <s v="Asthma"/>
    <x v="8"/>
    <s v="Medication"/>
    <x v="2"/>
    <s v="Dr. Vivek Sharma"/>
    <n v="343"/>
    <s v="Semi-Private"/>
    <x v="4"/>
    <n v="186677"/>
    <n v="0"/>
    <n v="186677"/>
    <n v="147129"/>
    <n v="25461"/>
    <n v="9782"/>
    <s v="No"/>
    <n v="80"/>
    <n v="2.6"/>
    <x v="1"/>
  </r>
  <r>
    <x v="2918"/>
    <s v="Priya Das"/>
    <n v="45"/>
    <x v="0"/>
    <s v="B+"/>
    <s v="Mumbai"/>
    <d v="2023-09-06T00:00:00"/>
    <d v="2023-09-26T00:00:00"/>
    <n v="20"/>
    <x v="1"/>
    <s v="Kidney Stone"/>
    <x v="2"/>
    <s v="Dietary Management"/>
    <x v="2"/>
    <s v="Dr. Deepak Gupta"/>
    <n v="199"/>
    <s v="ICU"/>
    <x v="4"/>
    <n v="142457"/>
    <n v="0"/>
    <n v="142457"/>
    <n v="118634"/>
    <n v="15786"/>
    <n v="5674"/>
    <s v="No"/>
    <n v="66"/>
    <n v="3.2"/>
    <x v="0"/>
  </r>
  <r>
    <x v="2919"/>
    <s v="Rahul Rao"/>
    <n v="48"/>
    <x v="1"/>
    <s v="B+"/>
    <s v="Hyderabad"/>
    <d v="2022-06-28T00:00:00"/>
    <d v="2022-07-26T00:00:00"/>
    <n v="28"/>
    <x v="3"/>
    <s v="Stroke"/>
    <x v="6"/>
    <s v="Radiation Therapy"/>
    <x v="2"/>
    <s v="Dr. Kavita Mehta"/>
    <n v="494"/>
    <s v="ICU"/>
    <x v="4"/>
    <n v="41701"/>
    <n v="0"/>
    <n v="41701"/>
    <n v="18613"/>
    <n v="18054"/>
    <n v="2083"/>
    <s v="No"/>
    <n v="75"/>
    <n v="3.7"/>
    <x v="3"/>
  </r>
  <r>
    <x v="2920"/>
    <s v="Vijay Gupta"/>
    <n v="8"/>
    <x v="0"/>
    <s v="B+"/>
    <s v="Ahmedabad"/>
    <d v="2023-04-24T00:00:00"/>
    <d v="2023-05-06T00:00:00"/>
    <n v="12"/>
    <x v="0"/>
    <s v="Liver Disease"/>
    <x v="0"/>
    <s v="Surgery"/>
    <x v="2"/>
    <s v="Dr. Prerna Kumar"/>
    <n v="244"/>
    <s v="ICU"/>
    <x v="4"/>
    <n v="112717"/>
    <n v="0"/>
    <n v="112717"/>
    <n v="77370"/>
    <n v="24315"/>
    <n v="9196"/>
    <s v="No"/>
    <n v="67"/>
    <n v="2.2000000000000002"/>
    <x v="2"/>
  </r>
  <r>
    <x v="2921"/>
    <s v="Aditya Verma"/>
    <n v="23"/>
    <x v="0"/>
    <s v="A+"/>
    <s v="Mumbai"/>
    <d v="2022-09-04T00:00:00"/>
    <d v="2022-09-23T00:00:00"/>
    <n v="19"/>
    <x v="0"/>
    <s v="Diabetes Type 2"/>
    <x v="9"/>
    <s v="Physiotherapy"/>
    <x v="3"/>
    <s v="Dr. Vivek Kumar"/>
    <n v="78"/>
    <s v="General Ward"/>
    <x v="0"/>
    <n v="66141"/>
    <n v="31465"/>
    <n v="34676"/>
    <n v="44682"/>
    <n v="12558"/>
    <n v="7143"/>
    <s v="No"/>
    <n v="66"/>
    <n v="4.4000000000000004"/>
    <x v="0"/>
  </r>
  <r>
    <x v="2922"/>
    <s v="Vikram Patel"/>
    <n v="59"/>
    <x v="0"/>
    <s v="O-"/>
    <s v="Hyderabad"/>
    <d v="2024-01-22T00:00:00"/>
    <d v="2024-02-21T00:00:00"/>
    <n v="30"/>
    <x v="0"/>
    <s v="Anemia"/>
    <x v="4"/>
    <s v="Radiation Therapy"/>
    <x v="1"/>
    <s v="Dr. Kavita Gupta"/>
    <n v="498"/>
    <s v="General Ward"/>
    <x v="3"/>
    <n v="35456"/>
    <n v="27294"/>
    <n v="8162"/>
    <n v="17320"/>
    <n v="3199"/>
    <n v="14019"/>
    <s v="No"/>
    <n v="100"/>
    <n v="4.8"/>
    <x v="1"/>
  </r>
  <r>
    <x v="2923"/>
    <s v="Meera Shah"/>
    <n v="34"/>
    <x v="1"/>
    <s v="O-"/>
    <s v="Ahmedabad"/>
    <d v="2023-06-07T00:00:00"/>
    <d v="2023-06-30T00:00:00"/>
    <n v="23"/>
    <x v="3"/>
    <s v="Stroke"/>
    <x v="6"/>
    <s v="Surgery"/>
    <x v="1"/>
    <s v="Dr. Anjali Patel"/>
    <n v="432"/>
    <s v="Private"/>
    <x v="3"/>
    <n v="62465"/>
    <n v="53256"/>
    <n v="9209"/>
    <n v="33022"/>
    <n v="23548"/>
    <n v="1525"/>
    <s v="No"/>
    <n v="72"/>
    <n v="3.7"/>
    <x v="1"/>
  </r>
  <r>
    <x v="2924"/>
    <s v="Sonia Das"/>
    <n v="16"/>
    <x v="0"/>
    <s v="A-"/>
    <s v="Jaipur"/>
    <d v="2024-05-29T00:00:00"/>
    <d v="2024-06-03T00:00:00"/>
    <n v="5"/>
    <x v="2"/>
    <s v="Cancer"/>
    <x v="3"/>
    <s v="Chemotherapy"/>
    <x v="0"/>
    <s v="Dr. Deepak Singh"/>
    <n v="30"/>
    <s v="ICU"/>
    <x v="2"/>
    <n v="122175"/>
    <n v="104754"/>
    <n v="17421"/>
    <n v="100434"/>
    <n v="16624"/>
    <n v="1794"/>
    <s v="No"/>
    <n v="96"/>
    <n v="2.5"/>
    <x v="3"/>
  </r>
  <r>
    <x v="2925"/>
    <s v="Aditya Patel"/>
    <n v="7"/>
    <x v="0"/>
    <s v="AB-"/>
    <s v="Delhi"/>
    <d v="2023-08-20T00:00:00"/>
    <d v="2023-08-22T00:00:00"/>
    <n v="2"/>
    <x v="0"/>
    <s v="Anemia"/>
    <x v="4"/>
    <s v="Observation"/>
    <x v="3"/>
    <s v="Dr. Shalini Sharma"/>
    <n v="415"/>
    <s v="General Ward"/>
    <x v="0"/>
    <n v="135872"/>
    <n v="94872"/>
    <n v="41000"/>
    <n v="121444"/>
    <n v="1135"/>
    <n v="9378"/>
    <s v="No"/>
    <n v="99"/>
    <n v="4.9000000000000004"/>
    <x v="4"/>
  </r>
  <r>
    <x v="2926"/>
    <s v="Rekha Mehta"/>
    <n v="80"/>
    <x v="1"/>
    <s v="A+"/>
    <s v="Bangalore"/>
    <d v="2024-07-30T00:00:00"/>
    <d v="2024-08-20T00:00:00"/>
    <n v="21"/>
    <x v="1"/>
    <s v="UTI"/>
    <x v="2"/>
    <s v="Chemotherapy"/>
    <x v="0"/>
    <s v="Dr. Deepak Reddy"/>
    <n v="229"/>
    <s v="ICU"/>
    <x v="0"/>
    <n v="86863"/>
    <n v="47037"/>
    <n v="39826"/>
    <n v="67128"/>
    <n v="4626"/>
    <n v="12356"/>
    <s v="No"/>
    <n v="49"/>
    <n v="3.2"/>
    <x v="3"/>
  </r>
  <r>
    <x v="2927"/>
    <s v="Geeta Shah"/>
    <n v="57"/>
    <x v="1"/>
    <s v="B+"/>
    <s v="Kolkata"/>
    <d v="2024-03-05T00:00:00"/>
    <d v="2024-03-24T00:00:00"/>
    <n v="19"/>
    <x v="4"/>
    <s v="Heart Attack"/>
    <x v="7"/>
    <s v="Observation"/>
    <x v="2"/>
    <s v="Dr. Arun Patel"/>
    <n v="119"/>
    <s v="Private"/>
    <x v="0"/>
    <n v="57800"/>
    <n v="37325"/>
    <n v="20475"/>
    <n v="31667"/>
    <n v="9240"/>
    <n v="12220"/>
    <s v="No"/>
    <n v="41"/>
    <n v="2.4"/>
    <x v="0"/>
  </r>
  <r>
    <x v="2928"/>
    <s v="Arjun Chopra"/>
    <n v="21"/>
    <x v="1"/>
    <s v="A-"/>
    <s v="Jaipur"/>
    <d v="2022-02-06T00:00:00"/>
    <d v="2022-02-13T00:00:00"/>
    <n v="7"/>
    <x v="0"/>
    <s v="Appendicitis"/>
    <x v="0"/>
    <s v="Observation"/>
    <x v="3"/>
    <s v="Dr. Kavita Kumar"/>
    <n v="303"/>
    <s v="General Ward"/>
    <x v="0"/>
    <n v="121625"/>
    <n v="57758"/>
    <n v="63867"/>
    <n v="96526"/>
    <n v="17533"/>
    <n v="3558"/>
    <s v="No"/>
    <n v="86"/>
    <n v="2.8"/>
    <x v="0"/>
  </r>
  <r>
    <x v="2929"/>
    <s v="Sonia Das"/>
    <n v="72"/>
    <x v="1"/>
    <s v="O+"/>
    <s v="Pune"/>
    <d v="2022-09-13T00:00:00"/>
    <d v="2022-10-03T00:00:00"/>
    <n v="20"/>
    <x v="6"/>
    <s v="Arthritis"/>
    <x v="11"/>
    <s v="Counseling"/>
    <x v="1"/>
    <s v="Dr. Kavita Reddy"/>
    <n v="291"/>
    <s v="General Ward"/>
    <x v="3"/>
    <n v="65971"/>
    <n v="50540"/>
    <n v="15431"/>
    <n v="43949"/>
    <n v="7477"/>
    <n v="12980"/>
    <s v="No"/>
    <n v="88"/>
    <n v="2.7"/>
    <x v="2"/>
  </r>
  <r>
    <x v="2930"/>
    <s v="Manoj Malhotra"/>
    <n v="45"/>
    <x v="0"/>
    <s v="A-"/>
    <s v="Chennai"/>
    <d v="2024-12-21T00:00:00"/>
    <d v="2024-12-31T00:00:00"/>
    <n v="10"/>
    <x v="0"/>
    <s v="Diabetes Type 2"/>
    <x v="9"/>
    <s v="ICU Care"/>
    <x v="3"/>
    <s v="Dr. Rakesh Sharma"/>
    <n v="409"/>
    <s v="Private"/>
    <x v="4"/>
    <n v="152399"/>
    <n v="0"/>
    <n v="152399"/>
    <n v="132478"/>
    <n v="11582"/>
    <n v="6265"/>
    <s v="No"/>
    <n v="47"/>
    <n v="4.8"/>
    <x v="4"/>
  </r>
  <r>
    <x v="2931"/>
    <s v="Ashok Menon"/>
    <n v="10"/>
    <x v="0"/>
    <s v="A+"/>
    <s v="Bangalore"/>
    <d v="2023-09-06T00:00:00"/>
    <d v="2023-09-25T00:00:00"/>
    <n v="19"/>
    <x v="0"/>
    <s v="Liver Disease"/>
    <x v="0"/>
    <s v="Dialysis"/>
    <x v="1"/>
    <s v="Dr. Arun Gupta"/>
    <n v="443"/>
    <s v="General Ward"/>
    <x v="3"/>
    <n v="178354"/>
    <n v="133538"/>
    <n v="44816"/>
    <n v="149440"/>
    <n v="16044"/>
    <n v="8924"/>
    <s v="No"/>
    <n v="53"/>
    <n v="4.0999999999999996"/>
    <x v="3"/>
  </r>
  <r>
    <x v="2932"/>
    <s v="Aditya Nair"/>
    <n v="45"/>
    <x v="0"/>
    <s v="O-"/>
    <s v="Ahmedabad"/>
    <d v="2023-08-01T00:00:00"/>
    <d v="2023-08-06T00:00:00"/>
    <n v="5"/>
    <x v="0"/>
    <s v="Typhoid"/>
    <x v="1"/>
    <s v="Chemotherapy"/>
    <x v="0"/>
    <s v="Dr. Kavita Gupta"/>
    <n v="107"/>
    <s v="Semi-Private"/>
    <x v="3"/>
    <n v="112699"/>
    <n v="76265"/>
    <n v="36434"/>
    <n v="95514"/>
    <n v="7590"/>
    <n v="7889"/>
    <s v="No"/>
    <n v="100"/>
    <n v="3.4"/>
    <x v="3"/>
  </r>
  <r>
    <x v="2933"/>
    <s v="Ananya Joshi"/>
    <n v="53"/>
    <x v="0"/>
    <s v="A-"/>
    <s v="Hyderabad"/>
    <d v="2023-05-11T00:00:00"/>
    <d v="2023-05-25T00:00:00"/>
    <n v="14"/>
    <x v="0"/>
    <s v="Liver Disease"/>
    <x v="0"/>
    <s v="Medication"/>
    <x v="1"/>
    <s v="Dr. Shalini Patel"/>
    <n v="398"/>
    <s v="Semi-Private"/>
    <x v="4"/>
    <n v="159604"/>
    <n v="0"/>
    <n v="159604"/>
    <n v="138941"/>
    <n v="13246"/>
    <n v="4362"/>
    <s v="No"/>
    <n v="43"/>
    <n v="2.4"/>
    <x v="4"/>
  </r>
  <r>
    <x v="2934"/>
    <s v="Sonia Sharma"/>
    <n v="70"/>
    <x v="0"/>
    <s v="B-"/>
    <s v="Jaipur"/>
    <d v="2024-08-24T00:00:00"/>
    <d v="2024-08-25T00:00:00"/>
    <n v="1"/>
    <x v="0"/>
    <s v="Anemia"/>
    <x v="4"/>
    <s v="Medication"/>
    <x v="1"/>
    <s v="Dr. Kavita Gupta"/>
    <n v="138"/>
    <s v="ICU"/>
    <x v="3"/>
    <n v="70713"/>
    <n v="61629"/>
    <n v="9084"/>
    <n v="39144"/>
    <n v="15039"/>
    <n v="14207"/>
    <s v="No"/>
    <n v="48"/>
    <n v="2.8"/>
    <x v="3"/>
  </r>
  <r>
    <x v="2935"/>
    <s v="Aditya Verma"/>
    <n v="78"/>
    <x v="1"/>
    <s v="A-"/>
    <s v="Jaipur"/>
    <d v="2022-02-17T00:00:00"/>
    <d v="2022-02-27T00:00:00"/>
    <n v="10"/>
    <x v="1"/>
    <s v="UTI"/>
    <x v="2"/>
    <s v="Dietary Management"/>
    <x v="3"/>
    <s v="Dr. Arun Kumar"/>
    <n v="20"/>
    <s v="Private"/>
    <x v="2"/>
    <n v="118172"/>
    <n v="85408"/>
    <n v="32764"/>
    <n v="92410"/>
    <n v="20182"/>
    <n v="4976"/>
    <s v="Yes"/>
    <n v="99"/>
    <n v="3"/>
    <x v="2"/>
  </r>
  <r>
    <x v="2936"/>
    <s v="Sunil Sharma"/>
    <n v="54"/>
    <x v="1"/>
    <s v="A+"/>
    <s v="Pune"/>
    <d v="2022-03-23T00:00:00"/>
    <d v="2022-03-25T00:00:00"/>
    <n v="2"/>
    <x v="0"/>
    <s v="Liver Disease"/>
    <x v="0"/>
    <s v="Radiation Therapy"/>
    <x v="1"/>
    <s v="Dr. Shalini Kumar"/>
    <n v="126"/>
    <s v="ICU"/>
    <x v="0"/>
    <n v="57359"/>
    <n v="23048"/>
    <n v="34311"/>
    <n v="30187"/>
    <n v="16113"/>
    <n v="8412"/>
    <s v="No"/>
    <n v="73"/>
    <n v="2.9"/>
    <x v="0"/>
  </r>
  <r>
    <x v="2937"/>
    <s v="Sunil Shah"/>
    <n v="32"/>
    <x v="1"/>
    <s v="A-"/>
    <s v="Pune"/>
    <d v="2023-08-18T00:00:00"/>
    <d v="2023-08-29T00:00:00"/>
    <n v="11"/>
    <x v="6"/>
    <s v="Fracture"/>
    <x v="10"/>
    <s v="Dialysis"/>
    <x v="2"/>
    <s v="Dr. Kavita Rao"/>
    <n v="271"/>
    <s v="Semi-Private"/>
    <x v="1"/>
    <n v="164930"/>
    <n v="113808"/>
    <n v="51122"/>
    <n v="145130"/>
    <n v="8697"/>
    <n v="6820"/>
    <s v="Yes"/>
    <n v="69"/>
    <n v="2.8"/>
    <x v="3"/>
  </r>
  <r>
    <x v="2938"/>
    <s v="Rekha Pillai"/>
    <n v="75"/>
    <x v="0"/>
    <s v="B+"/>
    <s v="Jaipur"/>
    <d v="2024-10-02T00:00:00"/>
    <d v="2024-10-26T00:00:00"/>
    <n v="24"/>
    <x v="1"/>
    <s v="Kidney Stone"/>
    <x v="2"/>
    <s v="Surgery"/>
    <x v="0"/>
    <s v="Dr. Sameer Reddy"/>
    <n v="27"/>
    <s v="ICU"/>
    <x v="4"/>
    <n v="137425"/>
    <n v="0"/>
    <n v="137425"/>
    <n v="95972"/>
    <n v="28199"/>
    <n v="8255"/>
    <s v="No"/>
    <n v="81"/>
    <n v="2.2999999999999998"/>
    <x v="1"/>
  </r>
  <r>
    <x v="2939"/>
    <s v="Rekha Pillai"/>
    <n v="37"/>
    <x v="1"/>
    <s v="B-"/>
    <s v="Mumbai"/>
    <d v="2022-03-17T00:00:00"/>
    <d v="2022-04-10T00:00:00"/>
    <n v="24"/>
    <x v="0"/>
    <s v="Liver Disease"/>
    <x v="0"/>
    <s v="Physiotherapy"/>
    <x v="2"/>
    <s v="Dr. Arun Joshi"/>
    <n v="150"/>
    <s v="ICU"/>
    <x v="0"/>
    <n v="40576"/>
    <n v="22172"/>
    <n v="18404"/>
    <n v="10640"/>
    <n v="14764"/>
    <n v="11165"/>
    <s v="No"/>
    <n v="72"/>
    <n v="2.7"/>
    <x v="3"/>
  </r>
  <r>
    <x v="2940"/>
    <s v="Sanjay Rao"/>
    <n v="15"/>
    <x v="1"/>
    <s v="B+"/>
    <s v="Jaipur"/>
    <d v="2022-12-30T00:00:00"/>
    <d v="2023-01-19T00:00:00"/>
    <n v="20"/>
    <x v="3"/>
    <s v="Migraine"/>
    <x v="6"/>
    <s v="Counseling"/>
    <x v="1"/>
    <s v="Dr. Sameer Joshi"/>
    <n v="160"/>
    <s v="Semi-Private"/>
    <x v="1"/>
    <n v="32922"/>
    <n v="14229"/>
    <n v="18693"/>
    <n v="19297"/>
    <n v="8566"/>
    <n v="1721"/>
    <s v="No"/>
    <n v="50"/>
    <n v="4.2"/>
    <x v="1"/>
  </r>
  <r>
    <x v="2941"/>
    <s v="Rajesh Das"/>
    <n v="15"/>
    <x v="0"/>
    <s v="AB-"/>
    <s v="Bangalore"/>
    <d v="2023-01-13T00:00:00"/>
    <d v="2023-01-25T00:00:00"/>
    <n v="12"/>
    <x v="0"/>
    <s v="COVID-19"/>
    <x v="1"/>
    <s v="Chemotherapy"/>
    <x v="0"/>
    <s v="Dr. Kavita Joshi"/>
    <n v="272"/>
    <s v="General Ward"/>
    <x v="0"/>
    <n v="73037"/>
    <n v="32469"/>
    <n v="40568"/>
    <n v="63335"/>
    <n v="1568"/>
    <n v="5831"/>
    <s v="No"/>
    <n v="67"/>
    <n v="2.1"/>
    <x v="3"/>
  </r>
  <r>
    <x v="2942"/>
    <s v="Rajesh Singh"/>
    <n v="74"/>
    <x v="1"/>
    <s v="B+"/>
    <s v="Chennai"/>
    <d v="2022-02-03T00:00:00"/>
    <d v="2022-02-19T00:00:00"/>
    <n v="16"/>
    <x v="3"/>
    <s v="Stroke"/>
    <x v="6"/>
    <s v="Counseling"/>
    <x v="1"/>
    <s v="Dr. Prerna Mehta"/>
    <n v="86"/>
    <s v="General Ward"/>
    <x v="0"/>
    <n v="103339"/>
    <n v="52191"/>
    <n v="51148"/>
    <n v="74183"/>
    <n v="21497"/>
    <n v="3757"/>
    <s v="Yes"/>
    <n v="92"/>
    <n v="2.2999999999999998"/>
    <x v="3"/>
  </r>
  <r>
    <x v="2943"/>
    <s v="Priya Malhotra"/>
    <n v="39"/>
    <x v="0"/>
    <s v="B+"/>
    <s v="Mumbai"/>
    <d v="2023-12-14T00:00:00"/>
    <d v="2024-01-06T00:00:00"/>
    <n v="23"/>
    <x v="0"/>
    <s v="Diabetes Type 2"/>
    <x v="9"/>
    <s v="Dietary Management"/>
    <x v="1"/>
    <s v="Dr. Prerna Rao"/>
    <n v="322"/>
    <s v="ICU"/>
    <x v="2"/>
    <n v="112466"/>
    <n v="94589"/>
    <n v="17877"/>
    <n v="89294"/>
    <n v="17529"/>
    <n v="960"/>
    <s v="No"/>
    <n v="45"/>
    <n v="4.9000000000000004"/>
    <x v="3"/>
  </r>
  <r>
    <x v="2944"/>
    <s v="Ashok Verma"/>
    <n v="7"/>
    <x v="0"/>
    <s v="A-"/>
    <s v="Bangalore"/>
    <d v="2022-11-27T00:00:00"/>
    <d v="2022-12-21T00:00:00"/>
    <n v="24"/>
    <x v="0"/>
    <s v="Dengue"/>
    <x v="1"/>
    <s v="Surgery"/>
    <x v="1"/>
    <s v="Dr. Sameer Nair"/>
    <n v="234"/>
    <s v="Private"/>
    <x v="2"/>
    <n v="159913"/>
    <n v="134427"/>
    <n v="25486"/>
    <n v="141654"/>
    <n v="6954"/>
    <n v="6976"/>
    <s v="No"/>
    <n v="43"/>
    <n v="3.8"/>
    <x v="2"/>
  </r>
  <r>
    <x v="2945"/>
    <s v="Ritu Sharma"/>
    <n v="61"/>
    <x v="1"/>
    <s v="O+"/>
    <s v="Lucknow"/>
    <d v="2023-05-08T00:00:00"/>
    <d v="2023-05-24T00:00:00"/>
    <n v="16"/>
    <x v="0"/>
    <s v="Appendicitis"/>
    <x v="0"/>
    <s v="Surgery"/>
    <x v="1"/>
    <s v="Dr. Rakesh Kumar"/>
    <n v="57"/>
    <s v="Private"/>
    <x v="2"/>
    <n v="102504"/>
    <n v="76930"/>
    <n v="25574"/>
    <n v="72061"/>
    <n v="13498"/>
    <n v="12038"/>
    <s v="No"/>
    <n v="90"/>
    <n v="3.5"/>
    <x v="4"/>
  </r>
  <r>
    <x v="2946"/>
    <s v="Rahul Patel"/>
    <n v="77"/>
    <x v="0"/>
    <s v="B-"/>
    <s v="Hyderabad"/>
    <d v="2023-05-06T00:00:00"/>
    <d v="2023-05-17T00:00:00"/>
    <n v="11"/>
    <x v="0"/>
    <s v="Liver Disease"/>
    <x v="0"/>
    <s v="Physiotherapy"/>
    <x v="0"/>
    <s v="Dr. Nisha Reddy"/>
    <n v="492"/>
    <s v="ICU"/>
    <x v="0"/>
    <n v="122578"/>
    <n v="62048"/>
    <n v="60530"/>
    <n v="83951"/>
    <n v="29420"/>
    <n v="8249"/>
    <s v="No"/>
    <n v="83"/>
    <n v="2.6"/>
    <x v="1"/>
  </r>
  <r>
    <x v="2947"/>
    <s v="Meera Verma"/>
    <n v="6"/>
    <x v="1"/>
    <s v="AB-"/>
    <s v="Jaipur"/>
    <d v="2023-01-31T00:00:00"/>
    <d v="2023-02-12T00:00:00"/>
    <n v="12"/>
    <x v="0"/>
    <s v="Anemia"/>
    <x v="4"/>
    <s v="Observation"/>
    <x v="3"/>
    <s v="Dr. Arun Kumar"/>
    <n v="271"/>
    <s v="Private"/>
    <x v="1"/>
    <n v="160373"/>
    <n v="82004"/>
    <n v="78369"/>
    <n v="149868"/>
    <n v="3394"/>
    <n v="2144"/>
    <s v="No"/>
    <n v="45"/>
    <n v="3.4"/>
    <x v="3"/>
  </r>
  <r>
    <x v="2948"/>
    <s v="Sunil Malhotra"/>
    <n v="51"/>
    <x v="0"/>
    <s v="AB+"/>
    <s v="Kolkata"/>
    <d v="2022-09-27T00:00:00"/>
    <d v="2022-10-27T00:00:00"/>
    <n v="30"/>
    <x v="0"/>
    <s v="COVID-19"/>
    <x v="1"/>
    <s v="Medication"/>
    <x v="0"/>
    <s v="Dr. Prerna Sharma"/>
    <n v="146"/>
    <s v="Semi-Private"/>
    <x v="2"/>
    <n v="82630"/>
    <n v="72409"/>
    <n v="10221"/>
    <n v="70506"/>
    <n v="1686"/>
    <n v="8245"/>
    <s v="No"/>
    <n v="54"/>
    <n v="3.7"/>
    <x v="0"/>
  </r>
  <r>
    <x v="2949"/>
    <s v="Vikram Das"/>
    <n v="13"/>
    <x v="0"/>
    <s v="AB-"/>
    <s v="Jaipur"/>
    <d v="2022-02-13T00:00:00"/>
    <d v="2022-02-14T00:00:00"/>
    <n v="1"/>
    <x v="0"/>
    <s v="COVID-19"/>
    <x v="1"/>
    <s v="Observation"/>
    <x v="1"/>
    <s v="Dr. Vivek Rao"/>
    <n v="1"/>
    <s v="General Ward"/>
    <x v="1"/>
    <n v="106390"/>
    <n v="53001"/>
    <n v="53389"/>
    <n v="88261"/>
    <n v="9040"/>
    <n v="4769"/>
    <s v="Yes"/>
    <n v="68"/>
    <n v="2.9"/>
    <x v="0"/>
  </r>
  <r>
    <x v="2950"/>
    <s v="Sneha Nair"/>
    <n v="43"/>
    <x v="0"/>
    <s v="B-"/>
    <s v="Lucknow"/>
    <d v="2023-06-21T00:00:00"/>
    <d v="2023-06-30T00:00:00"/>
    <n v="9"/>
    <x v="0"/>
    <s v="Anemia"/>
    <x v="4"/>
    <s v="Physiotherapy"/>
    <x v="0"/>
    <s v="Dr. Vivek Mehta"/>
    <n v="213"/>
    <s v="Semi-Private"/>
    <x v="1"/>
    <n v="114131"/>
    <n v="49334"/>
    <n v="64797"/>
    <n v="95129"/>
    <n v="4138"/>
    <n v="10086"/>
    <s v="No"/>
    <n v="74"/>
    <n v="4.5999999999999996"/>
    <x v="2"/>
  </r>
  <r>
    <x v="2951"/>
    <s v="Suresh Nair"/>
    <n v="83"/>
    <x v="0"/>
    <s v="A-"/>
    <s v="Pune"/>
    <d v="2023-11-22T00:00:00"/>
    <d v="2023-12-21T00:00:00"/>
    <n v="29"/>
    <x v="4"/>
    <s v="Heart Attack"/>
    <x v="7"/>
    <s v="Dietary Management"/>
    <x v="2"/>
    <s v="Dr. Anjali Gupta"/>
    <n v="242"/>
    <s v="ICU"/>
    <x v="2"/>
    <n v="81081"/>
    <n v="51504"/>
    <n v="29577"/>
    <n v="54863"/>
    <n v="13108"/>
    <n v="9239"/>
    <s v="No"/>
    <n v="41"/>
    <n v="2.2000000000000002"/>
    <x v="2"/>
  </r>
  <r>
    <x v="2952"/>
    <s v="Sneha Kumar"/>
    <n v="36"/>
    <x v="0"/>
    <s v="AB-"/>
    <s v="Delhi"/>
    <d v="2024-08-23T00:00:00"/>
    <d v="2024-09-14T00:00:00"/>
    <n v="22"/>
    <x v="0"/>
    <s v="Liver Disease"/>
    <x v="0"/>
    <s v="Counseling"/>
    <x v="2"/>
    <s v="Dr. Shalini Reddy"/>
    <n v="30"/>
    <s v="General Ward"/>
    <x v="3"/>
    <n v="151370"/>
    <n v="115990"/>
    <n v="35380"/>
    <n v="128720"/>
    <n v="5612"/>
    <n v="13921"/>
    <s v="Yes"/>
    <n v="90"/>
    <n v="2.2000000000000002"/>
    <x v="3"/>
  </r>
  <r>
    <x v="2953"/>
    <s v="Rekha Khanna"/>
    <n v="28"/>
    <x v="0"/>
    <s v="A+"/>
    <s v="Lucknow"/>
    <d v="2023-07-11T00:00:00"/>
    <d v="2023-07-25T00:00:00"/>
    <n v="14"/>
    <x v="3"/>
    <s v="Migraine"/>
    <x v="6"/>
    <s v="Medication"/>
    <x v="3"/>
    <s v="Dr. Arun Joshi"/>
    <n v="265"/>
    <s v="General Ward"/>
    <x v="0"/>
    <n v="133872"/>
    <n v="88154"/>
    <n v="45718"/>
    <n v="100256"/>
    <n v="25279"/>
    <n v="6556"/>
    <s v="No"/>
    <n v="88"/>
    <n v="3.8"/>
    <x v="2"/>
  </r>
  <r>
    <x v="2954"/>
    <s v="Sunil Pillai"/>
    <n v="38"/>
    <x v="1"/>
    <s v="AB-"/>
    <s v="Mumbai"/>
    <d v="2023-06-23T00:00:00"/>
    <d v="2023-07-22T00:00:00"/>
    <n v="29"/>
    <x v="0"/>
    <s v="Appendicitis"/>
    <x v="0"/>
    <s v="Medication"/>
    <x v="2"/>
    <s v="Dr. Rakesh Patel"/>
    <n v="211"/>
    <s v="General Ward"/>
    <x v="3"/>
    <n v="136071"/>
    <n v="104914"/>
    <n v="31157"/>
    <n v="122385"/>
    <n v="5478"/>
    <n v="3626"/>
    <s v="No"/>
    <n v="54"/>
    <n v="2.1"/>
    <x v="3"/>
  </r>
  <r>
    <x v="2955"/>
    <s v="Amit Reddy"/>
    <n v="29"/>
    <x v="1"/>
    <s v="A-"/>
    <s v="Lucknow"/>
    <d v="2022-11-25T00:00:00"/>
    <d v="2022-12-06T00:00:00"/>
    <n v="11"/>
    <x v="0"/>
    <s v="Appendicitis"/>
    <x v="0"/>
    <s v="Observation"/>
    <x v="3"/>
    <s v="Dr. Anjali Sharma"/>
    <n v="133"/>
    <s v="Private"/>
    <x v="4"/>
    <n v="28603"/>
    <n v="0"/>
    <n v="28603"/>
    <n v="16996"/>
    <n v="6589"/>
    <n v="3844"/>
    <s v="No"/>
    <n v="68"/>
    <n v="4.9000000000000004"/>
    <x v="1"/>
  </r>
  <r>
    <x v="2956"/>
    <s v="Manoj Nair"/>
    <n v="67"/>
    <x v="1"/>
    <s v="O-"/>
    <s v="Kolkata"/>
    <d v="2024-01-04T00:00:00"/>
    <d v="2024-01-06T00:00:00"/>
    <n v="2"/>
    <x v="3"/>
    <s v="Stroke"/>
    <x v="6"/>
    <s v="Surgery"/>
    <x v="3"/>
    <s v="Dr. Arun Sharma"/>
    <n v="248"/>
    <s v="Private"/>
    <x v="1"/>
    <n v="158830"/>
    <n v="84316"/>
    <n v="74514"/>
    <n v="139983"/>
    <n v="8261"/>
    <n v="8866"/>
    <s v="Yes"/>
    <n v="43"/>
    <n v="2.2000000000000002"/>
    <x v="3"/>
  </r>
  <r>
    <x v="2957"/>
    <s v="Vikram Kumar"/>
    <n v="45"/>
    <x v="1"/>
    <s v="AB+"/>
    <s v="Bangalore"/>
    <d v="2022-04-09T00:00:00"/>
    <d v="2022-04-25T00:00:00"/>
    <n v="16"/>
    <x v="0"/>
    <s v="Anemia"/>
    <x v="4"/>
    <s v="Dietary Management"/>
    <x v="3"/>
    <s v="Dr. Anjali Kumar"/>
    <n v="348"/>
    <s v="ICU"/>
    <x v="2"/>
    <n v="167226"/>
    <n v="107394"/>
    <n v="59832"/>
    <n v="137529"/>
    <n v="15197"/>
    <n v="10326"/>
    <s v="Yes"/>
    <n v="41"/>
    <n v="3.3"/>
    <x v="0"/>
  </r>
  <r>
    <x v="2958"/>
    <s v="Sunil Reddy"/>
    <n v="59"/>
    <x v="0"/>
    <s v="AB-"/>
    <s v="Lucknow"/>
    <d v="2023-06-19T00:00:00"/>
    <d v="2023-07-08T00:00:00"/>
    <n v="19"/>
    <x v="5"/>
    <s v="Pneumonia"/>
    <x v="8"/>
    <s v="Surgery"/>
    <x v="3"/>
    <s v="Dr. Prerna Patel"/>
    <n v="5"/>
    <s v="General Ward"/>
    <x v="3"/>
    <n v="151002"/>
    <n v="105549"/>
    <n v="45453"/>
    <n v="139365"/>
    <n v="7486"/>
    <n v="1783"/>
    <s v="No"/>
    <n v="98"/>
    <n v="3.9"/>
    <x v="0"/>
  </r>
  <r>
    <x v="2959"/>
    <s v="Manoj Mehta"/>
    <n v="57"/>
    <x v="0"/>
    <s v="A-"/>
    <s v="Ahmedabad"/>
    <d v="2024-04-18T00:00:00"/>
    <d v="2024-04-30T00:00:00"/>
    <n v="12"/>
    <x v="6"/>
    <s v="Arthritis"/>
    <x v="11"/>
    <s v="Surgery"/>
    <x v="2"/>
    <s v="Dr. Anjali Joshi"/>
    <n v="12"/>
    <s v="ICU"/>
    <x v="2"/>
    <n v="132752"/>
    <n v="93244"/>
    <n v="39508"/>
    <n v="123140"/>
    <n v="3535"/>
    <n v="2666"/>
    <s v="Yes"/>
    <n v="68"/>
    <n v="3"/>
    <x v="1"/>
  </r>
  <r>
    <x v="2960"/>
    <s v="Sanjay Mehta"/>
    <n v="83"/>
    <x v="1"/>
    <s v="AB-"/>
    <s v="Jaipur"/>
    <d v="2022-11-23T00:00:00"/>
    <d v="2022-12-20T00:00:00"/>
    <n v="27"/>
    <x v="0"/>
    <s v="Anemia"/>
    <x v="4"/>
    <s v="Medication"/>
    <x v="2"/>
    <s v="Dr. Rakesh Singh"/>
    <n v="158"/>
    <s v="Semi-Private"/>
    <x v="4"/>
    <n v="41854"/>
    <n v="0"/>
    <n v="41854"/>
    <n v="21102"/>
    <n v="6999"/>
    <n v="8978"/>
    <s v="No"/>
    <n v="94"/>
    <n v="2.9"/>
    <x v="0"/>
  </r>
  <r>
    <x v="2961"/>
    <s v="Rahul Patel"/>
    <n v="70"/>
    <x v="0"/>
    <s v="AB-"/>
    <s v="Delhi"/>
    <d v="2024-09-27T00:00:00"/>
    <d v="2024-10-08T00:00:00"/>
    <n v="11"/>
    <x v="0"/>
    <s v="Anemia"/>
    <x v="4"/>
    <s v="Chemotherapy"/>
    <x v="3"/>
    <s v="Dr. Anjali Rao"/>
    <n v="1"/>
    <s v="Semi-Private"/>
    <x v="1"/>
    <n v="53830"/>
    <n v="24792"/>
    <n v="29038"/>
    <n v="22964"/>
    <n v="18660"/>
    <n v="7448"/>
    <s v="Yes"/>
    <n v="69"/>
    <n v="4.9000000000000004"/>
    <x v="2"/>
  </r>
  <r>
    <x v="2962"/>
    <s v="Ritu Chopra"/>
    <n v="47"/>
    <x v="0"/>
    <s v="B-"/>
    <s v="Ahmedabad"/>
    <d v="2022-01-07T00:00:00"/>
    <d v="2022-01-11T00:00:00"/>
    <n v="4"/>
    <x v="0"/>
    <s v="Appendicitis"/>
    <x v="0"/>
    <s v="Observation"/>
    <x v="2"/>
    <s v="Dr. Deepak Rao"/>
    <n v="236"/>
    <s v="Semi-Private"/>
    <x v="0"/>
    <n v="105103"/>
    <n v="44882"/>
    <n v="60221"/>
    <n v="73728"/>
    <n v="19746"/>
    <n v="7791"/>
    <s v="No"/>
    <n v="83"/>
    <n v="2.7"/>
    <x v="0"/>
  </r>
  <r>
    <x v="2963"/>
    <s v="Meera Bose"/>
    <n v="53"/>
    <x v="1"/>
    <s v="A-"/>
    <s v="Chennai"/>
    <d v="2022-07-28T00:00:00"/>
    <d v="2022-07-29T00:00:00"/>
    <n v="1"/>
    <x v="0"/>
    <s v="Liver Disease"/>
    <x v="0"/>
    <s v="Observation"/>
    <x v="2"/>
    <s v="Dr. Rakesh Kumar"/>
    <n v="102"/>
    <s v="General Ward"/>
    <x v="2"/>
    <n v="122980"/>
    <n v="93895"/>
    <n v="29085"/>
    <n v="87321"/>
    <n v="25721"/>
    <n v="8568"/>
    <s v="Yes"/>
    <n v="64"/>
    <n v="3"/>
    <x v="2"/>
  </r>
  <r>
    <x v="2964"/>
    <s v="Rekha Malhotra"/>
    <n v="19"/>
    <x v="1"/>
    <s v="AB+"/>
    <s v="Jaipur"/>
    <d v="2023-06-17T00:00:00"/>
    <d v="2023-07-01T00:00:00"/>
    <n v="14"/>
    <x v="0"/>
    <s v="Anemia"/>
    <x v="4"/>
    <s v="ICU Care"/>
    <x v="0"/>
    <s v="Dr. Nisha Nair"/>
    <n v="129"/>
    <s v="General Ward"/>
    <x v="4"/>
    <n v="88368"/>
    <n v="0"/>
    <n v="88368"/>
    <n v="53134"/>
    <n v="21851"/>
    <n v="12196"/>
    <s v="No"/>
    <n v="53"/>
    <n v="4.5"/>
    <x v="1"/>
  </r>
  <r>
    <x v="2965"/>
    <s v="Sanjay Malhotra"/>
    <n v="29"/>
    <x v="0"/>
    <s v="O+"/>
    <s v="Pune"/>
    <d v="2024-04-29T00:00:00"/>
    <d v="2024-05-15T00:00:00"/>
    <n v="16"/>
    <x v="6"/>
    <s v="Fracture"/>
    <x v="10"/>
    <s v="Surgery"/>
    <x v="2"/>
    <s v="Dr. Rakesh Rao"/>
    <n v="283"/>
    <s v="ICU"/>
    <x v="3"/>
    <n v="96457"/>
    <n v="71596"/>
    <n v="24861"/>
    <n v="83859"/>
    <n v="3450"/>
    <n v="5767"/>
    <s v="No"/>
    <n v="87"/>
    <n v="4.5"/>
    <x v="2"/>
  </r>
  <r>
    <x v="2966"/>
    <s v="Sneha Reddy"/>
    <n v="13"/>
    <x v="1"/>
    <s v="B-"/>
    <s v="Lucknow"/>
    <d v="2024-02-15T00:00:00"/>
    <d v="2024-03-03T00:00:00"/>
    <n v="17"/>
    <x v="2"/>
    <s v="Cancer"/>
    <x v="3"/>
    <s v="Medication"/>
    <x v="2"/>
    <s v="Dr. Deepak Mehta"/>
    <n v="296"/>
    <s v="ICU"/>
    <x v="3"/>
    <n v="162439"/>
    <n v="135196"/>
    <n v="27243"/>
    <n v="132333"/>
    <n v="24753"/>
    <n v="3390"/>
    <s v="No"/>
    <n v="45"/>
    <n v="4.3"/>
    <x v="3"/>
  </r>
  <r>
    <x v="2967"/>
    <s v="Suresh Shah"/>
    <n v="8"/>
    <x v="1"/>
    <s v="B-"/>
    <s v="Kolkata"/>
    <d v="2024-04-25T00:00:00"/>
    <d v="2024-05-12T00:00:00"/>
    <n v="17"/>
    <x v="0"/>
    <s v="Obesity"/>
    <x v="12"/>
    <s v="Dietary Management"/>
    <x v="3"/>
    <s v="Dr. Shalini Mehta"/>
    <n v="254"/>
    <s v="Semi-Private"/>
    <x v="3"/>
    <n v="154454"/>
    <n v="115393"/>
    <n v="39061"/>
    <n v="129683"/>
    <n v="16771"/>
    <n v="5073"/>
    <s v="No"/>
    <n v="58"/>
    <n v="3"/>
    <x v="3"/>
  </r>
  <r>
    <x v="2968"/>
    <s v="Sonia Iyer"/>
    <n v="47"/>
    <x v="0"/>
    <s v="O+"/>
    <s v="Lucknow"/>
    <d v="2024-06-10T00:00:00"/>
    <d v="2024-06-28T00:00:00"/>
    <n v="18"/>
    <x v="5"/>
    <s v="Asthma"/>
    <x v="8"/>
    <s v="Physiotherapy"/>
    <x v="0"/>
    <s v="Dr. Vivek Sharma"/>
    <n v="134"/>
    <s v="General Ward"/>
    <x v="0"/>
    <n v="164431"/>
    <n v="71217"/>
    <n v="93214"/>
    <n v="147463"/>
    <n v="4039"/>
    <n v="8334"/>
    <s v="Yes"/>
    <n v="77"/>
    <n v="3.8"/>
    <x v="1"/>
  </r>
  <r>
    <x v="2969"/>
    <s v="Rohan Rao"/>
    <n v="28"/>
    <x v="1"/>
    <s v="AB+"/>
    <s v="Chennai"/>
    <d v="2022-12-22T00:00:00"/>
    <d v="2022-12-31T00:00:00"/>
    <n v="9"/>
    <x v="0"/>
    <s v="Typhoid"/>
    <x v="1"/>
    <s v="Medication"/>
    <x v="3"/>
    <s v="Dr. Sameer Rao"/>
    <n v="349"/>
    <s v="Private"/>
    <x v="4"/>
    <n v="96699"/>
    <n v="0"/>
    <n v="96699"/>
    <n v="76075"/>
    <n v="16381"/>
    <n v="2390"/>
    <s v="Yes"/>
    <n v="68"/>
    <n v="2.7"/>
    <x v="3"/>
  </r>
  <r>
    <x v="2970"/>
    <s v="Karan Pillai"/>
    <n v="10"/>
    <x v="1"/>
    <s v="AB+"/>
    <s v="Jaipur"/>
    <d v="2023-01-07T00:00:00"/>
    <d v="2023-01-16T00:00:00"/>
    <n v="9"/>
    <x v="5"/>
    <s v="Pneumonia"/>
    <x v="8"/>
    <s v="Dietary Management"/>
    <x v="0"/>
    <s v="Dr. Anjali Joshi"/>
    <n v="356"/>
    <s v="ICU"/>
    <x v="4"/>
    <n v="77696"/>
    <n v="0"/>
    <n v="77696"/>
    <n v="56913"/>
    <n v="5166"/>
    <n v="10723"/>
    <s v="No"/>
    <n v="46"/>
    <n v="3.7"/>
    <x v="1"/>
  </r>
  <r>
    <x v="2971"/>
    <s v="Divya Iyer"/>
    <n v="11"/>
    <x v="0"/>
    <s v="O+"/>
    <s v="Delhi"/>
    <d v="2023-09-27T00:00:00"/>
    <d v="2023-10-14T00:00:00"/>
    <n v="17"/>
    <x v="4"/>
    <s v="Heart Attack"/>
    <x v="7"/>
    <s v="Observation"/>
    <x v="3"/>
    <s v="Dr. Prerna Patel"/>
    <n v="445"/>
    <s v="General Ward"/>
    <x v="0"/>
    <n v="98602"/>
    <n v="60212"/>
    <n v="38390"/>
    <n v="75675"/>
    <n v="14151"/>
    <n v="7902"/>
    <s v="No"/>
    <n v="88"/>
    <n v="3.3"/>
    <x v="2"/>
  </r>
  <r>
    <x v="2972"/>
    <s v="Ritu Nair"/>
    <n v="67"/>
    <x v="1"/>
    <s v="A-"/>
    <s v="Mumbai"/>
    <d v="2024-03-22T00:00:00"/>
    <d v="2024-03-30T00:00:00"/>
    <n v="8"/>
    <x v="0"/>
    <s v="Typhoid"/>
    <x v="1"/>
    <s v="Radiation Therapy"/>
    <x v="2"/>
    <s v="Dr. Prerna Nair"/>
    <n v="191"/>
    <s v="General Ward"/>
    <x v="1"/>
    <n v="51938"/>
    <n v="27002"/>
    <n v="24936"/>
    <n v="38479"/>
    <n v="5485"/>
    <n v="6943"/>
    <s v="No"/>
    <n v="61"/>
    <n v="2.8"/>
    <x v="1"/>
  </r>
  <r>
    <x v="2973"/>
    <s v="Divya Das"/>
    <n v="46"/>
    <x v="1"/>
    <s v="A-"/>
    <s v="Ahmedabad"/>
    <d v="2023-12-13T00:00:00"/>
    <d v="2023-12-19T00:00:00"/>
    <n v="6"/>
    <x v="1"/>
    <s v="UTI"/>
    <x v="2"/>
    <s v="Medication"/>
    <x v="1"/>
    <s v="Dr. Anjali Kumar"/>
    <n v="186"/>
    <s v="General Ward"/>
    <x v="4"/>
    <n v="91959"/>
    <n v="0"/>
    <n v="91959"/>
    <n v="67430"/>
    <n v="11668"/>
    <n v="7871"/>
    <s v="Yes"/>
    <n v="45"/>
    <n v="2.5"/>
    <x v="4"/>
  </r>
  <r>
    <x v="2974"/>
    <s v="Meera Sharma"/>
    <n v="14"/>
    <x v="0"/>
    <s v="B-"/>
    <s v="Chennai"/>
    <d v="2024-12-02T00:00:00"/>
    <d v="2024-12-18T00:00:00"/>
    <n v="16"/>
    <x v="0"/>
    <s v="Liver Disease"/>
    <x v="0"/>
    <s v="Counseling"/>
    <x v="2"/>
    <s v="Dr. Shalini Mehta"/>
    <n v="305"/>
    <s v="General Ward"/>
    <x v="0"/>
    <n v="98605"/>
    <n v="61148"/>
    <n v="37457"/>
    <n v="68125"/>
    <n v="17456"/>
    <n v="11511"/>
    <s v="Yes"/>
    <n v="75"/>
    <n v="4.9000000000000004"/>
    <x v="1"/>
  </r>
  <r>
    <x v="2975"/>
    <s v="Mukesh Patel"/>
    <n v="12"/>
    <x v="0"/>
    <s v="O+"/>
    <s v="Chennai"/>
    <d v="2022-10-21T00:00:00"/>
    <d v="2022-11-03T00:00:00"/>
    <n v="13"/>
    <x v="4"/>
    <s v="Heart Attack"/>
    <x v="7"/>
    <s v="Dialysis"/>
    <x v="2"/>
    <s v="Dr. Sameer Reddy"/>
    <n v="339"/>
    <s v="ICU"/>
    <x v="3"/>
    <n v="53773"/>
    <n v="37417"/>
    <n v="16356"/>
    <n v="15872"/>
    <n v="24815"/>
    <n v="10842"/>
    <s v="No"/>
    <n v="48"/>
    <n v="3.8"/>
    <x v="1"/>
  </r>
  <r>
    <x v="2976"/>
    <s v="Mukesh Gupta"/>
    <n v="41"/>
    <x v="0"/>
    <s v="B+"/>
    <s v="Bangalore"/>
    <d v="2022-11-19T00:00:00"/>
    <d v="2022-12-18T00:00:00"/>
    <n v="29"/>
    <x v="0"/>
    <s v="Anemia"/>
    <x v="4"/>
    <s v="Radiation Therapy"/>
    <x v="2"/>
    <s v="Dr. Deepak Reddy"/>
    <n v="329"/>
    <s v="Semi-Private"/>
    <x v="0"/>
    <n v="116503"/>
    <n v="68717"/>
    <n v="47786"/>
    <n v="84872"/>
    <n v="25465"/>
    <n v="4367"/>
    <s v="Yes"/>
    <n v="96"/>
    <n v="4.8"/>
    <x v="2"/>
  </r>
  <r>
    <x v="2977"/>
    <s v="Ananya Gupta"/>
    <n v="24"/>
    <x v="0"/>
    <s v="O-"/>
    <s v="Kolkata"/>
    <d v="2022-07-25T00:00:00"/>
    <d v="2022-08-10T00:00:00"/>
    <n v="16"/>
    <x v="1"/>
    <s v="Kidney Stone"/>
    <x v="2"/>
    <s v="Chemotherapy"/>
    <x v="3"/>
    <s v="Dr. Rakesh Patel"/>
    <n v="420"/>
    <s v="ICU"/>
    <x v="0"/>
    <n v="51528"/>
    <n v="33005"/>
    <n v="18523"/>
    <n v="11639"/>
    <n v="21419"/>
    <n v="13815"/>
    <s v="No"/>
    <n v="86"/>
    <n v="4.4000000000000004"/>
    <x v="3"/>
  </r>
  <r>
    <x v="2978"/>
    <s v="Manoj Iyer"/>
    <n v="23"/>
    <x v="0"/>
    <s v="B+"/>
    <s v="Hyderabad"/>
    <d v="2022-08-13T00:00:00"/>
    <d v="2022-09-08T00:00:00"/>
    <n v="26"/>
    <x v="4"/>
    <s v="Heart Attack"/>
    <x v="7"/>
    <s v="Observation"/>
    <x v="2"/>
    <s v="Dr. Nisha Rao"/>
    <n v="253"/>
    <s v="Private"/>
    <x v="0"/>
    <n v="75376"/>
    <n v="35303"/>
    <n v="40073"/>
    <n v="41009"/>
    <n v="17801"/>
    <n v="11903"/>
    <s v="Yes"/>
    <n v="79"/>
    <n v="2.7"/>
    <x v="4"/>
  </r>
  <r>
    <x v="2979"/>
    <s v="Vijay Nair"/>
    <n v="84"/>
    <x v="1"/>
    <s v="A+"/>
    <s v="Lucknow"/>
    <d v="2022-12-27T00:00:00"/>
    <d v="2023-01-16T00:00:00"/>
    <n v="20"/>
    <x v="2"/>
    <s v="Cancer"/>
    <x v="3"/>
    <s v="Radiation Therapy"/>
    <x v="0"/>
    <s v="Dr. Deepak Kumar"/>
    <n v="426"/>
    <s v="General Ward"/>
    <x v="4"/>
    <n v="116856"/>
    <n v="0"/>
    <n v="116856"/>
    <n v="96627"/>
    <n v="12259"/>
    <n v="4917"/>
    <s v="No"/>
    <n v="86"/>
    <n v="2.9"/>
    <x v="0"/>
  </r>
  <r>
    <x v="2980"/>
    <s v="Mukesh Malhotra"/>
    <n v="33"/>
    <x v="0"/>
    <s v="B+"/>
    <s v="Kolkata"/>
    <d v="2023-01-21T00:00:00"/>
    <d v="2023-01-27T00:00:00"/>
    <n v="6"/>
    <x v="2"/>
    <s v="Cancer"/>
    <x v="3"/>
    <s v="Dialysis"/>
    <x v="2"/>
    <s v="Dr. Kavita Gupta"/>
    <n v="345"/>
    <s v="Private"/>
    <x v="4"/>
    <n v="157341"/>
    <n v="0"/>
    <n v="157341"/>
    <n v="122281"/>
    <n v="21903"/>
    <n v="10864"/>
    <s v="No"/>
    <n v="61"/>
    <n v="2.2999999999999998"/>
    <x v="0"/>
  </r>
  <r>
    <x v="2981"/>
    <s v="Suresh Singh"/>
    <n v="18"/>
    <x v="0"/>
    <s v="O-"/>
    <s v="Chennai"/>
    <d v="2022-08-22T00:00:00"/>
    <d v="2022-08-27T00:00:00"/>
    <n v="5"/>
    <x v="0"/>
    <s v="Anemia"/>
    <x v="4"/>
    <s v="ICU Care"/>
    <x v="0"/>
    <s v="Dr. Shalini Joshi"/>
    <n v="228"/>
    <s v="Private"/>
    <x v="3"/>
    <n v="36467"/>
    <n v="30863"/>
    <n v="5604"/>
    <n v="14154"/>
    <n v="12610"/>
    <n v="8326"/>
    <s v="No"/>
    <n v="63"/>
    <n v="3.9"/>
    <x v="3"/>
  </r>
  <r>
    <x v="2982"/>
    <s v="Rajesh Pillai"/>
    <n v="33"/>
    <x v="1"/>
    <s v="B-"/>
    <s v="Chennai"/>
    <d v="2024-01-20T00:00:00"/>
    <d v="2024-02-02T00:00:00"/>
    <n v="13"/>
    <x v="4"/>
    <s v="Heart Attack"/>
    <x v="7"/>
    <s v="ICU Care"/>
    <x v="1"/>
    <s v="Dr. Prerna Reddy"/>
    <n v="172"/>
    <s v="Private"/>
    <x v="2"/>
    <n v="58546"/>
    <n v="47926"/>
    <n v="10620"/>
    <n v="19426"/>
    <n v="24166"/>
    <n v="12466"/>
    <s v="Yes"/>
    <n v="97"/>
    <n v="2.7"/>
    <x v="2"/>
  </r>
  <r>
    <x v="2983"/>
    <s v="Ashok Gupta"/>
    <n v="8"/>
    <x v="1"/>
    <s v="B+"/>
    <s v="Mumbai"/>
    <d v="2022-06-20T00:00:00"/>
    <d v="2022-07-05T00:00:00"/>
    <n v="15"/>
    <x v="2"/>
    <s v="Cancer"/>
    <x v="3"/>
    <s v="Physiotherapy"/>
    <x v="2"/>
    <s v="Dr. Vivek Sharma"/>
    <n v="493"/>
    <s v="ICU"/>
    <x v="1"/>
    <n v="148539"/>
    <n v="78185"/>
    <n v="70354"/>
    <n v="108249"/>
    <n v="21626"/>
    <n v="14774"/>
    <s v="Yes"/>
    <n v="70"/>
    <n v="2"/>
    <x v="0"/>
  </r>
  <r>
    <x v="2984"/>
    <s v="Pooja Rao"/>
    <n v="74"/>
    <x v="0"/>
    <s v="B-"/>
    <s v="Lucknow"/>
    <d v="2024-11-09T00:00:00"/>
    <d v="2024-12-07T00:00:00"/>
    <n v="28"/>
    <x v="0"/>
    <s v="COVID-19"/>
    <x v="1"/>
    <s v="Observation"/>
    <x v="1"/>
    <s v="Dr. Shalini Mehta"/>
    <n v="320"/>
    <s v="Private"/>
    <x v="1"/>
    <n v="32383"/>
    <n v="18960"/>
    <n v="13423"/>
    <n v="26204"/>
    <n v="3831"/>
    <n v="794"/>
    <s v="No"/>
    <n v="77"/>
    <n v="3.9"/>
    <x v="0"/>
  </r>
  <r>
    <x v="2985"/>
    <s v="Rekha Mehta"/>
    <n v="45"/>
    <x v="1"/>
    <s v="B-"/>
    <s v="Bangalore"/>
    <d v="2024-06-26T00:00:00"/>
    <d v="2024-07-08T00:00:00"/>
    <n v="12"/>
    <x v="3"/>
    <s v="Stroke"/>
    <x v="6"/>
    <s v="Dietary Management"/>
    <x v="0"/>
    <s v="Dr. Shalini Singh"/>
    <n v="435"/>
    <s v="ICU"/>
    <x v="0"/>
    <n v="53798"/>
    <n v="35137"/>
    <n v="18661"/>
    <n v="37905"/>
    <n v="2808"/>
    <n v="11916"/>
    <s v="No"/>
    <n v="88"/>
    <n v="2"/>
    <x v="4"/>
  </r>
  <r>
    <x v="2986"/>
    <s v="Ashok Verma"/>
    <n v="30"/>
    <x v="1"/>
    <s v="B+"/>
    <s v="Chennai"/>
    <d v="2024-03-13T00:00:00"/>
    <d v="2024-04-12T00:00:00"/>
    <n v="30"/>
    <x v="0"/>
    <s v="Liver Disease"/>
    <x v="0"/>
    <s v="Surgery"/>
    <x v="0"/>
    <s v="Dr. Vivek Singh"/>
    <n v="453"/>
    <s v="General Ward"/>
    <x v="2"/>
    <n v="114329"/>
    <n v="78662"/>
    <n v="35667"/>
    <n v="93854"/>
    <n v="4052"/>
    <n v="12767"/>
    <s v="No"/>
    <n v="82"/>
    <n v="4.5"/>
    <x v="4"/>
  </r>
  <r>
    <x v="2987"/>
    <s v="Lata Verma"/>
    <n v="82"/>
    <x v="1"/>
    <s v="B-"/>
    <s v="Lucknow"/>
    <d v="2024-04-30T00:00:00"/>
    <d v="2024-05-25T00:00:00"/>
    <n v="25"/>
    <x v="1"/>
    <s v="Kidney Stone"/>
    <x v="2"/>
    <s v="Radiation Therapy"/>
    <x v="2"/>
    <s v="Dr. Vivek Rao"/>
    <n v="10"/>
    <s v="General Ward"/>
    <x v="1"/>
    <n v="19336"/>
    <n v="7752"/>
    <n v="11584"/>
    <n v="8873"/>
    <n v="1116"/>
    <n v="5117"/>
    <s v="No"/>
    <n v="66"/>
    <n v="2.1"/>
    <x v="3"/>
  </r>
  <r>
    <x v="2988"/>
    <s v="Ashok Das"/>
    <n v="69"/>
    <x v="0"/>
    <s v="B-"/>
    <s v="Lucknow"/>
    <d v="2022-06-15T00:00:00"/>
    <d v="2022-06-22T00:00:00"/>
    <n v="7"/>
    <x v="5"/>
    <s v="Asthma"/>
    <x v="8"/>
    <s v="Radiation Therapy"/>
    <x v="2"/>
    <s v="Dr. Prerna Sharma"/>
    <n v="496"/>
    <s v="Private"/>
    <x v="0"/>
    <n v="172446"/>
    <n v="74195"/>
    <n v="98251"/>
    <n v="140725"/>
    <n v="18333"/>
    <n v="11073"/>
    <s v="No"/>
    <n v="85"/>
    <n v="2"/>
    <x v="1"/>
  </r>
  <r>
    <x v="2989"/>
    <s v="Ananya Das"/>
    <n v="23"/>
    <x v="1"/>
    <s v="AB+"/>
    <s v="Delhi"/>
    <d v="2024-06-02T00:00:00"/>
    <d v="2024-06-04T00:00:00"/>
    <n v="2"/>
    <x v="6"/>
    <s v="Fracture"/>
    <x v="10"/>
    <s v="Dietary Management"/>
    <x v="0"/>
    <s v="Dr. Sameer Nair"/>
    <n v="320"/>
    <s v="Semi-Private"/>
    <x v="1"/>
    <n v="57027"/>
    <n v="23482"/>
    <n v="33545"/>
    <n v="49936"/>
    <n v="3246"/>
    <n v="2571"/>
    <s v="No"/>
    <n v="88"/>
    <n v="2.2999999999999998"/>
    <x v="4"/>
  </r>
  <r>
    <x v="2990"/>
    <s v="Priya Menon"/>
    <n v="67"/>
    <x v="0"/>
    <s v="AB-"/>
    <s v="Mumbai"/>
    <d v="2023-07-31T00:00:00"/>
    <d v="2023-08-22T00:00:00"/>
    <n v="22"/>
    <x v="5"/>
    <s v="Pneumonia"/>
    <x v="8"/>
    <s v="Dietary Management"/>
    <x v="0"/>
    <s v="Dr. Anjali Joshi"/>
    <n v="433"/>
    <s v="ICU"/>
    <x v="0"/>
    <n v="38335"/>
    <n v="19176"/>
    <n v="19159"/>
    <n v="31884"/>
    <n v="2086"/>
    <n v="1326"/>
    <s v="Yes"/>
    <n v="86"/>
    <n v="4.5999999999999996"/>
    <x v="1"/>
  </r>
  <r>
    <x v="2991"/>
    <s v="Vikram Gupta"/>
    <n v="32"/>
    <x v="0"/>
    <s v="O-"/>
    <s v="Chennai"/>
    <d v="2022-12-03T00:00:00"/>
    <d v="2022-12-19T00:00:00"/>
    <n v="16"/>
    <x v="6"/>
    <s v="Fracture"/>
    <x v="10"/>
    <s v="Radiation Therapy"/>
    <x v="2"/>
    <s v="Dr. Nisha Sharma"/>
    <n v="247"/>
    <s v="ICU"/>
    <x v="0"/>
    <n v="80338"/>
    <n v="55657"/>
    <n v="24681"/>
    <n v="56392"/>
    <n v="8477"/>
    <n v="13926"/>
    <s v="No"/>
    <n v="63"/>
    <n v="2.1"/>
    <x v="1"/>
  </r>
  <r>
    <x v="2992"/>
    <s v="Sonia Rao"/>
    <n v="38"/>
    <x v="1"/>
    <s v="A-"/>
    <s v="Ahmedabad"/>
    <d v="2023-08-10T00:00:00"/>
    <d v="2023-09-03T00:00:00"/>
    <n v="24"/>
    <x v="0"/>
    <s v="Obesity"/>
    <x v="12"/>
    <s v="Observation"/>
    <x v="1"/>
    <s v="Dr. Prerna Joshi"/>
    <n v="42"/>
    <s v="ICU"/>
    <x v="1"/>
    <n v="171773"/>
    <n v="80226"/>
    <n v="91547"/>
    <n v="129366"/>
    <n v="25430"/>
    <n v="13336"/>
    <s v="Yes"/>
    <n v="71"/>
    <n v="2.6"/>
    <x v="2"/>
  </r>
  <r>
    <x v="2993"/>
    <s v="Vikram Verma"/>
    <n v="66"/>
    <x v="0"/>
    <s v="O+"/>
    <s v="Jaipur"/>
    <d v="2023-05-09T00:00:00"/>
    <d v="2023-05-22T00:00:00"/>
    <n v="13"/>
    <x v="3"/>
    <s v="Stroke"/>
    <x v="6"/>
    <s v="Surgery"/>
    <x v="0"/>
    <s v="Dr. Arun Patel"/>
    <n v="422"/>
    <s v="Semi-Private"/>
    <x v="1"/>
    <n v="154539"/>
    <n v="88195"/>
    <n v="66344"/>
    <n v="147929"/>
    <n v="4338"/>
    <n v="596"/>
    <s v="No"/>
    <n v="75"/>
    <n v="3.6"/>
    <x v="2"/>
  </r>
  <r>
    <x v="2994"/>
    <s v="Sunita Mehta"/>
    <n v="34"/>
    <x v="0"/>
    <s v="AB+"/>
    <s v="Bangalore"/>
    <d v="2023-03-15T00:00:00"/>
    <d v="2023-03-24T00:00:00"/>
    <n v="9"/>
    <x v="5"/>
    <s v="Pneumonia"/>
    <x v="8"/>
    <s v="Chemotherapy"/>
    <x v="3"/>
    <s v="Dr. Sameer Mehta"/>
    <n v="214"/>
    <s v="Private"/>
    <x v="2"/>
    <n v="21836"/>
    <n v="19345"/>
    <n v="2491"/>
    <n v="9367"/>
    <n v="4984"/>
    <n v="4735"/>
    <s v="Yes"/>
    <n v="97"/>
    <n v="2"/>
    <x v="4"/>
  </r>
  <r>
    <x v="2995"/>
    <s v="Ashok Chopra"/>
    <n v="48"/>
    <x v="0"/>
    <s v="AB-"/>
    <s v="Kolkata"/>
    <d v="2022-01-26T00:00:00"/>
    <d v="2022-02-19T00:00:00"/>
    <n v="24"/>
    <x v="3"/>
    <s v="Migraine"/>
    <x v="6"/>
    <s v="Physiotherapy"/>
    <x v="3"/>
    <s v="Dr. Prerna Gupta"/>
    <n v="133"/>
    <s v="Semi-Private"/>
    <x v="4"/>
    <n v="61193"/>
    <n v="0"/>
    <n v="61193"/>
    <n v="50213"/>
    <n v="5086"/>
    <n v="959"/>
    <s v="No"/>
    <n v="79"/>
    <n v="3.6"/>
    <x v="0"/>
  </r>
  <r>
    <x v="2996"/>
    <s v="Sonia Iyer"/>
    <n v="30"/>
    <x v="1"/>
    <s v="B-"/>
    <s v="Delhi"/>
    <d v="2024-06-10T00:00:00"/>
    <d v="2024-06-30T00:00:00"/>
    <n v="20"/>
    <x v="0"/>
    <s v="Anemia"/>
    <x v="4"/>
    <s v="Observation"/>
    <x v="0"/>
    <s v="Dr. Deepak Sharma"/>
    <n v="393"/>
    <s v="Semi-Private"/>
    <x v="3"/>
    <n v="156208"/>
    <n v="98924"/>
    <n v="57284"/>
    <n v="129640"/>
    <n v="10567"/>
    <n v="12671"/>
    <s v="No"/>
    <n v="68"/>
    <n v="4.5"/>
    <x v="4"/>
  </r>
  <r>
    <x v="2997"/>
    <s v="Sunita Khanna"/>
    <n v="19"/>
    <x v="1"/>
    <s v="O+"/>
    <s v="Ahmedabad"/>
    <d v="2024-02-09T00:00:00"/>
    <d v="2024-03-10T00:00:00"/>
    <n v="30"/>
    <x v="0"/>
    <s v="Depression"/>
    <x v="5"/>
    <s v="Dietary Management"/>
    <x v="0"/>
    <s v="Dr. Vivek Joshi"/>
    <n v="155"/>
    <s v="ICU"/>
    <x v="1"/>
    <n v="68852"/>
    <n v="31320"/>
    <n v="37532"/>
    <n v="46314"/>
    <n v="15188"/>
    <n v="6522"/>
    <s v="No"/>
    <n v="70"/>
    <n v="4.5"/>
    <x v="4"/>
  </r>
  <r>
    <x v="2998"/>
    <s v="Manoj Rao"/>
    <n v="57"/>
    <x v="0"/>
    <s v="B+"/>
    <s v="Pune"/>
    <d v="2023-08-19T00:00:00"/>
    <d v="2023-09-14T00:00:00"/>
    <n v="26"/>
    <x v="0"/>
    <s v="Dengue"/>
    <x v="1"/>
    <s v="Observation"/>
    <x v="2"/>
    <s v="Dr. Rakesh Singh"/>
    <n v="416"/>
    <s v="ICU"/>
    <x v="1"/>
    <n v="54940"/>
    <n v="25133"/>
    <n v="29807"/>
    <n v="49926"/>
    <n v="2338"/>
    <n v="1283"/>
    <s v="No"/>
    <n v="72"/>
    <n v="2.7"/>
    <x v="2"/>
  </r>
  <r>
    <x v="2999"/>
    <s v="Geeta Das"/>
    <n v="14"/>
    <x v="1"/>
    <s v="AB-"/>
    <s v="Bangalore"/>
    <d v="2023-06-25T00:00:00"/>
    <d v="2023-07-01T00:00:00"/>
    <n v="6"/>
    <x v="0"/>
    <s v="Diabetes Type 2"/>
    <x v="9"/>
    <s v="Observation"/>
    <x v="3"/>
    <s v="Dr. Kavita Kumar"/>
    <n v="82"/>
    <s v="General Ward"/>
    <x v="3"/>
    <n v="51412"/>
    <n v="32922"/>
    <n v="18490"/>
    <n v="21195"/>
    <n v="12057"/>
    <n v="13767"/>
    <s v="No"/>
    <n v="69"/>
    <n v="3.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K14:L19" firstHeaderRow="1" firstDataRow="1" firstDataCol="1"/>
  <pivotFields count="28">
    <pivotField dataField="1" showAll="0"/>
    <pivotField showAll="0"/>
    <pivotField showAll="0"/>
    <pivotField showAll="0">
      <items count="3">
        <item x="0"/>
        <item x="1"/>
        <item t="default"/>
      </items>
    </pivotField>
    <pivotField showAll="0"/>
    <pivotField showAll="0"/>
    <pivotField numFmtId="164" showAll="0"/>
    <pivotField numFmtId="164"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Patient_ID" fld="0" subtotal="count" baseField="0" baseItem="0"/>
  </dataFields>
  <formats count="6">
    <format dxfId="509">
      <pivotArea type="all" dataOnly="0" outline="0" fieldPosition="0"/>
    </format>
    <format dxfId="508">
      <pivotArea outline="0" collapsedLevelsAreSubtotals="1" fieldPosition="0"/>
    </format>
    <format dxfId="507">
      <pivotArea field="13" type="button" dataOnly="0" labelOnly="1" outline="0" axis="axisRow" fieldPosition="0"/>
    </format>
    <format dxfId="506">
      <pivotArea dataOnly="0" labelOnly="1" outline="0" axis="axisValues" fieldPosition="0"/>
    </format>
    <format dxfId="505">
      <pivotArea dataOnly="0" labelOnly="1" fieldPosition="0">
        <references count="1">
          <reference field="13" count="0"/>
        </references>
      </pivotArea>
    </format>
    <format dxfId="504">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H14:I20" firstHeaderRow="1" firstDataRow="1" firstDataCol="1"/>
  <pivotFields count="28">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items count="3">
        <item x="0"/>
        <item x="1"/>
        <item t="default"/>
      </items>
    </pivotField>
    <pivotField showAll="0"/>
    <pivotField showAll="0"/>
    <pivotField numFmtId="164" showAll="0"/>
    <pivotField numFmtId="164"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axis="axisRow" showAll="0">
      <items count="6">
        <item x="4"/>
        <item x="2"/>
        <item x="3"/>
        <item x="1"/>
        <item x="0"/>
        <item t="default"/>
      </items>
    </pivotField>
  </pivotFields>
  <rowFields count="1">
    <field x="27"/>
  </rowFields>
  <rowItems count="6">
    <i>
      <x/>
    </i>
    <i>
      <x v="1"/>
    </i>
    <i>
      <x v="2"/>
    </i>
    <i>
      <x v="3"/>
    </i>
    <i>
      <x v="4"/>
    </i>
    <i t="grand">
      <x/>
    </i>
  </rowItems>
  <colItems count="1">
    <i/>
  </colItems>
  <dataFields count="1">
    <dataField name="Count of Patient_ID" fld="0" subtotal="count" baseField="0" baseItem="0"/>
  </dataFields>
  <formats count="6">
    <format dxfId="503">
      <pivotArea type="all" dataOnly="0" outline="0" fieldPosition="0"/>
    </format>
    <format dxfId="502">
      <pivotArea outline="0" collapsedLevelsAreSubtotals="1" fieldPosition="0"/>
    </format>
    <format dxfId="501">
      <pivotArea field="27" type="button" dataOnly="0" labelOnly="1" outline="0" axis="axisRow" fieldPosition="0"/>
    </format>
    <format dxfId="500">
      <pivotArea dataOnly="0" labelOnly="1" outline="0" axis="axisValues" fieldPosition="0"/>
    </format>
    <format dxfId="499">
      <pivotArea dataOnly="0" labelOnly="1" fieldPosition="0">
        <references count="1">
          <reference field="27" count="0"/>
        </references>
      </pivotArea>
    </format>
    <format dxfId="498">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E14:F28" firstHeaderRow="1" firstDataRow="1" firstDataCol="1"/>
  <pivotFields count="28">
    <pivotField showAll="0"/>
    <pivotField showAll="0"/>
    <pivotField showAll="0"/>
    <pivotField showAll="0">
      <items count="3">
        <item x="0"/>
        <item x="1"/>
        <item t="default"/>
      </items>
    </pivotField>
    <pivotField showAll="0"/>
    <pivotField showAll="0"/>
    <pivotField numFmtId="164" showAll="0"/>
    <pivotField numFmtId="164" showAll="0"/>
    <pivotField showAll="0"/>
    <pivotField showAll="0"/>
    <pivotField showAll="0"/>
    <pivotField axis="axisRow" showAll="0">
      <items count="14">
        <item x="7"/>
        <item x="9"/>
        <item x="0"/>
        <item x="4"/>
        <item x="1"/>
        <item x="5"/>
        <item x="12"/>
        <item x="11"/>
        <item x="6"/>
        <item x="3"/>
        <item x="10"/>
        <item x="8"/>
        <item x="2"/>
        <item t="default"/>
      </items>
    </pivotField>
    <pivotField showAll="0"/>
    <pivotField showAll="0">
      <items count="5">
        <item x="2"/>
        <item x="1"/>
        <item x="3"/>
        <item x="0"/>
        <item t="default"/>
      </items>
    </pivotField>
    <pivotField showAll="0"/>
    <pivotField showAll="0"/>
    <pivotField showAll="0"/>
    <pivotField showAll="0">
      <items count="6">
        <item x="3"/>
        <item x="0"/>
        <item x="4"/>
        <item x="2"/>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1"/>
  </rowFields>
  <rowItems count="14">
    <i>
      <x/>
    </i>
    <i>
      <x v="1"/>
    </i>
    <i>
      <x v="2"/>
    </i>
    <i>
      <x v="3"/>
    </i>
    <i>
      <x v="4"/>
    </i>
    <i>
      <x v="5"/>
    </i>
    <i>
      <x v="6"/>
    </i>
    <i>
      <x v="7"/>
    </i>
    <i>
      <x v="8"/>
    </i>
    <i>
      <x v="9"/>
    </i>
    <i>
      <x v="10"/>
    </i>
    <i>
      <x v="11"/>
    </i>
    <i>
      <x v="12"/>
    </i>
    <i t="grand">
      <x/>
    </i>
  </rowItems>
  <colItems count="1">
    <i/>
  </colItems>
  <dataFields count="1">
    <dataField name="Average of Total_Bill_Amount_INR" fld="18" subtotal="average" baseField="11" baseItem="0" numFmtId="165"/>
  </dataFields>
  <formats count="6">
    <format dxfId="497">
      <pivotArea type="all" dataOnly="0" outline="0" fieldPosition="0"/>
    </format>
    <format dxfId="496">
      <pivotArea outline="0" collapsedLevelsAreSubtotals="1" fieldPosition="0"/>
    </format>
    <format dxfId="495">
      <pivotArea field="11" type="button" dataOnly="0" labelOnly="1" outline="0" axis="axisRow" fieldPosition="0"/>
    </format>
    <format dxfId="494">
      <pivotArea dataOnly="0" labelOnly="1" outline="0" axis="axisValues" fieldPosition="0"/>
    </format>
    <format dxfId="493">
      <pivotArea dataOnly="0" labelOnly="1" fieldPosition="0">
        <references count="1">
          <reference field="11" count="0"/>
        </references>
      </pivotArea>
    </format>
    <format dxfId="492">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B14:C22" firstHeaderRow="1" firstDataRow="1" firstDataCol="1"/>
  <pivotFields count="28">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items count="3">
        <item x="0"/>
        <item x="1"/>
        <item t="default"/>
      </items>
    </pivotField>
    <pivotField showAll="0"/>
    <pivotField showAll="0"/>
    <pivotField numFmtId="164" showAll="0"/>
    <pivotField numFmtId="164" showAll="0"/>
    <pivotField showAll="0"/>
    <pivotField axis="axisRow" showAll="0">
      <items count="8">
        <item x="4"/>
        <item x="0"/>
        <item x="3"/>
        <item x="2"/>
        <item x="6"/>
        <item x="5"/>
        <item x="1"/>
        <item t="default"/>
      </items>
    </pivotField>
    <pivotField showAll="0"/>
    <pivotField showAll="0"/>
    <pivotField showAll="0"/>
    <pivotField showAll="0">
      <items count="5">
        <item x="2"/>
        <item x="1"/>
        <item x="3"/>
        <item x="0"/>
        <item t="default"/>
      </items>
    </pivotField>
    <pivotField showAll="0"/>
    <pivotField showAll="0"/>
    <pivotField showAll="0"/>
    <pivotField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Count of Patient_ID" fld="0" subtotal="count" baseField="0" baseItem="0"/>
  </dataFields>
  <formats count="12">
    <format dxfId="533">
      <pivotArea type="all" dataOnly="0" outline="0" fieldPosition="0"/>
    </format>
    <format dxfId="532">
      <pivotArea outline="0" collapsedLevelsAreSubtotals="1" fieldPosition="0"/>
    </format>
    <format dxfId="531">
      <pivotArea field="9" type="button" dataOnly="0" labelOnly="1" outline="0" axis="axisRow" fieldPosition="0"/>
    </format>
    <format dxfId="530">
      <pivotArea dataOnly="0" labelOnly="1" outline="0" axis="axisValues" fieldPosition="0"/>
    </format>
    <format dxfId="529">
      <pivotArea dataOnly="0" labelOnly="1" fieldPosition="0">
        <references count="1">
          <reference field="9" count="0"/>
        </references>
      </pivotArea>
    </format>
    <format dxfId="528">
      <pivotArea dataOnly="0" labelOnly="1" grandRow="1" outline="0" fieldPosition="0"/>
    </format>
    <format dxfId="491">
      <pivotArea type="all" dataOnly="0" outline="0" fieldPosition="0"/>
    </format>
    <format dxfId="490">
      <pivotArea outline="0" collapsedLevelsAreSubtotals="1" fieldPosition="0"/>
    </format>
    <format dxfId="489">
      <pivotArea field="9" type="button" dataOnly="0" labelOnly="1" outline="0" axis="axisRow" fieldPosition="0"/>
    </format>
    <format dxfId="488">
      <pivotArea dataOnly="0" labelOnly="1" outline="0" axis="axisValues" fieldPosition="0"/>
    </format>
    <format dxfId="487">
      <pivotArea dataOnly="0" labelOnly="1" fieldPosition="0">
        <references count="1">
          <reference field="9" count="0"/>
        </references>
      </pivotArea>
    </format>
    <format dxfId="48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O14:P22" firstHeaderRow="1" firstDataRow="1" firstDataCol="1"/>
  <pivotFields count="28">
    <pivotField showAll="0"/>
    <pivotField showAll="0"/>
    <pivotField showAll="0"/>
    <pivotField showAll="0">
      <items count="3">
        <item x="0"/>
        <item x="1"/>
        <item t="default"/>
      </items>
    </pivotField>
    <pivotField showAll="0"/>
    <pivotField showAll="0"/>
    <pivotField numFmtId="164" showAll="0"/>
    <pivotField numFmtId="164" showAll="0"/>
    <pivotField dataField="1" showAll="0"/>
    <pivotField axis="axisRow" showAll="0">
      <items count="8">
        <item x="4"/>
        <item x="0"/>
        <item x="3"/>
        <item x="2"/>
        <item x="6"/>
        <item x="5"/>
        <item x="1"/>
        <item t="default"/>
      </items>
    </pivotField>
    <pivotField showAll="0"/>
    <pivotField showAll="0"/>
    <pivotField showAll="0"/>
    <pivotField showAll="0">
      <items count="5">
        <item x="2"/>
        <item x="1"/>
        <item x="3"/>
        <item x="0"/>
        <item t="default"/>
      </items>
    </pivotField>
    <pivotField showAll="0"/>
    <pivotField showAll="0"/>
    <pivotField showAll="0"/>
    <pivotField showAll="0">
      <items count="6">
        <item x="3"/>
        <item x="0"/>
        <item x="4"/>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Average of Length_of_Stay_Days" fld="8" subtotal="average" baseField="9" baseItem="0"/>
  </dataFields>
  <formats count="6">
    <format dxfId="485">
      <pivotArea type="all" dataOnly="0" outline="0" fieldPosition="0"/>
    </format>
    <format dxfId="484">
      <pivotArea outline="0" collapsedLevelsAreSubtotals="1" fieldPosition="0"/>
    </format>
    <format dxfId="483">
      <pivotArea field="9" type="button" dataOnly="0" labelOnly="1" outline="0" axis="axisRow" fieldPosition="0"/>
    </format>
    <format dxfId="482">
      <pivotArea dataOnly="0" labelOnly="1" outline="0" axis="axisValues" fieldPosition="0"/>
    </format>
    <format dxfId="481">
      <pivotArea dataOnly="0" labelOnly="1" fieldPosition="0">
        <references count="1">
          <reference field="9" count="0"/>
        </references>
      </pivotArea>
    </format>
    <format dxfId="48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3"/>
    <pivotTable tabId="5" name="PivotTable4"/>
    <pivotTable tabId="5" name="PivotTable5"/>
    <pivotTable tabId="5" name="PivotTable6"/>
    <pivotTable tabId="5"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surance_Type" sourceName="Insurance_Type">
  <pivotTables>
    <pivotTable tabId="5" name="PivotTable3"/>
    <pivotTable tabId="5" name="PivotTable4"/>
    <pivotTable tabId="5" name="PivotTable5"/>
    <pivotTable tabId="5" name="PivotTable6"/>
    <pivotTable tabId="5" name="PivotTable7"/>
  </pivotTables>
  <data>
    <tabular pivotCacheId="1">
      <items count="5">
        <i x="3" s="1"/>
        <i x="0"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mission_Type" sourceName="Admission_Type">
  <pivotTables>
    <pivotTable tabId="5" name="PivotTable3"/>
    <pivotTable tabId="5" name="PivotTable4"/>
    <pivotTable tabId="5" name="PivotTable5"/>
    <pivotTable tabId="5" name="PivotTable6"/>
    <pivotTable tabId="5" name="PivotTable7"/>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Insurance_Type" cache="Slicer_Insurance_Type" caption="Insurance_Type" rowHeight="241300"/>
  <slicer name="Admission_Type" cache="Slicer_Admission_Type" caption="Admission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4:P28"/>
  <sheetViews>
    <sheetView tabSelected="1" workbookViewId="0">
      <selection activeCell="I40" sqref="I40"/>
    </sheetView>
  </sheetViews>
  <sheetFormatPr defaultRowHeight="15" x14ac:dyDescent="0.25"/>
  <cols>
    <col min="1" max="1" width="9.140625" style="12"/>
    <col min="2" max="2" width="16.85546875" style="12" customWidth="1"/>
    <col min="3" max="3" width="18.5703125" style="12" customWidth="1"/>
    <col min="4" max="4" width="9.140625" style="12"/>
    <col min="5" max="5" width="15.5703125" style="12" customWidth="1"/>
    <col min="6" max="6" width="32.28515625" style="12" customWidth="1"/>
    <col min="7" max="7" width="9.140625" style="12"/>
    <col min="8" max="8" width="13.42578125" style="12" customWidth="1"/>
    <col min="9" max="9" width="18.5703125" style="12" customWidth="1"/>
    <col min="10" max="10" width="9.140625" style="12"/>
    <col min="11" max="11" width="13.140625" style="12" customWidth="1"/>
    <col min="12" max="12" width="18.5703125" style="12" customWidth="1"/>
    <col min="13" max="13" width="11.28515625" style="12" customWidth="1"/>
    <col min="14" max="14" width="9.140625" style="12"/>
    <col min="15" max="15" width="16.85546875" style="12" customWidth="1"/>
    <col min="16" max="16" width="30.42578125" style="12" customWidth="1"/>
    <col min="17" max="16384" width="9.140625" style="12"/>
  </cols>
  <sheetData>
    <row r="14" spans="2:16" x14ac:dyDescent="0.25">
      <c r="B14" s="11" t="s">
        <v>3819</v>
      </c>
      <c r="C14" s="11" t="s">
        <v>3821</v>
      </c>
      <c r="E14" s="12" t="s">
        <v>3819</v>
      </c>
      <c r="F14" s="12" t="s">
        <v>3822</v>
      </c>
      <c r="H14" s="12" t="s">
        <v>3819</v>
      </c>
      <c r="I14" s="12" t="s">
        <v>3821</v>
      </c>
      <c r="K14" s="12" t="s">
        <v>3819</v>
      </c>
      <c r="L14" s="12" t="s">
        <v>3821</v>
      </c>
      <c r="O14" s="12" t="s">
        <v>3819</v>
      </c>
      <c r="P14" s="12" t="s">
        <v>3823</v>
      </c>
    </row>
    <row r="15" spans="2:16" x14ac:dyDescent="0.25">
      <c r="B15" s="11" t="s">
        <v>123</v>
      </c>
      <c r="C15" s="13">
        <v>294</v>
      </c>
      <c r="E15" s="14" t="s">
        <v>125</v>
      </c>
      <c r="F15" s="15">
        <v>103370.63605442178</v>
      </c>
      <c r="H15" s="14" t="s">
        <v>137</v>
      </c>
      <c r="I15" s="16">
        <v>618</v>
      </c>
      <c r="K15" s="14" t="s">
        <v>109</v>
      </c>
      <c r="L15" s="16">
        <v>754</v>
      </c>
      <c r="M15" s="16"/>
      <c r="O15" s="14" t="s">
        <v>123</v>
      </c>
      <c r="P15" s="16">
        <v>15.476190476190476</v>
      </c>
    </row>
    <row r="16" spans="2:16" x14ac:dyDescent="0.25">
      <c r="B16" s="11" t="s">
        <v>33</v>
      </c>
      <c r="C16" s="13">
        <v>1361</v>
      </c>
      <c r="E16" s="14" t="s">
        <v>198</v>
      </c>
      <c r="F16" s="15">
        <v>108136.80128205128</v>
      </c>
      <c r="H16" s="14" t="s">
        <v>64</v>
      </c>
      <c r="I16" s="16">
        <v>608</v>
      </c>
      <c r="K16" s="14" t="s">
        <v>62</v>
      </c>
      <c r="L16" s="16">
        <v>740</v>
      </c>
      <c r="M16" s="16"/>
      <c r="O16" s="14" t="s">
        <v>33</v>
      </c>
      <c r="P16" s="16">
        <v>14.883174136664218</v>
      </c>
    </row>
    <row r="17" spans="2:16" x14ac:dyDescent="0.25">
      <c r="B17" s="11" t="s">
        <v>115</v>
      </c>
      <c r="C17" s="13">
        <v>306</v>
      </c>
      <c r="E17" s="14" t="s">
        <v>35</v>
      </c>
      <c r="F17" s="15">
        <v>105006.39144736843</v>
      </c>
      <c r="H17" s="14" t="s">
        <v>104</v>
      </c>
      <c r="I17" s="16">
        <v>582</v>
      </c>
      <c r="K17" s="14" t="s">
        <v>118</v>
      </c>
      <c r="L17" s="16">
        <v>746</v>
      </c>
      <c r="M17" s="16"/>
      <c r="O17" s="14" t="s">
        <v>115</v>
      </c>
      <c r="P17" s="16">
        <v>15.450980392156863</v>
      </c>
    </row>
    <row r="18" spans="2:16" x14ac:dyDescent="0.25">
      <c r="B18" s="11" t="s">
        <v>73</v>
      </c>
      <c r="C18" s="13">
        <v>142</v>
      </c>
      <c r="E18" s="14" t="s">
        <v>82</v>
      </c>
      <c r="F18" s="15">
        <v>104885.5294117647</v>
      </c>
      <c r="H18" s="14" t="s">
        <v>52</v>
      </c>
      <c r="I18" s="16">
        <v>579</v>
      </c>
      <c r="K18" s="14" t="s">
        <v>37</v>
      </c>
      <c r="L18" s="16">
        <v>760</v>
      </c>
      <c r="M18" s="16"/>
      <c r="O18" s="14" t="s">
        <v>73</v>
      </c>
      <c r="P18" s="16">
        <v>15.809859154929578</v>
      </c>
    </row>
    <row r="19" spans="2:16" x14ac:dyDescent="0.25">
      <c r="B19" s="11" t="s">
        <v>202</v>
      </c>
      <c r="C19" s="13">
        <v>300</v>
      </c>
      <c r="E19" s="14" t="s">
        <v>48</v>
      </c>
      <c r="F19" s="15">
        <v>102404.67223382046</v>
      </c>
      <c r="H19" s="14" t="s">
        <v>42</v>
      </c>
      <c r="I19" s="16">
        <v>613</v>
      </c>
      <c r="K19" s="14" t="s">
        <v>3820</v>
      </c>
      <c r="L19" s="16">
        <v>3000</v>
      </c>
      <c r="M19" s="16"/>
      <c r="O19" s="14" t="s">
        <v>202</v>
      </c>
      <c r="P19" s="16">
        <v>15.643333333333333</v>
      </c>
    </row>
    <row r="20" spans="2:16" x14ac:dyDescent="0.25">
      <c r="B20" s="11" t="s">
        <v>140</v>
      </c>
      <c r="C20" s="13">
        <v>295</v>
      </c>
      <c r="E20" s="14" t="s">
        <v>100</v>
      </c>
      <c r="F20" s="15">
        <v>104206.51449275362</v>
      </c>
      <c r="H20" s="14" t="s">
        <v>3820</v>
      </c>
      <c r="I20" s="16">
        <v>3000</v>
      </c>
      <c r="O20" s="14" t="s">
        <v>140</v>
      </c>
      <c r="P20" s="16">
        <v>14.505084745762712</v>
      </c>
    </row>
    <row r="21" spans="2:16" x14ac:dyDescent="0.25">
      <c r="B21" s="11" t="s">
        <v>58</v>
      </c>
      <c r="C21" s="13">
        <v>302</v>
      </c>
      <c r="E21" s="14" t="s">
        <v>279</v>
      </c>
      <c r="F21" s="15">
        <v>104749.7251908397</v>
      </c>
      <c r="O21" s="14" t="s">
        <v>58</v>
      </c>
      <c r="P21" s="16">
        <v>15.698675496688741</v>
      </c>
    </row>
    <row r="22" spans="2:16" x14ac:dyDescent="0.25">
      <c r="B22" s="11" t="s">
        <v>3820</v>
      </c>
      <c r="C22" s="13">
        <v>3000</v>
      </c>
      <c r="E22" s="14" t="s">
        <v>226</v>
      </c>
      <c r="F22" s="15">
        <v>104246.23129251701</v>
      </c>
      <c r="O22" s="14" t="s">
        <v>3820</v>
      </c>
      <c r="P22" s="16">
        <v>15.164</v>
      </c>
    </row>
    <row r="23" spans="2:16" x14ac:dyDescent="0.25">
      <c r="E23" s="14" t="s">
        <v>117</v>
      </c>
      <c r="F23" s="15">
        <v>101205.89869281046</v>
      </c>
    </row>
    <row r="24" spans="2:16" x14ac:dyDescent="0.25">
      <c r="E24" s="14" t="s">
        <v>73</v>
      </c>
      <c r="F24" s="15">
        <v>104228.76760563381</v>
      </c>
    </row>
    <row r="25" spans="2:16" x14ac:dyDescent="0.25">
      <c r="E25" s="14" t="s">
        <v>204</v>
      </c>
      <c r="F25" s="15">
        <v>104464.90196078431</v>
      </c>
    </row>
    <row r="26" spans="2:16" x14ac:dyDescent="0.25">
      <c r="E26" s="14" t="s">
        <v>142</v>
      </c>
      <c r="F26" s="15">
        <v>107403.91525423729</v>
      </c>
    </row>
    <row r="27" spans="2:16" x14ac:dyDescent="0.25">
      <c r="E27" s="14" t="s">
        <v>60</v>
      </c>
      <c r="F27" s="15">
        <v>107545.50331125828</v>
      </c>
    </row>
    <row r="28" spans="2:16" x14ac:dyDescent="0.25">
      <c r="E28" s="14" t="s">
        <v>3820</v>
      </c>
      <c r="F28" s="15">
        <v>104541.33366666667</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001"/>
  <sheetViews>
    <sheetView topLeftCell="L1" workbookViewId="0">
      <pane ySplit="1" topLeftCell="A2963" activePane="bottomLeft" state="frozen"/>
      <selection pane="bottomLeft"/>
    </sheetView>
  </sheetViews>
  <sheetFormatPr defaultRowHeight="15" x14ac:dyDescent="0.25"/>
  <cols>
    <col min="1" max="1" width="10" customWidth="1"/>
    <col min="2" max="2" width="20" customWidth="1"/>
    <col min="3" max="3" width="6" customWidth="1"/>
    <col min="4" max="4" width="8" customWidth="1"/>
    <col min="5" max="5" width="10" customWidth="1"/>
    <col min="6" max="6" width="12" customWidth="1"/>
    <col min="7" max="8" width="14" customWidth="1"/>
    <col min="9" max="9" width="12" customWidth="1"/>
    <col min="10" max="10" width="14" customWidth="1"/>
    <col min="11" max="13" width="16" customWidth="1"/>
    <col min="14" max="14" width="12" customWidth="1"/>
    <col min="15" max="15" width="22" customWidth="1"/>
    <col min="16" max="16" width="10" customWidth="1"/>
    <col min="17" max="17" width="14" customWidth="1"/>
    <col min="18" max="18" width="20" customWidth="1"/>
    <col min="19" max="20" width="18" customWidth="1"/>
    <col min="21" max="23" width="16" customWidth="1"/>
    <col min="24" max="24" width="14" customWidth="1"/>
    <col min="25" max="25" width="12" customWidth="1"/>
    <col min="26" max="26" width="14" customWidth="1"/>
    <col min="27" max="27" width="12" customWidth="1"/>
    <col min="28" max="28" width="14" customWidth="1"/>
  </cols>
  <sheetData>
    <row r="1" spans="1:28" ht="35.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2" t="s">
        <v>28</v>
      </c>
      <c r="B2" s="2" t="s">
        <v>29</v>
      </c>
      <c r="C2" s="2">
        <v>8</v>
      </c>
      <c r="D2" s="2" t="s">
        <v>30</v>
      </c>
      <c r="E2" s="2" t="s">
        <v>31</v>
      </c>
      <c r="F2" s="2" t="s">
        <v>32</v>
      </c>
      <c r="G2" s="3">
        <v>44847</v>
      </c>
      <c r="H2" s="3">
        <v>44871</v>
      </c>
      <c r="I2" s="2">
        <v>24</v>
      </c>
      <c r="J2" s="2" t="s">
        <v>33</v>
      </c>
      <c r="K2" s="2" t="s">
        <v>34</v>
      </c>
      <c r="L2" s="2" t="s">
        <v>35</v>
      </c>
      <c r="M2" s="2" t="s">
        <v>36</v>
      </c>
      <c r="N2" s="2" t="s">
        <v>37</v>
      </c>
      <c r="O2" s="2" t="s">
        <v>38</v>
      </c>
      <c r="P2" s="2">
        <v>48</v>
      </c>
      <c r="Q2" s="2" t="s">
        <v>39</v>
      </c>
      <c r="R2" s="2" t="s">
        <v>40</v>
      </c>
      <c r="S2" s="2">
        <v>161263</v>
      </c>
      <c r="T2" s="2">
        <v>99145</v>
      </c>
      <c r="U2" s="2">
        <v>62118</v>
      </c>
      <c r="V2" s="2">
        <v>137475</v>
      </c>
      <c r="W2" s="2">
        <v>20726</v>
      </c>
      <c r="X2" s="2">
        <v>934</v>
      </c>
      <c r="Y2" s="2" t="s">
        <v>41</v>
      </c>
      <c r="Z2" s="2">
        <v>66</v>
      </c>
      <c r="AA2" s="2">
        <v>2.7</v>
      </c>
      <c r="AB2" s="2" t="s">
        <v>42</v>
      </c>
    </row>
    <row r="3" spans="1:28" x14ac:dyDescent="0.25">
      <c r="A3" s="4" t="s">
        <v>43</v>
      </c>
      <c r="B3" s="4" t="s">
        <v>44</v>
      </c>
      <c r="C3" s="4">
        <v>25</v>
      </c>
      <c r="D3" s="4" t="s">
        <v>30</v>
      </c>
      <c r="E3" s="4" t="s">
        <v>45</v>
      </c>
      <c r="F3" s="4" t="s">
        <v>46</v>
      </c>
      <c r="G3" s="5">
        <v>44880</v>
      </c>
      <c r="H3" s="5">
        <v>44887</v>
      </c>
      <c r="I3" s="4">
        <v>7</v>
      </c>
      <c r="J3" s="4" t="s">
        <v>33</v>
      </c>
      <c r="K3" s="4" t="s">
        <v>47</v>
      </c>
      <c r="L3" s="4" t="s">
        <v>48</v>
      </c>
      <c r="M3" s="4" t="s">
        <v>36</v>
      </c>
      <c r="N3" s="4" t="s">
        <v>37</v>
      </c>
      <c r="O3" s="4" t="s">
        <v>49</v>
      </c>
      <c r="P3" s="4">
        <v>434</v>
      </c>
      <c r="Q3" s="4" t="s">
        <v>50</v>
      </c>
      <c r="R3" s="4" t="s">
        <v>51</v>
      </c>
      <c r="S3" s="4">
        <v>107263</v>
      </c>
      <c r="T3" s="4">
        <v>60160</v>
      </c>
      <c r="U3" s="4">
        <v>47103</v>
      </c>
      <c r="V3" s="4">
        <v>74342</v>
      </c>
      <c r="W3" s="4">
        <v>27447</v>
      </c>
      <c r="X3" s="4">
        <v>1211</v>
      </c>
      <c r="Y3" s="4" t="s">
        <v>41</v>
      </c>
      <c r="Z3" s="4">
        <v>64</v>
      </c>
      <c r="AA3" s="4">
        <v>2.2000000000000002</v>
      </c>
      <c r="AB3" s="4" t="s">
        <v>52</v>
      </c>
    </row>
    <row r="4" spans="1:28" x14ac:dyDescent="0.25">
      <c r="A4" s="2" t="s">
        <v>53</v>
      </c>
      <c r="B4" s="2" t="s">
        <v>54</v>
      </c>
      <c r="C4" s="2">
        <v>51</v>
      </c>
      <c r="D4" s="2" t="s">
        <v>55</v>
      </c>
      <c r="E4" s="2" t="s">
        <v>56</v>
      </c>
      <c r="F4" s="2" t="s">
        <v>57</v>
      </c>
      <c r="G4" s="3">
        <v>45028</v>
      </c>
      <c r="H4" s="3">
        <v>45053</v>
      </c>
      <c r="I4" s="2">
        <v>25</v>
      </c>
      <c r="J4" s="2" t="s">
        <v>58</v>
      </c>
      <c r="K4" s="2" t="s">
        <v>59</v>
      </c>
      <c r="L4" s="2" t="s">
        <v>60</v>
      </c>
      <c r="M4" s="2" t="s">
        <v>61</v>
      </c>
      <c r="N4" s="2" t="s">
        <v>62</v>
      </c>
      <c r="O4" s="2" t="s">
        <v>63</v>
      </c>
      <c r="P4" s="2">
        <v>233</v>
      </c>
      <c r="Q4" s="2" t="s">
        <v>50</v>
      </c>
      <c r="R4" s="2" t="s">
        <v>40</v>
      </c>
      <c r="S4" s="2">
        <v>121300</v>
      </c>
      <c r="T4" s="2">
        <v>74059</v>
      </c>
      <c r="U4" s="2">
        <v>47241</v>
      </c>
      <c r="V4" s="2">
        <v>102040</v>
      </c>
      <c r="W4" s="2">
        <v>12641</v>
      </c>
      <c r="X4" s="2">
        <v>3932</v>
      </c>
      <c r="Y4" s="2" t="s">
        <v>41</v>
      </c>
      <c r="Z4" s="2">
        <v>44</v>
      </c>
      <c r="AA4" s="2">
        <v>3.8</v>
      </c>
      <c r="AB4" s="2" t="s">
        <v>64</v>
      </c>
    </row>
    <row r="5" spans="1:28" x14ac:dyDescent="0.25">
      <c r="A5" s="4" t="s">
        <v>65</v>
      </c>
      <c r="B5" s="4" t="s">
        <v>66</v>
      </c>
      <c r="C5" s="4">
        <v>25</v>
      </c>
      <c r="D5" s="4" t="s">
        <v>30</v>
      </c>
      <c r="E5" s="4" t="s">
        <v>67</v>
      </c>
      <c r="F5" s="4" t="s">
        <v>46</v>
      </c>
      <c r="G5" s="5">
        <v>45011</v>
      </c>
      <c r="H5" s="5">
        <v>45033</v>
      </c>
      <c r="I5" s="4">
        <v>22</v>
      </c>
      <c r="J5" s="4" t="s">
        <v>33</v>
      </c>
      <c r="K5" s="4" t="s">
        <v>47</v>
      </c>
      <c r="L5" s="4" t="s">
        <v>48</v>
      </c>
      <c r="M5" s="4" t="s">
        <v>61</v>
      </c>
      <c r="N5" s="4" t="s">
        <v>62</v>
      </c>
      <c r="O5" s="4" t="s">
        <v>68</v>
      </c>
      <c r="P5" s="4">
        <v>138</v>
      </c>
      <c r="Q5" s="4" t="s">
        <v>69</v>
      </c>
      <c r="R5" s="4" t="s">
        <v>40</v>
      </c>
      <c r="S5" s="4">
        <v>111284</v>
      </c>
      <c r="T5" s="4">
        <v>57722</v>
      </c>
      <c r="U5" s="4">
        <v>53562</v>
      </c>
      <c r="V5" s="4">
        <v>87490</v>
      </c>
      <c r="W5" s="4">
        <v>7967</v>
      </c>
      <c r="X5" s="4">
        <v>11238</v>
      </c>
      <c r="Y5" s="4" t="s">
        <v>41</v>
      </c>
      <c r="Z5" s="4">
        <v>69</v>
      </c>
      <c r="AA5" s="4">
        <v>2.4</v>
      </c>
      <c r="AB5" s="4" t="s">
        <v>64</v>
      </c>
    </row>
    <row r="6" spans="1:28" x14ac:dyDescent="0.25">
      <c r="A6" s="2" t="s">
        <v>70</v>
      </c>
      <c r="B6" s="2" t="s">
        <v>71</v>
      </c>
      <c r="C6" s="2">
        <v>73</v>
      </c>
      <c r="D6" s="2" t="s">
        <v>30</v>
      </c>
      <c r="E6" s="2" t="s">
        <v>67</v>
      </c>
      <c r="F6" s="2" t="s">
        <v>72</v>
      </c>
      <c r="G6" s="3">
        <v>45379</v>
      </c>
      <c r="H6" s="3">
        <v>45391</v>
      </c>
      <c r="I6" s="2">
        <v>12</v>
      </c>
      <c r="J6" s="2" t="s">
        <v>73</v>
      </c>
      <c r="K6" s="2" t="s">
        <v>74</v>
      </c>
      <c r="L6" s="2" t="s">
        <v>73</v>
      </c>
      <c r="M6" s="2" t="s">
        <v>75</v>
      </c>
      <c r="N6" s="2" t="s">
        <v>37</v>
      </c>
      <c r="O6" s="2" t="s">
        <v>76</v>
      </c>
      <c r="P6" s="2">
        <v>441</v>
      </c>
      <c r="Q6" s="2" t="s">
        <v>69</v>
      </c>
      <c r="R6" s="2" t="s">
        <v>40</v>
      </c>
      <c r="S6" s="2">
        <v>89499</v>
      </c>
      <c r="T6" s="2">
        <v>51813</v>
      </c>
      <c r="U6" s="2">
        <v>37686</v>
      </c>
      <c r="V6" s="2">
        <v>46938</v>
      </c>
      <c r="W6" s="2">
        <v>26954</v>
      </c>
      <c r="X6" s="2">
        <v>11649</v>
      </c>
      <c r="Y6" s="2" t="s">
        <v>41</v>
      </c>
      <c r="Z6" s="2">
        <v>78</v>
      </c>
      <c r="AA6" s="2">
        <v>5</v>
      </c>
      <c r="AB6" s="2" t="s">
        <v>42</v>
      </c>
    </row>
    <row r="7" spans="1:28" x14ac:dyDescent="0.25">
      <c r="A7" s="4" t="s">
        <v>77</v>
      </c>
      <c r="B7" s="4" t="s">
        <v>78</v>
      </c>
      <c r="C7" s="4">
        <v>6</v>
      </c>
      <c r="D7" s="4" t="s">
        <v>55</v>
      </c>
      <c r="E7" s="4" t="s">
        <v>79</v>
      </c>
      <c r="F7" s="4" t="s">
        <v>80</v>
      </c>
      <c r="G7" s="5">
        <v>44790</v>
      </c>
      <c r="H7" s="5">
        <v>44800</v>
      </c>
      <c r="I7" s="4">
        <v>10</v>
      </c>
      <c r="J7" s="4" t="s">
        <v>33</v>
      </c>
      <c r="K7" s="4" t="s">
        <v>81</v>
      </c>
      <c r="L7" s="4" t="s">
        <v>82</v>
      </c>
      <c r="M7" s="4" t="s">
        <v>83</v>
      </c>
      <c r="N7" s="4" t="s">
        <v>62</v>
      </c>
      <c r="O7" s="4" t="s">
        <v>84</v>
      </c>
      <c r="P7" s="4">
        <v>391</v>
      </c>
      <c r="Q7" s="4" t="s">
        <v>39</v>
      </c>
      <c r="R7" s="4" t="s">
        <v>51</v>
      </c>
      <c r="S7" s="4">
        <v>76107</v>
      </c>
      <c r="T7" s="4">
        <v>49660</v>
      </c>
      <c r="U7" s="4">
        <v>26447</v>
      </c>
      <c r="V7" s="4">
        <v>32894</v>
      </c>
      <c r="W7" s="4">
        <v>29525</v>
      </c>
      <c r="X7" s="4">
        <v>10744</v>
      </c>
      <c r="Y7" s="4" t="s">
        <v>41</v>
      </c>
      <c r="Z7" s="4">
        <v>52</v>
      </c>
      <c r="AA7" s="4">
        <v>2.5</v>
      </c>
      <c r="AB7" s="4" t="s">
        <v>64</v>
      </c>
    </row>
    <row r="8" spans="1:28" x14ac:dyDescent="0.25">
      <c r="A8" s="2" t="s">
        <v>85</v>
      </c>
      <c r="B8" s="2" t="s">
        <v>86</v>
      </c>
      <c r="C8" s="2">
        <v>5</v>
      </c>
      <c r="D8" s="2" t="s">
        <v>30</v>
      </c>
      <c r="E8" s="2" t="s">
        <v>87</v>
      </c>
      <c r="F8" s="2" t="s">
        <v>57</v>
      </c>
      <c r="G8" s="3">
        <v>44791</v>
      </c>
      <c r="H8" s="3">
        <v>44821</v>
      </c>
      <c r="I8" s="2">
        <v>30</v>
      </c>
      <c r="J8" s="2" t="s">
        <v>58</v>
      </c>
      <c r="K8" s="2" t="s">
        <v>88</v>
      </c>
      <c r="L8" s="2" t="s">
        <v>60</v>
      </c>
      <c r="M8" s="2" t="s">
        <v>61</v>
      </c>
      <c r="N8" s="2" t="s">
        <v>62</v>
      </c>
      <c r="O8" s="2" t="s">
        <v>89</v>
      </c>
      <c r="P8" s="2">
        <v>485</v>
      </c>
      <c r="Q8" s="2" t="s">
        <v>69</v>
      </c>
      <c r="R8" s="2" t="s">
        <v>90</v>
      </c>
      <c r="S8" s="2">
        <v>166634</v>
      </c>
      <c r="T8" s="2">
        <v>138265</v>
      </c>
      <c r="U8" s="2">
        <v>28369</v>
      </c>
      <c r="V8" s="2">
        <v>132399</v>
      </c>
      <c r="W8" s="2">
        <v>27739</v>
      </c>
      <c r="X8" s="2">
        <v>1633</v>
      </c>
      <c r="Y8" s="2" t="s">
        <v>91</v>
      </c>
      <c r="Z8" s="2">
        <v>70</v>
      </c>
      <c r="AA8" s="2">
        <v>4.8</v>
      </c>
      <c r="AB8" s="2" t="s">
        <v>64</v>
      </c>
    </row>
    <row r="9" spans="1:28" x14ac:dyDescent="0.25">
      <c r="A9" s="4" t="s">
        <v>92</v>
      </c>
      <c r="B9" s="4" t="s">
        <v>93</v>
      </c>
      <c r="C9" s="4">
        <v>82</v>
      </c>
      <c r="D9" s="4" t="s">
        <v>30</v>
      </c>
      <c r="E9" s="4" t="s">
        <v>31</v>
      </c>
      <c r="F9" s="4" t="s">
        <v>94</v>
      </c>
      <c r="G9" s="5">
        <v>44973</v>
      </c>
      <c r="H9" s="5">
        <v>44996</v>
      </c>
      <c r="I9" s="4">
        <v>23</v>
      </c>
      <c r="J9" s="4" t="s">
        <v>58</v>
      </c>
      <c r="K9" s="4" t="s">
        <v>59</v>
      </c>
      <c r="L9" s="4" t="s">
        <v>60</v>
      </c>
      <c r="M9" s="4" t="s">
        <v>95</v>
      </c>
      <c r="N9" s="4" t="s">
        <v>37</v>
      </c>
      <c r="O9" s="4" t="s">
        <v>96</v>
      </c>
      <c r="P9" s="4">
        <v>62</v>
      </c>
      <c r="Q9" s="4" t="s">
        <v>39</v>
      </c>
      <c r="R9" s="4" t="s">
        <v>40</v>
      </c>
      <c r="S9" s="4">
        <v>37091</v>
      </c>
      <c r="T9" s="4">
        <v>21384</v>
      </c>
      <c r="U9" s="4">
        <v>15707</v>
      </c>
      <c r="V9" s="4">
        <v>21784</v>
      </c>
      <c r="W9" s="4">
        <v>12078</v>
      </c>
      <c r="X9" s="4">
        <v>844</v>
      </c>
      <c r="Y9" s="4" t="s">
        <v>91</v>
      </c>
      <c r="Z9" s="4">
        <v>85</v>
      </c>
      <c r="AA9" s="4">
        <v>3.9</v>
      </c>
      <c r="AB9" s="4" t="s">
        <v>64</v>
      </c>
    </row>
    <row r="10" spans="1:28" x14ac:dyDescent="0.25">
      <c r="A10" s="2" t="s">
        <v>97</v>
      </c>
      <c r="B10" s="2" t="s">
        <v>98</v>
      </c>
      <c r="C10" s="2">
        <v>47</v>
      </c>
      <c r="D10" s="2" t="s">
        <v>55</v>
      </c>
      <c r="E10" s="2" t="s">
        <v>31</v>
      </c>
      <c r="F10" s="2" t="s">
        <v>46</v>
      </c>
      <c r="G10" s="3">
        <v>45556</v>
      </c>
      <c r="H10" s="3">
        <v>45563</v>
      </c>
      <c r="I10" s="2">
        <v>7</v>
      </c>
      <c r="J10" s="2" t="s">
        <v>33</v>
      </c>
      <c r="K10" s="2" t="s">
        <v>99</v>
      </c>
      <c r="L10" s="2" t="s">
        <v>100</v>
      </c>
      <c r="M10" s="2" t="s">
        <v>101</v>
      </c>
      <c r="N10" s="2" t="s">
        <v>37</v>
      </c>
      <c r="O10" s="2" t="s">
        <v>102</v>
      </c>
      <c r="P10" s="2">
        <v>414</v>
      </c>
      <c r="Q10" s="2" t="s">
        <v>103</v>
      </c>
      <c r="R10" s="2" t="s">
        <v>40</v>
      </c>
      <c r="S10" s="2">
        <v>49229</v>
      </c>
      <c r="T10" s="2">
        <v>24924</v>
      </c>
      <c r="U10" s="2">
        <v>24305</v>
      </c>
      <c r="V10" s="2">
        <v>29726</v>
      </c>
      <c r="W10" s="2">
        <v>4176</v>
      </c>
      <c r="X10" s="2">
        <v>11296</v>
      </c>
      <c r="Y10" s="2" t="s">
        <v>41</v>
      </c>
      <c r="Z10" s="2">
        <v>95</v>
      </c>
      <c r="AA10" s="2">
        <v>4.2</v>
      </c>
      <c r="AB10" s="2" t="s">
        <v>104</v>
      </c>
    </row>
    <row r="11" spans="1:28" x14ac:dyDescent="0.25">
      <c r="A11" s="4" t="s">
        <v>105</v>
      </c>
      <c r="B11" s="4" t="s">
        <v>106</v>
      </c>
      <c r="C11" s="4">
        <v>48</v>
      </c>
      <c r="D11" s="4" t="s">
        <v>55</v>
      </c>
      <c r="E11" s="4" t="s">
        <v>31</v>
      </c>
      <c r="F11" s="4" t="s">
        <v>32</v>
      </c>
      <c r="G11" s="5">
        <v>44951</v>
      </c>
      <c r="H11" s="5">
        <v>44969</v>
      </c>
      <c r="I11" s="4">
        <v>18</v>
      </c>
      <c r="J11" s="4" t="s">
        <v>33</v>
      </c>
      <c r="K11" s="4" t="s">
        <v>107</v>
      </c>
      <c r="L11" s="4" t="s">
        <v>48</v>
      </c>
      <c r="M11" s="4" t="s">
        <v>108</v>
      </c>
      <c r="N11" s="4" t="s">
        <v>109</v>
      </c>
      <c r="O11" s="4" t="s">
        <v>110</v>
      </c>
      <c r="P11" s="4">
        <v>128</v>
      </c>
      <c r="Q11" s="4" t="s">
        <v>69</v>
      </c>
      <c r="R11" s="4" t="s">
        <v>111</v>
      </c>
      <c r="S11" s="4">
        <v>159728</v>
      </c>
      <c r="T11" s="4">
        <v>135898</v>
      </c>
      <c r="U11" s="4">
        <v>23830</v>
      </c>
      <c r="V11" s="4">
        <v>149264</v>
      </c>
      <c r="W11" s="4">
        <v>4208</v>
      </c>
      <c r="X11" s="4">
        <v>1328</v>
      </c>
      <c r="Y11" s="4" t="s">
        <v>41</v>
      </c>
      <c r="Z11" s="4">
        <v>99</v>
      </c>
      <c r="AA11" s="4">
        <v>4.3</v>
      </c>
      <c r="AB11" s="4" t="s">
        <v>64</v>
      </c>
    </row>
    <row r="12" spans="1:28" x14ac:dyDescent="0.25">
      <c r="A12" s="2" t="s">
        <v>112</v>
      </c>
      <c r="B12" s="2" t="s">
        <v>113</v>
      </c>
      <c r="C12" s="2">
        <v>67</v>
      </c>
      <c r="D12" s="2" t="s">
        <v>30</v>
      </c>
      <c r="E12" s="2" t="s">
        <v>31</v>
      </c>
      <c r="F12" s="2" t="s">
        <v>114</v>
      </c>
      <c r="G12" s="3">
        <v>44682</v>
      </c>
      <c r="H12" s="3">
        <v>44688</v>
      </c>
      <c r="I12" s="2">
        <v>6</v>
      </c>
      <c r="J12" s="2" t="s">
        <v>115</v>
      </c>
      <c r="K12" s="2" t="s">
        <v>116</v>
      </c>
      <c r="L12" s="2" t="s">
        <v>117</v>
      </c>
      <c r="M12" s="2" t="s">
        <v>108</v>
      </c>
      <c r="N12" s="2" t="s">
        <v>118</v>
      </c>
      <c r="O12" s="2" t="s">
        <v>119</v>
      </c>
      <c r="P12" s="2">
        <v>217</v>
      </c>
      <c r="Q12" s="2" t="s">
        <v>103</v>
      </c>
      <c r="R12" s="2" t="s">
        <v>40</v>
      </c>
      <c r="S12" s="2">
        <v>70547</v>
      </c>
      <c r="T12" s="2">
        <v>40477</v>
      </c>
      <c r="U12" s="2">
        <v>30070</v>
      </c>
      <c r="V12" s="2">
        <v>54780</v>
      </c>
      <c r="W12" s="2">
        <v>10722</v>
      </c>
      <c r="X12" s="2">
        <v>4066</v>
      </c>
      <c r="Y12" s="2" t="s">
        <v>41</v>
      </c>
      <c r="Z12" s="2">
        <v>87</v>
      </c>
      <c r="AA12" s="2">
        <v>2.9</v>
      </c>
      <c r="AB12" s="2" t="s">
        <v>104</v>
      </c>
    </row>
    <row r="13" spans="1:28" x14ac:dyDescent="0.25">
      <c r="A13" s="4" t="s">
        <v>120</v>
      </c>
      <c r="B13" s="4" t="s">
        <v>121</v>
      </c>
      <c r="C13" s="4">
        <v>69</v>
      </c>
      <c r="D13" s="4" t="s">
        <v>55</v>
      </c>
      <c r="E13" s="4" t="s">
        <v>122</v>
      </c>
      <c r="F13" s="4" t="s">
        <v>94</v>
      </c>
      <c r="G13" s="5">
        <v>44726</v>
      </c>
      <c r="H13" s="5">
        <v>44754</v>
      </c>
      <c r="I13" s="4">
        <v>28</v>
      </c>
      <c r="J13" s="4" t="s">
        <v>123</v>
      </c>
      <c r="K13" s="4" t="s">
        <v>124</v>
      </c>
      <c r="L13" s="4" t="s">
        <v>125</v>
      </c>
      <c r="M13" s="4" t="s">
        <v>101</v>
      </c>
      <c r="N13" s="4" t="s">
        <v>62</v>
      </c>
      <c r="O13" s="4" t="s">
        <v>126</v>
      </c>
      <c r="P13" s="4">
        <v>62</v>
      </c>
      <c r="Q13" s="4" t="s">
        <v>39</v>
      </c>
      <c r="R13" s="4" t="s">
        <v>51</v>
      </c>
      <c r="S13" s="4">
        <v>42490</v>
      </c>
      <c r="T13" s="4">
        <v>25376</v>
      </c>
      <c r="U13" s="4">
        <v>17114</v>
      </c>
      <c r="V13" s="4">
        <v>15418</v>
      </c>
      <c r="W13" s="4">
        <v>21295</v>
      </c>
      <c r="X13" s="4">
        <v>1843</v>
      </c>
      <c r="Y13" s="4" t="s">
        <v>41</v>
      </c>
      <c r="Z13" s="4">
        <v>60</v>
      </c>
      <c r="AA13" s="4">
        <v>4.8</v>
      </c>
      <c r="AB13" s="4" t="s">
        <v>64</v>
      </c>
    </row>
    <row r="14" spans="1:28" x14ac:dyDescent="0.25">
      <c r="A14" s="2" t="s">
        <v>127</v>
      </c>
      <c r="B14" s="2" t="s">
        <v>128</v>
      </c>
      <c r="C14" s="2">
        <v>35</v>
      </c>
      <c r="D14" s="2" t="s">
        <v>30</v>
      </c>
      <c r="E14" s="2" t="s">
        <v>67</v>
      </c>
      <c r="F14" s="2" t="s">
        <v>129</v>
      </c>
      <c r="G14" s="3">
        <v>45176</v>
      </c>
      <c r="H14" s="3">
        <v>45191</v>
      </c>
      <c r="I14" s="2">
        <v>15</v>
      </c>
      <c r="J14" s="2" t="s">
        <v>33</v>
      </c>
      <c r="K14" s="2" t="s">
        <v>47</v>
      </c>
      <c r="L14" s="2" t="s">
        <v>48</v>
      </c>
      <c r="M14" s="2" t="s">
        <v>130</v>
      </c>
      <c r="N14" s="2" t="s">
        <v>37</v>
      </c>
      <c r="O14" s="2" t="s">
        <v>131</v>
      </c>
      <c r="P14" s="2">
        <v>52</v>
      </c>
      <c r="Q14" s="2" t="s">
        <v>69</v>
      </c>
      <c r="R14" s="2" t="s">
        <v>51</v>
      </c>
      <c r="S14" s="2">
        <v>84883</v>
      </c>
      <c r="T14" s="2">
        <v>57719</v>
      </c>
      <c r="U14" s="2">
        <v>27164</v>
      </c>
      <c r="V14" s="2">
        <v>60877</v>
      </c>
      <c r="W14" s="2">
        <v>17576</v>
      </c>
      <c r="X14" s="2">
        <v>4845</v>
      </c>
      <c r="Y14" s="2" t="s">
        <v>41</v>
      </c>
      <c r="Z14" s="2">
        <v>96</v>
      </c>
      <c r="AA14" s="2">
        <v>2.7</v>
      </c>
      <c r="AB14" s="2" t="s">
        <v>52</v>
      </c>
    </row>
    <row r="15" spans="1:28" x14ac:dyDescent="0.25">
      <c r="A15" s="4" t="s">
        <v>132</v>
      </c>
      <c r="B15" s="4" t="s">
        <v>133</v>
      </c>
      <c r="C15" s="4">
        <v>74</v>
      </c>
      <c r="D15" s="4" t="s">
        <v>30</v>
      </c>
      <c r="E15" s="4" t="s">
        <v>122</v>
      </c>
      <c r="F15" s="4" t="s">
        <v>94</v>
      </c>
      <c r="G15" s="5">
        <v>45175</v>
      </c>
      <c r="H15" s="5">
        <v>45205</v>
      </c>
      <c r="I15" s="4">
        <v>30</v>
      </c>
      <c r="J15" s="4" t="s">
        <v>33</v>
      </c>
      <c r="K15" s="4" t="s">
        <v>34</v>
      </c>
      <c r="L15" s="4" t="s">
        <v>35</v>
      </c>
      <c r="M15" s="4" t="s">
        <v>134</v>
      </c>
      <c r="N15" s="4" t="s">
        <v>62</v>
      </c>
      <c r="O15" s="4" t="s">
        <v>135</v>
      </c>
      <c r="P15" s="4">
        <v>80</v>
      </c>
      <c r="Q15" s="4" t="s">
        <v>50</v>
      </c>
      <c r="R15" s="4" t="s">
        <v>136</v>
      </c>
      <c r="S15" s="4">
        <v>93013</v>
      </c>
      <c r="T15" s="4">
        <v>0</v>
      </c>
      <c r="U15" s="4">
        <v>93013</v>
      </c>
      <c r="V15" s="4">
        <v>60215</v>
      </c>
      <c r="W15" s="4">
        <v>24514</v>
      </c>
      <c r="X15" s="4">
        <v>6117</v>
      </c>
      <c r="Y15" s="4" t="s">
        <v>41</v>
      </c>
      <c r="Z15" s="4">
        <v>94</v>
      </c>
      <c r="AA15" s="4">
        <v>2.8</v>
      </c>
      <c r="AB15" s="4" t="s">
        <v>137</v>
      </c>
    </row>
    <row r="16" spans="1:28" x14ac:dyDescent="0.25">
      <c r="A16" s="2" t="s">
        <v>138</v>
      </c>
      <c r="B16" s="2" t="s">
        <v>139</v>
      </c>
      <c r="C16" s="2">
        <v>16</v>
      </c>
      <c r="D16" s="2" t="s">
        <v>30</v>
      </c>
      <c r="E16" s="2" t="s">
        <v>79</v>
      </c>
      <c r="F16" s="2" t="s">
        <v>57</v>
      </c>
      <c r="G16" s="3">
        <v>44569</v>
      </c>
      <c r="H16" s="3">
        <v>44580</v>
      </c>
      <c r="I16" s="2">
        <v>11</v>
      </c>
      <c r="J16" s="2" t="s">
        <v>140</v>
      </c>
      <c r="K16" s="2" t="s">
        <v>141</v>
      </c>
      <c r="L16" s="2" t="s">
        <v>142</v>
      </c>
      <c r="M16" s="2" t="s">
        <v>143</v>
      </c>
      <c r="N16" s="2" t="s">
        <v>37</v>
      </c>
      <c r="O16" s="2" t="s">
        <v>144</v>
      </c>
      <c r="P16" s="2">
        <v>288</v>
      </c>
      <c r="Q16" s="2" t="s">
        <v>69</v>
      </c>
      <c r="R16" s="2" t="s">
        <v>90</v>
      </c>
      <c r="S16" s="2">
        <v>68203</v>
      </c>
      <c r="T16" s="2">
        <v>52085</v>
      </c>
      <c r="U16" s="2">
        <v>16118</v>
      </c>
      <c r="V16" s="2">
        <v>24724</v>
      </c>
      <c r="W16" s="2">
        <v>29937</v>
      </c>
      <c r="X16" s="2">
        <v>11821</v>
      </c>
      <c r="Y16" s="2" t="s">
        <v>41</v>
      </c>
      <c r="Z16" s="2">
        <v>77</v>
      </c>
      <c r="AA16" s="2">
        <v>3.7</v>
      </c>
      <c r="AB16" s="2" t="s">
        <v>137</v>
      </c>
    </row>
    <row r="17" spans="1:28" x14ac:dyDescent="0.25">
      <c r="A17" s="4" t="s">
        <v>145</v>
      </c>
      <c r="B17" s="4" t="s">
        <v>146</v>
      </c>
      <c r="C17" s="4">
        <v>44</v>
      </c>
      <c r="D17" s="4" t="s">
        <v>30</v>
      </c>
      <c r="E17" s="4" t="s">
        <v>122</v>
      </c>
      <c r="F17" s="4" t="s">
        <v>80</v>
      </c>
      <c r="G17" s="5">
        <v>44992</v>
      </c>
      <c r="H17" s="5">
        <v>45014</v>
      </c>
      <c r="I17" s="4">
        <v>22</v>
      </c>
      <c r="J17" s="4" t="s">
        <v>73</v>
      </c>
      <c r="K17" s="4" t="s">
        <v>74</v>
      </c>
      <c r="L17" s="4" t="s">
        <v>73</v>
      </c>
      <c r="M17" s="4" t="s">
        <v>95</v>
      </c>
      <c r="N17" s="4" t="s">
        <v>37</v>
      </c>
      <c r="O17" s="4" t="s">
        <v>147</v>
      </c>
      <c r="P17" s="4">
        <v>474</v>
      </c>
      <c r="Q17" s="4" t="s">
        <v>39</v>
      </c>
      <c r="R17" s="4" t="s">
        <v>40</v>
      </c>
      <c r="S17" s="4">
        <v>89253</v>
      </c>
      <c r="T17" s="4">
        <v>40504</v>
      </c>
      <c r="U17" s="4">
        <v>48749</v>
      </c>
      <c r="V17" s="4">
        <v>51413</v>
      </c>
      <c r="W17" s="4">
        <v>29882</v>
      </c>
      <c r="X17" s="4">
        <v>7255</v>
      </c>
      <c r="Y17" s="4" t="s">
        <v>41</v>
      </c>
      <c r="Z17" s="4">
        <v>90</v>
      </c>
      <c r="AA17" s="4">
        <v>4.8</v>
      </c>
      <c r="AB17" s="4" t="s">
        <v>64</v>
      </c>
    </row>
    <row r="18" spans="1:28" x14ac:dyDescent="0.25">
      <c r="A18" s="2" t="s">
        <v>148</v>
      </c>
      <c r="B18" s="2" t="s">
        <v>149</v>
      </c>
      <c r="C18" s="2">
        <v>18</v>
      </c>
      <c r="D18" s="2" t="s">
        <v>30</v>
      </c>
      <c r="E18" s="2" t="s">
        <v>122</v>
      </c>
      <c r="F18" s="2" t="s">
        <v>150</v>
      </c>
      <c r="G18" s="3">
        <v>45017</v>
      </c>
      <c r="H18" s="3">
        <v>45024</v>
      </c>
      <c r="I18" s="2">
        <v>7</v>
      </c>
      <c r="J18" s="2" t="s">
        <v>33</v>
      </c>
      <c r="K18" s="2" t="s">
        <v>107</v>
      </c>
      <c r="L18" s="2" t="s">
        <v>48</v>
      </c>
      <c r="M18" s="2" t="s">
        <v>134</v>
      </c>
      <c r="N18" s="2" t="s">
        <v>109</v>
      </c>
      <c r="O18" s="2" t="s">
        <v>151</v>
      </c>
      <c r="P18" s="2">
        <v>338</v>
      </c>
      <c r="Q18" s="2" t="s">
        <v>39</v>
      </c>
      <c r="R18" s="2" t="s">
        <v>111</v>
      </c>
      <c r="S18" s="2">
        <v>116909</v>
      </c>
      <c r="T18" s="2">
        <v>104057</v>
      </c>
      <c r="U18" s="2">
        <v>12852</v>
      </c>
      <c r="V18" s="2">
        <v>91051</v>
      </c>
      <c r="W18" s="2">
        <v>10129</v>
      </c>
      <c r="X18" s="2">
        <v>14661</v>
      </c>
      <c r="Y18" s="2" t="s">
        <v>41</v>
      </c>
      <c r="Z18" s="2">
        <v>81</v>
      </c>
      <c r="AA18" s="2">
        <v>3.5</v>
      </c>
      <c r="AB18" s="2" t="s">
        <v>42</v>
      </c>
    </row>
    <row r="19" spans="1:28" x14ac:dyDescent="0.25">
      <c r="A19" s="4" t="s">
        <v>152</v>
      </c>
      <c r="B19" s="4" t="s">
        <v>153</v>
      </c>
      <c r="C19" s="4">
        <v>19</v>
      </c>
      <c r="D19" s="4" t="s">
        <v>30</v>
      </c>
      <c r="E19" s="4" t="s">
        <v>154</v>
      </c>
      <c r="F19" s="4" t="s">
        <v>72</v>
      </c>
      <c r="G19" s="5">
        <v>45105</v>
      </c>
      <c r="H19" s="5">
        <v>45107</v>
      </c>
      <c r="I19" s="4">
        <v>2</v>
      </c>
      <c r="J19" s="4" t="s">
        <v>33</v>
      </c>
      <c r="K19" s="4" t="s">
        <v>34</v>
      </c>
      <c r="L19" s="4" t="s">
        <v>35</v>
      </c>
      <c r="M19" s="4" t="s">
        <v>108</v>
      </c>
      <c r="N19" s="4" t="s">
        <v>118</v>
      </c>
      <c r="O19" s="4" t="s">
        <v>68</v>
      </c>
      <c r="P19" s="4">
        <v>311</v>
      </c>
      <c r="Q19" s="4" t="s">
        <v>69</v>
      </c>
      <c r="R19" s="4" t="s">
        <v>111</v>
      </c>
      <c r="S19" s="4">
        <v>69473</v>
      </c>
      <c r="T19" s="4">
        <v>41719</v>
      </c>
      <c r="U19" s="4">
        <v>27754</v>
      </c>
      <c r="V19" s="4">
        <v>54828</v>
      </c>
      <c r="W19" s="4">
        <v>9346</v>
      </c>
      <c r="X19" s="4">
        <v>1227</v>
      </c>
      <c r="Y19" s="4" t="s">
        <v>41</v>
      </c>
      <c r="Z19" s="4">
        <v>74</v>
      </c>
      <c r="AA19" s="4">
        <v>4.0999999999999996</v>
      </c>
      <c r="AB19" s="4" t="s">
        <v>64</v>
      </c>
    </row>
    <row r="20" spans="1:28" x14ac:dyDescent="0.25">
      <c r="A20" s="2" t="s">
        <v>155</v>
      </c>
      <c r="B20" s="2" t="s">
        <v>156</v>
      </c>
      <c r="C20" s="2">
        <v>13</v>
      </c>
      <c r="D20" s="2" t="s">
        <v>30</v>
      </c>
      <c r="E20" s="2" t="s">
        <v>45</v>
      </c>
      <c r="F20" s="2" t="s">
        <v>157</v>
      </c>
      <c r="G20" s="3">
        <v>45177</v>
      </c>
      <c r="H20" s="3">
        <v>45194</v>
      </c>
      <c r="I20" s="2">
        <v>17</v>
      </c>
      <c r="J20" s="2" t="s">
        <v>58</v>
      </c>
      <c r="K20" s="2" t="s">
        <v>59</v>
      </c>
      <c r="L20" s="2" t="s">
        <v>60</v>
      </c>
      <c r="M20" s="2" t="s">
        <v>95</v>
      </c>
      <c r="N20" s="2" t="s">
        <v>37</v>
      </c>
      <c r="O20" s="2" t="s">
        <v>84</v>
      </c>
      <c r="P20" s="2">
        <v>66</v>
      </c>
      <c r="Q20" s="2" t="s">
        <v>39</v>
      </c>
      <c r="R20" s="2" t="s">
        <v>111</v>
      </c>
      <c r="S20" s="2">
        <v>142266</v>
      </c>
      <c r="T20" s="2">
        <v>111630</v>
      </c>
      <c r="U20" s="2">
        <v>30636</v>
      </c>
      <c r="V20" s="2">
        <v>104390</v>
      </c>
      <c r="W20" s="2">
        <v>23194</v>
      </c>
      <c r="X20" s="2">
        <v>12757</v>
      </c>
      <c r="Y20" s="2" t="s">
        <v>41</v>
      </c>
      <c r="Z20" s="2">
        <v>75</v>
      </c>
      <c r="AA20" s="2">
        <v>4.5</v>
      </c>
      <c r="AB20" s="2" t="s">
        <v>52</v>
      </c>
    </row>
    <row r="21" spans="1:28" x14ac:dyDescent="0.25">
      <c r="A21" s="4" t="s">
        <v>158</v>
      </c>
      <c r="B21" s="4" t="s">
        <v>159</v>
      </c>
      <c r="C21" s="4">
        <v>60</v>
      </c>
      <c r="D21" s="4" t="s">
        <v>30</v>
      </c>
      <c r="E21" s="4" t="s">
        <v>87</v>
      </c>
      <c r="F21" s="4" t="s">
        <v>150</v>
      </c>
      <c r="G21" s="5">
        <v>45467</v>
      </c>
      <c r="H21" s="5">
        <v>45489</v>
      </c>
      <c r="I21" s="4">
        <v>22</v>
      </c>
      <c r="J21" s="4" t="s">
        <v>115</v>
      </c>
      <c r="K21" s="4" t="s">
        <v>160</v>
      </c>
      <c r="L21" s="4" t="s">
        <v>117</v>
      </c>
      <c r="M21" s="4" t="s">
        <v>83</v>
      </c>
      <c r="N21" s="4" t="s">
        <v>109</v>
      </c>
      <c r="O21" s="4" t="s">
        <v>161</v>
      </c>
      <c r="P21" s="4">
        <v>264</v>
      </c>
      <c r="Q21" s="4" t="s">
        <v>50</v>
      </c>
      <c r="R21" s="4" t="s">
        <v>90</v>
      </c>
      <c r="S21" s="4">
        <v>97540</v>
      </c>
      <c r="T21" s="4">
        <v>82126</v>
      </c>
      <c r="U21" s="4">
        <v>15414</v>
      </c>
      <c r="V21" s="4">
        <v>66569</v>
      </c>
      <c r="W21" s="4">
        <v>23046</v>
      </c>
      <c r="X21" s="4">
        <v>5585</v>
      </c>
      <c r="Y21" s="4" t="s">
        <v>91</v>
      </c>
      <c r="Z21" s="4">
        <v>42</v>
      </c>
      <c r="AA21" s="4">
        <v>2.7</v>
      </c>
      <c r="AB21" s="4" t="s">
        <v>137</v>
      </c>
    </row>
    <row r="22" spans="1:28" x14ac:dyDescent="0.25">
      <c r="A22" s="2" t="s">
        <v>162</v>
      </c>
      <c r="B22" s="2" t="s">
        <v>163</v>
      </c>
      <c r="C22" s="2">
        <v>63</v>
      </c>
      <c r="D22" s="2" t="s">
        <v>30</v>
      </c>
      <c r="E22" s="2" t="s">
        <v>31</v>
      </c>
      <c r="F22" s="2" t="s">
        <v>114</v>
      </c>
      <c r="G22" s="3">
        <v>45574</v>
      </c>
      <c r="H22" s="3">
        <v>45587</v>
      </c>
      <c r="I22" s="2">
        <v>13</v>
      </c>
      <c r="J22" s="2" t="s">
        <v>73</v>
      </c>
      <c r="K22" s="2" t="s">
        <v>74</v>
      </c>
      <c r="L22" s="2" t="s">
        <v>73</v>
      </c>
      <c r="M22" s="2" t="s">
        <v>130</v>
      </c>
      <c r="N22" s="2" t="s">
        <v>62</v>
      </c>
      <c r="O22" s="2" t="s">
        <v>164</v>
      </c>
      <c r="P22" s="2">
        <v>91</v>
      </c>
      <c r="Q22" s="2" t="s">
        <v>103</v>
      </c>
      <c r="R22" s="2" t="s">
        <v>90</v>
      </c>
      <c r="S22" s="2">
        <v>105850</v>
      </c>
      <c r="T22" s="2">
        <v>67744</v>
      </c>
      <c r="U22" s="2">
        <v>38106</v>
      </c>
      <c r="V22" s="2">
        <v>70325</v>
      </c>
      <c r="W22" s="2">
        <v>28798</v>
      </c>
      <c r="X22" s="2">
        <v>2488</v>
      </c>
      <c r="Y22" s="2" t="s">
        <v>41</v>
      </c>
      <c r="Z22" s="2">
        <v>73</v>
      </c>
      <c r="AA22" s="2">
        <v>5</v>
      </c>
      <c r="AB22" s="2" t="s">
        <v>42</v>
      </c>
    </row>
    <row r="23" spans="1:28" x14ac:dyDescent="0.25">
      <c r="A23" s="4" t="s">
        <v>165</v>
      </c>
      <c r="B23" s="4" t="s">
        <v>166</v>
      </c>
      <c r="C23" s="4">
        <v>83</v>
      </c>
      <c r="D23" s="4" t="s">
        <v>30</v>
      </c>
      <c r="E23" s="4" t="s">
        <v>87</v>
      </c>
      <c r="F23" s="4" t="s">
        <v>129</v>
      </c>
      <c r="G23" s="5">
        <v>45534</v>
      </c>
      <c r="H23" s="5">
        <v>45549</v>
      </c>
      <c r="I23" s="4">
        <v>15</v>
      </c>
      <c r="J23" s="4" t="s">
        <v>140</v>
      </c>
      <c r="K23" s="4" t="s">
        <v>167</v>
      </c>
      <c r="L23" s="4" t="s">
        <v>142</v>
      </c>
      <c r="M23" s="4" t="s">
        <v>134</v>
      </c>
      <c r="N23" s="4" t="s">
        <v>37</v>
      </c>
      <c r="O23" s="4" t="s">
        <v>168</v>
      </c>
      <c r="P23" s="4">
        <v>226</v>
      </c>
      <c r="Q23" s="4" t="s">
        <v>69</v>
      </c>
      <c r="R23" s="4" t="s">
        <v>136</v>
      </c>
      <c r="S23" s="4">
        <v>85495</v>
      </c>
      <c r="T23" s="4">
        <v>0</v>
      </c>
      <c r="U23" s="4">
        <v>85495</v>
      </c>
      <c r="V23" s="4">
        <v>66471</v>
      </c>
      <c r="W23" s="4">
        <v>9903</v>
      </c>
      <c r="X23" s="4">
        <v>6002</v>
      </c>
      <c r="Y23" s="4" t="s">
        <v>41</v>
      </c>
      <c r="Z23" s="4">
        <v>45</v>
      </c>
      <c r="AA23" s="4">
        <v>2.4</v>
      </c>
      <c r="AB23" s="4" t="s">
        <v>64</v>
      </c>
    </row>
    <row r="24" spans="1:28" x14ac:dyDescent="0.25">
      <c r="A24" s="2" t="s">
        <v>169</v>
      </c>
      <c r="B24" s="2" t="s">
        <v>170</v>
      </c>
      <c r="C24" s="2">
        <v>32</v>
      </c>
      <c r="D24" s="2" t="s">
        <v>55</v>
      </c>
      <c r="E24" s="2" t="s">
        <v>67</v>
      </c>
      <c r="F24" s="2" t="s">
        <v>114</v>
      </c>
      <c r="G24" s="3">
        <v>45239</v>
      </c>
      <c r="H24" s="3">
        <v>45257</v>
      </c>
      <c r="I24" s="2">
        <v>18</v>
      </c>
      <c r="J24" s="2" t="s">
        <v>33</v>
      </c>
      <c r="K24" s="2" t="s">
        <v>107</v>
      </c>
      <c r="L24" s="2" t="s">
        <v>48</v>
      </c>
      <c r="M24" s="2" t="s">
        <v>130</v>
      </c>
      <c r="N24" s="2" t="s">
        <v>109</v>
      </c>
      <c r="O24" s="2" t="s">
        <v>171</v>
      </c>
      <c r="P24" s="2">
        <v>464</v>
      </c>
      <c r="Q24" s="2" t="s">
        <v>69</v>
      </c>
      <c r="R24" s="2" t="s">
        <v>51</v>
      </c>
      <c r="S24" s="2">
        <v>125320</v>
      </c>
      <c r="T24" s="2">
        <v>61355</v>
      </c>
      <c r="U24" s="2">
        <v>63965</v>
      </c>
      <c r="V24" s="2">
        <v>104714</v>
      </c>
      <c r="W24" s="2">
        <v>16629</v>
      </c>
      <c r="X24" s="2">
        <v>596</v>
      </c>
      <c r="Y24" s="2" t="s">
        <v>41</v>
      </c>
      <c r="Z24" s="2">
        <v>97</v>
      </c>
      <c r="AA24" s="2">
        <v>4.9000000000000004</v>
      </c>
      <c r="AB24" s="2" t="s">
        <v>137</v>
      </c>
    </row>
    <row r="25" spans="1:28" x14ac:dyDescent="0.25">
      <c r="A25" s="4" t="s">
        <v>172</v>
      </c>
      <c r="B25" s="4" t="s">
        <v>173</v>
      </c>
      <c r="C25" s="4">
        <v>82</v>
      </c>
      <c r="D25" s="4" t="s">
        <v>55</v>
      </c>
      <c r="E25" s="4" t="s">
        <v>87</v>
      </c>
      <c r="F25" s="4" t="s">
        <v>32</v>
      </c>
      <c r="G25" s="5">
        <v>45120</v>
      </c>
      <c r="H25" s="5">
        <v>45134</v>
      </c>
      <c r="I25" s="4">
        <v>14</v>
      </c>
      <c r="J25" s="4" t="s">
        <v>33</v>
      </c>
      <c r="K25" s="4" t="s">
        <v>174</v>
      </c>
      <c r="L25" s="4" t="s">
        <v>48</v>
      </c>
      <c r="M25" s="4" t="s">
        <v>108</v>
      </c>
      <c r="N25" s="4" t="s">
        <v>118</v>
      </c>
      <c r="O25" s="4" t="s">
        <v>175</v>
      </c>
      <c r="P25" s="4">
        <v>431</v>
      </c>
      <c r="Q25" s="4" t="s">
        <v>103</v>
      </c>
      <c r="R25" s="4" t="s">
        <v>40</v>
      </c>
      <c r="S25" s="4">
        <v>154577</v>
      </c>
      <c r="T25" s="4">
        <v>65724</v>
      </c>
      <c r="U25" s="4">
        <v>88853</v>
      </c>
      <c r="V25" s="4">
        <v>145017</v>
      </c>
      <c r="W25" s="4">
        <v>1883</v>
      </c>
      <c r="X25" s="4">
        <v>6955</v>
      </c>
      <c r="Y25" s="4" t="s">
        <v>41</v>
      </c>
      <c r="Z25" s="4">
        <v>95</v>
      </c>
      <c r="AA25" s="4">
        <v>3.4</v>
      </c>
      <c r="AB25" s="4" t="s">
        <v>104</v>
      </c>
    </row>
    <row r="26" spans="1:28" x14ac:dyDescent="0.25">
      <c r="A26" s="2" t="s">
        <v>176</v>
      </c>
      <c r="B26" s="2" t="s">
        <v>177</v>
      </c>
      <c r="C26" s="2">
        <v>46</v>
      </c>
      <c r="D26" s="2" t="s">
        <v>55</v>
      </c>
      <c r="E26" s="2" t="s">
        <v>87</v>
      </c>
      <c r="F26" s="2" t="s">
        <v>80</v>
      </c>
      <c r="G26" s="3">
        <v>45253</v>
      </c>
      <c r="H26" s="3">
        <v>45278</v>
      </c>
      <c r="I26" s="2">
        <v>25</v>
      </c>
      <c r="J26" s="2" t="s">
        <v>115</v>
      </c>
      <c r="K26" s="2" t="s">
        <v>116</v>
      </c>
      <c r="L26" s="2" t="s">
        <v>117</v>
      </c>
      <c r="M26" s="2" t="s">
        <v>108</v>
      </c>
      <c r="N26" s="2" t="s">
        <v>118</v>
      </c>
      <c r="O26" s="2" t="s">
        <v>178</v>
      </c>
      <c r="P26" s="2">
        <v>10</v>
      </c>
      <c r="Q26" s="2" t="s">
        <v>69</v>
      </c>
      <c r="R26" s="2" t="s">
        <v>136</v>
      </c>
      <c r="S26" s="2">
        <v>88534</v>
      </c>
      <c r="T26" s="2">
        <v>0</v>
      </c>
      <c r="U26" s="2">
        <v>88534</v>
      </c>
      <c r="V26" s="2">
        <v>63778</v>
      </c>
      <c r="W26" s="2">
        <v>22303</v>
      </c>
      <c r="X26" s="2">
        <v>1624</v>
      </c>
      <c r="Y26" s="2" t="s">
        <v>41</v>
      </c>
      <c r="Z26" s="2">
        <v>100</v>
      </c>
      <c r="AA26" s="2">
        <v>2.7</v>
      </c>
      <c r="AB26" s="2" t="s">
        <v>104</v>
      </c>
    </row>
    <row r="27" spans="1:28" x14ac:dyDescent="0.25">
      <c r="A27" s="4" t="s">
        <v>179</v>
      </c>
      <c r="B27" s="4" t="s">
        <v>180</v>
      </c>
      <c r="C27" s="4">
        <v>35</v>
      </c>
      <c r="D27" s="4" t="s">
        <v>55</v>
      </c>
      <c r="E27" s="4" t="s">
        <v>87</v>
      </c>
      <c r="F27" s="4" t="s">
        <v>157</v>
      </c>
      <c r="G27" s="5">
        <v>45008</v>
      </c>
      <c r="H27" s="5">
        <v>45023</v>
      </c>
      <c r="I27" s="4">
        <v>15</v>
      </c>
      <c r="J27" s="4" t="s">
        <v>140</v>
      </c>
      <c r="K27" s="4" t="s">
        <v>167</v>
      </c>
      <c r="L27" s="4" t="s">
        <v>142</v>
      </c>
      <c r="M27" s="4" t="s">
        <v>143</v>
      </c>
      <c r="N27" s="4" t="s">
        <v>62</v>
      </c>
      <c r="O27" s="4" t="s">
        <v>181</v>
      </c>
      <c r="P27" s="4">
        <v>56</v>
      </c>
      <c r="Q27" s="4" t="s">
        <v>69</v>
      </c>
      <c r="R27" s="4" t="s">
        <v>136</v>
      </c>
      <c r="S27" s="4">
        <v>131719</v>
      </c>
      <c r="T27" s="4">
        <v>0</v>
      </c>
      <c r="U27" s="4">
        <v>131719</v>
      </c>
      <c r="V27" s="4">
        <v>103384</v>
      </c>
      <c r="W27" s="4">
        <v>13997</v>
      </c>
      <c r="X27" s="4">
        <v>12214</v>
      </c>
      <c r="Y27" s="4" t="s">
        <v>91</v>
      </c>
      <c r="Z27" s="4">
        <v>84</v>
      </c>
      <c r="AA27" s="4">
        <v>4.5</v>
      </c>
      <c r="AB27" s="4" t="s">
        <v>64</v>
      </c>
    </row>
    <row r="28" spans="1:28" x14ac:dyDescent="0.25">
      <c r="A28" s="2" t="s">
        <v>182</v>
      </c>
      <c r="B28" s="2" t="s">
        <v>183</v>
      </c>
      <c r="C28" s="2">
        <v>81</v>
      </c>
      <c r="D28" s="2" t="s">
        <v>55</v>
      </c>
      <c r="E28" s="2" t="s">
        <v>122</v>
      </c>
      <c r="F28" s="2" t="s">
        <v>80</v>
      </c>
      <c r="G28" s="3">
        <v>45653</v>
      </c>
      <c r="H28" s="3">
        <v>45657</v>
      </c>
      <c r="I28" s="2">
        <v>4</v>
      </c>
      <c r="J28" s="2" t="s">
        <v>58</v>
      </c>
      <c r="K28" s="2" t="s">
        <v>88</v>
      </c>
      <c r="L28" s="2" t="s">
        <v>60</v>
      </c>
      <c r="M28" s="2" t="s">
        <v>75</v>
      </c>
      <c r="N28" s="2" t="s">
        <v>118</v>
      </c>
      <c r="O28" s="2" t="s">
        <v>184</v>
      </c>
      <c r="P28" s="2">
        <v>422</v>
      </c>
      <c r="Q28" s="2" t="s">
        <v>103</v>
      </c>
      <c r="R28" s="2" t="s">
        <v>90</v>
      </c>
      <c r="S28" s="2">
        <v>146692</v>
      </c>
      <c r="T28" s="2">
        <v>119142</v>
      </c>
      <c r="U28" s="2">
        <v>27550</v>
      </c>
      <c r="V28" s="2">
        <v>118645</v>
      </c>
      <c r="W28" s="2">
        <v>12868</v>
      </c>
      <c r="X28" s="2">
        <v>10913</v>
      </c>
      <c r="Y28" s="2" t="s">
        <v>41</v>
      </c>
      <c r="Z28" s="2">
        <v>86</v>
      </c>
      <c r="AA28" s="2">
        <v>3.6</v>
      </c>
      <c r="AB28" s="2" t="s">
        <v>52</v>
      </c>
    </row>
    <row r="29" spans="1:28" x14ac:dyDescent="0.25">
      <c r="A29" s="4" t="s">
        <v>185</v>
      </c>
      <c r="B29" s="4" t="s">
        <v>186</v>
      </c>
      <c r="C29" s="4">
        <v>66</v>
      </c>
      <c r="D29" s="4" t="s">
        <v>30</v>
      </c>
      <c r="E29" s="4" t="s">
        <v>67</v>
      </c>
      <c r="F29" s="4" t="s">
        <v>72</v>
      </c>
      <c r="G29" s="5">
        <v>45111</v>
      </c>
      <c r="H29" s="5">
        <v>45122</v>
      </c>
      <c r="I29" s="4">
        <v>11</v>
      </c>
      <c r="J29" s="4" t="s">
        <v>73</v>
      </c>
      <c r="K29" s="4" t="s">
        <v>74</v>
      </c>
      <c r="L29" s="4" t="s">
        <v>73</v>
      </c>
      <c r="M29" s="4" t="s">
        <v>134</v>
      </c>
      <c r="N29" s="4" t="s">
        <v>37</v>
      </c>
      <c r="O29" s="4" t="s">
        <v>102</v>
      </c>
      <c r="P29" s="4">
        <v>292</v>
      </c>
      <c r="Q29" s="4" t="s">
        <v>103</v>
      </c>
      <c r="R29" s="4" t="s">
        <v>136</v>
      </c>
      <c r="S29" s="4">
        <v>47324</v>
      </c>
      <c r="T29" s="4">
        <v>0</v>
      </c>
      <c r="U29" s="4">
        <v>47324</v>
      </c>
      <c r="V29" s="4">
        <v>12523</v>
      </c>
      <c r="W29" s="4">
        <v>17197</v>
      </c>
      <c r="X29" s="4">
        <v>14442</v>
      </c>
      <c r="Y29" s="4" t="s">
        <v>41</v>
      </c>
      <c r="Z29" s="4">
        <v>53</v>
      </c>
      <c r="AA29" s="4">
        <v>3.1</v>
      </c>
      <c r="AB29" s="4" t="s">
        <v>52</v>
      </c>
    </row>
    <row r="30" spans="1:28" x14ac:dyDescent="0.25">
      <c r="A30" s="2" t="s">
        <v>187</v>
      </c>
      <c r="B30" s="2" t="s">
        <v>188</v>
      </c>
      <c r="C30" s="2">
        <v>81</v>
      </c>
      <c r="D30" s="2" t="s">
        <v>30</v>
      </c>
      <c r="E30" s="2" t="s">
        <v>122</v>
      </c>
      <c r="F30" s="2" t="s">
        <v>94</v>
      </c>
      <c r="G30" s="3">
        <v>44953</v>
      </c>
      <c r="H30" s="3">
        <v>44956</v>
      </c>
      <c r="I30" s="2">
        <v>3</v>
      </c>
      <c r="J30" s="2" t="s">
        <v>73</v>
      </c>
      <c r="K30" s="2" t="s">
        <v>74</v>
      </c>
      <c r="L30" s="2" t="s">
        <v>73</v>
      </c>
      <c r="M30" s="2" t="s">
        <v>83</v>
      </c>
      <c r="N30" s="2" t="s">
        <v>109</v>
      </c>
      <c r="O30" s="2" t="s">
        <v>189</v>
      </c>
      <c r="P30" s="2">
        <v>230</v>
      </c>
      <c r="Q30" s="2" t="s">
        <v>69</v>
      </c>
      <c r="R30" s="2" t="s">
        <v>90</v>
      </c>
      <c r="S30" s="2">
        <v>100011</v>
      </c>
      <c r="T30" s="2">
        <v>69194</v>
      </c>
      <c r="U30" s="2">
        <v>30817</v>
      </c>
      <c r="V30" s="2">
        <v>82132</v>
      </c>
      <c r="W30" s="2">
        <v>8261</v>
      </c>
      <c r="X30" s="2">
        <v>7125</v>
      </c>
      <c r="Y30" s="2" t="s">
        <v>41</v>
      </c>
      <c r="Z30" s="2">
        <v>70</v>
      </c>
      <c r="AA30" s="2">
        <v>3.7</v>
      </c>
      <c r="AB30" s="2" t="s">
        <v>52</v>
      </c>
    </row>
    <row r="31" spans="1:28" x14ac:dyDescent="0.25">
      <c r="A31" s="4" t="s">
        <v>190</v>
      </c>
      <c r="B31" s="4" t="s">
        <v>191</v>
      </c>
      <c r="C31" s="4">
        <v>47</v>
      </c>
      <c r="D31" s="4" t="s">
        <v>30</v>
      </c>
      <c r="E31" s="4" t="s">
        <v>87</v>
      </c>
      <c r="F31" s="4" t="s">
        <v>46</v>
      </c>
      <c r="G31" s="5">
        <v>45189</v>
      </c>
      <c r="H31" s="5">
        <v>45198</v>
      </c>
      <c r="I31" s="4">
        <v>9</v>
      </c>
      <c r="J31" s="4" t="s">
        <v>73</v>
      </c>
      <c r="K31" s="4" t="s">
        <v>74</v>
      </c>
      <c r="L31" s="4" t="s">
        <v>73</v>
      </c>
      <c r="M31" s="4" t="s">
        <v>61</v>
      </c>
      <c r="N31" s="4" t="s">
        <v>118</v>
      </c>
      <c r="O31" s="4" t="s">
        <v>135</v>
      </c>
      <c r="P31" s="4">
        <v>487</v>
      </c>
      <c r="Q31" s="4" t="s">
        <v>39</v>
      </c>
      <c r="R31" s="4" t="s">
        <v>40</v>
      </c>
      <c r="S31" s="4">
        <v>98123</v>
      </c>
      <c r="T31" s="4">
        <v>60579</v>
      </c>
      <c r="U31" s="4">
        <v>37544</v>
      </c>
      <c r="V31" s="4">
        <v>61723</v>
      </c>
      <c r="W31" s="4">
        <v>25202</v>
      </c>
      <c r="X31" s="4">
        <v>8433</v>
      </c>
      <c r="Y31" s="4" t="s">
        <v>41</v>
      </c>
      <c r="Z31" s="4">
        <v>73</v>
      </c>
      <c r="AA31" s="4">
        <v>3.8</v>
      </c>
      <c r="AB31" s="4" t="s">
        <v>104</v>
      </c>
    </row>
    <row r="32" spans="1:28" x14ac:dyDescent="0.25">
      <c r="A32" s="2" t="s">
        <v>192</v>
      </c>
      <c r="B32" s="2" t="s">
        <v>193</v>
      </c>
      <c r="C32" s="2">
        <v>42</v>
      </c>
      <c r="D32" s="2" t="s">
        <v>55</v>
      </c>
      <c r="E32" s="2" t="s">
        <v>45</v>
      </c>
      <c r="F32" s="2" t="s">
        <v>129</v>
      </c>
      <c r="G32" s="3">
        <v>45181</v>
      </c>
      <c r="H32" s="3">
        <v>45182</v>
      </c>
      <c r="I32" s="2">
        <v>1</v>
      </c>
      <c r="J32" s="2" t="s">
        <v>33</v>
      </c>
      <c r="K32" s="2" t="s">
        <v>99</v>
      </c>
      <c r="L32" s="2" t="s">
        <v>100</v>
      </c>
      <c r="M32" s="2" t="s">
        <v>134</v>
      </c>
      <c r="N32" s="2" t="s">
        <v>62</v>
      </c>
      <c r="O32" s="2" t="s">
        <v>194</v>
      </c>
      <c r="P32" s="2">
        <v>150</v>
      </c>
      <c r="Q32" s="2" t="s">
        <v>39</v>
      </c>
      <c r="R32" s="2" t="s">
        <v>111</v>
      </c>
      <c r="S32" s="2">
        <v>65018</v>
      </c>
      <c r="T32" s="2">
        <v>48167</v>
      </c>
      <c r="U32" s="2">
        <v>16851</v>
      </c>
      <c r="V32" s="2">
        <v>31892</v>
      </c>
      <c r="W32" s="2">
        <v>29597</v>
      </c>
      <c r="X32" s="2">
        <v>700</v>
      </c>
      <c r="Y32" s="2" t="s">
        <v>41</v>
      </c>
      <c r="Z32" s="2">
        <v>51</v>
      </c>
      <c r="AA32" s="2">
        <v>4.9000000000000004</v>
      </c>
      <c r="AB32" s="2" t="s">
        <v>52</v>
      </c>
    </row>
    <row r="33" spans="1:28" x14ac:dyDescent="0.25">
      <c r="A33" s="4" t="s">
        <v>195</v>
      </c>
      <c r="B33" s="4" t="s">
        <v>196</v>
      </c>
      <c r="C33" s="4">
        <v>19</v>
      </c>
      <c r="D33" s="4" t="s">
        <v>55</v>
      </c>
      <c r="E33" s="4" t="s">
        <v>67</v>
      </c>
      <c r="F33" s="4" t="s">
        <v>150</v>
      </c>
      <c r="G33" s="5">
        <v>44713</v>
      </c>
      <c r="H33" s="5">
        <v>44732</v>
      </c>
      <c r="I33" s="4">
        <v>19</v>
      </c>
      <c r="J33" s="4" t="s">
        <v>33</v>
      </c>
      <c r="K33" s="4" t="s">
        <v>197</v>
      </c>
      <c r="L33" s="4" t="s">
        <v>198</v>
      </c>
      <c r="M33" s="4" t="s">
        <v>143</v>
      </c>
      <c r="N33" s="4" t="s">
        <v>118</v>
      </c>
      <c r="O33" s="4" t="s">
        <v>199</v>
      </c>
      <c r="P33" s="4">
        <v>61</v>
      </c>
      <c r="Q33" s="4" t="s">
        <v>103</v>
      </c>
      <c r="R33" s="4" t="s">
        <v>51</v>
      </c>
      <c r="S33" s="4">
        <v>103256</v>
      </c>
      <c r="T33" s="4">
        <v>55258</v>
      </c>
      <c r="U33" s="4">
        <v>47998</v>
      </c>
      <c r="V33" s="4">
        <v>64162</v>
      </c>
      <c r="W33" s="4">
        <v>26417</v>
      </c>
      <c r="X33" s="4">
        <v>9061</v>
      </c>
      <c r="Y33" s="4" t="s">
        <v>41</v>
      </c>
      <c r="Z33" s="4">
        <v>95</v>
      </c>
      <c r="AA33" s="4">
        <v>3.8</v>
      </c>
      <c r="AB33" s="4" t="s">
        <v>137</v>
      </c>
    </row>
    <row r="34" spans="1:28" x14ac:dyDescent="0.25">
      <c r="A34" s="2" t="s">
        <v>200</v>
      </c>
      <c r="B34" s="2" t="s">
        <v>201</v>
      </c>
      <c r="C34" s="2">
        <v>84</v>
      </c>
      <c r="D34" s="2" t="s">
        <v>55</v>
      </c>
      <c r="E34" s="2" t="s">
        <v>56</v>
      </c>
      <c r="F34" s="2" t="s">
        <v>32</v>
      </c>
      <c r="G34" s="3">
        <v>44994</v>
      </c>
      <c r="H34" s="3">
        <v>45003</v>
      </c>
      <c r="I34" s="2">
        <v>9</v>
      </c>
      <c r="J34" s="2" t="s">
        <v>202</v>
      </c>
      <c r="K34" s="2" t="s">
        <v>203</v>
      </c>
      <c r="L34" s="2" t="s">
        <v>204</v>
      </c>
      <c r="M34" s="2" t="s">
        <v>61</v>
      </c>
      <c r="N34" s="2" t="s">
        <v>109</v>
      </c>
      <c r="O34" s="2" t="s">
        <v>205</v>
      </c>
      <c r="P34" s="2">
        <v>81</v>
      </c>
      <c r="Q34" s="2" t="s">
        <v>69</v>
      </c>
      <c r="R34" s="2" t="s">
        <v>111</v>
      </c>
      <c r="S34" s="2">
        <v>161263</v>
      </c>
      <c r="T34" s="2">
        <v>110849</v>
      </c>
      <c r="U34" s="2">
        <v>50414</v>
      </c>
      <c r="V34" s="2">
        <v>123096</v>
      </c>
      <c r="W34" s="2">
        <v>23589</v>
      </c>
      <c r="X34" s="2">
        <v>10229</v>
      </c>
      <c r="Y34" s="2" t="s">
        <v>41</v>
      </c>
      <c r="Z34" s="2">
        <v>85</v>
      </c>
      <c r="AA34" s="2">
        <v>2.8</v>
      </c>
      <c r="AB34" s="2" t="s">
        <v>137</v>
      </c>
    </row>
    <row r="35" spans="1:28" x14ac:dyDescent="0.25">
      <c r="A35" s="4" t="s">
        <v>206</v>
      </c>
      <c r="B35" s="4" t="s">
        <v>207</v>
      </c>
      <c r="C35" s="4">
        <v>38</v>
      </c>
      <c r="D35" s="4" t="s">
        <v>55</v>
      </c>
      <c r="E35" s="4" t="s">
        <v>67</v>
      </c>
      <c r="F35" s="4" t="s">
        <v>157</v>
      </c>
      <c r="G35" s="5">
        <v>45022</v>
      </c>
      <c r="H35" s="5">
        <v>45043</v>
      </c>
      <c r="I35" s="4">
        <v>21</v>
      </c>
      <c r="J35" s="4" t="s">
        <v>140</v>
      </c>
      <c r="K35" s="4" t="s">
        <v>141</v>
      </c>
      <c r="L35" s="4" t="s">
        <v>142</v>
      </c>
      <c r="M35" s="4" t="s">
        <v>143</v>
      </c>
      <c r="N35" s="4" t="s">
        <v>62</v>
      </c>
      <c r="O35" s="4" t="s">
        <v>208</v>
      </c>
      <c r="P35" s="4">
        <v>406</v>
      </c>
      <c r="Q35" s="4" t="s">
        <v>50</v>
      </c>
      <c r="R35" s="4" t="s">
        <v>51</v>
      </c>
      <c r="S35" s="4">
        <v>102923</v>
      </c>
      <c r="T35" s="4">
        <v>62433</v>
      </c>
      <c r="U35" s="4">
        <v>40490</v>
      </c>
      <c r="V35" s="4">
        <v>80657</v>
      </c>
      <c r="W35" s="4">
        <v>15390</v>
      </c>
      <c r="X35" s="4">
        <v>2537</v>
      </c>
      <c r="Y35" s="4" t="s">
        <v>41</v>
      </c>
      <c r="Z35" s="4">
        <v>100</v>
      </c>
      <c r="AA35" s="4">
        <v>2.8</v>
      </c>
      <c r="AB35" s="4" t="s">
        <v>42</v>
      </c>
    </row>
    <row r="36" spans="1:28" x14ac:dyDescent="0.25">
      <c r="A36" s="2" t="s">
        <v>209</v>
      </c>
      <c r="B36" s="2" t="s">
        <v>210</v>
      </c>
      <c r="C36" s="2">
        <v>15</v>
      </c>
      <c r="D36" s="2" t="s">
        <v>55</v>
      </c>
      <c r="E36" s="2" t="s">
        <v>67</v>
      </c>
      <c r="F36" s="2" t="s">
        <v>80</v>
      </c>
      <c r="G36" s="3">
        <v>45074</v>
      </c>
      <c r="H36" s="3">
        <v>45075</v>
      </c>
      <c r="I36" s="2">
        <v>1</v>
      </c>
      <c r="J36" s="2" t="s">
        <v>202</v>
      </c>
      <c r="K36" s="2" t="s">
        <v>203</v>
      </c>
      <c r="L36" s="2" t="s">
        <v>204</v>
      </c>
      <c r="M36" s="2" t="s">
        <v>101</v>
      </c>
      <c r="N36" s="2" t="s">
        <v>62</v>
      </c>
      <c r="O36" s="2" t="s">
        <v>211</v>
      </c>
      <c r="P36" s="2">
        <v>21</v>
      </c>
      <c r="Q36" s="2" t="s">
        <v>39</v>
      </c>
      <c r="R36" s="2" t="s">
        <v>111</v>
      </c>
      <c r="S36" s="2">
        <v>173914</v>
      </c>
      <c r="T36" s="2">
        <v>113817</v>
      </c>
      <c r="U36" s="2">
        <v>60097</v>
      </c>
      <c r="V36" s="2">
        <v>141043</v>
      </c>
      <c r="W36" s="2">
        <v>22348</v>
      </c>
      <c r="X36" s="2">
        <v>7745</v>
      </c>
      <c r="Y36" s="2" t="s">
        <v>41</v>
      </c>
      <c r="Z36" s="2">
        <v>80</v>
      </c>
      <c r="AA36" s="2">
        <v>4.4000000000000004</v>
      </c>
      <c r="AB36" s="2" t="s">
        <v>104</v>
      </c>
    </row>
    <row r="37" spans="1:28" x14ac:dyDescent="0.25">
      <c r="A37" s="4" t="s">
        <v>212</v>
      </c>
      <c r="B37" s="4" t="s">
        <v>213</v>
      </c>
      <c r="C37" s="4">
        <v>57</v>
      </c>
      <c r="D37" s="4" t="s">
        <v>30</v>
      </c>
      <c r="E37" s="4" t="s">
        <v>45</v>
      </c>
      <c r="F37" s="4" t="s">
        <v>157</v>
      </c>
      <c r="G37" s="5">
        <v>44891</v>
      </c>
      <c r="H37" s="5">
        <v>44902</v>
      </c>
      <c r="I37" s="4">
        <v>11</v>
      </c>
      <c r="J37" s="4" t="s">
        <v>33</v>
      </c>
      <c r="K37" s="4" t="s">
        <v>81</v>
      </c>
      <c r="L37" s="4" t="s">
        <v>82</v>
      </c>
      <c r="M37" s="4" t="s">
        <v>134</v>
      </c>
      <c r="N37" s="4" t="s">
        <v>37</v>
      </c>
      <c r="O37" s="4" t="s">
        <v>214</v>
      </c>
      <c r="P37" s="4">
        <v>233</v>
      </c>
      <c r="Q37" s="4" t="s">
        <v>69</v>
      </c>
      <c r="R37" s="4" t="s">
        <v>136</v>
      </c>
      <c r="S37" s="4">
        <v>88967</v>
      </c>
      <c r="T37" s="4">
        <v>0</v>
      </c>
      <c r="U37" s="4">
        <v>88967</v>
      </c>
      <c r="V37" s="4">
        <v>71164</v>
      </c>
      <c r="W37" s="4">
        <v>11593</v>
      </c>
      <c r="X37" s="4">
        <v>2399</v>
      </c>
      <c r="Y37" s="4" t="s">
        <v>41</v>
      </c>
      <c r="Z37" s="4">
        <v>92</v>
      </c>
      <c r="AA37" s="4">
        <v>5</v>
      </c>
      <c r="AB37" s="4" t="s">
        <v>42</v>
      </c>
    </row>
    <row r="38" spans="1:28" x14ac:dyDescent="0.25">
      <c r="A38" s="2" t="s">
        <v>215</v>
      </c>
      <c r="B38" s="2" t="s">
        <v>216</v>
      </c>
      <c r="C38" s="2">
        <v>11</v>
      </c>
      <c r="D38" s="2" t="s">
        <v>55</v>
      </c>
      <c r="E38" s="2" t="s">
        <v>45</v>
      </c>
      <c r="F38" s="2" t="s">
        <v>72</v>
      </c>
      <c r="G38" s="3">
        <v>45582</v>
      </c>
      <c r="H38" s="3">
        <v>45603</v>
      </c>
      <c r="I38" s="2">
        <v>21</v>
      </c>
      <c r="J38" s="2" t="s">
        <v>33</v>
      </c>
      <c r="K38" s="2" t="s">
        <v>107</v>
      </c>
      <c r="L38" s="2" t="s">
        <v>48</v>
      </c>
      <c r="M38" s="2" t="s">
        <v>61</v>
      </c>
      <c r="N38" s="2" t="s">
        <v>118</v>
      </c>
      <c r="O38" s="2" t="s">
        <v>217</v>
      </c>
      <c r="P38" s="2">
        <v>475</v>
      </c>
      <c r="Q38" s="2" t="s">
        <v>50</v>
      </c>
      <c r="R38" s="2" t="s">
        <v>111</v>
      </c>
      <c r="S38" s="2">
        <v>140474</v>
      </c>
      <c r="T38" s="2">
        <v>114196</v>
      </c>
      <c r="U38" s="2">
        <v>26278</v>
      </c>
      <c r="V38" s="2">
        <v>132064</v>
      </c>
      <c r="W38" s="2">
        <v>4978</v>
      </c>
      <c r="X38" s="2">
        <v>972</v>
      </c>
      <c r="Y38" s="2" t="s">
        <v>41</v>
      </c>
      <c r="Z38" s="2">
        <v>40</v>
      </c>
      <c r="AA38" s="2">
        <v>3.7</v>
      </c>
      <c r="AB38" s="2" t="s">
        <v>104</v>
      </c>
    </row>
    <row r="39" spans="1:28" x14ac:dyDescent="0.25">
      <c r="A39" s="4" t="s">
        <v>218</v>
      </c>
      <c r="B39" s="4" t="s">
        <v>219</v>
      </c>
      <c r="C39" s="4">
        <v>64</v>
      </c>
      <c r="D39" s="4" t="s">
        <v>55</v>
      </c>
      <c r="E39" s="4" t="s">
        <v>154</v>
      </c>
      <c r="F39" s="4" t="s">
        <v>150</v>
      </c>
      <c r="G39" s="5">
        <v>45159</v>
      </c>
      <c r="H39" s="5">
        <v>45176</v>
      </c>
      <c r="I39" s="4">
        <v>17</v>
      </c>
      <c r="J39" s="4" t="s">
        <v>140</v>
      </c>
      <c r="K39" s="4" t="s">
        <v>167</v>
      </c>
      <c r="L39" s="4" t="s">
        <v>142</v>
      </c>
      <c r="M39" s="4" t="s">
        <v>83</v>
      </c>
      <c r="N39" s="4" t="s">
        <v>37</v>
      </c>
      <c r="O39" s="4" t="s">
        <v>102</v>
      </c>
      <c r="P39" s="4">
        <v>283</v>
      </c>
      <c r="Q39" s="4" t="s">
        <v>39</v>
      </c>
      <c r="R39" s="4" t="s">
        <v>111</v>
      </c>
      <c r="S39" s="4">
        <v>86052</v>
      </c>
      <c r="T39" s="4">
        <v>73937</v>
      </c>
      <c r="U39" s="4">
        <v>12115</v>
      </c>
      <c r="V39" s="4">
        <v>54967</v>
      </c>
      <c r="W39" s="4">
        <v>20640</v>
      </c>
      <c r="X39" s="4">
        <v>8827</v>
      </c>
      <c r="Y39" s="4" t="s">
        <v>41</v>
      </c>
      <c r="Z39" s="4">
        <v>90</v>
      </c>
      <c r="AA39" s="4">
        <v>4.5999999999999996</v>
      </c>
      <c r="AB39" s="4" t="s">
        <v>52</v>
      </c>
    </row>
    <row r="40" spans="1:28" x14ac:dyDescent="0.25">
      <c r="A40" s="2" t="s">
        <v>220</v>
      </c>
      <c r="B40" s="2" t="s">
        <v>221</v>
      </c>
      <c r="C40" s="2">
        <v>39</v>
      </c>
      <c r="D40" s="2" t="s">
        <v>55</v>
      </c>
      <c r="E40" s="2" t="s">
        <v>79</v>
      </c>
      <c r="F40" s="2" t="s">
        <v>46</v>
      </c>
      <c r="G40" s="3">
        <v>45564</v>
      </c>
      <c r="H40" s="3">
        <v>45592</v>
      </c>
      <c r="I40" s="2">
        <v>28</v>
      </c>
      <c r="J40" s="2" t="s">
        <v>140</v>
      </c>
      <c r="K40" s="2" t="s">
        <v>141</v>
      </c>
      <c r="L40" s="2" t="s">
        <v>142</v>
      </c>
      <c r="M40" s="2" t="s">
        <v>75</v>
      </c>
      <c r="N40" s="2" t="s">
        <v>37</v>
      </c>
      <c r="O40" s="2" t="s">
        <v>222</v>
      </c>
      <c r="P40" s="2">
        <v>283</v>
      </c>
      <c r="Q40" s="2" t="s">
        <v>103</v>
      </c>
      <c r="R40" s="2" t="s">
        <v>111</v>
      </c>
      <c r="S40" s="2">
        <v>124893</v>
      </c>
      <c r="T40" s="2">
        <v>96360</v>
      </c>
      <c r="U40" s="2">
        <v>28533</v>
      </c>
      <c r="V40" s="2">
        <v>89352</v>
      </c>
      <c r="W40" s="2">
        <v>29495</v>
      </c>
      <c r="X40" s="2">
        <v>3590</v>
      </c>
      <c r="Y40" s="2" t="s">
        <v>41</v>
      </c>
      <c r="Z40" s="2">
        <v>89</v>
      </c>
      <c r="AA40" s="2">
        <v>3.2</v>
      </c>
      <c r="AB40" s="2" t="s">
        <v>52</v>
      </c>
    </row>
    <row r="41" spans="1:28" x14ac:dyDescent="0.25">
      <c r="A41" s="4" t="s">
        <v>223</v>
      </c>
      <c r="B41" s="4" t="s">
        <v>224</v>
      </c>
      <c r="C41" s="4">
        <v>53</v>
      </c>
      <c r="D41" s="4" t="s">
        <v>30</v>
      </c>
      <c r="E41" s="4" t="s">
        <v>154</v>
      </c>
      <c r="F41" s="4" t="s">
        <v>150</v>
      </c>
      <c r="G41" s="5">
        <v>44637</v>
      </c>
      <c r="H41" s="5">
        <v>44642</v>
      </c>
      <c r="I41" s="4">
        <v>5</v>
      </c>
      <c r="J41" s="4" t="s">
        <v>202</v>
      </c>
      <c r="K41" s="4" t="s">
        <v>225</v>
      </c>
      <c r="L41" s="4" t="s">
        <v>226</v>
      </c>
      <c r="M41" s="4" t="s">
        <v>95</v>
      </c>
      <c r="N41" s="4" t="s">
        <v>62</v>
      </c>
      <c r="O41" s="4" t="s">
        <v>227</v>
      </c>
      <c r="P41" s="4">
        <v>270</v>
      </c>
      <c r="Q41" s="4" t="s">
        <v>103</v>
      </c>
      <c r="R41" s="4" t="s">
        <v>90</v>
      </c>
      <c r="S41" s="4">
        <v>73756</v>
      </c>
      <c r="T41" s="4">
        <v>45909</v>
      </c>
      <c r="U41" s="4">
        <v>27847</v>
      </c>
      <c r="V41" s="4">
        <v>42789</v>
      </c>
      <c r="W41" s="4">
        <v>14434</v>
      </c>
      <c r="X41" s="4">
        <v>14769</v>
      </c>
      <c r="Y41" s="4" t="s">
        <v>41</v>
      </c>
      <c r="Z41" s="4">
        <v>56</v>
      </c>
      <c r="AA41" s="4">
        <v>3</v>
      </c>
      <c r="AB41" s="4" t="s">
        <v>137</v>
      </c>
    </row>
    <row r="42" spans="1:28" x14ac:dyDescent="0.25">
      <c r="A42" s="2" t="s">
        <v>228</v>
      </c>
      <c r="B42" s="2" t="s">
        <v>229</v>
      </c>
      <c r="C42" s="2">
        <v>47</v>
      </c>
      <c r="D42" s="2" t="s">
        <v>30</v>
      </c>
      <c r="E42" s="2" t="s">
        <v>45</v>
      </c>
      <c r="F42" s="2" t="s">
        <v>150</v>
      </c>
      <c r="G42" s="3">
        <v>44635</v>
      </c>
      <c r="H42" s="3">
        <v>44655</v>
      </c>
      <c r="I42" s="2">
        <v>20</v>
      </c>
      <c r="J42" s="2" t="s">
        <v>202</v>
      </c>
      <c r="K42" s="2" t="s">
        <v>203</v>
      </c>
      <c r="L42" s="2" t="s">
        <v>204</v>
      </c>
      <c r="M42" s="2" t="s">
        <v>134</v>
      </c>
      <c r="N42" s="2" t="s">
        <v>109</v>
      </c>
      <c r="O42" s="2" t="s">
        <v>230</v>
      </c>
      <c r="P42" s="2">
        <v>51</v>
      </c>
      <c r="Q42" s="2" t="s">
        <v>69</v>
      </c>
      <c r="R42" s="2" t="s">
        <v>111</v>
      </c>
      <c r="S42" s="2">
        <v>78495</v>
      </c>
      <c r="T42" s="2">
        <v>48180</v>
      </c>
      <c r="U42" s="2">
        <v>30315</v>
      </c>
      <c r="V42" s="2">
        <v>48611</v>
      </c>
      <c r="W42" s="2">
        <v>23741</v>
      </c>
      <c r="X42" s="2">
        <v>5406</v>
      </c>
      <c r="Y42" s="2" t="s">
        <v>41</v>
      </c>
      <c r="Z42" s="2">
        <v>58</v>
      </c>
      <c r="AA42" s="2">
        <v>3.1</v>
      </c>
      <c r="AB42" s="2" t="s">
        <v>137</v>
      </c>
    </row>
    <row r="43" spans="1:28" x14ac:dyDescent="0.25">
      <c r="A43" s="4" t="s">
        <v>231</v>
      </c>
      <c r="B43" s="4" t="s">
        <v>232</v>
      </c>
      <c r="C43" s="4">
        <v>72</v>
      </c>
      <c r="D43" s="4" t="s">
        <v>30</v>
      </c>
      <c r="E43" s="4" t="s">
        <v>154</v>
      </c>
      <c r="F43" s="4" t="s">
        <v>129</v>
      </c>
      <c r="G43" s="5">
        <v>44920</v>
      </c>
      <c r="H43" s="5">
        <v>44923</v>
      </c>
      <c r="I43" s="4">
        <v>3</v>
      </c>
      <c r="J43" s="4" t="s">
        <v>33</v>
      </c>
      <c r="K43" s="4" t="s">
        <v>233</v>
      </c>
      <c r="L43" s="4" t="s">
        <v>35</v>
      </c>
      <c r="M43" s="4" t="s">
        <v>101</v>
      </c>
      <c r="N43" s="4" t="s">
        <v>109</v>
      </c>
      <c r="O43" s="4" t="s">
        <v>234</v>
      </c>
      <c r="P43" s="4">
        <v>74</v>
      </c>
      <c r="Q43" s="4" t="s">
        <v>39</v>
      </c>
      <c r="R43" s="4" t="s">
        <v>111</v>
      </c>
      <c r="S43" s="4">
        <v>92896</v>
      </c>
      <c r="T43" s="4">
        <v>80789</v>
      </c>
      <c r="U43" s="4">
        <v>12107</v>
      </c>
      <c r="V43" s="4">
        <v>71578</v>
      </c>
      <c r="W43" s="4">
        <v>16059</v>
      </c>
      <c r="X43" s="4">
        <v>4683</v>
      </c>
      <c r="Y43" s="4" t="s">
        <v>41</v>
      </c>
      <c r="Z43" s="4">
        <v>58</v>
      </c>
      <c r="AA43" s="4">
        <v>4</v>
      </c>
      <c r="AB43" s="4" t="s">
        <v>64</v>
      </c>
    </row>
    <row r="44" spans="1:28" x14ac:dyDescent="0.25">
      <c r="A44" s="2" t="s">
        <v>235</v>
      </c>
      <c r="B44" s="2" t="s">
        <v>236</v>
      </c>
      <c r="C44" s="2">
        <v>49</v>
      </c>
      <c r="D44" s="2" t="s">
        <v>30</v>
      </c>
      <c r="E44" s="2" t="s">
        <v>67</v>
      </c>
      <c r="F44" s="2" t="s">
        <v>46</v>
      </c>
      <c r="G44" s="3">
        <v>45497</v>
      </c>
      <c r="H44" s="3">
        <v>45525</v>
      </c>
      <c r="I44" s="2">
        <v>28</v>
      </c>
      <c r="J44" s="2" t="s">
        <v>58</v>
      </c>
      <c r="K44" s="2" t="s">
        <v>59</v>
      </c>
      <c r="L44" s="2" t="s">
        <v>60</v>
      </c>
      <c r="M44" s="2" t="s">
        <v>108</v>
      </c>
      <c r="N44" s="2" t="s">
        <v>37</v>
      </c>
      <c r="O44" s="2" t="s">
        <v>199</v>
      </c>
      <c r="P44" s="2">
        <v>196</v>
      </c>
      <c r="Q44" s="2" t="s">
        <v>50</v>
      </c>
      <c r="R44" s="2" t="s">
        <v>51</v>
      </c>
      <c r="S44" s="2">
        <v>112490</v>
      </c>
      <c r="T44" s="2">
        <v>77999</v>
      </c>
      <c r="U44" s="2">
        <v>34491</v>
      </c>
      <c r="V44" s="2">
        <v>82561</v>
      </c>
      <c r="W44" s="2">
        <v>23913</v>
      </c>
      <c r="X44" s="2">
        <v>5337</v>
      </c>
      <c r="Y44" s="2" t="s">
        <v>41</v>
      </c>
      <c r="Z44" s="2">
        <v>57</v>
      </c>
      <c r="AA44" s="2">
        <v>2</v>
      </c>
      <c r="AB44" s="2" t="s">
        <v>104</v>
      </c>
    </row>
    <row r="45" spans="1:28" x14ac:dyDescent="0.25">
      <c r="A45" s="4" t="s">
        <v>237</v>
      </c>
      <c r="B45" s="4" t="s">
        <v>238</v>
      </c>
      <c r="C45" s="4">
        <v>68</v>
      </c>
      <c r="D45" s="4" t="s">
        <v>30</v>
      </c>
      <c r="E45" s="4" t="s">
        <v>31</v>
      </c>
      <c r="F45" s="4" t="s">
        <v>72</v>
      </c>
      <c r="G45" s="5">
        <v>45283</v>
      </c>
      <c r="H45" s="5">
        <v>45291</v>
      </c>
      <c r="I45" s="4">
        <v>8</v>
      </c>
      <c r="J45" s="4" t="s">
        <v>115</v>
      </c>
      <c r="K45" s="4" t="s">
        <v>160</v>
      </c>
      <c r="L45" s="4" t="s">
        <v>117</v>
      </c>
      <c r="M45" s="4" t="s">
        <v>134</v>
      </c>
      <c r="N45" s="4" t="s">
        <v>109</v>
      </c>
      <c r="O45" s="4" t="s">
        <v>76</v>
      </c>
      <c r="P45" s="4">
        <v>159</v>
      </c>
      <c r="Q45" s="4" t="s">
        <v>103</v>
      </c>
      <c r="R45" s="4" t="s">
        <v>90</v>
      </c>
      <c r="S45" s="4">
        <v>129534</v>
      </c>
      <c r="T45" s="4">
        <v>113069</v>
      </c>
      <c r="U45" s="4">
        <v>16465</v>
      </c>
      <c r="V45" s="4">
        <v>100646</v>
      </c>
      <c r="W45" s="4">
        <v>24997</v>
      </c>
      <c r="X45" s="4">
        <v>2653</v>
      </c>
      <c r="Y45" s="4" t="s">
        <v>41</v>
      </c>
      <c r="Z45" s="4">
        <v>66</v>
      </c>
      <c r="AA45" s="4">
        <v>2.5</v>
      </c>
      <c r="AB45" s="4" t="s">
        <v>64</v>
      </c>
    </row>
    <row r="46" spans="1:28" x14ac:dyDescent="0.25">
      <c r="A46" s="2" t="s">
        <v>239</v>
      </c>
      <c r="B46" s="2" t="s">
        <v>240</v>
      </c>
      <c r="C46" s="2">
        <v>51</v>
      </c>
      <c r="D46" s="2" t="s">
        <v>30</v>
      </c>
      <c r="E46" s="2" t="s">
        <v>154</v>
      </c>
      <c r="F46" s="2" t="s">
        <v>46</v>
      </c>
      <c r="G46" s="3">
        <v>45548</v>
      </c>
      <c r="H46" s="3">
        <v>45574</v>
      </c>
      <c r="I46" s="2">
        <v>26</v>
      </c>
      <c r="J46" s="2" t="s">
        <v>58</v>
      </c>
      <c r="K46" s="2" t="s">
        <v>59</v>
      </c>
      <c r="L46" s="2" t="s">
        <v>60</v>
      </c>
      <c r="M46" s="2" t="s">
        <v>36</v>
      </c>
      <c r="N46" s="2" t="s">
        <v>37</v>
      </c>
      <c r="O46" s="2" t="s">
        <v>241</v>
      </c>
      <c r="P46" s="2">
        <v>387</v>
      </c>
      <c r="Q46" s="2" t="s">
        <v>39</v>
      </c>
      <c r="R46" s="2" t="s">
        <v>111</v>
      </c>
      <c r="S46" s="2">
        <v>122030</v>
      </c>
      <c r="T46" s="2">
        <v>73728</v>
      </c>
      <c r="U46" s="2">
        <v>48302</v>
      </c>
      <c r="V46" s="2">
        <v>100885</v>
      </c>
      <c r="W46" s="2">
        <v>3959</v>
      </c>
      <c r="X46" s="2">
        <v>13454</v>
      </c>
      <c r="Y46" s="2" t="s">
        <v>41</v>
      </c>
      <c r="Z46" s="2">
        <v>69</v>
      </c>
      <c r="AA46" s="2">
        <v>3.1</v>
      </c>
      <c r="AB46" s="2" t="s">
        <v>52</v>
      </c>
    </row>
    <row r="47" spans="1:28" x14ac:dyDescent="0.25">
      <c r="A47" s="4" t="s">
        <v>242</v>
      </c>
      <c r="B47" s="4" t="s">
        <v>243</v>
      </c>
      <c r="C47" s="4">
        <v>52</v>
      </c>
      <c r="D47" s="4" t="s">
        <v>55</v>
      </c>
      <c r="E47" s="4" t="s">
        <v>31</v>
      </c>
      <c r="F47" s="4" t="s">
        <v>150</v>
      </c>
      <c r="G47" s="5">
        <v>44613</v>
      </c>
      <c r="H47" s="5">
        <v>44633</v>
      </c>
      <c r="I47" s="4">
        <v>20</v>
      </c>
      <c r="J47" s="4" t="s">
        <v>33</v>
      </c>
      <c r="K47" s="4" t="s">
        <v>99</v>
      </c>
      <c r="L47" s="4" t="s">
        <v>100</v>
      </c>
      <c r="M47" s="4" t="s">
        <v>101</v>
      </c>
      <c r="N47" s="4" t="s">
        <v>109</v>
      </c>
      <c r="O47" s="4" t="s">
        <v>178</v>
      </c>
      <c r="P47" s="4">
        <v>466</v>
      </c>
      <c r="Q47" s="4" t="s">
        <v>50</v>
      </c>
      <c r="R47" s="4" t="s">
        <v>111</v>
      </c>
      <c r="S47" s="4">
        <v>43211</v>
      </c>
      <c r="T47" s="4">
        <v>29872</v>
      </c>
      <c r="U47" s="4">
        <v>13339</v>
      </c>
      <c r="V47" s="4">
        <v>35585</v>
      </c>
      <c r="W47" s="4">
        <v>5580</v>
      </c>
      <c r="X47" s="4">
        <v>1242</v>
      </c>
      <c r="Y47" s="4" t="s">
        <v>41</v>
      </c>
      <c r="Z47" s="4">
        <v>46</v>
      </c>
      <c r="AA47" s="4">
        <v>2.7</v>
      </c>
      <c r="AB47" s="4" t="s">
        <v>42</v>
      </c>
    </row>
    <row r="48" spans="1:28" x14ac:dyDescent="0.25">
      <c r="A48" s="2" t="s">
        <v>244</v>
      </c>
      <c r="B48" s="2" t="s">
        <v>245</v>
      </c>
      <c r="C48" s="2">
        <v>63</v>
      </c>
      <c r="D48" s="2" t="s">
        <v>30</v>
      </c>
      <c r="E48" s="2" t="s">
        <v>67</v>
      </c>
      <c r="F48" s="2" t="s">
        <v>72</v>
      </c>
      <c r="G48" s="3">
        <v>44878</v>
      </c>
      <c r="H48" s="3">
        <v>44907</v>
      </c>
      <c r="I48" s="2">
        <v>29</v>
      </c>
      <c r="J48" s="2" t="s">
        <v>33</v>
      </c>
      <c r="K48" s="2" t="s">
        <v>81</v>
      </c>
      <c r="L48" s="2" t="s">
        <v>82</v>
      </c>
      <c r="M48" s="2" t="s">
        <v>83</v>
      </c>
      <c r="N48" s="2" t="s">
        <v>37</v>
      </c>
      <c r="O48" s="2" t="s">
        <v>246</v>
      </c>
      <c r="P48" s="2">
        <v>354</v>
      </c>
      <c r="Q48" s="2" t="s">
        <v>50</v>
      </c>
      <c r="R48" s="2" t="s">
        <v>40</v>
      </c>
      <c r="S48" s="2">
        <v>144640</v>
      </c>
      <c r="T48" s="2">
        <v>62167</v>
      </c>
      <c r="U48" s="2">
        <v>82473</v>
      </c>
      <c r="V48" s="2">
        <v>121230</v>
      </c>
      <c r="W48" s="2">
        <v>15571</v>
      </c>
      <c r="X48" s="2">
        <v>4368</v>
      </c>
      <c r="Y48" s="2" t="s">
        <v>41</v>
      </c>
      <c r="Z48" s="2">
        <v>74</v>
      </c>
      <c r="AA48" s="2">
        <v>4.7</v>
      </c>
      <c r="AB48" s="2" t="s">
        <v>52</v>
      </c>
    </row>
    <row r="49" spans="1:28" x14ac:dyDescent="0.25">
      <c r="A49" s="4" t="s">
        <v>247</v>
      </c>
      <c r="B49" s="4" t="s">
        <v>106</v>
      </c>
      <c r="C49" s="4">
        <v>40</v>
      </c>
      <c r="D49" s="4" t="s">
        <v>55</v>
      </c>
      <c r="E49" s="4" t="s">
        <v>56</v>
      </c>
      <c r="F49" s="4" t="s">
        <v>150</v>
      </c>
      <c r="G49" s="5">
        <v>44749</v>
      </c>
      <c r="H49" s="5">
        <v>44771</v>
      </c>
      <c r="I49" s="4">
        <v>22</v>
      </c>
      <c r="J49" s="4" t="s">
        <v>115</v>
      </c>
      <c r="K49" s="4" t="s">
        <v>160</v>
      </c>
      <c r="L49" s="4" t="s">
        <v>117</v>
      </c>
      <c r="M49" s="4" t="s">
        <v>130</v>
      </c>
      <c r="N49" s="4" t="s">
        <v>62</v>
      </c>
      <c r="O49" s="4" t="s">
        <v>248</v>
      </c>
      <c r="P49" s="4">
        <v>65</v>
      </c>
      <c r="Q49" s="4" t="s">
        <v>39</v>
      </c>
      <c r="R49" s="4" t="s">
        <v>90</v>
      </c>
      <c r="S49" s="4">
        <v>85965</v>
      </c>
      <c r="T49" s="4">
        <v>60052</v>
      </c>
      <c r="U49" s="4">
        <v>25913</v>
      </c>
      <c r="V49" s="4">
        <v>59305</v>
      </c>
      <c r="W49" s="4">
        <v>20214</v>
      </c>
      <c r="X49" s="4">
        <v>4038</v>
      </c>
      <c r="Y49" s="4" t="s">
        <v>91</v>
      </c>
      <c r="Z49" s="4">
        <v>97</v>
      </c>
      <c r="AA49" s="4">
        <v>3.8</v>
      </c>
      <c r="AB49" s="4" t="s">
        <v>52</v>
      </c>
    </row>
    <row r="50" spans="1:28" x14ac:dyDescent="0.25">
      <c r="A50" s="2" t="s">
        <v>249</v>
      </c>
      <c r="B50" s="2" t="s">
        <v>250</v>
      </c>
      <c r="C50" s="2">
        <v>21</v>
      </c>
      <c r="D50" s="2" t="s">
        <v>30</v>
      </c>
      <c r="E50" s="2" t="s">
        <v>154</v>
      </c>
      <c r="F50" s="2" t="s">
        <v>157</v>
      </c>
      <c r="G50" s="3">
        <v>44614</v>
      </c>
      <c r="H50" s="3">
        <v>44619</v>
      </c>
      <c r="I50" s="2">
        <v>5</v>
      </c>
      <c r="J50" s="2" t="s">
        <v>123</v>
      </c>
      <c r="K50" s="2" t="s">
        <v>251</v>
      </c>
      <c r="L50" s="2" t="s">
        <v>125</v>
      </c>
      <c r="M50" s="2" t="s">
        <v>61</v>
      </c>
      <c r="N50" s="2" t="s">
        <v>118</v>
      </c>
      <c r="O50" s="2" t="s">
        <v>208</v>
      </c>
      <c r="P50" s="2">
        <v>136</v>
      </c>
      <c r="Q50" s="2" t="s">
        <v>69</v>
      </c>
      <c r="R50" s="2" t="s">
        <v>40</v>
      </c>
      <c r="S50" s="2">
        <v>136972</v>
      </c>
      <c r="T50" s="2">
        <v>74359</v>
      </c>
      <c r="U50" s="2">
        <v>62613</v>
      </c>
      <c r="V50" s="2">
        <v>115352</v>
      </c>
      <c r="W50" s="2">
        <v>18238</v>
      </c>
      <c r="X50" s="2">
        <v>2362</v>
      </c>
      <c r="Y50" s="2" t="s">
        <v>41</v>
      </c>
      <c r="Z50" s="2">
        <v>72</v>
      </c>
      <c r="AA50" s="2">
        <v>3.8</v>
      </c>
      <c r="AB50" s="2" t="s">
        <v>137</v>
      </c>
    </row>
    <row r="51" spans="1:28" x14ac:dyDescent="0.25">
      <c r="A51" s="4" t="s">
        <v>252</v>
      </c>
      <c r="B51" s="4" t="s">
        <v>253</v>
      </c>
      <c r="C51" s="4">
        <v>83</v>
      </c>
      <c r="D51" s="4" t="s">
        <v>55</v>
      </c>
      <c r="E51" s="4" t="s">
        <v>79</v>
      </c>
      <c r="F51" s="4" t="s">
        <v>150</v>
      </c>
      <c r="G51" s="5">
        <v>44625</v>
      </c>
      <c r="H51" s="5">
        <v>44627</v>
      </c>
      <c r="I51" s="4">
        <v>2</v>
      </c>
      <c r="J51" s="4" t="s">
        <v>33</v>
      </c>
      <c r="K51" s="4" t="s">
        <v>174</v>
      </c>
      <c r="L51" s="4" t="s">
        <v>48</v>
      </c>
      <c r="M51" s="4" t="s">
        <v>108</v>
      </c>
      <c r="N51" s="4" t="s">
        <v>62</v>
      </c>
      <c r="O51" s="4" t="s">
        <v>189</v>
      </c>
      <c r="P51" s="4">
        <v>38</v>
      </c>
      <c r="Q51" s="4" t="s">
        <v>69</v>
      </c>
      <c r="R51" s="4" t="s">
        <v>136</v>
      </c>
      <c r="S51" s="4">
        <v>52355</v>
      </c>
      <c r="T51" s="4">
        <v>0</v>
      </c>
      <c r="U51" s="4">
        <v>52355</v>
      </c>
      <c r="V51" s="4">
        <v>43884</v>
      </c>
      <c r="W51" s="4">
        <v>3152</v>
      </c>
      <c r="X51" s="4">
        <v>2567</v>
      </c>
      <c r="Y51" s="4" t="s">
        <v>41</v>
      </c>
      <c r="Z51" s="4">
        <v>77</v>
      </c>
      <c r="AA51" s="4">
        <v>3.6</v>
      </c>
      <c r="AB51" s="4" t="s">
        <v>52</v>
      </c>
    </row>
    <row r="52" spans="1:28" x14ac:dyDescent="0.25">
      <c r="A52" s="2" t="s">
        <v>254</v>
      </c>
      <c r="B52" s="2" t="s">
        <v>255</v>
      </c>
      <c r="C52" s="2">
        <v>72</v>
      </c>
      <c r="D52" s="2" t="s">
        <v>30</v>
      </c>
      <c r="E52" s="2" t="s">
        <v>87</v>
      </c>
      <c r="F52" s="2" t="s">
        <v>94</v>
      </c>
      <c r="G52" s="3">
        <v>45443</v>
      </c>
      <c r="H52" s="3">
        <v>45447</v>
      </c>
      <c r="I52" s="2">
        <v>4</v>
      </c>
      <c r="J52" s="2" t="s">
        <v>33</v>
      </c>
      <c r="K52" s="2" t="s">
        <v>34</v>
      </c>
      <c r="L52" s="2" t="s">
        <v>35</v>
      </c>
      <c r="M52" s="2" t="s">
        <v>61</v>
      </c>
      <c r="N52" s="2" t="s">
        <v>37</v>
      </c>
      <c r="O52" s="2" t="s">
        <v>256</v>
      </c>
      <c r="P52" s="2">
        <v>212</v>
      </c>
      <c r="Q52" s="2" t="s">
        <v>50</v>
      </c>
      <c r="R52" s="2" t="s">
        <v>111</v>
      </c>
      <c r="S52" s="2">
        <v>137886</v>
      </c>
      <c r="T52" s="2">
        <v>95660</v>
      </c>
      <c r="U52" s="2">
        <v>42226</v>
      </c>
      <c r="V52" s="2">
        <v>109524</v>
      </c>
      <c r="W52" s="2">
        <v>14631</v>
      </c>
      <c r="X52" s="2">
        <v>12453</v>
      </c>
      <c r="Y52" s="2" t="s">
        <v>41</v>
      </c>
      <c r="Z52" s="2">
        <v>56</v>
      </c>
      <c r="AA52" s="2">
        <v>3.1</v>
      </c>
      <c r="AB52" s="2" t="s">
        <v>64</v>
      </c>
    </row>
    <row r="53" spans="1:28" x14ac:dyDescent="0.25">
      <c r="A53" s="4" t="s">
        <v>257</v>
      </c>
      <c r="B53" s="4" t="s">
        <v>258</v>
      </c>
      <c r="C53" s="4">
        <v>13</v>
      </c>
      <c r="D53" s="4" t="s">
        <v>55</v>
      </c>
      <c r="E53" s="4" t="s">
        <v>56</v>
      </c>
      <c r="F53" s="4" t="s">
        <v>157</v>
      </c>
      <c r="G53" s="5">
        <v>45446</v>
      </c>
      <c r="H53" s="5">
        <v>45450</v>
      </c>
      <c r="I53" s="4">
        <v>4</v>
      </c>
      <c r="J53" s="4" t="s">
        <v>58</v>
      </c>
      <c r="K53" s="4" t="s">
        <v>88</v>
      </c>
      <c r="L53" s="4" t="s">
        <v>60</v>
      </c>
      <c r="M53" s="4" t="s">
        <v>75</v>
      </c>
      <c r="N53" s="4" t="s">
        <v>62</v>
      </c>
      <c r="O53" s="4" t="s">
        <v>259</v>
      </c>
      <c r="P53" s="4">
        <v>288</v>
      </c>
      <c r="Q53" s="4" t="s">
        <v>50</v>
      </c>
      <c r="R53" s="4" t="s">
        <v>90</v>
      </c>
      <c r="S53" s="4">
        <v>144054</v>
      </c>
      <c r="T53" s="4">
        <v>123948</v>
      </c>
      <c r="U53" s="4">
        <v>20106</v>
      </c>
      <c r="V53" s="4">
        <v>112691</v>
      </c>
      <c r="W53" s="4">
        <v>12586</v>
      </c>
      <c r="X53" s="4">
        <v>14813</v>
      </c>
      <c r="Y53" s="4" t="s">
        <v>41</v>
      </c>
      <c r="Z53" s="4">
        <v>58</v>
      </c>
      <c r="AA53" s="4">
        <v>3.8</v>
      </c>
      <c r="AB53" s="4" t="s">
        <v>52</v>
      </c>
    </row>
    <row r="54" spans="1:28" x14ac:dyDescent="0.25">
      <c r="A54" s="2" t="s">
        <v>260</v>
      </c>
      <c r="B54" s="2" t="s">
        <v>261</v>
      </c>
      <c r="C54" s="2">
        <v>69</v>
      </c>
      <c r="D54" s="2" t="s">
        <v>55</v>
      </c>
      <c r="E54" s="2" t="s">
        <v>154</v>
      </c>
      <c r="F54" s="2" t="s">
        <v>150</v>
      </c>
      <c r="G54" s="3">
        <v>45021</v>
      </c>
      <c r="H54" s="3">
        <v>45049</v>
      </c>
      <c r="I54" s="2">
        <v>28</v>
      </c>
      <c r="J54" s="2" t="s">
        <v>33</v>
      </c>
      <c r="K54" s="2" t="s">
        <v>34</v>
      </c>
      <c r="L54" s="2" t="s">
        <v>35</v>
      </c>
      <c r="M54" s="2" t="s">
        <v>75</v>
      </c>
      <c r="N54" s="2" t="s">
        <v>118</v>
      </c>
      <c r="O54" s="2" t="s">
        <v>161</v>
      </c>
      <c r="P54" s="2">
        <v>294</v>
      </c>
      <c r="Q54" s="2" t="s">
        <v>39</v>
      </c>
      <c r="R54" s="2" t="s">
        <v>111</v>
      </c>
      <c r="S54" s="2">
        <v>46804</v>
      </c>
      <c r="T54" s="2">
        <v>28489</v>
      </c>
      <c r="U54" s="2">
        <v>18315</v>
      </c>
      <c r="V54" s="2">
        <v>11882</v>
      </c>
      <c r="W54" s="2">
        <v>20955</v>
      </c>
      <c r="X54" s="2">
        <v>11277</v>
      </c>
      <c r="Y54" s="2" t="s">
        <v>41</v>
      </c>
      <c r="Z54" s="2">
        <v>88</v>
      </c>
      <c r="AA54" s="2">
        <v>2.9</v>
      </c>
      <c r="AB54" s="2" t="s">
        <v>52</v>
      </c>
    </row>
    <row r="55" spans="1:28" x14ac:dyDescent="0.25">
      <c r="A55" s="4" t="s">
        <v>262</v>
      </c>
      <c r="B55" s="4" t="s">
        <v>263</v>
      </c>
      <c r="C55" s="4">
        <v>28</v>
      </c>
      <c r="D55" s="4" t="s">
        <v>55</v>
      </c>
      <c r="E55" s="4" t="s">
        <v>67</v>
      </c>
      <c r="F55" s="4" t="s">
        <v>157</v>
      </c>
      <c r="G55" s="5">
        <v>44852</v>
      </c>
      <c r="H55" s="5">
        <v>44876</v>
      </c>
      <c r="I55" s="4">
        <v>24</v>
      </c>
      <c r="J55" s="4" t="s">
        <v>123</v>
      </c>
      <c r="K55" s="4" t="s">
        <v>251</v>
      </c>
      <c r="L55" s="4" t="s">
        <v>125</v>
      </c>
      <c r="M55" s="4" t="s">
        <v>75</v>
      </c>
      <c r="N55" s="4" t="s">
        <v>109</v>
      </c>
      <c r="O55" s="4" t="s">
        <v>171</v>
      </c>
      <c r="P55" s="4">
        <v>233</v>
      </c>
      <c r="Q55" s="4" t="s">
        <v>50</v>
      </c>
      <c r="R55" s="4" t="s">
        <v>40</v>
      </c>
      <c r="S55" s="4">
        <v>128697</v>
      </c>
      <c r="T55" s="4">
        <v>81472</v>
      </c>
      <c r="U55" s="4">
        <v>47225</v>
      </c>
      <c r="V55" s="4">
        <v>102007</v>
      </c>
      <c r="W55" s="4">
        <v>11211</v>
      </c>
      <c r="X55" s="4">
        <v>12322</v>
      </c>
      <c r="Y55" s="4" t="s">
        <v>41</v>
      </c>
      <c r="Z55" s="4">
        <v>45</v>
      </c>
      <c r="AA55" s="4">
        <v>4.7</v>
      </c>
      <c r="AB55" s="4" t="s">
        <v>64</v>
      </c>
    </row>
    <row r="56" spans="1:28" x14ac:dyDescent="0.25">
      <c r="A56" s="2" t="s">
        <v>264</v>
      </c>
      <c r="B56" s="2" t="s">
        <v>265</v>
      </c>
      <c r="C56" s="2">
        <v>11</v>
      </c>
      <c r="D56" s="2" t="s">
        <v>55</v>
      </c>
      <c r="E56" s="2" t="s">
        <v>79</v>
      </c>
      <c r="F56" s="2" t="s">
        <v>150</v>
      </c>
      <c r="G56" s="3">
        <v>45430</v>
      </c>
      <c r="H56" s="3">
        <v>45446</v>
      </c>
      <c r="I56" s="2">
        <v>16</v>
      </c>
      <c r="J56" s="2" t="s">
        <v>33</v>
      </c>
      <c r="K56" s="2" t="s">
        <v>233</v>
      </c>
      <c r="L56" s="2" t="s">
        <v>35</v>
      </c>
      <c r="M56" s="2" t="s">
        <v>108</v>
      </c>
      <c r="N56" s="2" t="s">
        <v>118</v>
      </c>
      <c r="O56" s="2" t="s">
        <v>266</v>
      </c>
      <c r="P56" s="2">
        <v>59</v>
      </c>
      <c r="Q56" s="2" t="s">
        <v>50</v>
      </c>
      <c r="R56" s="2" t="s">
        <v>111</v>
      </c>
      <c r="S56" s="2">
        <v>60447</v>
      </c>
      <c r="T56" s="2">
        <v>45824</v>
      </c>
      <c r="U56" s="2">
        <v>14623</v>
      </c>
      <c r="V56" s="2">
        <v>34069</v>
      </c>
      <c r="W56" s="2">
        <v>10281</v>
      </c>
      <c r="X56" s="2">
        <v>11611</v>
      </c>
      <c r="Y56" s="2" t="s">
        <v>41</v>
      </c>
      <c r="Z56" s="2">
        <v>54</v>
      </c>
      <c r="AA56" s="2">
        <v>3.2</v>
      </c>
      <c r="AB56" s="2" t="s">
        <v>42</v>
      </c>
    </row>
    <row r="57" spans="1:28" x14ac:dyDescent="0.25">
      <c r="A57" s="4" t="s">
        <v>267</v>
      </c>
      <c r="B57" s="4" t="s">
        <v>268</v>
      </c>
      <c r="C57" s="4">
        <v>31</v>
      </c>
      <c r="D57" s="4" t="s">
        <v>30</v>
      </c>
      <c r="E57" s="4" t="s">
        <v>31</v>
      </c>
      <c r="F57" s="4" t="s">
        <v>129</v>
      </c>
      <c r="G57" s="5">
        <v>45085</v>
      </c>
      <c r="H57" s="5">
        <v>45095</v>
      </c>
      <c r="I57" s="4">
        <v>10</v>
      </c>
      <c r="J57" s="4" t="s">
        <v>33</v>
      </c>
      <c r="K57" s="4" t="s">
        <v>47</v>
      </c>
      <c r="L57" s="4" t="s">
        <v>48</v>
      </c>
      <c r="M57" s="4" t="s">
        <v>130</v>
      </c>
      <c r="N57" s="4" t="s">
        <v>37</v>
      </c>
      <c r="O57" s="4" t="s">
        <v>175</v>
      </c>
      <c r="P57" s="4">
        <v>67</v>
      </c>
      <c r="Q57" s="4" t="s">
        <v>103</v>
      </c>
      <c r="R57" s="4" t="s">
        <v>51</v>
      </c>
      <c r="S57" s="4">
        <v>95769</v>
      </c>
      <c r="T57" s="4">
        <v>40378</v>
      </c>
      <c r="U57" s="4">
        <v>55391</v>
      </c>
      <c r="V57" s="4">
        <v>65322</v>
      </c>
      <c r="W57" s="4">
        <v>17392</v>
      </c>
      <c r="X57" s="4">
        <v>9654</v>
      </c>
      <c r="Y57" s="4" t="s">
        <v>41</v>
      </c>
      <c r="Z57" s="4">
        <v>42</v>
      </c>
      <c r="AA57" s="4">
        <v>3.3</v>
      </c>
      <c r="AB57" s="4" t="s">
        <v>137</v>
      </c>
    </row>
    <row r="58" spans="1:28" x14ac:dyDescent="0.25">
      <c r="A58" s="2" t="s">
        <v>269</v>
      </c>
      <c r="B58" s="2" t="s">
        <v>270</v>
      </c>
      <c r="C58" s="2">
        <v>45</v>
      </c>
      <c r="D58" s="2" t="s">
        <v>30</v>
      </c>
      <c r="E58" s="2" t="s">
        <v>67</v>
      </c>
      <c r="F58" s="2" t="s">
        <v>114</v>
      </c>
      <c r="G58" s="3">
        <v>45154</v>
      </c>
      <c r="H58" s="3">
        <v>45158</v>
      </c>
      <c r="I58" s="2">
        <v>4</v>
      </c>
      <c r="J58" s="2" t="s">
        <v>115</v>
      </c>
      <c r="K58" s="2" t="s">
        <v>116</v>
      </c>
      <c r="L58" s="2" t="s">
        <v>117</v>
      </c>
      <c r="M58" s="2" t="s">
        <v>95</v>
      </c>
      <c r="N58" s="2" t="s">
        <v>109</v>
      </c>
      <c r="O58" s="2" t="s">
        <v>271</v>
      </c>
      <c r="P58" s="2">
        <v>426</v>
      </c>
      <c r="Q58" s="2" t="s">
        <v>50</v>
      </c>
      <c r="R58" s="2" t="s">
        <v>90</v>
      </c>
      <c r="S58" s="2">
        <v>152880</v>
      </c>
      <c r="T58" s="2">
        <v>111710</v>
      </c>
      <c r="U58" s="2">
        <v>41170</v>
      </c>
      <c r="V58" s="2">
        <v>119481</v>
      </c>
      <c r="W58" s="2">
        <v>28672</v>
      </c>
      <c r="X58" s="2">
        <v>2234</v>
      </c>
      <c r="Y58" s="2" t="s">
        <v>41</v>
      </c>
      <c r="Z58" s="2">
        <v>45</v>
      </c>
      <c r="AA58" s="2">
        <v>3.2</v>
      </c>
      <c r="AB58" s="2" t="s">
        <v>52</v>
      </c>
    </row>
    <row r="59" spans="1:28" x14ac:dyDescent="0.25">
      <c r="A59" s="4" t="s">
        <v>272</v>
      </c>
      <c r="B59" s="4" t="s">
        <v>273</v>
      </c>
      <c r="C59" s="4">
        <v>33</v>
      </c>
      <c r="D59" s="4" t="s">
        <v>30</v>
      </c>
      <c r="E59" s="4" t="s">
        <v>154</v>
      </c>
      <c r="F59" s="4" t="s">
        <v>157</v>
      </c>
      <c r="G59" s="5">
        <v>45607</v>
      </c>
      <c r="H59" s="5">
        <v>45628</v>
      </c>
      <c r="I59" s="4">
        <v>21</v>
      </c>
      <c r="J59" s="4" t="s">
        <v>33</v>
      </c>
      <c r="K59" s="4" t="s">
        <v>34</v>
      </c>
      <c r="L59" s="4" t="s">
        <v>35</v>
      </c>
      <c r="M59" s="4" t="s">
        <v>75</v>
      </c>
      <c r="N59" s="4" t="s">
        <v>109</v>
      </c>
      <c r="O59" s="4" t="s">
        <v>222</v>
      </c>
      <c r="P59" s="4">
        <v>373</v>
      </c>
      <c r="Q59" s="4" t="s">
        <v>39</v>
      </c>
      <c r="R59" s="4" t="s">
        <v>40</v>
      </c>
      <c r="S59" s="4">
        <v>44556</v>
      </c>
      <c r="T59" s="4">
        <v>20142</v>
      </c>
      <c r="U59" s="4">
        <v>24414</v>
      </c>
      <c r="V59" s="4">
        <v>31949</v>
      </c>
      <c r="W59" s="4">
        <v>5798</v>
      </c>
      <c r="X59" s="4">
        <v>4693</v>
      </c>
      <c r="Y59" s="4" t="s">
        <v>41</v>
      </c>
      <c r="Z59" s="4">
        <v>88</v>
      </c>
      <c r="AA59" s="4">
        <v>4</v>
      </c>
      <c r="AB59" s="4" t="s">
        <v>64</v>
      </c>
    </row>
    <row r="60" spans="1:28" x14ac:dyDescent="0.25">
      <c r="A60" s="2" t="s">
        <v>274</v>
      </c>
      <c r="B60" s="2" t="s">
        <v>275</v>
      </c>
      <c r="C60" s="2">
        <v>64</v>
      </c>
      <c r="D60" s="2" t="s">
        <v>30</v>
      </c>
      <c r="E60" s="2" t="s">
        <v>45</v>
      </c>
      <c r="F60" s="2" t="s">
        <v>80</v>
      </c>
      <c r="G60" s="3">
        <v>44871</v>
      </c>
      <c r="H60" s="3">
        <v>44886</v>
      </c>
      <c r="I60" s="2">
        <v>15</v>
      </c>
      <c r="J60" s="2" t="s">
        <v>202</v>
      </c>
      <c r="K60" s="2" t="s">
        <v>203</v>
      </c>
      <c r="L60" s="2" t="s">
        <v>204</v>
      </c>
      <c r="M60" s="2" t="s">
        <v>83</v>
      </c>
      <c r="N60" s="2" t="s">
        <v>118</v>
      </c>
      <c r="O60" s="2" t="s">
        <v>211</v>
      </c>
      <c r="P60" s="2">
        <v>29</v>
      </c>
      <c r="Q60" s="2" t="s">
        <v>50</v>
      </c>
      <c r="R60" s="2" t="s">
        <v>51</v>
      </c>
      <c r="S60" s="2">
        <v>47886</v>
      </c>
      <c r="T60" s="2">
        <v>19695</v>
      </c>
      <c r="U60" s="2">
        <v>28191</v>
      </c>
      <c r="V60" s="2">
        <v>24448</v>
      </c>
      <c r="W60" s="2">
        <v>11171</v>
      </c>
      <c r="X60" s="2">
        <v>8065</v>
      </c>
      <c r="Y60" s="2" t="s">
        <v>41</v>
      </c>
      <c r="Z60" s="2">
        <v>58</v>
      </c>
      <c r="AA60" s="2">
        <v>2.2000000000000002</v>
      </c>
      <c r="AB60" s="2" t="s">
        <v>104</v>
      </c>
    </row>
    <row r="61" spans="1:28" x14ac:dyDescent="0.25">
      <c r="A61" s="4" t="s">
        <v>276</v>
      </c>
      <c r="B61" s="4" t="s">
        <v>277</v>
      </c>
      <c r="C61" s="4">
        <v>69</v>
      </c>
      <c r="D61" s="4" t="s">
        <v>30</v>
      </c>
      <c r="E61" s="4" t="s">
        <v>87</v>
      </c>
      <c r="F61" s="4" t="s">
        <v>72</v>
      </c>
      <c r="G61" s="5">
        <v>44646</v>
      </c>
      <c r="H61" s="5">
        <v>44661</v>
      </c>
      <c r="I61" s="4">
        <v>15</v>
      </c>
      <c r="J61" s="4" t="s">
        <v>33</v>
      </c>
      <c r="K61" s="4" t="s">
        <v>278</v>
      </c>
      <c r="L61" s="4" t="s">
        <v>279</v>
      </c>
      <c r="M61" s="4" t="s">
        <v>95</v>
      </c>
      <c r="N61" s="4" t="s">
        <v>37</v>
      </c>
      <c r="O61" s="4" t="s">
        <v>217</v>
      </c>
      <c r="P61" s="4">
        <v>491</v>
      </c>
      <c r="Q61" s="4" t="s">
        <v>69</v>
      </c>
      <c r="R61" s="4" t="s">
        <v>111</v>
      </c>
      <c r="S61" s="4">
        <v>77237</v>
      </c>
      <c r="T61" s="4">
        <v>69105</v>
      </c>
      <c r="U61" s="4">
        <v>8132</v>
      </c>
      <c r="V61" s="4">
        <v>32132</v>
      </c>
      <c r="W61" s="4">
        <v>27573</v>
      </c>
      <c r="X61" s="4">
        <v>14219</v>
      </c>
      <c r="Y61" s="4" t="s">
        <v>91</v>
      </c>
      <c r="Z61" s="4">
        <v>81</v>
      </c>
      <c r="AA61" s="4">
        <v>2.5</v>
      </c>
      <c r="AB61" s="4" t="s">
        <v>64</v>
      </c>
    </row>
    <row r="62" spans="1:28" x14ac:dyDescent="0.25">
      <c r="A62" s="2" t="s">
        <v>280</v>
      </c>
      <c r="B62" s="2" t="s">
        <v>281</v>
      </c>
      <c r="C62" s="2">
        <v>61</v>
      </c>
      <c r="D62" s="2" t="s">
        <v>55</v>
      </c>
      <c r="E62" s="2" t="s">
        <v>45</v>
      </c>
      <c r="F62" s="2" t="s">
        <v>80</v>
      </c>
      <c r="G62" s="3">
        <v>45141</v>
      </c>
      <c r="H62" s="3">
        <v>45154</v>
      </c>
      <c r="I62" s="2">
        <v>13</v>
      </c>
      <c r="J62" s="2" t="s">
        <v>33</v>
      </c>
      <c r="K62" s="2" t="s">
        <v>81</v>
      </c>
      <c r="L62" s="2" t="s">
        <v>82</v>
      </c>
      <c r="M62" s="2" t="s">
        <v>101</v>
      </c>
      <c r="N62" s="2" t="s">
        <v>62</v>
      </c>
      <c r="O62" s="2" t="s">
        <v>282</v>
      </c>
      <c r="P62" s="2">
        <v>169</v>
      </c>
      <c r="Q62" s="2" t="s">
        <v>69</v>
      </c>
      <c r="R62" s="2" t="s">
        <v>51</v>
      </c>
      <c r="S62" s="2">
        <v>123004</v>
      </c>
      <c r="T62" s="2">
        <v>61503</v>
      </c>
      <c r="U62" s="2">
        <v>61501</v>
      </c>
      <c r="V62" s="2">
        <v>106335</v>
      </c>
      <c r="W62" s="2">
        <v>10310</v>
      </c>
      <c r="X62" s="2">
        <v>4628</v>
      </c>
      <c r="Y62" s="2" t="s">
        <v>41</v>
      </c>
      <c r="Z62" s="2">
        <v>49</v>
      </c>
      <c r="AA62" s="2">
        <v>4.8</v>
      </c>
      <c r="AB62" s="2" t="s">
        <v>52</v>
      </c>
    </row>
    <row r="63" spans="1:28" x14ac:dyDescent="0.25">
      <c r="A63" s="4" t="s">
        <v>283</v>
      </c>
      <c r="B63" s="4" t="s">
        <v>284</v>
      </c>
      <c r="C63" s="4">
        <v>21</v>
      </c>
      <c r="D63" s="4" t="s">
        <v>55</v>
      </c>
      <c r="E63" s="4" t="s">
        <v>79</v>
      </c>
      <c r="F63" s="4" t="s">
        <v>94</v>
      </c>
      <c r="G63" s="5">
        <v>45333</v>
      </c>
      <c r="H63" s="5">
        <v>45354</v>
      </c>
      <c r="I63" s="4">
        <v>21</v>
      </c>
      <c r="J63" s="4" t="s">
        <v>33</v>
      </c>
      <c r="K63" s="4" t="s">
        <v>47</v>
      </c>
      <c r="L63" s="4" t="s">
        <v>48</v>
      </c>
      <c r="M63" s="4" t="s">
        <v>75</v>
      </c>
      <c r="N63" s="4" t="s">
        <v>62</v>
      </c>
      <c r="O63" s="4" t="s">
        <v>285</v>
      </c>
      <c r="P63" s="4">
        <v>186</v>
      </c>
      <c r="Q63" s="4" t="s">
        <v>69</v>
      </c>
      <c r="R63" s="4" t="s">
        <v>136</v>
      </c>
      <c r="S63" s="4">
        <v>100181</v>
      </c>
      <c r="T63" s="4">
        <v>0</v>
      </c>
      <c r="U63" s="4">
        <v>100181</v>
      </c>
      <c r="V63" s="4">
        <v>85967</v>
      </c>
      <c r="W63" s="4">
        <v>6906</v>
      </c>
      <c r="X63" s="4">
        <v>4009</v>
      </c>
      <c r="Y63" s="4" t="s">
        <v>41</v>
      </c>
      <c r="Z63" s="4">
        <v>71</v>
      </c>
      <c r="AA63" s="4">
        <v>2.6</v>
      </c>
      <c r="AB63" s="4" t="s">
        <v>64</v>
      </c>
    </row>
    <row r="64" spans="1:28" x14ac:dyDescent="0.25">
      <c r="A64" s="2" t="s">
        <v>286</v>
      </c>
      <c r="B64" s="2" t="s">
        <v>287</v>
      </c>
      <c r="C64" s="2">
        <v>42</v>
      </c>
      <c r="D64" s="2" t="s">
        <v>55</v>
      </c>
      <c r="E64" s="2" t="s">
        <v>122</v>
      </c>
      <c r="F64" s="2" t="s">
        <v>80</v>
      </c>
      <c r="G64" s="3">
        <v>44830</v>
      </c>
      <c r="H64" s="3">
        <v>44850</v>
      </c>
      <c r="I64" s="2">
        <v>20</v>
      </c>
      <c r="J64" s="2" t="s">
        <v>115</v>
      </c>
      <c r="K64" s="2" t="s">
        <v>116</v>
      </c>
      <c r="L64" s="2" t="s">
        <v>117</v>
      </c>
      <c r="M64" s="2" t="s">
        <v>143</v>
      </c>
      <c r="N64" s="2" t="s">
        <v>109</v>
      </c>
      <c r="O64" s="2" t="s">
        <v>147</v>
      </c>
      <c r="P64" s="2">
        <v>370</v>
      </c>
      <c r="Q64" s="2" t="s">
        <v>103</v>
      </c>
      <c r="R64" s="2" t="s">
        <v>90</v>
      </c>
      <c r="S64" s="2">
        <v>139667</v>
      </c>
      <c r="T64" s="2">
        <v>124426</v>
      </c>
      <c r="U64" s="2">
        <v>15241</v>
      </c>
      <c r="V64" s="2">
        <v>112704</v>
      </c>
      <c r="W64" s="2">
        <v>12937</v>
      </c>
      <c r="X64" s="2">
        <v>11581</v>
      </c>
      <c r="Y64" s="2" t="s">
        <v>41</v>
      </c>
      <c r="Z64" s="2">
        <v>88</v>
      </c>
      <c r="AA64" s="2">
        <v>4.2</v>
      </c>
      <c r="AB64" s="2" t="s">
        <v>137</v>
      </c>
    </row>
    <row r="65" spans="1:28" x14ac:dyDescent="0.25">
      <c r="A65" s="4" t="s">
        <v>288</v>
      </c>
      <c r="B65" s="4" t="s">
        <v>71</v>
      </c>
      <c r="C65" s="4">
        <v>35</v>
      </c>
      <c r="D65" s="4" t="s">
        <v>30</v>
      </c>
      <c r="E65" s="4" t="s">
        <v>87</v>
      </c>
      <c r="F65" s="4" t="s">
        <v>32</v>
      </c>
      <c r="G65" s="5">
        <v>45315</v>
      </c>
      <c r="H65" s="5">
        <v>45337</v>
      </c>
      <c r="I65" s="4">
        <v>22</v>
      </c>
      <c r="J65" s="4" t="s">
        <v>33</v>
      </c>
      <c r="K65" s="4" t="s">
        <v>278</v>
      </c>
      <c r="L65" s="4" t="s">
        <v>279</v>
      </c>
      <c r="M65" s="4" t="s">
        <v>83</v>
      </c>
      <c r="N65" s="4" t="s">
        <v>118</v>
      </c>
      <c r="O65" s="4" t="s">
        <v>285</v>
      </c>
      <c r="P65" s="4">
        <v>271</v>
      </c>
      <c r="Q65" s="4" t="s">
        <v>103</v>
      </c>
      <c r="R65" s="4" t="s">
        <v>40</v>
      </c>
      <c r="S65" s="4">
        <v>96643</v>
      </c>
      <c r="T65" s="4">
        <v>63968</v>
      </c>
      <c r="U65" s="4">
        <v>32675</v>
      </c>
      <c r="V65" s="4">
        <v>57349</v>
      </c>
      <c r="W65" s="4">
        <v>27255</v>
      </c>
      <c r="X65" s="4">
        <v>10406</v>
      </c>
      <c r="Y65" s="4" t="s">
        <v>91</v>
      </c>
      <c r="Z65" s="4">
        <v>70</v>
      </c>
      <c r="AA65" s="4">
        <v>4.5999999999999996</v>
      </c>
      <c r="AB65" s="4" t="s">
        <v>42</v>
      </c>
    </row>
    <row r="66" spans="1:28" x14ac:dyDescent="0.25">
      <c r="A66" s="2" t="s">
        <v>289</v>
      </c>
      <c r="B66" s="2" t="s">
        <v>290</v>
      </c>
      <c r="C66" s="2">
        <v>71</v>
      </c>
      <c r="D66" s="2" t="s">
        <v>55</v>
      </c>
      <c r="E66" s="2" t="s">
        <v>79</v>
      </c>
      <c r="F66" s="2" t="s">
        <v>157</v>
      </c>
      <c r="G66" s="3">
        <v>44890</v>
      </c>
      <c r="H66" s="3">
        <v>44899</v>
      </c>
      <c r="I66" s="2">
        <v>9</v>
      </c>
      <c r="J66" s="2" t="s">
        <v>33</v>
      </c>
      <c r="K66" s="2" t="s">
        <v>107</v>
      </c>
      <c r="L66" s="2" t="s">
        <v>48</v>
      </c>
      <c r="M66" s="2" t="s">
        <v>143</v>
      </c>
      <c r="N66" s="2" t="s">
        <v>37</v>
      </c>
      <c r="O66" s="2" t="s">
        <v>199</v>
      </c>
      <c r="P66" s="2">
        <v>419</v>
      </c>
      <c r="Q66" s="2" t="s">
        <v>103</v>
      </c>
      <c r="R66" s="2" t="s">
        <v>136</v>
      </c>
      <c r="S66" s="2">
        <v>31705</v>
      </c>
      <c r="T66" s="2">
        <v>0</v>
      </c>
      <c r="U66" s="2">
        <v>31705</v>
      </c>
      <c r="V66" s="2">
        <v>11991</v>
      </c>
      <c r="W66" s="2">
        <v>14595</v>
      </c>
      <c r="X66" s="2">
        <v>1372</v>
      </c>
      <c r="Y66" s="2" t="s">
        <v>41</v>
      </c>
      <c r="Z66" s="2">
        <v>55</v>
      </c>
      <c r="AA66" s="2">
        <v>3.2</v>
      </c>
      <c r="AB66" s="2" t="s">
        <v>104</v>
      </c>
    </row>
    <row r="67" spans="1:28" x14ac:dyDescent="0.25">
      <c r="A67" s="4" t="s">
        <v>291</v>
      </c>
      <c r="B67" s="4" t="s">
        <v>292</v>
      </c>
      <c r="C67" s="4">
        <v>8</v>
      </c>
      <c r="D67" s="4" t="s">
        <v>30</v>
      </c>
      <c r="E67" s="4" t="s">
        <v>56</v>
      </c>
      <c r="F67" s="4" t="s">
        <v>80</v>
      </c>
      <c r="G67" s="5">
        <v>44861</v>
      </c>
      <c r="H67" s="5">
        <v>44866</v>
      </c>
      <c r="I67" s="4">
        <v>5</v>
      </c>
      <c r="J67" s="4" t="s">
        <v>33</v>
      </c>
      <c r="K67" s="4" t="s">
        <v>197</v>
      </c>
      <c r="L67" s="4" t="s">
        <v>198</v>
      </c>
      <c r="M67" s="4" t="s">
        <v>83</v>
      </c>
      <c r="N67" s="4" t="s">
        <v>109</v>
      </c>
      <c r="O67" s="4" t="s">
        <v>189</v>
      </c>
      <c r="P67" s="4">
        <v>316</v>
      </c>
      <c r="Q67" s="4" t="s">
        <v>69</v>
      </c>
      <c r="R67" s="4" t="s">
        <v>90</v>
      </c>
      <c r="S67" s="4">
        <v>25124</v>
      </c>
      <c r="T67" s="4">
        <v>19211</v>
      </c>
      <c r="U67" s="4">
        <v>5913</v>
      </c>
      <c r="V67" s="4">
        <v>9981</v>
      </c>
      <c r="W67" s="4">
        <v>9386</v>
      </c>
      <c r="X67" s="4">
        <v>4033</v>
      </c>
      <c r="Y67" s="4" t="s">
        <v>41</v>
      </c>
      <c r="Z67" s="4">
        <v>73</v>
      </c>
      <c r="AA67" s="4">
        <v>3.3</v>
      </c>
      <c r="AB67" s="4" t="s">
        <v>52</v>
      </c>
    </row>
    <row r="68" spans="1:28" x14ac:dyDescent="0.25">
      <c r="A68" s="2" t="s">
        <v>293</v>
      </c>
      <c r="B68" s="2" t="s">
        <v>294</v>
      </c>
      <c r="C68" s="2">
        <v>20</v>
      </c>
      <c r="D68" s="2" t="s">
        <v>55</v>
      </c>
      <c r="E68" s="2" t="s">
        <v>31</v>
      </c>
      <c r="F68" s="2" t="s">
        <v>114</v>
      </c>
      <c r="G68" s="3">
        <v>45498</v>
      </c>
      <c r="H68" s="3">
        <v>45501</v>
      </c>
      <c r="I68" s="2">
        <v>3</v>
      </c>
      <c r="J68" s="2" t="s">
        <v>33</v>
      </c>
      <c r="K68" s="2" t="s">
        <v>34</v>
      </c>
      <c r="L68" s="2" t="s">
        <v>35</v>
      </c>
      <c r="M68" s="2" t="s">
        <v>101</v>
      </c>
      <c r="N68" s="2" t="s">
        <v>62</v>
      </c>
      <c r="O68" s="2" t="s">
        <v>295</v>
      </c>
      <c r="P68" s="2">
        <v>124</v>
      </c>
      <c r="Q68" s="2" t="s">
        <v>39</v>
      </c>
      <c r="R68" s="2" t="s">
        <v>136</v>
      </c>
      <c r="S68" s="2">
        <v>132536</v>
      </c>
      <c r="T68" s="2">
        <v>0</v>
      </c>
      <c r="U68" s="2">
        <v>132536</v>
      </c>
      <c r="V68" s="2">
        <v>117522</v>
      </c>
      <c r="W68" s="2">
        <v>1051</v>
      </c>
      <c r="X68" s="2">
        <v>10573</v>
      </c>
      <c r="Y68" s="2" t="s">
        <v>41</v>
      </c>
      <c r="Z68" s="2">
        <v>66</v>
      </c>
      <c r="AA68" s="2">
        <v>2.6</v>
      </c>
      <c r="AB68" s="2" t="s">
        <v>104</v>
      </c>
    </row>
    <row r="69" spans="1:28" x14ac:dyDescent="0.25">
      <c r="A69" s="4" t="s">
        <v>296</v>
      </c>
      <c r="B69" s="4" t="s">
        <v>297</v>
      </c>
      <c r="C69" s="4">
        <v>13</v>
      </c>
      <c r="D69" s="4" t="s">
        <v>55</v>
      </c>
      <c r="E69" s="4" t="s">
        <v>67</v>
      </c>
      <c r="F69" s="4" t="s">
        <v>150</v>
      </c>
      <c r="G69" s="5">
        <v>44651</v>
      </c>
      <c r="H69" s="5">
        <v>44672</v>
      </c>
      <c r="I69" s="4">
        <v>21</v>
      </c>
      <c r="J69" s="4" t="s">
        <v>115</v>
      </c>
      <c r="K69" s="4" t="s">
        <v>116</v>
      </c>
      <c r="L69" s="4" t="s">
        <v>117</v>
      </c>
      <c r="M69" s="4" t="s">
        <v>134</v>
      </c>
      <c r="N69" s="4" t="s">
        <v>62</v>
      </c>
      <c r="O69" s="4" t="s">
        <v>282</v>
      </c>
      <c r="P69" s="4">
        <v>177</v>
      </c>
      <c r="Q69" s="4" t="s">
        <v>39</v>
      </c>
      <c r="R69" s="4" t="s">
        <v>90</v>
      </c>
      <c r="S69" s="4">
        <v>102150</v>
      </c>
      <c r="T69" s="4">
        <v>78023</v>
      </c>
      <c r="U69" s="4">
        <v>24127</v>
      </c>
      <c r="V69" s="4">
        <v>92167</v>
      </c>
      <c r="W69" s="4">
        <v>5371</v>
      </c>
      <c r="X69" s="4">
        <v>1226</v>
      </c>
      <c r="Y69" s="4" t="s">
        <v>41</v>
      </c>
      <c r="Z69" s="4">
        <v>51</v>
      </c>
      <c r="AA69" s="4">
        <v>4.5</v>
      </c>
      <c r="AB69" s="4" t="s">
        <v>137</v>
      </c>
    </row>
    <row r="70" spans="1:28" x14ac:dyDescent="0.25">
      <c r="A70" s="2" t="s">
        <v>298</v>
      </c>
      <c r="B70" s="2" t="s">
        <v>299</v>
      </c>
      <c r="C70" s="2">
        <v>85</v>
      </c>
      <c r="D70" s="2" t="s">
        <v>55</v>
      </c>
      <c r="E70" s="2" t="s">
        <v>154</v>
      </c>
      <c r="F70" s="2" t="s">
        <v>157</v>
      </c>
      <c r="G70" s="3">
        <v>45499</v>
      </c>
      <c r="H70" s="3">
        <v>45501</v>
      </c>
      <c r="I70" s="2">
        <v>2</v>
      </c>
      <c r="J70" s="2" t="s">
        <v>58</v>
      </c>
      <c r="K70" s="2" t="s">
        <v>59</v>
      </c>
      <c r="L70" s="2" t="s">
        <v>60</v>
      </c>
      <c r="M70" s="2" t="s">
        <v>130</v>
      </c>
      <c r="N70" s="2" t="s">
        <v>109</v>
      </c>
      <c r="O70" s="2" t="s">
        <v>300</v>
      </c>
      <c r="P70" s="2">
        <v>478</v>
      </c>
      <c r="Q70" s="2" t="s">
        <v>50</v>
      </c>
      <c r="R70" s="2" t="s">
        <v>51</v>
      </c>
      <c r="S70" s="2">
        <v>150886</v>
      </c>
      <c r="T70" s="2">
        <v>71821</v>
      </c>
      <c r="U70" s="2">
        <v>79065</v>
      </c>
      <c r="V70" s="2">
        <v>109392</v>
      </c>
      <c r="W70" s="2">
        <v>27719</v>
      </c>
      <c r="X70" s="2">
        <v>9397</v>
      </c>
      <c r="Y70" s="2" t="s">
        <v>41</v>
      </c>
      <c r="Z70" s="2">
        <v>52</v>
      </c>
      <c r="AA70" s="2">
        <v>2.9</v>
      </c>
      <c r="AB70" s="2" t="s">
        <v>104</v>
      </c>
    </row>
    <row r="71" spans="1:28" x14ac:dyDescent="0.25">
      <c r="A71" s="4" t="s">
        <v>301</v>
      </c>
      <c r="B71" s="4" t="s">
        <v>302</v>
      </c>
      <c r="C71" s="4">
        <v>39</v>
      </c>
      <c r="D71" s="4" t="s">
        <v>55</v>
      </c>
      <c r="E71" s="4" t="s">
        <v>45</v>
      </c>
      <c r="F71" s="4" t="s">
        <v>114</v>
      </c>
      <c r="G71" s="5">
        <v>45381</v>
      </c>
      <c r="H71" s="5">
        <v>45405</v>
      </c>
      <c r="I71" s="4">
        <v>24</v>
      </c>
      <c r="J71" s="4" t="s">
        <v>33</v>
      </c>
      <c r="K71" s="4" t="s">
        <v>107</v>
      </c>
      <c r="L71" s="4" t="s">
        <v>48</v>
      </c>
      <c r="M71" s="4" t="s">
        <v>95</v>
      </c>
      <c r="N71" s="4" t="s">
        <v>109</v>
      </c>
      <c r="O71" s="4" t="s">
        <v>189</v>
      </c>
      <c r="P71" s="4">
        <v>189</v>
      </c>
      <c r="Q71" s="4" t="s">
        <v>50</v>
      </c>
      <c r="R71" s="4" t="s">
        <v>90</v>
      </c>
      <c r="S71" s="4">
        <v>129399</v>
      </c>
      <c r="T71" s="4">
        <v>98815</v>
      </c>
      <c r="U71" s="4">
        <v>30584</v>
      </c>
      <c r="V71" s="4">
        <v>116280</v>
      </c>
      <c r="W71" s="4">
        <v>3586</v>
      </c>
      <c r="X71" s="4">
        <v>7555</v>
      </c>
      <c r="Y71" s="4" t="s">
        <v>41</v>
      </c>
      <c r="Z71" s="4">
        <v>45</v>
      </c>
      <c r="AA71" s="4">
        <v>3</v>
      </c>
      <c r="AB71" s="4" t="s">
        <v>52</v>
      </c>
    </row>
    <row r="72" spans="1:28" x14ac:dyDescent="0.25">
      <c r="A72" s="2" t="s">
        <v>303</v>
      </c>
      <c r="B72" s="2" t="s">
        <v>304</v>
      </c>
      <c r="C72" s="2">
        <v>82</v>
      </c>
      <c r="D72" s="2" t="s">
        <v>30</v>
      </c>
      <c r="E72" s="2" t="s">
        <v>154</v>
      </c>
      <c r="F72" s="2" t="s">
        <v>150</v>
      </c>
      <c r="G72" s="3">
        <v>45281</v>
      </c>
      <c r="H72" s="3">
        <v>45296</v>
      </c>
      <c r="I72" s="2">
        <v>15</v>
      </c>
      <c r="J72" s="2" t="s">
        <v>33</v>
      </c>
      <c r="K72" s="2" t="s">
        <v>197</v>
      </c>
      <c r="L72" s="2" t="s">
        <v>198</v>
      </c>
      <c r="M72" s="2" t="s">
        <v>101</v>
      </c>
      <c r="N72" s="2" t="s">
        <v>37</v>
      </c>
      <c r="O72" s="2" t="s">
        <v>246</v>
      </c>
      <c r="P72" s="2">
        <v>39</v>
      </c>
      <c r="Q72" s="2" t="s">
        <v>103</v>
      </c>
      <c r="R72" s="2" t="s">
        <v>136</v>
      </c>
      <c r="S72" s="2">
        <v>181348</v>
      </c>
      <c r="T72" s="2">
        <v>0</v>
      </c>
      <c r="U72" s="2">
        <v>181348</v>
      </c>
      <c r="V72" s="2">
        <v>139502</v>
      </c>
      <c r="W72" s="2">
        <v>27250</v>
      </c>
      <c r="X72" s="2">
        <v>12786</v>
      </c>
      <c r="Y72" s="2" t="s">
        <v>41</v>
      </c>
      <c r="Z72" s="2">
        <v>49</v>
      </c>
      <c r="AA72" s="2">
        <v>4.5</v>
      </c>
      <c r="AB72" s="2" t="s">
        <v>137</v>
      </c>
    </row>
    <row r="73" spans="1:28" x14ac:dyDescent="0.25">
      <c r="A73" s="4" t="s">
        <v>305</v>
      </c>
      <c r="B73" s="4" t="s">
        <v>306</v>
      </c>
      <c r="C73" s="4">
        <v>13</v>
      </c>
      <c r="D73" s="4" t="s">
        <v>55</v>
      </c>
      <c r="E73" s="4" t="s">
        <v>45</v>
      </c>
      <c r="F73" s="4" t="s">
        <v>80</v>
      </c>
      <c r="G73" s="5">
        <v>45346</v>
      </c>
      <c r="H73" s="5">
        <v>45365</v>
      </c>
      <c r="I73" s="4">
        <v>19</v>
      </c>
      <c r="J73" s="4" t="s">
        <v>33</v>
      </c>
      <c r="K73" s="4" t="s">
        <v>197</v>
      </c>
      <c r="L73" s="4" t="s">
        <v>198</v>
      </c>
      <c r="M73" s="4" t="s">
        <v>143</v>
      </c>
      <c r="N73" s="4" t="s">
        <v>37</v>
      </c>
      <c r="O73" s="4" t="s">
        <v>222</v>
      </c>
      <c r="P73" s="4">
        <v>228</v>
      </c>
      <c r="Q73" s="4" t="s">
        <v>69</v>
      </c>
      <c r="R73" s="4" t="s">
        <v>51</v>
      </c>
      <c r="S73" s="4">
        <v>69716</v>
      </c>
      <c r="T73" s="4">
        <v>34462</v>
      </c>
      <c r="U73" s="4">
        <v>35254</v>
      </c>
      <c r="V73" s="4">
        <v>41095</v>
      </c>
      <c r="W73" s="4">
        <v>18349</v>
      </c>
      <c r="X73" s="4">
        <v>6512</v>
      </c>
      <c r="Y73" s="4" t="s">
        <v>41</v>
      </c>
      <c r="Z73" s="4">
        <v>47</v>
      </c>
      <c r="AA73" s="4">
        <v>2.1</v>
      </c>
      <c r="AB73" s="4" t="s">
        <v>64</v>
      </c>
    </row>
    <row r="74" spans="1:28" x14ac:dyDescent="0.25">
      <c r="A74" s="2" t="s">
        <v>307</v>
      </c>
      <c r="B74" s="2" t="s">
        <v>308</v>
      </c>
      <c r="C74" s="2">
        <v>54</v>
      </c>
      <c r="D74" s="2" t="s">
        <v>55</v>
      </c>
      <c r="E74" s="2" t="s">
        <v>79</v>
      </c>
      <c r="F74" s="2" t="s">
        <v>46</v>
      </c>
      <c r="G74" s="3">
        <v>45475</v>
      </c>
      <c r="H74" s="3">
        <v>45482</v>
      </c>
      <c r="I74" s="2">
        <v>7</v>
      </c>
      <c r="J74" s="2" t="s">
        <v>33</v>
      </c>
      <c r="K74" s="2" t="s">
        <v>233</v>
      </c>
      <c r="L74" s="2" t="s">
        <v>35</v>
      </c>
      <c r="M74" s="2" t="s">
        <v>83</v>
      </c>
      <c r="N74" s="2" t="s">
        <v>109</v>
      </c>
      <c r="O74" s="2" t="s">
        <v>241</v>
      </c>
      <c r="P74" s="2">
        <v>437</v>
      </c>
      <c r="Q74" s="2" t="s">
        <v>69</v>
      </c>
      <c r="R74" s="2" t="s">
        <v>111</v>
      </c>
      <c r="S74" s="2">
        <v>83646</v>
      </c>
      <c r="T74" s="2">
        <v>70526</v>
      </c>
      <c r="U74" s="2">
        <v>13120</v>
      </c>
      <c r="V74" s="2">
        <v>50260</v>
      </c>
      <c r="W74" s="2">
        <v>24375</v>
      </c>
      <c r="X74" s="2">
        <v>7792</v>
      </c>
      <c r="Y74" s="2" t="s">
        <v>41</v>
      </c>
      <c r="Z74" s="2">
        <v>60</v>
      </c>
      <c r="AA74" s="2">
        <v>4</v>
      </c>
      <c r="AB74" s="2" t="s">
        <v>104</v>
      </c>
    </row>
    <row r="75" spans="1:28" x14ac:dyDescent="0.25">
      <c r="A75" s="4" t="s">
        <v>309</v>
      </c>
      <c r="B75" s="4" t="s">
        <v>173</v>
      </c>
      <c r="C75" s="4">
        <v>42</v>
      </c>
      <c r="D75" s="4" t="s">
        <v>30</v>
      </c>
      <c r="E75" s="4" t="s">
        <v>154</v>
      </c>
      <c r="F75" s="4" t="s">
        <v>129</v>
      </c>
      <c r="G75" s="5">
        <v>45302</v>
      </c>
      <c r="H75" s="5">
        <v>45319</v>
      </c>
      <c r="I75" s="4">
        <v>17</v>
      </c>
      <c r="J75" s="4" t="s">
        <v>73</v>
      </c>
      <c r="K75" s="4" t="s">
        <v>74</v>
      </c>
      <c r="L75" s="4" t="s">
        <v>73</v>
      </c>
      <c r="M75" s="4" t="s">
        <v>61</v>
      </c>
      <c r="N75" s="4" t="s">
        <v>109</v>
      </c>
      <c r="O75" s="4" t="s">
        <v>102</v>
      </c>
      <c r="P75" s="4">
        <v>14</v>
      </c>
      <c r="Q75" s="4" t="s">
        <v>50</v>
      </c>
      <c r="R75" s="4" t="s">
        <v>51</v>
      </c>
      <c r="S75" s="4">
        <v>133252</v>
      </c>
      <c r="T75" s="4">
        <v>77764</v>
      </c>
      <c r="U75" s="4">
        <v>55488</v>
      </c>
      <c r="V75" s="4">
        <v>101707</v>
      </c>
      <c r="W75" s="4">
        <v>16315</v>
      </c>
      <c r="X75" s="4">
        <v>13667</v>
      </c>
      <c r="Y75" s="4" t="s">
        <v>91</v>
      </c>
      <c r="Z75" s="4">
        <v>59</v>
      </c>
      <c r="AA75" s="4">
        <v>3.2</v>
      </c>
      <c r="AB75" s="4" t="s">
        <v>137</v>
      </c>
    </row>
    <row r="76" spans="1:28" x14ac:dyDescent="0.25">
      <c r="A76" s="2" t="s">
        <v>310</v>
      </c>
      <c r="B76" s="2" t="s">
        <v>311</v>
      </c>
      <c r="C76" s="2">
        <v>57</v>
      </c>
      <c r="D76" s="2" t="s">
        <v>55</v>
      </c>
      <c r="E76" s="2" t="s">
        <v>154</v>
      </c>
      <c r="F76" s="2" t="s">
        <v>80</v>
      </c>
      <c r="G76" s="3">
        <v>44713</v>
      </c>
      <c r="H76" s="3">
        <v>44728</v>
      </c>
      <c r="I76" s="2">
        <v>15</v>
      </c>
      <c r="J76" s="2" t="s">
        <v>33</v>
      </c>
      <c r="K76" s="2" t="s">
        <v>107</v>
      </c>
      <c r="L76" s="2" t="s">
        <v>48</v>
      </c>
      <c r="M76" s="2" t="s">
        <v>95</v>
      </c>
      <c r="N76" s="2" t="s">
        <v>109</v>
      </c>
      <c r="O76" s="2" t="s">
        <v>295</v>
      </c>
      <c r="P76" s="2">
        <v>94</v>
      </c>
      <c r="Q76" s="2" t="s">
        <v>39</v>
      </c>
      <c r="R76" s="2" t="s">
        <v>111</v>
      </c>
      <c r="S76" s="2">
        <v>169195</v>
      </c>
      <c r="T76" s="2">
        <v>127815</v>
      </c>
      <c r="U76" s="2">
        <v>41380</v>
      </c>
      <c r="V76" s="2">
        <v>136822</v>
      </c>
      <c r="W76" s="2">
        <v>29449</v>
      </c>
      <c r="X76" s="2">
        <v>1407</v>
      </c>
      <c r="Y76" s="2" t="s">
        <v>41</v>
      </c>
      <c r="Z76" s="2">
        <v>50</v>
      </c>
      <c r="AA76" s="2">
        <v>3</v>
      </c>
      <c r="AB76" s="2" t="s">
        <v>64</v>
      </c>
    </row>
    <row r="77" spans="1:28" x14ac:dyDescent="0.25">
      <c r="A77" s="4" t="s">
        <v>312</v>
      </c>
      <c r="B77" s="4" t="s">
        <v>313</v>
      </c>
      <c r="C77" s="4">
        <v>41</v>
      </c>
      <c r="D77" s="4" t="s">
        <v>55</v>
      </c>
      <c r="E77" s="4" t="s">
        <v>79</v>
      </c>
      <c r="F77" s="4" t="s">
        <v>32</v>
      </c>
      <c r="G77" s="5">
        <v>45124</v>
      </c>
      <c r="H77" s="5">
        <v>45129</v>
      </c>
      <c r="I77" s="4">
        <v>5</v>
      </c>
      <c r="J77" s="4" t="s">
        <v>58</v>
      </c>
      <c r="K77" s="4" t="s">
        <v>59</v>
      </c>
      <c r="L77" s="4" t="s">
        <v>60</v>
      </c>
      <c r="M77" s="4" t="s">
        <v>75</v>
      </c>
      <c r="N77" s="4" t="s">
        <v>62</v>
      </c>
      <c r="O77" s="4" t="s">
        <v>217</v>
      </c>
      <c r="P77" s="4">
        <v>304</v>
      </c>
      <c r="Q77" s="4" t="s">
        <v>39</v>
      </c>
      <c r="R77" s="4" t="s">
        <v>40</v>
      </c>
      <c r="S77" s="4">
        <v>132683</v>
      </c>
      <c r="T77" s="4">
        <v>85922</v>
      </c>
      <c r="U77" s="4">
        <v>46761</v>
      </c>
      <c r="V77" s="4">
        <v>93504</v>
      </c>
      <c r="W77" s="4">
        <v>28608</v>
      </c>
      <c r="X77" s="4">
        <v>9734</v>
      </c>
      <c r="Y77" s="4" t="s">
        <v>91</v>
      </c>
      <c r="Z77" s="4">
        <v>42</v>
      </c>
      <c r="AA77" s="4">
        <v>4.8</v>
      </c>
      <c r="AB77" s="4" t="s">
        <v>42</v>
      </c>
    </row>
    <row r="78" spans="1:28" x14ac:dyDescent="0.25">
      <c r="A78" s="2" t="s">
        <v>314</v>
      </c>
      <c r="B78" s="2" t="s">
        <v>315</v>
      </c>
      <c r="C78" s="2">
        <v>78</v>
      </c>
      <c r="D78" s="2" t="s">
        <v>30</v>
      </c>
      <c r="E78" s="2" t="s">
        <v>122</v>
      </c>
      <c r="F78" s="2" t="s">
        <v>150</v>
      </c>
      <c r="G78" s="3">
        <v>45155</v>
      </c>
      <c r="H78" s="3">
        <v>45176</v>
      </c>
      <c r="I78" s="2">
        <v>21</v>
      </c>
      <c r="J78" s="2" t="s">
        <v>58</v>
      </c>
      <c r="K78" s="2" t="s">
        <v>59</v>
      </c>
      <c r="L78" s="2" t="s">
        <v>60</v>
      </c>
      <c r="M78" s="2" t="s">
        <v>61</v>
      </c>
      <c r="N78" s="2" t="s">
        <v>37</v>
      </c>
      <c r="O78" s="2" t="s">
        <v>110</v>
      </c>
      <c r="P78" s="2">
        <v>38</v>
      </c>
      <c r="Q78" s="2" t="s">
        <v>69</v>
      </c>
      <c r="R78" s="2" t="s">
        <v>40</v>
      </c>
      <c r="S78" s="2">
        <v>147595</v>
      </c>
      <c r="T78" s="2">
        <v>68072</v>
      </c>
      <c r="U78" s="2">
        <v>79523</v>
      </c>
      <c r="V78" s="2">
        <v>120239</v>
      </c>
      <c r="W78" s="2">
        <v>14619</v>
      </c>
      <c r="X78" s="2">
        <v>8433</v>
      </c>
      <c r="Y78" s="2" t="s">
        <v>41</v>
      </c>
      <c r="Z78" s="2">
        <v>60</v>
      </c>
      <c r="AA78" s="2">
        <v>4.5999999999999996</v>
      </c>
      <c r="AB78" s="2" t="s">
        <v>52</v>
      </c>
    </row>
    <row r="79" spans="1:28" x14ac:dyDescent="0.25">
      <c r="A79" s="4" t="s">
        <v>316</v>
      </c>
      <c r="B79" s="4" t="s">
        <v>317</v>
      </c>
      <c r="C79" s="4">
        <v>56</v>
      </c>
      <c r="D79" s="4" t="s">
        <v>55</v>
      </c>
      <c r="E79" s="4" t="s">
        <v>45</v>
      </c>
      <c r="F79" s="4" t="s">
        <v>94</v>
      </c>
      <c r="G79" s="5">
        <v>44779</v>
      </c>
      <c r="H79" s="5">
        <v>44790</v>
      </c>
      <c r="I79" s="4">
        <v>11</v>
      </c>
      <c r="J79" s="4" t="s">
        <v>73</v>
      </c>
      <c r="K79" s="4" t="s">
        <v>74</v>
      </c>
      <c r="L79" s="4" t="s">
        <v>73</v>
      </c>
      <c r="M79" s="4" t="s">
        <v>36</v>
      </c>
      <c r="N79" s="4" t="s">
        <v>118</v>
      </c>
      <c r="O79" s="4" t="s">
        <v>256</v>
      </c>
      <c r="P79" s="4">
        <v>73</v>
      </c>
      <c r="Q79" s="4" t="s">
        <v>69</v>
      </c>
      <c r="R79" s="4" t="s">
        <v>90</v>
      </c>
      <c r="S79" s="4">
        <v>113247</v>
      </c>
      <c r="T79" s="4">
        <v>76383</v>
      </c>
      <c r="U79" s="4">
        <v>36864</v>
      </c>
      <c r="V79" s="4">
        <v>81077</v>
      </c>
      <c r="W79" s="4">
        <v>13587</v>
      </c>
      <c r="X79" s="4">
        <v>14658</v>
      </c>
      <c r="Y79" s="4" t="s">
        <v>41</v>
      </c>
      <c r="Z79" s="4">
        <v>50</v>
      </c>
      <c r="AA79" s="4">
        <v>4.4000000000000004</v>
      </c>
      <c r="AB79" s="4" t="s">
        <v>42</v>
      </c>
    </row>
    <row r="80" spans="1:28" x14ac:dyDescent="0.25">
      <c r="A80" s="2" t="s">
        <v>318</v>
      </c>
      <c r="B80" s="2" t="s">
        <v>273</v>
      </c>
      <c r="C80" s="2">
        <v>29</v>
      </c>
      <c r="D80" s="2" t="s">
        <v>55</v>
      </c>
      <c r="E80" s="2" t="s">
        <v>87</v>
      </c>
      <c r="F80" s="2" t="s">
        <v>94</v>
      </c>
      <c r="G80" s="3">
        <v>45518</v>
      </c>
      <c r="H80" s="3">
        <v>45534</v>
      </c>
      <c r="I80" s="2">
        <v>16</v>
      </c>
      <c r="J80" s="2" t="s">
        <v>58</v>
      </c>
      <c r="K80" s="2" t="s">
        <v>59</v>
      </c>
      <c r="L80" s="2" t="s">
        <v>60</v>
      </c>
      <c r="M80" s="2" t="s">
        <v>130</v>
      </c>
      <c r="N80" s="2" t="s">
        <v>62</v>
      </c>
      <c r="O80" s="2" t="s">
        <v>285</v>
      </c>
      <c r="P80" s="2">
        <v>235</v>
      </c>
      <c r="Q80" s="2" t="s">
        <v>39</v>
      </c>
      <c r="R80" s="2" t="s">
        <v>40</v>
      </c>
      <c r="S80" s="2">
        <v>104235</v>
      </c>
      <c r="T80" s="2">
        <v>57170</v>
      </c>
      <c r="U80" s="2">
        <v>47065</v>
      </c>
      <c r="V80" s="2">
        <v>97509</v>
      </c>
      <c r="W80" s="2">
        <v>2594</v>
      </c>
      <c r="X80" s="2">
        <v>1328</v>
      </c>
      <c r="Y80" s="2" t="s">
        <v>41</v>
      </c>
      <c r="Z80" s="2">
        <v>81</v>
      </c>
      <c r="AA80" s="2">
        <v>4</v>
      </c>
      <c r="AB80" s="2" t="s">
        <v>52</v>
      </c>
    </row>
    <row r="81" spans="1:28" x14ac:dyDescent="0.25">
      <c r="A81" s="4" t="s">
        <v>319</v>
      </c>
      <c r="B81" s="4" t="s">
        <v>320</v>
      </c>
      <c r="C81" s="4">
        <v>18</v>
      </c>
      <c r="D81" s="4" t="s">
        <v>30</v>
      </c>
      <c r="E81" s="4" t="s">
        <v>154</v>
      </c>
      <c r="F81" s="4" t="s">
        <v>46</v>
      </c>
      <c r="G81" s="5">
        <v>45311</v>
      </c>
      <c r="H81" s="5">
        <v>45336</v>
      </c>
      <c r="I81" s="4">
        <v>25</v>
      </c>
      <c r="J81" s="4" t="s">
        <v>115</v>
      </c>
      <c r="K81" s="4" t="s">
        <v>116</v>
      </c>
      <c r="L81" s="4" t="s">
        <v>117</v>
      </c>
      <c r="M81" s="4" t="s">
        <v>130</v>
      </c>
      <c r="N81" s="4" t="s">
        <v>37</v>
      </c>
      <c r="O81" s="4" t="s">
        <v>321</v>
      </c>
      <c r="P81" s="4">
        <v>288</v>
      </c>
      <c r="Q81" s="4" t="s">
        <v>39</v>
      </c>
      <c r="R81" s="4" t="s">
        <v>136</v>
      </c>
      <c r="S81" s="4">
        <v>95523</v>
      </c>
      <c r="T81" s="4">
        <v>0</v>
      </c>
      <c r="U81" s="4">
        <v>95523</v>
      </c>
      <c r="V81" s="4">
        <v>80655</v>
      </c>
      <c r="W81" s="4">
        <v>3409</v>
      </c>
      <c r="X81" s="4">
        <v>6829</v>
      </c>
      <c r="Y81" s="4" t="s">
        <v>41</v>
      </c>
      <c r="Z81" s="4">
        <v>75</v>
      </c>
      <c r="AA81" s="4">
        <v>2.8</v>
      </c>
      <c r="AB81" s="4" t="s">
        <v>42</v>
      </c>
    </row>
    <row r="82" spans="1:28" x14ac:dyDescent="0.25">
      <c r="A82" s="2" t="s">
        <v>322</v>
      </c>
      <c r="B82" s="2" t="s">
        <v>323</v>
      </c>
      <c r="C82" s="2">
        <v>20</v>
      </c>
      <c r="D82" s="2" t="s">
        <v>55</v>
      </c>
      <c r="E82" s="2" t="s">
        <v>56</v>
      </c>
      <c r="F82" s="2" t="s">
        <v>114</v>
      </c>
      <c r="G82" s="3">
        <v>45326</v>
      </c>
      <c r="H82" s="3">
        <v>45352</v>
      </c>
      <c r="I82" s="2">
        <v>26</v>
      </c>
      <c r="J82" s="2" t="s">
        <v>33</v>
      </c>
      <c r="K82" s="2" t="s">
        <v>47</v>
      </c>
      <c r="L82" s="2" t="s">
        <v>48</v>
      </c>
      <c r="M82" s="2" t="s">
        <v>95</v>
      </c>
      <c r="N82" s="2" t="s">
        <v>109</v>
      </c>
      <c r="O82" s="2" t="s">
        <v>89</v>
      </c>
      <c r="P82" s="2">
        <v>261</v>
      </c>
      <c r="Q82" s="2" t="s">
        <v>103</v>
      </c>
      <c r="R82" s="2" t="s">
        <v>51</v>
      </c>
      <c r="S82" s="2">
        <v>20795</v>
      </c>
      <c r="T82" s="2">
        <v>12770</v>
      </c>
      <c r="U82" s="2">
        <v>8025</v>
      </c>
      <c r="V82" s="2">
        <v>15552</v>
      </c>
      <c r="W82" s="2">
        <v>2484</v>
      </c>
      <c r="X82" s="2">
        <v>1137</v>
      </c>
      <c r="Y82" s="2" t="s">
        <v>41</v>
      </c>
      <c r="Z82" s="2">
        <v>73</v>
      </c>
      <c r="AA82" s="2">
        <v>3.4</v>
      </c>
      <c r="AB82" s="2" t="s">
        <v>42</v>
      </c>
    </row>
    <row r="83" spans="1:28" x14ac:dyDescent="0.25">
      <c r="A83" s="4" t="s">
        <v>324</v>
      </c>
      <c r="B83" s="4" t="s">
        <v>325</v>
      </c>
      <c r="C83" s="4">
        <v>22</v>
      </c>
      <c r="D83" s="4" t="s">
        <v>30</v>
      </c>
      <c r="E83" s="4" t="s">
        <v>45</v>
      </c>
      <c r="F83" s="4" t="s">
        <v>129</v>
      </c>
      <c r="G83" s="5">
        <v>45366</v>
      </c>
      <c r="H83" s="5">
        <v>45386</v>
      </c>
      <c r="I83" s="4">
        <v>20</v>
      </c>
      <c r="J83" s="4" t="s">
        <v>58</v>
      </c>
      <c r="K83" s="4" t="s">
        <v>59</v>
      </c>
      <c r="L83" s="4" t="s">
        <v>60</v>
      </c>
      <c r="M83" s="4" t="s">
        <v>95</v>
      </c>
      <c r="N83" s="4" t="s">
        <v>37</v>
      </c>
      <c r="O83" s="4" t="s">
        <v>326</v>
      </c>
      <c r="P83" s="4">
        <v>244</v>
      </c>
      <c r="Q83" s="4" t="s">
        <v>69</v>
      </c>
      <c r="R83" s="4" t="s">
        <v>136</v>
      </c>
      <c r="S83" s="4">
        <v>121118</v>
      </c>
      <c r="T83" s="4">
        <v>0</v>
      </c>
      <c r="U83" s="4">
        <v>121118</v>
      </c>
      <c r="V83" s="4">
        <v>91832</v>
      </c>
      <c r="W83" s="4">
        <v>23079</v>
      </c>
      <c r="X83" s="4">
        <v>2295</v>
      </c>
      <c r="Y83" s="4" t="s">
        <v>41</v>
      </c>
      <c r="Z83" s="4">
        <v>90</v>
      </c>
      <c r="AA83" s="4">
        <v>4.7</v>
      </c>
      <c r="AB83" s="4" t="s">
        <v>104</v>
      </c>
    </row>
    <row r="84" spans="1:28" x14ac:dyDescent="0.25">
      <c r="A84" s="2" t="s">
        <v>327</v>
      </c>
      <c r="B84" s="2" t="s">
        <v>328</v>
      </c>
      <c r="C84" s="2">
        <v>38</v>
      </c>
      <c r="D84" s="2" t="s">
        <v>55</v>
      </c>
      <c r="E84" s="2" t="s">
        <v>122</v>
      </c>
      <c r="F84" s="2" t="s">
        <v>72</v>
      </c>
      <c r="G84" s="3">
        <v>45545</v>
      </c>
      <c r="H84" s="3">
        <v>45551</v>
      </c>
      <c r="I84" s="2">
        <v>6</v>
      </c>
      <c r="J84" s="2" t="s">
        <v>202</v>
      </c>
      <c r="K84" s="2" t="s">
        <v>225</v>
      </c>
      <c r="L84" s="2" t="s">
        <v>226</v>
      </c>
      <c r="M84" s="2" t="s">
        <v>108</v>
      </c>
      <c r="N84" s="2" t="s">
        <v>109</v>
      </c>
      <c r="O84" s="2" t="s">
        <v>151</v>
      </c>
      <c r="P84" s="2">
        <v>294</v>
      </c>
      <c r="Q84" s="2" t="s">
        <v>69</v>
      </c>
      <c r="R84" s="2" t="s">
        <v>40</v>
      </c>
      <c r="S84" s="2">
        <v>34984</v>
      </c>
      <c r="T84" s="2">
        <v>15583</v>
      </c>
      <c r="U84" s="2">
        <v>19401</v>
      </c>
      <c r="V84" s="2">
        <v>9964</v>
      </c>
      <c r="W84" s="2">
        <v>15451</v>
      </c>
      <c r="X84" s="2">
        <v>5639</v>
      </c>
      <c r="Y84" s="2" t="s">
        <v>41</v>
      </c>
      <c r="Z84" s="2">
        <v>66</v>
      </c>
      <c r="AA84" s="2">
        <v>3.5</v>
      </c>
      <c r="AB84" s="2" t="s">
        <v>42</v>
      </c>
    </row>
    <row r="85" spans="1:28" x14ac:dyDescent="0.25">
      <c r="A85" s="4" t="s">
        <v>329</v>
      </c>
      <c r="B85" s="4" t="s">
        <v>330</v>
      </c>
      <c r="C85" s="4">
        <v>12</v>
      </c>
      <c r="D85" s="4" t="s">
        <v>55</v>
      </c>
      <c r="E85" s="4" t="s">
        <v>31</v>
      </c>
      <c r="F85" s="4" t="s">
        <v>94</v>
      </c>
      <c r="G85" s="5">
        <v>45227</v>
      </c>
      <c r="H85" s="5">
        <v>45249</v>
      </c>
      <c r="I85" s="4">
        <v>22</v>
      </c>
      <c r="J85" s="4" t="s">
        <v>33</v>
      </c>
      <c r="K85" s="4" t="s">
        <v>174</v>
      </c>
      <c r="L85" s="4" t="s">
        <v>48</v>
      </c>
      <c r="M85" s="4" t="s">
        <v>108</v>
      </c>
      <c r="N85" s="4" t="s">
        <v>118</v>
      </c>
      <c r="O85" s="4" t="s">
        <v>331</v>
      </c>
      <c r="P85" s="4">
        <v>468</v>
      </c>
      <c r="Q85" s="4" t="s">
        <v>50</v>
      </c>
      <c r="R85" s="4" t="s">
        <v>51</v>
      </c>
      <c r="S85" s="4">
        <v>136833</v>
      </c>
      <c r="T85" s="4">
        <v>79777</v>
      </c>
      <c r="U85" s="4">
        <v>57056</v>
      </c>
      <c r="V85" s="4">
        <v>97874</v>
      </c>
      <c r="W85" s="4">
        <v>23146</v>
      </c>
      <c r="X85" s="4">
        <v>13148</v>
      </c>
      <c r="Y85" s="4" t="s">
        <v>41</v>
      </c>
      <c r="Z85" s="4">
        <v>55</v>
      </c>
      <c r="AA85" s="4">
        <v>2.8</v>
      </c>
      <c r="AB85" s="4" t="s">
        <v>52</v>
      </c>
    </row>
    <row r="86" spans="1:28" x14ac:dyDescent="0.25">
      <c r="A86" s="2" t="s">
        <v>332</v>
      </c>
      <c r="B86" s="2" t="s">
        <v>294</v>
      </c>
      <c r="C86" s="2">
        <v>41</v>
      </c>
      <c r="D86" s="2" t="s">
        <v>55</v>
      </c>
      <c r="E86" s="2" t="s">
        <v>87</v>
      </c>
      <c r="F86" s="2" t="s">
        <v>80</v>
      </c>
      <c r="G86" s="3">
        <v>45544</v>
      </c>
      <c r="H86" s="3">
        <v>45556</v>
      </c>
      <c r="I86" s="2">
        <v>12</v>
      </c>
      <c r="J86" s="2" t="s">
        <v>33</v>
      </c>
      <c r="K86" s="2" t="s">
        <v>99</v>
      </c>
      <c r="L86" s="2" t="s">
        <v>100</v>
      </c>
      <c r="M86" s="2" t="s">
        <v>134</v>
      </c>
      <c r="N86" s="2" t="s">
        <v>62</v>
      </c>
      <c r="O86" s="2" t="s">
        <v>259</v>
      </c>
      <c r="P86" s="2">
        <v>195</v>
      </c>
      <c r="Q86" s="2" t="s">
        <v>103</v>
      </c>
      <c r="R86" s="2" t="s">
        <v>136</v>
      </c>
      <c r="S86" s="2">
        <v>57959</v>
      </c>
      <c r="T86" s="2">
        <v>0</v>
      </c>
      <c r="U86" s="2">
        <v>57959</v>
      </c>
      <c r="V86" s="2">
        <v>43397</v>
      </c>
      <c r="W86" s="2">
        <v>10517</v>
      </c>
      <c r="X86" s="2">
        <v>1189</v>
      </c>
      <c r="Y86" s="2" t="s">
        <v>41</v>
      </c>
      <c r="Z86" s="2">
        <v>45</v>
      </c>
      <c r="AA86" s="2">
        <v>3</v>
      </c>
      <c r="AB86" s="2" t="s">
        <v>137</v>
      </c>
    </row>
    <row r="87" spans="1:28" x14ac:dyDescent="0.25">
      <c r="A87" s="4" t="s">
        <v>333</v>
      </c>
      <c r="B87" s="4" t="s">
        <v>334</v>
      </c>
      <c r="C87" s="4">
        <v>66</v>
      </c>
      <c r="D87" s="4" t="s">
        <v>55</v>
      </c>
      <c r="E87" s="4" t="s">
        <v>31</v>
      </c>
      <c r="F87" s="4" t="s">
        <v>94</v>
      </c>
      <c r="G87" s="5">
        <v>45117</v>
      </c>
      <c r="H87" s="5">
        <v>45147</v>
      </c>
      <c r="I87" s="4">
        <v>30</v>
      </c>
      <c r="J87" s="4" t="s">
        <v>33</v>
      </c>
      <c r="K87" s="4" t="s">
        <v>99</v>
      </c>
      <c r="L87" s="4" t="s">
        <v>100</v>
      </c>
      <c r="M87" s="4" t="s">
        <v>143</v>
      </c>
      <c r="N87" s="4" t="s">
        <v>62</v>
      </c>
      <c r="O87" s="4" t="s">
        <v>131</v>
      </c>
      <c r="P87" s="4">
        <v>123</v>
      </c>
      <c r="Q87" s="4" t="s">
        <v>39</v>
      </c>
      <c r="R87" s="4" t="s">
        <v>90</v>
      </c>
      <c r="S87" s="4">
        <v>165962</v>
      </c>
      <c r="T87" s="4">
        <v>102191</v>
      </c>
      <c r="U87" s="4">
        <v>63771</v>
      </c>
      <c r="V87" s="4">
        <v>144209</v>
      </c>
      <c r="W87" s="4">
        <v>8394</v>
      </c>
      <c r="X87" s="4">
        <v>10952</v>
      </c>
      <c r="Y87" s="4" t="s">
        <v>41</v>
      </c>
      <c r="Z87" s="4">
        <v>85</v>
      </c>
      <c r="AA87" s="4">
        <v>3.4</v>
      </c>
      <c r="AB87" s="4" t="s">
        <v>64</v>
      </c>
    </row>
    <row r="88" spans="1:28" x14ac:dyDescent="0.25">
      <c r="A88" s="2" t="s">
        <v>335</v>
      </c>
      <c r="B88" s="2" t="s">
        <v>336</v>
      </c>
      <c r="C88" s="2">
        <v>25</v>
      </c>
      <c r="D88" s="2" t="s">
        <v>30</v>
      </c>
      <c r="E88" s="2" t="s">
        <v>87</v>
      </c>
      <c r="F88" s="2" t="s">
        <v>150</v>
      </c>
      <c r="G88" s="3">
        <v>44970</v>
      </c>
      <c r="H88" s="3">
        <v>44995</v>
      </c>
      <c r="I88" s="2">
        <v>25</v>
      </c>
      <c r="J88" s="2" t="s">
        <v>58</v>
      </c>
      <c r="K88" s="2" t="s">
        <v>59</v>
      </c>
      <c r="L88" s="2" t="s">
        <v>60</v>
      </c>
      <c r="M88" s="2" t="s">
        <v>134</v>
      </c>
      <c r="N88" s="2" t="s">
        <v>62</v>
      </c>
      <c r="O88" s="2" t="s">
        <v>337</v>
      </c>
      <c r="P88" s="2">
        <v>119</v>
      </c>
      <c r="Q88" s="2" t="s">
        <v>69</v>
      </c>
      <c r="R88" s="2" t="s">
        <v>40</v>
      </c>
      <c r="S88" s="2">
        <v>160618</v>
      </c>
      <c r="T88" s="2">
        <v>109249</v>
      </c>
      <c r="U88" s="2">
        <v>51369</v>
      </c>
      <c r="V88" s="2">
        <v>114546</v>
      </c>
      <c r="W88" s="2">
        <v>29909</v>
      </c>
      <c r="X88" s="2">
        <v>14223</v>
      </c>
      <c r="Y88" s="2" t="s">
        <v>91</v>
      </c>
      <c r="Z88" s="2">
        <v>93</v>
      </c>
      <c r="AA88" s="2">
        <v>3.2</v>
      </c>
      <c r="AB88" s="2" t="s">
        <v>137</v>
      </c>
    </row>
    <row r="89" spans="1:28" x14ac:dyDescent="0.25">
      <c r="A89" s="4" t="s">
        <v>338</v>
      </c>
      <c r="B89" s="4" t="s">
        <v>339</v>
      </c>
      <c r="C89" s="4">
        <v>9</v>
      </c>
      <c r="D89" s="4" t="s">
        <v>55</v>
      </c>
      <c r="E89" s="4" t="s">
        <v>79</v>
      </c>
      <c r="F89" s="4" t="s">
        <v>72</v>
      </c>
      <c r="G89" s="5">
        <v>44781</v>
      </c>
      <c r="H89" s="5">
        <v>44811</v>
      </c>
      <c r="I89" s="4">
        <v>30</v>
      </c>
      <c r="J89" s="4" t="s">
        <v>33</v>
      </c>
      <c r="K89" s="4" t="s">
        <v>47</v>
      </c>
      <c r="L89" s="4" t="s">
        <v>48</v>
      </c>
      <c r="M89" s="4" t="s">
        <v>83</v>
      </c>
      <c r="N89" s="4" t="s">
        <v>37</v>
      </c>
      <c r="O89" s="4" t="s">
        <v>340</v>
      </c>
      <c r="P89" s="4">
        <v>240</v>
      </c>
      <c r="Q89" s="4" t="s">
        <v>50</v>
      </c>
      <c r="R89" s="4" t="s">
        <v>40</v>
      </c>
      <c r="S89" s="4">
        <v>53785</v>
      </c>
      <c r="T89" s="4">
        <v>31974</v>
      </c>
      <c r="U89" s="4">
        <v>21811</v>
      </c>
      <c r="V89" s="4">
        <v>34529</v>
      </c>
      <c r="W89" s="4">
        <v>11835</v>
      </c>
      <c r="X89" s="4">
        <v>3162</v>
      </c>
      <c r="Y89" s="4" t="s">
        <v>41</v>
      </c>
      <c r="Z89" s="4">
        <v>40</v>
      </c>
      <c r="AA89" s="4">
        <v>4.2</v>
      </c>
      <c r="AB89" s="4" t="s">
        <v>52</v>
      </c>
    </row>
    <row r="90" spans="1:28" x14ac:dyDescent="0.25">
      <c r="A90" s="2" t="s">
        <v>341</v>
      </c>
      <c r="B90" s="2" t="s">
        <v>342</v>
      </c>
      <c r="C90" s="2">
        <v>27</v>
      </c>
      <c r="D90" s="2" t="s">
        <v>30</v>
      </c>
      <c r="E90" s="2" t="s">
        <v>67</v>
      </c>
      <c r="F90" s="2" t="s">
        <v>94</v>
      </c>
      <c r="G90" s="3">
        <v>45233</v>
      </c>
      <c r="H90" s="3">
        <v>45236</v>
      </c>
      <c r="I90" s="2">
        <v>3</v>
      </c>
      <c r="J90" s="2" t="s">
        <v>115</v>
      </c>
      <c r="K90" s="2" t="s">
        <v>116</v>
      </c>
      <c r="L90" s="2" t="s">
        <v>117</v>
      </c>
      <c r="M90" s="2" t="s">
        <v>143</v>
      </c>
      <c r="N90" s="2" t="s">
        <v>109</v>
      </c>
      <c r="O90" s="2" t="s">
        <v>343</v>
      </c>
      <c r="P90" s="2">
        <v>480</v>
      </c>
      <c r="Q90" s="2" t="s">
        <v>39</v>
      </c>
      <c r="R90" s="2" t="s">
        <v>90</v>
      </c>
      <c r="S90" s="2">
        <v>95448</v>
      </c>
      <c r="T90" s="2">
        <v>78852</v>
      </c>
      <c r="U90" s="2">
        <v>16596</v>
      </c>
      <c r="V90" s="2">
        <v>73363</v>
      </c>
      <c r="W90" s="2">
        <v>13568</v>
      </c>
      <c r="X90" s="2">
        <v>4358</v>
      </c>
      <c r="Y90" s="2" t="s">
        <v>41</v>
      </c>
      <c r="Z90" s="2">
        <v>59</v>
      </c>
      <c r="AA90" s="2">
        <v>3.7</v>
      </c>
      <c r="AB90" s="2" t="s">
        <v>42</v>
      </c>
    </row>
    <row r="91" spans="1:28" x14ac:dyDescent="0.25">
      <c r="A91" s="4" t="s">
        <v>344</v>
      </c>
      <c r="B91" s="4" t="s">
        <v>345</v>
      </c>
      <c r="C91" s="4">
        <v>51</v>
      </c>
      <c r="D91" s="4" t="s">
        <v>55</v>
      </c>
      <c r="E91" s="4" t="s">
        <v>122</v>
      </c>
      <c r="F91" s="4" t="s">
        <v>157</v>
      </c>
      <c r="G91" s="5">
        <v>45515</v>
      </c>
      <c r="H91" s="5">
        <v>45525</v>
      </c>
      <c r="I91" s="4">
        <v>10</v>
      </c>
      <c r="J91" s="4" t="s">
        <v>123</v>
      </c>
      <c r="K91" s="4" t="s">
        <v>124</v>
      </c>
      <c r="L91" s="4" t="s">
        <v>125</v>
      </c>
      <c r="M91" s="4" t="s">
        <v>75</v>
      </c>
      <c r="N91" s="4" t="s">
        <v>118</v>
      </c>
      <c r="O91" s="4" t="s">
        <v>161</v>
      </c>
      <c r="P91" s="4">
        <v>189</v>
      </c>
      <c r="Q91" s="4" t="s">
        <v>39</v>
      </c>
      <c r="R91" s="4" t="s">
        <v>40</v>
      </c>
      <c r="S91" s="4">
        <v>63919</v>
      </c>
      <c r="T91" s="4">
        <v>39906</v>
      </c>
      <c r="U91" s="4">
        <v>24013</v>
      </c>
      <c r="V91" s="4">
        <v>40014</v>
      </c>
      <c r="W91" s="4">
        <v>16669</v>
      </c>
      <c r="X91" s="4">
        <v>3009</v>
      </c>
      <c r="Y91" s="4" t="s">
        <v>41</v>
      </c>
      <c r="Z91" s="4">
        <v>66</v>
      </c>
      <c r="AA91" s="4">
        <v>4.0999999999999996</v>
      </c>
      <c r="AB91" s="4" t="s">
        <v>137</v>
      </c>
    </row>
    <row r="92" spans="1:28" x14ac:dyDescent="0.25">
      <c r="A92" s="2" t="s">
        <v>346</v>
      </c>
      <c r="B92" s="2" t="s">
        <v>347</v>
      </c>
      <c r="C92" s="2">
        <v>32</v>
      </c>
      <c r="D92" s="2" t="s">
        <v>55</v>
      </c>
      <c r="E92" s="2" t="s">
        <v>56</v>
      </c>
      <c r="F92" s="2" t="s">
        <v>94</v>
      </c>
      <c r="G92" s="3">
        <v>45476</v>
      </c>
      <c r="H92" s="3">
        <v>45493</v>
      </c>
      <c r="I92" s="2">
        <v>17</v>
      </c>
      <c r="J92" s="2" t="s">
        <v>58</v>
      </c>
      <c r="K92" s="2" t="s">
        <v>88</v>
      </c>
      <c r="L92" s="2" t="s">
        <v>60</v>
      </c>
      <c r="M92" s="2" t="s">
        <v>101</v>
      </c>
      <c r="N92" s="2" t="s">
        <v>62</v>
      </c>
      <c r="O92" s="2" t="s">
        <v>194</v>
      </c>
      <c r="P92" s="2">
        <v>463</v>
      </c>
      <c r="Q92" s="2" t="s">
        <v>39</v>
      </c>
      <c r="R92" s="2" t="s">
        <v>51</v>
      </c>
      <c r="S92" s="2">
        <v>157974</v>
      </c>
      <c r="T92" s="2">
        <v>103686</v>
      </c>
      <c r="U92" s="2">
        <v>54288</v>
      </c>
      <c r="V92" s="2">
        <v>145682</v>
      </c>
      <c r="W92" s="2">
        <v>5910</v>
      </c>
      <c r="X92" s="2">
        <v>3195</v>
      </c>
      <c r="Y92" s="2" t="s">
        <v>41</v>
      </c>
      <c r="Z92" s="2">
        <v>83</v>
      </c>
      <c r="AA92" s="2">
        <v>2.6</v>
      </c>
      <c r="AB92" s="2" t="s">
        <v>42</v>
      </c>
    </row>
    <row r="93" spans="1:28" x14ac:dyDescent="0.25">
      <c r="A93" s="4" t="s">
        <v>348</v>
      </c>
      <c r="B93" s="4" t="s">
        <v>349</v>
      </c>
      <c r="C93" s="4">
        <v>70</v>
      </c>
      <c r="D93" s="4" t="s">
        <v>30</v>
      </c>
      <c r="E93" s="4" t="s">
        <v>122</v>
      </c>
      <c r="F93" s="4" t="s">
        <v>150</v>
      </c>
      <c r="G93" s="5">
        <v>44832</v>
      </c>
      <c r="H93" s="5">
        <v>44849</v>
      </c>
      <c r="I93" s="4">
        <v>17</v>
      </c>
      <c r="J93" s="4" t="s">
        <v>33</v>
      </c>
      <c r="K93" s="4" t="s">
        <v>81</v>
      </c>
      <c r="L93" s="4" t="s">
        <v>82</v>
      </c>
      <c r="M93" s="4" t="s">
        <v>101</v>
      </c>
      <c r="N93" s="4" t="s">
        <v>62</v>
      </c>
      <c r="O93" s="4" t="s">
        <v>96</v>
      </c>
      <c r="P93" s="4">
        <v>345</v>
      </c>
      <c r="Q93" s="4" t="s">
        <v>50</v>
      </c>
      <c r="R93" s="4" t="s">
        <v>90</v>
      </c>
      <c r="S93" s="4">
        <v>132533</v>
      </c>
      <c r="T93" s="4">
        <v>109173</v>
      </c>
      <c r="U93" s="4">
        <v>23360</v>
      </c>
      <c r="V93" s="4">
        <v>108795</v>
      </c>
      <c r="W93" s="4">
        <v>9338</v>
      </c>
      <c r="X93" s="4">
        <v>13876</v>
      </c>
      <c r="Y93" s="4" t="s">
        <v>41</v>
      </c>
      <c r="Z93" s="4">
        <v>42</v>
      </c>
      <c r="AA93" s="4">
        <v>3.3</v>
      </c>
      <c r="AB93" s="4" t="s">
        <v>104</v>
      </c>
    </row>
    <row r="94" spans="1:28" x14ac:dyDescent="0.25">
      <c r="A94" s="2" t="s">
        <v>350</v>
      </c>
      <c r="B94" s="2" t="s">
        <v>351</v>
      </c>
      <c r="C94" s="2">
        <v>13</v>
      </c>
      <c r="D94" s="2" t="s">
        <v>30</v>
      </c>
      <c r="E94" s="2" t="s">
        <v>122</v>
      </c>
      <c r="F94" s="2" t="s">
        <v>46</v>
      </c>
      <c r="G94" s="3">
        <v>45399</v>
      </c>
      <c r="H94" s="3">
        <v>45405</v>
      </c>
      <c r="I94" s="2">
        <v>6</v>
      </c>
      <c r="J94" s="2" t="s">
        <v>140</v>
      </c>
      <c r="K94" s="2" t="s">
        <v>141</v>
      </c>
      <c r="L94" s="2" t="s">
        <v>142</v>
      </c>
      <c r="M94" s="2" t="s">
        <v>95</v>
      </c>
      <c r="N94" s="2" t="s">
        <v>37</v>
      </c>
      <c r="O94" s="2" t="s">
        <v>352</v>
      </c>
      <c r="P94" s="2">
        <v>193</v>
      </c>
      <c r="Q94" s="2" t="s">
        <v>69</v>
      </c>
      <c r="R94" s="2" t="s">
        <v>51</v>
      </c>
      <c r="S94" s="2">
        <v>80219</v>
      </c>
      <c r="T94" s="2">
        <v>34943</v>
      </c>
      <c r="U94" s="2">
        <v>45276</v>
      </c>
      <c r="V94" s="2">
        <v>39862</v>
      </c>
      <c r="W94" s="2">
        <v>22415</v>
      </c>
      <c r="X94" s="2">
        <v>14594</v>
      </c>
      <c r="Y94" s="2" t="s">
        <v>41</v>
      </c>
      <c r="Z94" s="2">
        <v>65</v>
      </c>
      <c r="AA94" s="2">
        <v>3.6</v>
      </c>
      <c r="AB94" s="2" t="s">
        <v>64</v>
      </c>
    </row>
    <row r="95" spans="1:28" x14ac:dyDescent="0.25">
      <c r="A95" s="4" t="s">
        <v>353</v>
      </c>
      <c r="B95" s="4" t="s">
        <v>354</v>
      </c>
      <c r="C95" s="4">
        <v>7</v>
      </c>
      <c r="D95" s="4" t="s">
        <v>30</v>
      </c>
      <c r="E95" s="4" t="s">
        <v>87</v>
      </c>
      <c r="F95" s="4" t="s">
        <v>94</v>
      </c>
      <c r="G95" s="5">
        <v>45430</v>
      </c>
      <c r="H95" s="5">
        <v>45448</v>
      </c>
      <c r="I95" s="4">
        <v>18</v>
      </c>
      <c r="J95" s="4" t="s">
        <v>115</v>
      </c>
      <c r="K95" s="4" t="s">
        <v>116</v>
      </c>
      <c r="L95" s="4" t="s">
        <v>117</v>
      </c>
      <c r="M95" s="4" t="s">
        <v>61</v>
      </c>
      <c r="N95" s="4" t="s">
        <v>37</v>
      </c>
      <c r="O95" s="4" t="s">
        <v>355</v>
      </c>
      <c r="P95" s="4">
        <v>142</v>
      </c>
      <c r="Q95" s="4" t="s">
        <v>39</v>
      </c>
      <c r="R95" s="4" t="s">
        <v>90</v>
      </c>
      <c r="S95" s="4">
        <v>56219</v>
      </c>
      <c r="T95" s="4">
        <v>44103</v>
      </c>
      <c r="U95" s="4">
        <v>12116</v>
      </c>
      <c r="V95" s="4">
        <v>13445</v>
      </c>
      <c r="W95" s="4">
        <v>27524</v>
      </c>
      <c r="X95" s="4">
        <v>11316</v>
      </c>
      <c r="Y95" s="4" t="s">
        <v>41</v>
      </c>
      <c r="Z95" s="4">
        <v>96</v>
      </c>
      <c r="AA95" s="4">
        <v>2</v>
      </c>
      <c r="AB95" s="4" t="s">
        <v>64</v>
      </c>
    </row>
    <row r="96" spans="1:28" x14ac:dyDescent="0.25">
      <c r="A96" s="2" t="s">
        <v>356</v>
      </c>
      <c r="B96" s="2" t="s">
        <v>357</v>
      </c>
      <c r="C96" s="2">
        <v>81</v>
      </c>
      <c r="D96" s="2" t="s">
        <v>55</v>
      </c>
      <c r="E96" s="2" t="s">
        <v>87</v>
      </c>
      <c r="F96" s="2" t="s">
        <v>72</v>
      </c>
      <c r="G96" s="3">
        <v>44661</v>
      </c>
      <c r="H96" s="3">
        <v>44669</v>
      </c>
      <c r="I96" s="2">
        <v>8</v>
      </c>
      <c r="J96" s="2" t="s">
        <v>33</v>
      </c>
      <c r="K96" s="2" t="s">
        <v>197</v>
      </c>
      <c r="L96" s="2" t="s">
        <v>198</v>
      </c>
      <c r="M96" s="2" t="s">
        <v>83</v>
      </c>
      <c r="N96" s="2" t="s">
        <v>109</v>
      </c>
      <c r="O96" s="2" t="s">
        <v>358</v>
      </c>
      <c r="P96" s="2">
        <v>387</v>
      </c>
      <c r="Q96" s="2" t="s">
        <v>69</v>
      </c>
      <c r="R96" s="2" t="s">
        <v>40</v>
      </c>
      <c r="S96" s="2">
        <v>155019</v>
      </c>
      <c r="T96" s="2">
        <v>88863</v>
      </c>
      <c r="U96" s="2">
        <v>66156</v>
      </c>
      <c r="V96" s="2">
        <v>137093</v>
      </c>
      <c r="W96" s="2">
        <v>10478</v>
      </c>
      <c r="X96" s="2">
        <v>4336</v>
      </c>
      <c r="Y96" s="2" t="s">
        <v>41</v>
      </c>
      <c r="Z96" s="2">
        <v>92</v>
      </c>
      <c r="AA96" s="2">
        <v>3</v>
      </c>
      <c r="AB96" s="2" t="s">
        <v>52</v>
      </c>
    </row>
    <row r="97" spans="1:28" x14ac:dyDescent="0.25">
      <c r="A97" s="4" t="s">
        <v>359</v>
      </c>
      <c r="B97" s="4" t="s">
        <v>360</v>
      </c>
      <c r="C97" s="4">
        <v>71</v>
      </c>
      <c r="D97" s="4" t="s">
        <v>55</v>
      </c>
      <c r="E97" s="4" t="s">
        <v>67</v>
      </c>
      <c r="F97" s="4" t="s">
        <v>46</v>
      </c>
      <c r="G97" s="5">
        <v>45125</v>
      </c>
      <c r="H97" s="5">
        <v>45127</v>
      </c>
      <c r="I97" s="4">
        <v>2</v>
      </c>
      <c r="J97" s="4" t="s">
        <v>33</v>
      </c>
      <c r="K97" s="4" t="s">
        <v>99</v>
      </c>
      <c r="L97" s="4" t="s">
        <v>100</v>
      </c>
      <c r="M97" s="4" t="s">
        <v>143</v>
      </c>
      <c r="N97" s="4" t="s">
        <v>37</v>
      </c>
      <c r="O97" s="4" t="s">
        <v>96</v>
      </c>
      <c r="P97" s="4">
        <v>25</v>
      </c>
      <c r="Q97" s="4" t="s">
        <v>50</v>
      </c>
      <c r="R97" s="4" t="s">
        <v>111</v>
      </c>
      <c r="S97" s="4">
        <v>169746</v>
      </c>
      <c r="T97" s="4">
        <v>122638</v>
      </c>
      <c r="U97" s="4">
        <v>47108</v>
      </c>
      <c r="V97" s="4">
        <v>142484</v>
      </c>
      <c r="W97" s="4">
        <v>11444</v>
      </c>
      <c r="X97" s="4">
        <v>11908</v>
      </c>
      <c r="Y97" s="4" t="s">
        <v>41</v>
      </c>
      <c r="Z97" s="4">
        <v>51</v>
      </c>
      <c r="AA97" s="4">
        <v>4.3</v>
      </c>
      <c r="AB97" s="4" t="s">
        <v>137</v>
      </c>
    </row>
    <row r="98" spans="1:28" x14ac:dyDescent="0.25">
      <c r="A98" s="2" t="s">
        <v>361</v>
      </c>
      <c r="B98" s="2" t="s">
        <v>362</v>
      </c>
      <c r="C98" s="2">
        <v>43</v>
      </c>
      <c r="D98" s="2" t="s">
        <v>55</v>
      </c>
      <c r="E98" s="2" t="s">
        <v>87</v>
      </c>
      <c r="F98" s="2" t="s">
        <v>57</v>
      </c>
      <c r="G98" s="3">
        <v>45407</v>
      </c>
      <c r="H98" s="3">
        <v>45421</v>
      </c>
      <c r="I98" s="2">
        <v>14</v>
      </c>
      <c r="J98" s="2" t="s">
        <v>33</v>
      </c>
      <c r="K98" s="2" t="s">
        <v>99</v>
      </c>
      <c r="L98" s="2" t="s">
        <v>100</v>
      </c>
      <c r="M98" s="2" t="s">
        <v>143</v>
      </c>
      <c r="N98" s="2" t="s">
        <v>37</v>
      </c>
      <c r="O98" s="2" t="s">
        <v>168</v>
      </c>
      <c r="P98" s="2">
        <v>105</v>
      </c>
      <c r="Q98" s="2" t="s">
        <v>50</v>
      </c>
      <c r="R98" s="2" t="s">
        <v>90</v>
      </c>
      <c r="S98" s="2">
        <v>159502</v>
      </c>
      <c r="T98" s="2">
        <v>121332</v>
      </c>
      <c r="U98" s="2">
        <v>38170</v>
      </c>
      <c r="V98" s="2">
        <v>122908</v>
      </c>
      <c r="W98" s="2">
        <v>28758</v>
      </c>
      <c r="X98" s="2">
        <v>6579</v>
      </c>
      <c r="Y98" s="2" t="s">
        <v>41</v>
      </c>
      <c r="Z98" s="2">
        <v>43</v>
      </c>
      <c r="AA98" s="2">
        <v>2.8</v>
      </c>
      <c r="AB98" s="2" t="s">
        <v>42</v>
      </c>
    </row>
    <row r="99" spans="1:28" x14ac:dyDescent="0.25">
      <c r="A99" s="4" t="s">
        <v>363</v>
      </c>
      <c r="B99" s="4" t="s">
        <v>364</v>
      </c>
      <c r="C99" s="4">
        <v>14</v>
      </c>
      <c r="D99" s="4" t="s">
        <v>55</v>
      </c>
      <c r="E99" s="4" t="s">
        <v>31</v>
      </c>
      <c r="F99" s="4" t="s">
        <v>150</v>
      </c>
      <c r="G99" s="5">
        <v>44989</v>
      </c>
      <c r="H99" s="5">
        <v>45017</v>
      </c>
      <c r="I99" s="4">
        <v>28</v>
      </c>
      <c r="J99" s="4" t="s">
        <v>33</v>
      </c>
      <c r="K99" s="4" t="s">
        <v>47</v>
      </c>
      <c r="L99" s="4" t="s">
        <v>48</v>
      </c>
      <c r="M99" s="4" t="s">
        <v>130</v>
      </c>
      <c r="N99" s="4" t="s">
        <v>109</v>
      </c>
      <c r="O99" s="4" t="s">
        <v>365</v>
      </c>
      <c r="P99" s="4">
        <v>383</v>
      </c>
      <c r="Q99" s="4" t="s">
        <v>103</v>
      </c>
      <c r="R99" s="4" t="s">
        <v>40</v>
      </c>
      <c r="S99" s="4">
        <v>80162</v>
      </c>
      <c r="T99" s="4">
        <v>50715</v>
      </c>
      <c r="U99" s="4">
        <v>29447</v>
      </c>
      <c r="V99" s="4">
        <v>58611</v>
      </c>
      <c r="W99" s="4">
        <v>13996</v>
      </c>
      <c r="X99" s="4">
        <v>4421</v>
      </c>
      <c r="Y99" s="4" t="s">
        <v>41</v>
      </c>
      <c r="Z99" s="4">
        <v>74</v>
      </c>
      <c r="AA99" s="4">
        <v>3.9</v>
      </c>
      <c r="AB99" s="4" t="s">
        <v>52</v>
      </c>
    </row>
    <row r="100" spans="1:28" x14ac:dyDescent="0.25">
      <c r="A100" s="2" t="s">
        <v>366</v>
      </c>
      <c r="B100" s="2" t="s">
        <v>367</v>
      </c>
      <c r="C100" s="2">
        <v>70</v>
      </c>
      <c r="D100" s="2" t="s">
        <v>30</v>
      </c>
      <c r="E100" s="2" t="s">
        <v>87</v>
      </c>
      <c r="F100" s="2" t="s">
        <v>157</v>
      </c>
      <c r="G100" s="3">
        <v>45523</v>
      </c>
      <c r="H100" s="3">
        <v>45548</v>
      </c>
      <c r="I100" s="2">
        <v>25</v>
      </c>
      <c r="J100" s="2" t="s">
        <v>33</v>
      </c>
      <c r="K100" s="2" t="s">
        <v>47</v>
      </c>
      <c r="L100" s="2" t="s">
        <v>48</v>
      </c>
      <c r="M100" s="2" t="s">
        <v>95</v>
      </c>
      <c r="N100" s="2" t="s">
        <v>118</v>
      </c>
      <c r="O100" s="2" t="s">
        <v>368</v>
      </c>
      <c r="P100" s="2">
        <v>289</v>
      </c>
      <c r="Q100" s="2" t="s">
        <v>39</v>
      </c>
      <c r="R100" s="2" t="s">
        <v>40</v>
      </c>
      <c r="S100" s="2">
        <v>32281</v>
      </c>
      <c r="T100" s="2">
        <v>15771</v>
      </c>
      <c r="U100" s="2">
        <v>16510</v>
      </c>
      <c r="V100" s="2">
        <v>9251</v>
      </c>
      <c r="W100" s="2">
        <v>9545</v>
      </c>
      <c r="X100" s="2">
        <v>9565</v>
      </c>
      <c r="Y100" s="2" t="s">
        <v>41</v>
      </c>
      <c r="Z100" s="2">
        <v>54</v>
      </c>
      <c r="AA100" s="2">
        <v>3.1</v>
      </c>
      <c r="AB100" s="2" t="s">
        <v>64</v>
      </c>
    </row>
    <row r="101" spans="1:28" x14ac:dyDescent="0.25">
      <c r="A101" s="4" t="s">
        <v>369</v>
      </c>
      <c r="B101" s="4" t="s">
        <v>370</v>
      </c>
      <c r="C101" s="4">
        <v>48</v>
      </c>
      <c r="D101" s="4" t="s">
        <v>30</v>
      </c>
      <c r="E101" s="4" t="s">
        <v>87</v>
      </c>
      <c r="F101" s="4" t="s">
        <v>150</v>
      </c>
      <c r="G101" s="5">
        <v>45505</v>
      </c>
      <c r="H101" s="5">
        <v>45511</v>
      </c>
      <c r="I101" s="4">
        <v>6</v>
      </c>
      <c r="J101" s="4" t="s">
        <v>58</v>
      </c>
      <c r="K101" s="4" t="s">
        <v>88</v>
      </c>
      <c r="L101" s="4" t="s">
        <v>60</v>
      </c>
      <c r="M101" s="4" t="s">
        <v>143</v>
      </c>
      <c r="N101" s="4" t="s">
        <v>37</v>
      </c>
      <c r="O101" s="4" t="s">
        <v>340</v>
      </c>
      <c r="P101" s="4">
        <v>329</v>
      </c>
      <c r="Q101" s="4" t="s">
        <v>69</v>
      </c>
      <c r="R101" s="4" t="s">
        <v>51</v>
      </c>
      <c r="S101" s="4">
        <v>57840</v>
      </c>
      <c r="T101" s="4">
        <v>39537</v>
      </c>
      <c r="U101" s="4">
        <v>18303</v>
      </c>
      <c r="V101" s="4">
        <v>13866</v>
      </c>
      <c r="W101" s="4">
        <v>28494</v>
      </c>
      <c r="X101" s="4">
        <v>14372</v>
      </c>
      <c r="Y101" s="4" t="s">
        <v>41</v>
      </c>
      <c r="Z101" s="4">
        <v>88</v>
      </c>
      <c r="AA101" s="4">
        <v>2</v>
      </c>
      <c r="AB101" s="4" t="s">
        <v>64</v>
      </c>
    </row>
    <row r="102" spans="1:28" x14ac:dyDescent="0.25">
      <c r="A102" s="2" t="s">
        <v>371</v>
      </c>
      <c r="B102" s="2" t="s">
        <v>372</v>
      </c>
      <c r="C102" s="2">
        <v>13</v>
      </c>
      <c r="D102" s="2" t="s">
        <v>55</v>
      </c>
      <c r="E102" s="2" t="s">
        <v>122</v>
      </c>
      <c r="F102" s="2" t="s">
        <v>32</v>
      </c>
      <c r="G102" s="3">
        <v>45597</v>
      </c>
      <c r="H102" s="3">
        <v>45612</v>
      </c>
      <c r="I102" s="2">
        <v>15</v>
      </c>
      <c r="J102" s="2" t="s">
        <v>58</v>
      </c>
      <c r="K102" s="2" t="s">
        <v>88</v>
      </c>
      <c r="L102" s="2" t="s">
        <v>60</v>
      </c>
      <c r="M102" s="2" t="s">
        <v>101</v>
      </c>
      <c r="N102" s="2" t="s">
        <v>37</v>
      </c>
      <c r="O102" s="2" t="s">
        <v>373</v>
      </c>
      <c r="P102" s="2">
        <v>4</v>
      </c>
      <c r="Q102" s="2" t="s">
        <v>103</v>
      </c>
      <c r="R102" s="2" t="s">
        <v>90</v>
      </c>
      <c r="S102" s="2">
        <v>42813</v>
      </c>
      <c r="T102" s="2">
        <v>32569</v>
      </c>
      <c r="U102" s="2">
        <v>10244</v>
      </c>
      <c r="V102" s="2">
        <v>9384</v>
      </c>
      <c r="W102" s="2">
        <v>18347</v>
      </c>
      <c r="X102" s="2">
        <v>12332</v>
      </c>
      <c r="Y102" s="2" t="s">
        <v>41</v>
      </c>
      <c r="Z102" s="2">
        <v>72</v>
      </c>
      <c r="AA102" s="2">
        <v>4.4000000000000004</v>
      </c>
      <c r="AB102" s="2" t="s">
        <v>137</v>
      </c>
    </row>
    <row r="103" spans="1:28" x14ac:dyDescent="0.25">
      <c r="A103" s="4" t="s">
        <v>374</v>
      </c>
      <c r="B103" s="4" t="s">
        <v>375</v>
      </c>
      <c r="C103" s="4">
        <v>18</v>
      </c>
      <c r="D103" s="4" t="s">
        <v>55</v>
      </c>
      <c r="E103" s="4" t="s">
        <v>154</v>
      </c>
      <c r="F103" s="4" t="s">
        <v>32</v>
      </c>
      <c r="G103" s="5">
        <v>44955</v>
      </c>
      <c r="H103" s="5">
        <v>44975</v>
      </c>
      <c r="I103" s="4">
        <v>20</v>
      </c>
      <c r="J103" s="4" t="s">
        <v>202</v>
      </c>
      <c r="K103" s="4" t="s">
        <v>225</v>
      </c>
      <c r="L103" s="4" t="s">
        <v>226</v>
      </c>
      <c r="M103" s="4" t="s">
        <v>95</v>
      </c>
      <c r="N103" s="4" t="s">
        <v>118</v>
      </c>
      <c r="O103" s="4" t="s">
        <v>376</v>
      </c>
      <c r="P103" s="4">
        <v>192</v>
      </c>
      <c r="Q103" s="4" t="s">
        <v>103</v>
      </c>
      <c r="R103" s="4" t="s">
        <v>111</v>
      </c>
      <c r="S103" s="4">
        <v>99759</v>
      </c>
      <c r="T103" s="4">
        <v>80327</v>
      </c>
      <c r="U103" s="4">
        <v>19432</v>
      </c>
      <c r="V103" s="4">
        <v>68755</v>
      </c>
      <c r="W103" s="4">
        <v>23847</v>
      </c>
      <c r="X103" s="4">
        <v>4200</v>
      </c>
      <c r="Y103" s="4" t="s">
        <v>41</v>
      </c>
      <c r="Z103" s="4">
        <v>81</v>
      </c>
      <c r="AA103" s="4">
        <v>5</v>
      </c>
      <c r="AB103" s="4" t="s">
        <v>104</v>
      </c>
    </row>
    <row r="104" spans="1:28" x14ac:dyDescent="0.25">
      <c r="A104" s="2" t="s">
        <v>377</v>
      </c>
      <c r="B104" s="2" t="s">
        <v>378</v>
      </c>
      <c r="C104" s="2">
        <v>53</v>
      </c>
      <c r="D104" s="2" t="s">
        <v>30</v>
      </c>
      <c r="E104" s="2" t="s">
        <v>87</v>
      </c>
      <c r="F104" s="2" t="s">
        <v>57</v>
      </c>
      <c r="G104" s="3">
        <v>44581</v>
      </c>
      <c r="H104" s="3">
        <v>44604</v>
      </c>
      <c r="I104" s="2">
        <v>23</v>
      </c>
      <c r="J104" s="2" t="s">
        <v>123</v>
      </c>
      <c r="K104" s="2" t="s">
        <v>124</v>
      </c>
      <c r="L104" s="2" t="s">
        <v>125</v>
      </c>
      <c r="M104" s="2" t="s">
        <v>83</v>
      </c>
      <c r="N104" s="2" t="s">
        <v>37</v>
      </c>
      <c r="O104" s="2" t="s">
        <v>379</v>
      </c>
      <c r="P104" s="2">
        <v>440</v>
      </c>
      <c r="Q104" s="2" t="s">
        <v>69</v>
      </c>
      <c r="R104" s="2" t="s">
        <v>51</v>
      </c>
      <c r="S104" s="2">
        <v>33040</v>
      </c>
      <c r="T104" s="2">
        <v>15903</v>
      </c>
      <c r="U104" s="2">
        <v>17137</v>
      </c>
      <c r="V104" s="2">
        <v>16154</v>
      </c>
      <c r="W104" s="2">
        <v>8528</v>
      </c>
      <c r="X104" s="2">
        <v>3963</v>
      </c>
      <c r="Y104" s="2" t="s">
        <v>41</v>
      </c>
      <c r="Z104" s="2">
        <v>83</v>
      </c>
      <c r="AA104" s="2">
        <v>4.8</v>
      </c>
      <c r="AB104" s="2" t="s">
        <v>42</v>
      </c>
    </row>
    <row r="105" spans="1:28" x14ac:dyDescent="0.25">
      <c r="A105" s="4" t="s">
        <v>380</v>
      </c>
      <c r="B105" s="4" t="s">
        <v>381</v>
      </c>
      <c r="C105" s="4">
        <v>27</v>
      </c>
      <c r="D105" s="4" t="s">
        <v>30</v>
      </c>
      <c r="E105" s="4" t="s">
        <v>122</v>
      </c>
      <c r="F105" s="4" t="s">
        <v>32</v>
      </c>
      <c r="G105" s="5">
        <v>44857</v>
      </c>
      <c r="H105" s="5">
        <v>44882</v>
      </c>
      <c r="I105" s="4">
        <v>25</v>
      </c>
      <c r="J105" s="4" t="s">
        <v>115</v>
      </c>
      <c r="K105" s="4" t="s">
        <v>116</v>
      </c>
      <c r="L105" s="4" t="s">
        <v>117</v>
      </c>
      <c r="M105" s="4" t="s">
        <v>134</v>
      </c>
      <c r="N105" s="4" t="s">
        <v>109</v>
      </c>
      <c r="O105" s="4" t="s">
        <v>382</v>
      </c>
      <c r="P105" s="4">
        <v>291</v>
      </c>
      <c r="Q105" s="4" t="s">
        <v>103</v>
      </c>
      <c r="R105" s="4" t="s">
        <v>51</v>
      </c>
      <c r="S105" s="4">
        <v>120062</v>
      </c>
      <c r="T105" s="4">
        <v>76497</v>
      </c>
      <c r="U105" s="4">
        <v>43565</v>
      </c>
      <c r="V105" s="4">
        <v>91960</v>
      </c>
      <c r="W105" s="4">
        <v>13577</v>
      </c>
      <c r="X105" s="4">
        <v>12879</v>
      </c>
      <c r="Y105" s="4" t="s">
        <v>41</v>
      </c>
      <c r="Z105" s="4">
        <v>45</v>
      </c>
      <c r="AA105" s="4">
        <v>3.5</v>
      </c>
      <c r="AB105" s="4" t="s">
        <v>52</v>
      </c>
    </row>
    <row r="106" spans="1:28" x14ac:dyDescent="0.25">
      <c r="A106" s="2" t="s">
        <v>383</v>
      </c>
      <c r="B106" s="2" t="s">
        <v>384</v>
      </c>
      <c r="C106" s="2">
        <v>60</v>
      </c>
      <c r="D106" s="2" t="s">
        <v>55</v>
      </c>
      <c r="E106" s="2" t="s">
        <v>56</v>
      </c>
      <c r="F106" s="2" t="s">
        <v>80</v>
      </c>
      <c r="G106" s="3">
        <v>45374</v>
      </c>
      <c r="H106" s="3">
        <v>45399</v>
      </c>
      <c r="I106" s="2">
        <v>25</v>
      </c>
      <c r="J106" s="2" t="s">
        <v>33</v>
      </c>
      <c r="K106" s="2" t="s">
        <v>47</v>
      </c>
      <c r="L106" s="2" t="s">
        <v>48</v>
      </c>
      <c r="M106" s="2" t="s">
        <v>134</v>
      </c>
      <c r="N106" s="2" t="s">
        <v>37</v>
      </c>
      <c r="O106" s="2" t="s">
        <v>256</v>
      </c>
      <c r="P106" s="2">
        <v>183</v>
      </c>
      <c r="Q106" s="2" t="s">
        <v>103</v>
      </c>
      <c r="R106" s="2" t="s">
        <v>111</v>
      </c>
      <c r="S106" s="2">
        <v>90673</v>
      </c>
      <c r="T106" s="2">
        <v>56735</v>
      </c>
      <c r="U106" s="2">
        <v>33938</v>
      </c>
      <c r="V106" s="2">
        <v>53690</v>
      </c>
      <c r="W106" s="2">
        <v>23272</v>
      </c>
      <c r="X106" s="2">
        <v>10098</v>
      </c>
      <c r="Y106" s="2" t="s">
        <v>41</v>
      </c>
      <c r="Z106" s="2">
        <v>91</v>
      </c>
      <c r="AA106" s="2">
        <v>2.7</v>
      </c>
      <c r="AB106" s="2" t="s">
        <v>104</v>
      </c>
    </row>
    <row r="107" spans="1:28" x14ac:dyDescent="0.25">
      <c r="A107" s="4" t="s">
        <v>385</v>
      </c>
      <c r="B107" s="4" t="s">
        <v>386</v>
      </c>
      <c r="C107" s="4">
        <v>24</v>
      </c>
      <c r="D107" s="4" t="s">
        <v>30</v>
      </c>
      <c r="E107" s="4" t="s">
        <v>154</v>
      </c>
      <c r="F107" s="4" t="s">
        <v>114</v>
      </c>
      <c r="G107" s="5">
        <v>45210</v>
      </c>
      <c r="H107" s="5">
        <v>45222</v>
      </c>
      <c r="I107" s="4">
        <v>12</v>
      </c>
      <c r="J107" s="4" t="s">
        <v>33</v>
      </c>
      <c r="K107" s="4" t="s">
        <v>34</v>
      </c>
      <c r="L107" s="4" t="s">
        <v>35</v>
      </c>
      <c r="M107" s="4" t="s">
        <v>130</v>
      </c>
      <c r="N107" s="4" t="s">
        <v>118</v>
      </c>
      <c r="O107" s="4" t="s">
        <v>343</v>
      </c>
      <c r="P107" s="4">
        <v>390</v>
      </c>
      <c r="Q107" s="4" t="s">
        <v>50</v>
      </c>
      <c r="R107" s="4" t="s">
        <v>90</v>
      </c>
      <c r="S107" s="4">
        <v>51195</v>
      </c>
      <c r="T107" s="4">
        <v>37611</v>
      </c>
      <c r="U107" s="4">
        <v>13584</v>
      </c>
      <c r="V107" s="4">
        <v>39735</v>
      </c>
      <c r="W107" s="4">
        <v>3860</v>
      </c>
      <c r="X107" s="4">
        <v>3570</v>
      </c>
      <c r="Y107" s="4" t="s">
        <v>41</v>
      </c>
      <c r="Z107" s="4">
        <v>66</v>
      </c>
      <c r="AA107" s="4">
        <v>2.2999999999999998</v>
      </c>
      <c r="AB107" s="4" t="s">
        <v>104</v>
      </c>
    </row>
    <row r="108" spans="1:28" x14ac:dyDescent="0.25">
      <c r="A108" s="2" t="s">
        <v>387</v>
      </c>
      <c r="B108" s="2" t="s">
        <v>388</v>
      </c>
      <c r="C108" s="2">
        <v>16</v>
      </c>
      <c r="D108" s="2" t="s">
        <v>30</v>
      </c>
      <c r="E108" s="2" t="s">
        <v>67</v>
      </c>
      <c r="F108" s="2" t="s">
        <v>57</v>
      </c>
      <c r="G108" s="3">
        <v>45159</v>
      </c>
      <c r="H108" s="3">
        <v>45173</v>
      </c>
      <c r="I108" s="2">
        <v>14</v>
      </c>
      <c r="J108" s="2" t="s">
        <v>115</v>
      </c>
      <c r="K108" s="2" t="s">
        <v>116</v>
      </c>
      <c r="L108" s="2" t="s">
        <v>117</v>
      </c>
      <c r="M108" s="2" t="s">
        <v>75</v>
      </c>
      <c r="N108" s="2" t="s">
        <v>109</v>
      </c>
      <c r="O108" s="2" t="s">
        <v>259</v>
      </c>
      <c r="P108" s="2">
        <v>87</v>
      </c>
      <c r="Q108" s="2" t="s">
        <v>103</v>
      </c>
      <c r="R108" s="2" t="s">
        <v>40</v>
      </c>
      <c r="S108" s="2">
        <v>59338</v>
      </c>
      <c r="T108" s="2">
        <v>32513</v>
      </c>
      <c r="U108" s="2">
        <v>26825</v>
      </c>
      <c r="V108" s="2">
        <v>41396</v>
      </c>
      <c r="W108" s="2">
        <v>9811</v>
      </c>
      <c r="X108" s="2">
        <v>5433</v>
      </c>
      <c r="Y108" s="2" t="s">
        <v>91</v>
      </c>
      <c r="Z108" s="2">
        <v>67</v>
      </c>
      <c r="AA108" s="2">
        <v>2.8</v>
      </c>
      <c r="AB108" s="2" t="s">
        <v>52</v>
      </c>
    </row>
    <row r="109" spans="1:28" x14ac:dyDescent="0.25">
      <c r="A109" s="4" t="s">
        <v>389</v>
      </c>
      <c r="B109" s="4" t="s">
        <v>349</v>
      </c>
      <c r="C109" s="4">
        <v>51</v>
      </c>
      <c r="D109" s="4" t="s">
        <v>30</v>
      </c>
      <c r="E109" s="4" t="s">
        <v>31</v>
      </c>
      <c r="F109" s="4" t="s">
        <v>150</v>
      </c>
      <c r="G109" s="5">
        <v>44962</v>
      </c>
      <c r="H109" s="5">
        <v>44977</v>
      </c>
      <c r="I109" s="4">
        <v>15</v>
      </c>
      <c r="J109" s="4" t="s">
        <v>33</v>
      </c>
      <c r="K109" s="4" t="s">
        <v>34</v>
      </c>
      <c r="L109" s="4" t="s">
        <v>35</v>
      </c>
      <c r="M109" s="4" t="s">
        <v>134</v>
      </c>
      <c r="N109" s="4" t="s">
        <v>62</v>
      </c>
      <c r="O109" s="4" t="s">
        <v>390</v>
      </c>
      <c r="P109" s="4">
        <v>431</v>
      </c>
      <c r="Q109" s="4" t="s">
        <v>103</v>
      </c>
      <c r="R109" s="4" t="s">
        <v>136</v>
      </c>
      <c r="S109" s="4">
        <v>141539</v>
      </c>
      <c r="T109" s="4">
        <v>0</v>
      </c>
      <c r="U109" s="4">
        <v>141539</v>
      </c>
      <c r="V109" s="4">
        <v>120401</v>
      </c>
      <c r="W109" s="4">
        <v>11968</v>
      </c>
      <c r="X109" s="4">
        <v>7555</v>
      </c>
      <c r="Y109" s="4" t="s">
        <v>41</v>
      </c>
      <c r="Z109" s="4">
        <v>78</v>
      </c>
      <c r="AA109" s="4">
        <v>4.8</v>
      </c>
      <c r="AB109" s="4" t="s">
        <v>64</v>
      </c>
    </row>
    <row r="110" spans="1:28" x14ac:dyDescent="0.25">
      <c r="A110" s="2" t="s">
        <v>391</v>
      </c>
      <c r="B110" s="2" t="s">
        <v>392</v>
      </c>
      <c r="C110" s="2">
        <v>27</v>
      </c>
      <c r="D110" s="2" t="s">
        <v>30</v>
      </c>
      <c r="E110" s="2" t="s">
        <v>45</v>
      </c>
      <c r="F110" s="2" t="s">
        <v>46</v>
      </c>
      <c r="G110" s="3">
        <v>45567</v>
      </c>
      <c r="H110" s="3">
        <v>45586</v>
      </c>
      <c r="I110" s="2">
        <v>19</v>
      </c>
      <c r="J110" s="2" t="s">
        <v>73</v>
      </c>
      <c r="K110" s="2" t="s">
        <v>74</v>
      </c>
      <c r="L110" s="2" t="s">
        <v>73</v>
      </c>
      <c r="M110" s="2" t="s">
        <v>108</v>
      </c>
      <c r="N110" s="2" t="s">
        <v>118</v>
      </c>
      <c r="O110" s="2" t="s">
        <v>390</v>
      </c>
      <c r="P110" s="2">
        <v>59</v>
      </c>
      <c r="Q110" s="2" t="s">
        <v>39</v>
      </c>
      <c r="R110" s="2" t="s">
        <v>51</v>
      </c>
      <c r="S110" s="2">
        <v>167317</v>
      </c>
      <c r="T110" s="2">
        <v>114763</v>
      </c>
      <c r="U110" s="2">
        <v>52554</v>
      </c>
      <c r="V110" s="2">
        <v>148033</v>
      </c>
      <c r="W110" s="2">
        <v>6895</v>
      </c>
      <c r="X110" s="2">
        <v>11669</v>
      </c>
      <c r="Y110" s="2" t="s">
        <v>41</v>
      </c>
      <c r="Z110" s="2">
        <v>85</v>
      </c>
      <c r="AA110" s="2">
        <v>2.6</v>
      </c>
      <c r="AB110" s="2" t="s">
        <v>52</v>
      </c>
    </row>
    <row r="111" spans="1:28" x14ac:dyDescent="0.25">
      <c r="A111" s="4" t="s">
        <v>393</v>
      </c>
      <c r="B111" s="4" t="s">
        <v>394</v>
      </c>
      <c r="C111" s="4">
        <v>57</v>
      </c>
      <c r="D111" s="4" t="s">
        <v>30</v>
      </c>
      <c r="E111" s="4" t="s">
        <v>154</v>
      </c>
      <c r="F111" s="4" t="s">
        <v>46</v>
      </c>
      <c r="G111" s="5">
        <v>45057</v>
      </c>
      <c r="H111" s="5">
        <v>45066</v>
      </c>
      <c r="I111" s="4">
        <v>9</v>
      </c>
      <c r="J111" s="4" t="s">
        <v>140</v>
      </c>
      <c r="K111" s="4" t="s">
        <v>141</v>
      </c>
      <c r="L111" s="4" t="s">
        <v>142</v>
      </c>
      <c r="M111" s="4" t="s">
        <v>108</v>
      </c>
      <c r="N111" s="4" t="s">
        <v>62</v>
      </c>
      <c r="O111" s="4" t="s">
        <v>234</v>
      </c>
      <c r="P111" s="4">
        <v>246</v>
      </c>
      <c r="Q111" s="4" t="s">
        <v>103</v>
      </c>
      <c r="R111" s="4" t="s">
        <v>51</v>
      </c>
      <c r="S111" s="4">
        <v>183059</v>
      </c>
      <c r="T111" s="4">
        <v>103079</v>
      </c>
      <c r="U111" s="4">
        <v>79980</v>
      </c>
      <c r="V111" s="4">
        <v>137805</v>
      </c>
      <c r="W111" s="4">
        <v>29496</v>
      </c>
      <c r="X111" s="4">
        <v>11832</v>
      </c>
      <c r="Y111" s="4" t="s">
        <v>41</v>
      </c>
      <c r="Z111" s="4">
        <v>63</v>
      </c>
      <c r="AA111" s="4">
        <v>4.0999999999999996</v>
      </c>
      <c r="AB111" s="4" t="s">
        <v>42</v>
      </c>
    </row>
    <row r="112" spans="1:28" x14ac:dyDescent="0.25">
      <c r="A112" s="2" t="s">
        <v>395</v>
      </c>
      <c r="B112" s="2" t="s">
        <v>163</v>
      </c>
      <c r="C112" s="2">
        <v>18</v>
      </c>
      <c r="D112" s="2" t="s">
        <v>55</v>
      </c>
      <c r="E112" s="2" t="s">
        <v>45</v>
      </c>
      <c r="F112" s="2" t="s">
        <v>129</v>
      </c>
      <c r="G112" s="3">
        <v>44652</v>
      </c>
      <c r="H112" s="3">
        <v>44671</v>
      </c>
      <c r="I112" s="2">
        <v>19</v>
      </c>
      <c r="J112" s="2" t="s">
        <v>115</v>
      </c>
      <c r="K112" s="2" t="s">
        <v>116</v>
      </c>
      <c r="L112" s="2" t="s">
        <v>117</v>
      </c>
      <c r="M112" s="2" t="s">
        <v>108</v>
      </c>
      <c r="N112" s="2" t="s">
        <v>62</v>
      </c>
      <c r="O112" s="2" t="s">
        <v>396</v>
      </c>
      <c r="P112" s="2">
        <v>133</v>
      </c>
      <c r="Q112" s="2" t="s">
        <v>39</v>
      </c>
      <c r="R112" s="2" t="s">
        <v>51</v>
      </c>
      <c r="S112" s="2">
        <v>172604</v>
      </c>
      <c r="T112" s="2">
        <v>92125</v>
      </c>
      <c r="U112" s="2">
        <v>80479</v>
      </c>
      <c r="V112" s="2">
        <v>140999</v>
      </c>
      <c r="W112" s="2">
        <v>19284</v>
      </c>
      <c r="X112" s="2">
        <v>10011</v>
      </c>
      <c r="Y112" s="2" t="s">
        <v>41</v>
      </c>
      <c r="Z112" s="2">
        <v>89</v>
      </c>
      <c r="AA112" s="2">
        <v>4</v>
      </c>
      <c r="AB112" s="2" t="s">
        <v>42</v>
      </c>
    </row>
    <row r="113" spans="1:28" x14ac:dyDescent="0.25">
      <c r="A113" s="4" t="s">
        <v>397</v>
      </c>
      <c r="B113" s="4" t="s">
        <v>398</v>
      </c>
      <c r="C113" s="4">
        <v>8</v>
      </c>
      <c r="D113" s="4" t="s">
        <v>30</v>
      </c>
      <c r="E113" s="4" t="s">
        <v>56</v>
      </c>
      <c r="F113" s="4" t="s">
        <v>46</v>
      </c>
      <c r="G113" s="5">
        <v>45413</v>
      </c>
      <c r="H113" s="5">
        <v>45443</v>
      </c>
      <c r="I113" s="4">
        <v>30</v>
      </c>
      <c r="J113" s="4" t="s">
        <v>202</v>
      </c>
      <c r="K113" s="4" t="s">
        <v>203</v>
      </c>
      <c r="L113" s="4" t="s">
        <v>204</v>
      </c>
      <c r="M113" s="4" t="s">
        <v>143</v>
      </c>
      <c r="N113" s="4" t="s">
        <v>118</v>
      </c>
      <c r="O113" s="4" t="s">
        <v>399</v>
      </c>
      <c r="P113" s="4">
        <v>234</v>
      </c>
      <c r="Q113" s="4" t="s">
        <v>39</v>
      </c>
      <c r="R113" s="4" t="s">
        <v>51</v>
      </c>
      <c r="S113" s="4">
        <v>153609</v>
      </c>
      <c r="T113" s="4">
        <v>81635</v>
      </c>
      <c r="U113" s="4">
        <v>71974</v>
      </c>
      <c r="V113" s="4">
        <v>131596</v>
      </c>
      <c r="W113" s="4">
        <v>12413</v>
      </c>
      <c r="X113" s="4">
        <v>8301</v>
      </c>
      <c r="Y113" s="4" t="s">
        <v>41</v>
      </c>
      <c r="Z113" s="4">
        <v>60</v>
      </c>
      <c r="AA113" s="4">
        <v>2.2000000000000002</v>
      </c>
      <c r="AB113" s="4" t="s">
        <v>104</v>
      </c>
    </row>
    <row r="114" spans="1:28" x14ac:dyDescent="0.25">
      <c r="A114" s="2" t="s">
        <v>400</v>
      </c>
      <c r="B114" s="2" t="s">
        <v>401</v>
      </c>
      <c r="C114" s="2">
        <v>7</v>
      </c>
      <c r="D114" s="2" t="s">
        <v>30</v>
      </c>
      <c r="E114" s="2" t="s">
        <v>56</v>
      </c>
      <c r="F114" s="2" t="s">
        <v>129</v>
      </c>
      <c r="G114" s="3">
        <v>45061</v>
      </c>
      <c r="H114" s="3">
        <v>45078</v>
      </c>
      <c r="I114" s="2">
        <v>17</v>
      </c>
      <c r="J114" s="2" t="s">
        <v>123</v>
      </c>
      <c r="K114" s="2" t="s">
        <v>124</v>
      </c>
      <c r="L114" s="2" t="s">
        <v>125</v>
      </c>
      <c r="M114" s="2" t="s">
        <v>143</v>
      </c>
      <c r="N114" s="2" t="s">
        <v>118</v>
      </c>
      <c r="O114" s="2" t="s">
        <v>144</v>
      </c>
      <c r="P114" s="2">
        <v>491</v>
      </c>
      <c r="Q114" s="2" t="s">
        <v>103</v>
      </c>
      <c r="R114" s="2" t="s">
        <v>40</v>
      </c>
      <c r="S114" s="2">
        <v>138363</v>
      </c>
      <c r="T114" s="2">
        <v>81931</v>
      </c>
      <c r="U114" s="2">
        <v>56432</v>
      </c>
      <c r="V114" s="2">
        <v>111180</v>
      </c>
      <c r="W114" s="2">
        <v>21635</v>
      </c>
      <c r="X114" s="2">
        <v>3522</v>
      </c>
      <c r="Y114" s="2" t="s">
        <v>41</v>
      </c>
      <c r="Z114" s="2">
        <v>41</v>
      </c>
      <c r="AA114" s="2">
        <v>4.2</v>
      </c>
      <c r="AB114" s="2" t="s">
        <v>64</v>
      </c>
    </row>
    <row r="115" spans="1:28" x14ac:dyDescent="0.25">
      <c r="A115" s="4" t="s">
        <v>402</v>
      </c>
      <c r="B115" s="4" t="s">
        <v>403</v>
      </c>
      <c r="C115" s="4">
        <v>59</v>
      </c>
      <c r="D115" s="4" t="s">
        <v>30</v>
      </c>
      <c r="E115" s="4" t="s">
        <v>122</v>
      </c>
      <c r="F115" s="4" t="s">
        <v>32</v>
      </c>
      <c r="G115" s="5">
        <v>44983</v>
      </c>
      <c r="H115" s="5">
        <v>44992</v>
      </c>
      <c r="I115" s="4">
        <v>9</v>
      </c>
      <c r="J115" s="4" t="s">
        <v>202</v>
      </c>
      <c r="K115" s="4" t="s">
        <v>203</v>
      </c>
      <c r="L115" s="4" t="s">
        <v>204</v>
      </c>
      <c r="M115" s="4" t="s">
        <v>36</v>
      </c>
      <c r="N115" s="4" t="s">
        <v>109</v>
      </c>
      <c r="O115" s="4" t="s">
        <v>222</v>
      </c>
      <c r="P115" s="4">
        <v>101</v>
      </c>
      <c r="Q115" s="4" t="s">
        <v>103</v>
      </c>
      <c r="R115" s="4" t="s">
        <v>90</v>
      </c>
      <c r="S115" s="4">
        <v>115893</v>
      </c>
      <c r="T115" s="4">
        <v>87883</v>
      </c>
      <c r="U115" s="4">
        <v>28010</v>
      </c>
      <c r="V115" s="4">
        <v>73774</v>
      </c>
      <c r="W115" s="4">
        <v>22977</v>
      </c>
      <c r="X115" s="4">
        <v>14633</v>
      </c>
      <c r="Y115" s="4" t="s">
        <v>41</v>
      </c>
      <c r="Z115" s="4">
        <v>78</v>
      </c>
      <c r="AA115" s="4">
        <v>3.2</v>
      </c>
      <c r="AB115" s="4" t="s">
        <v>137</v>
      </c>
    </row>
    <row r="116" spans="1:28" x14ac:dyDescent="0.25">
      <c r="A116" s="2" t="s">
        <v>404</v>
      </c>
      <c r="B116" s="2" t="s">
        <v>405</v>
      </c>
      <c r="C116" s="2">
        <v>49</v>
      </c>
      <c r="D116" s="2" t="s">
        <v>30</v>
      </c>
      <c r="E116" s="2" t="s">
        <v>87</v>
      </c>
      <c r="F116" s="2" t="s">
        <v>72</v>
      </c>
      <c r="G116" s="3">
        <v>44915</v>
      </c>
      <c r="H116" s="3">
        <v>44942</v>
      </c>
      <c r="I116" s="2">
        <v>27</v>
      </c>
      <c r="J116" s="2" t="s">
        <v>58</v>
      </c>
      <c r="K116" s="2" t="s">
        <v>59</v>
      </c>
      <c r="L116" s="2" t="s">
        <v>60</v>
      </c>
      <c r="M116" s="2" t="s">
        <v>101</v>
      </c>
      <c r="N116" s="2" t="s">
        <v>62</v>
      </c>
      <c r="O116" s="2" t="s">
        <v>406</v>
      </c>
      <c r="P116" s="2">
        <v>61</v>
      </c>
      <c r="Q116" s="2" t="s">
        <v>39</v>
      </c>
      <c r="R116" s="2" t="s">
        <v>136</v>
      </c>
      <c r="S116" s="2">
        <v>50929</v>
      </c>
      <c r="T116" s="2">
        <v>0</v>
      </c>
      <c r="U116" s="2">
        <v>50929</v>
      </c>
      <c r="V116" s="2">
        <v>35657</v>
      </c>
      <c r="W116" s="2">
        <v>6998</v>
      </c>
      <c r="X116" s="2">
        <v>6616</v>
      </c>
      <c r="Y116" s="2" t="s">
        <v>41</v>
      </c>
      <c r="Z116" s="2">
        <v>66</v>
      </c>
      <c r="AA116" s="2">
        <v>3.8</v>
      </c>
      <c r="AB116" s="2" t="s">
        <v>42</v>
      </c>
    </row>
    <row r="117" spans="1:28" x14ac:dyDescent="0.25">
      <c r="A117" s="4" t="s">
        <v>407</v>
      </c>
      <c r="B117" s="4" t="s">
        <v>408</v>
      </c>
      <c r="C117" s="4">
        <v>28</v>
      </c>
      <c r="D117" s="4" t="s">
        <v>30</v>
      </c>
      <c r="E117" s="4" t="s">
        <v>154</v>
      </c>
      <c r="F117" s="4" t="s">
        <v>94</v>
      </c>
      <c r="G117" s="5">
        <v>44903</v>
      </c>
      <c r="H117" s="5">
        <v>44919</v>
      </c>
      <c r="I117" s="4">
        <v>16</v>
      </c>
      <c r="J117" s="4" t="s">
        <v>58</v>
      </c>
      <c r="K117" s="4" t="s">
        <v>59</v>
      </c>
      <c r="L117" s="4" t="s">
        <v>60</v>
      </c>
      <c r="M117" s="4" t="s">
        <v>143</v>
      </c>
      <c r="N117" s="4" t="s">
        <v>118</v>
      </c>
      <c r="O117" s="4" t="s">
        <v>234</v>
      </c>
      <c r="P117" s="4">
        <v>28</v>
      </c>
      <c r="Q117" s="4" t="s">
        <v>50</v>
      </c>
      <c r="R117" s="4" t="s">
        <v>90</v>
      </c>
      <c r="S117" s="4">
        <v>144851</v>
      </c>
      <c r="T117" s="4">
        <v>128794</v>
      </c>
      <c r="U117" s="4">
        <v>16057</v>
      </c>
      <c r="V117" s="4">
        <v>132037</v>
      </c>
      <c r="W117" s="4">
        <v>5473</v>
      </c>
      <c r="X117" s="4">
        <v>3696</v>
      </c>
      <c r="Y117" s="4" t="s">
        <v>41</v>
      </c>
      <c r="Z117" s="4">
        <v>71</v>
      </c>
      <c r="AA117" s="4">
        <v>3.2</v>
      </c>
      <c r="AB117" s="4" t="s">
        <v>137</v>
      </c>
    </row>
    <row r="118" spans="1:28" x14ac:dyDescent="0.25">
      <c r="A118" s="2" t="s">
        <v>409</v>
      </c>
      <c r="B118" s="2" t="s">
        <v>410</v>
      </c>
      <c r="C118" s="2">
        <v>67</v>
      </c>
      <c r="D118" s="2" t="s">
        <v>55</v>
      </c>
      <c r="E118" s="2" t="s">
        <v>56</v>
      </c>
      <c r="F118" s="2" t="s">
        <v>72</v>
      </c>
      <c r="G118" s="3">
        <v>44625</v>
      </c>
      <c r="H118" s="3">
        <v>44651</v>
      </c>
      <c r="I118" s="2">
        <v>26</v>
      </c>
      <c r="J118" s="2" t="s">
        <v>73</v>
      </c>
      <c r="K118" s="2" t="s">
        <v>74</v>
      </c>
      <c r="L118" s="2" t="s">
        <v>73</v>
      </c>
      <c r="M118" s="2" t="s">
        <v>130</v>
      </c>
      <c r="N118" s="2" t="s">
        <v>118</v>
      </c>
      <c r="O118" s="2" t="s">
        <v>266</v>
      </c>
      <c r="P118" s="2">
        <v>148</v>
      </c>
      <c r="Q118" s="2" t="s">
        <v>39</v>
      </c>
      <c r="R118" s="2" t="s">
        <v>111</v>
      </c>
      <c r="S118" s="2">
        <v>164152</v>
      </c>
      <c r="T118" s="2">
        <v>126695</v>
      </c>
      <c r="U118" s="2">
        <v>37457</v>
      </c>
      <c r="V118" s="2">
        <v>134843</v>
      </c>
      <c r="W118" s="2">
        <v>19013</v>
      </c>
      <c r="X118" s="2">
        <v>8869</v>
      </c>
      <c r="Y118" s="2" t="s">
        <v>41</v>
      </c>
      <c r="Z118" s="2">
        <v>74</v>
      </c>
      <c r="AA118" s="2">
        <v>4.5</v>
      </c>
      <c r="AB118" s="2" t="s">
        <v>52</v>
      </c>
    </row>
    <row r="119" spans="1:28" x14ac:dyDescent="0.25">
      <c r="A119" s="4" t="s">
        <v>411</v>
      </c>
      <c r="B119" s="4" t="s">
        <v>351</v>
      </c>
      <c r="C119" s="4">
        <v>61</v>
      </c>
      <c r="D119" s="4" t="s">
        <v>55</v>
      </c>
      <c r="E119" s="4" t="s">
        <v>67</v>
      </c>
      <c r="F119" s="4" t="s">
        <v>157</v>
      </c>
      <c r="G119" s="5">
        <v>45068</v>
      </c>
      <c r="H119" s="5">
        <v>45078</v>
      </c>
      <c r="I119" s="4">
        <v>10</v>
      </c>
      <c r="J119" s="4" t="s">
        <v>33</v>
      </c>
      <c r="K119" s="4" t="s">
        <v>197</v>
      </c>
      <c r="L119" s="4" t="s">
        <v>198</v>
      </c>
      <c r="M119" s="4" t="s">
        <v>134</v>
      </c>
      <c r="N119" s="4" t="s">
        <v>118</v>
      </c>
      <c r="O119" s="4" t="s">
        <v>178</v>
      </c>
      <c r="P119" s="4">
        <v>444</v>
      </c>
      <c r="Q119" s="4" t="s">
        <v>69</v>
      </c>
      <c r="R119" s="4" t="s">
        <v>40</v>
      </c>
      <c r="S119" s="4">
        <v>103540</v>
      </c>
      <c r="T119" s="4">
        <v>68162</v>
      </c>
      <c r="U119" s="4">
        <v>35378</v>
      </c>
      <c r="V119" s="4">
        <v>60018</v>
      </c>
      <c r="W119" s="4">
        <v>27565</v>
      </c>
      <c r="X119" s="4">
        <v>12585</v>
      </c>
      <c r="Y119" s="4" t="s">
        <v>41</v>
      </c>
      <c r="Z119" s="4">
        <v>67</v>
      </c>
      <c r="AA119" s="4">
        <v>2.5</v>
      </c>
      <c r="AB119" s="4" t="s">
        <v>64</v>
      </c>
    </row>
    <row r="120" spans="1:28" x14ac:dyDescent="0.25">
      <c r="A120" s="2" t="s">
        <v>412</v>
      </c>
      <c r="B120" s="2" t="s">
        <v>413</v>
      </c>
      <c r="C120" s="2">
        <v>31</v>
      </c>
      <c r="D120" s="2" t="s">
        <v>55</v>
      </c>
      <c r="E120" s="2" t="s">
        <v>45</v>
      </c>
      <c r="F120" s="2" t="s">
        <v>94</v>
      </c>
      <c r="G120" s="3">
        <v>45137</v>
      </c>
      <c r="H120" s="3">
        <v>45157</v>
      </c>
      <c r="I120" s="2">
        <v>20</v>
      </c>
      <c r="J120" s="2" t="s">
        <v>33</v>
      </c>
      <c r="K120" s="2" t="s">
        <v>99</v>
      </c>
      <c r="L120" s="2" t="s">
        <v>100</v>
      </c>
      <c r="M120" s="2" t="s">
        <v>95</v>
      </c>
      <c r="N120" s="2" t="s">
        <v>118</v>
      </c>
      <c r="O120" s="2" t="s">
        <v>211</v>
      </c>
      <c r="P120" s="2">
        <v>137</v>
      </c>
      <c r="Q120" s="2" t="s">
        <v>69</v>
      </c>
      <c r="R120" s="2" t="s">
        <v>40</v>
      </c>
      <c r="S120" s="2">
        <v>122421</v>
      </c>
      <c r="T120" s="2">
        <v>74729</v>
      </c>
      <c r="U120" s="2">
        <v>47692</v>
      </c>
      <c r="V120" s="2">
        <v>112897</v>
      </c>
      <c r="W120" s="2">
        <v>2942</v>
      </c>
      <c r="X120" s="2">
        <v>5043</v>
      </c>
      <c r="Y120" s="2" t="s">
        <v>91</v>
      </c>
      <c r="Z120" s="2">
        <v>49</v>
      </c>
      <c r="AA120" s="2">
        <v>4.0999999999999996</v>
      </c>
      <c r="AB120" s="2" t="s">
        <v>64</v>
      </c>
    </row>
    <row r="121" spans="1:28" x14ac:dyDescent="0.25">
      <c r="A121" s="4" t="s">
        <v>414</v>
      </c>
      <c r="B121" s="4" t="s">
        <v>415</v>
      </c>
      <c r="C121" s="4">
        <v>67</v>
      </c>
      <c r="D121" s="4" t="s">
        <v>55</v>
      </c>
      <c r="E121" s="4" t="s">
        <v>79</v>
      </c>
      <c r="F121" s="4" t="s">
        <v>114</v>
      </c>
      <c r="G121" s="5">
        <v>45330</v>
      </c>
      <c r="H121" s="5">
        <v>45345</v>
      </c>
      <c r="I121" s="4">
        <v>15</v>
      </c>
      <c r="J121" s="4" t="s">
        <v>202</v>
      </c>
      <c r="K121" s="4" t="s">
        <v>203</v>
      </c>
      <c r="L121" s="4" t="s">
        <v>204</v>
      </c>
      <c r="M121" s="4" t="s">
        <v>108</v>
      </c>
      <c r="N121" s="4" t="s">
        <v>118</v>
      </c>
      <c r="O121" s="4" t="s">
        <v>416</v>
      </c>
      <c r="P121" s="4">
        <v>487</v>
      </c>
      <c r="Q121" s="4" t="s">
        <v>103</v>
      </c>
      <c r="R121" s="4" t="s">
        <v>136</v>
      </c>
      <c r="S121" s="4">
        <v>49566</v>
      </c>
      <c r="T121" s="4">
        <v>0</v>
      </c>
      <c r="U121" s="4">
        <v>49566</v>
      </c>
      <c r="V121" s="4">
        <v>5648</v>
      </c>
      <c r="W121" s="4">
        <v>29472</v>
      </c>
      <c r="X121" s="4">
        <v>13183</v>
      </c>
      <c r="Y121" s="4" t="s">
        <v>41</v>
      </c>
      <c r="Z121" s="4">
        <v>69</v>
      </c>
      <c r="AA121" s="4">
        <v>3.9</v>
      </c>
      <c r="AB121" s="4" t="s">
        <v>52</v>
      </c>
    </row>
    <row r="122" spans="1:28" x14ac:dyDescent="0.25">
      <c r="A122" s="2" t="s">
        <v>417</v>
      </c>
      <c r="B122" s="2" t="s">
        <v>418</v>
      </c>
      <c r="C122" s="2">
        <v>73</v>
      </c>
      <c r="D122" s="2" t="s">
        <v>30</v>
      </c>
      <c r="E122" s="2" t="s">
        <v>31</v>
      </c>
      <c r="F122" s="2" t="s">
        <v>114</v>
      </c>
      <c r="G122" s="3">
        <v>44995</v>
      </c>
      <c r="H122" s="3">
        <v>45011</v>
      </c>
      <c r="I122" s="2">
        <v>16</v>
      </c>
      <c r="J122" s="2" t="s">
        <v>140</v>
      </c>
      <c r="K122" s="2" t="s">
        <v>167</v>
      </c>
      <c r="L122" s="2" t="s">
        <v>142</v>
      </c>
      <c r="M122" s="2" t="s">
        <v>134</v>
      </c>
      <c r="N122" s="2" t="s">
        <v>118</v>
      </c>
      <c r="O122" s="2" t="s">
        <v>295</v>
      </c>
      <c r="P122" s="2">
        <v>67</v>
      </c>
      <c r="Q122" s="2" t="s">
        <v>103</v>
      </c>
      <c r="R122" s="2" t="s">
        <v>136</v>
      </c>
      <c r="S122" s="2">
        <v>26590</v>
      </c>
      <c r="T122" s="2">
        <v>0</v>
      </c>
      <c r="U122" s="2">
        <v>26590</v>
      </c>
      <c r="V122" s="2">
        <v>17690</v>
      </c>
      <c r="W122" s="2">
        <v>2505</v>
      </c>
      <c r="X122" s="2">
        <v>2131</v>
      </c>
      <c r="Y122" s="2" t="s">
        <v>91</v>
      </c>
      <c r="Z122" s="2">
        <v>99</v>
      </c>
      <c r="AA122" s="2">
        <v>4.5999999999999996</v>
      </c>
      <c r="AB122" s="2" t="s">
        <v>137</v>
      </c>
    </row>
    <row r="123" spans="1:28" x14ac:dyDescent="0.25">
      <c r="A123" s="4" t="s">
        <v>419</v>
      </c>
      <c r="B123" s="4" t="s">
        <v>420</v>
      </c>
      <c r="C123" s="4">
        <v>59</v>
      </c>
      <c r="D123" s="4" t="s">
        <v>55</v>
      </c>
      <c r="E123" s="4" t="s">
        <v>154</v>
      </c>
      <c r="F123" s="4" t="s">
        <v>46</v>
      </c>
      <c r="G123" s="5">
        <v>44887</v>
      </c>
      <c r="H123" s="5">
        <v>44915</v>
      </c>
      <c r="I123" s="4">
        <v>28</v>
      </c>
      <c r="J123" s="4" t="s">
        <v>140</v>
      </c>
      <c r="K123" s="4" t="s">
        <v>167</v>
      </c>
      <c r="L123" s="4" t="s">
        <v>142</v>
      </c>
      <c r="M123" s="4" t="s">
        <v>95</v>
      </c>
      <c r="N123" s="4" t="s">
        <v>118</v>
      </c>
      <c r="O123" s="4" t="s">
        <v>49</v>
      </c>
      <c r="P123" s="4">
        <v>341</v>
      </c>
      <c r="Q123" s="4" t="s">
        <v>39</v>
      </c>
      <c r="R123" s="4" t="s">
        <v>90</v>
      </c>
      <c r="S123" s="4">
        <v>138320</v>
      </c>
      <c r="T123" s="4">
        <v>100803</v>
      </c>
      <c r="U123" s="4">
        <v>37517</v>
      </c>
      <c r="V123" s="4">
        <v>108898</v>
      </c>
      <c r="W123" s="4">
        <v>21499</v>
      </c>
      <c r="X123" s="4">
        <v>5505</v>
      </c>
      <c r="Y123" s="4" t="s">
        <v>91</v>
      </c>
      <c r="Z123" s="4">
        <v>46</v>
      </c>
      <c r="AA123" s="4">
        <v>2</v>
      </c>
      <c r="AB123" s="4" t="s">
        <v>137</v>
      </c>
    </row>
    <row r="124" spans="1:28" x14ac:dyDescent="0.25">
      <c r="A124" s="2" t="s">
        <v>421</v>
      </c>
      <c r="B124" s="2" t="s">
        <v>422</v>
      </c>
      <c r="C124" s="2">
        <v>80</v>
      </c>
      <c r="D124" s="2" t="s">
        <v>55</v>
      </c>
      <c r="E124" s="2" t="s">
        <v>87</v>
      </c>
      <c r="F124" s="2" t="s">
        <v>57</v>
      </c>
      <c r="G124" s="3">
        <v>44578</v>
      </c>
      <c r="H124" s="3">
        <v>44601</v>
      </c>
      <c r="I124" s="2">
        <v>23</v>
      </c>
      <c r="J124" s="2" t="s">
        <v>33</v>
      </c>
      <c r="K124" s="2" t="s">
        <v>47</v>
      </c>
      <c r="L124" s="2" t="s">
        <v>48</v>
      </c>
      <c r="M124" s="2" t="s">
        <v>108</v>
      </c>
      <c r="N124" s="2" t="s">
        <v>109</v>
      </c>
      <c r="O124" s="2" t="s">
        <v>227</v>
      </c>
      <c r="P124" s="2">
        <v>118</v>
      </c>
      <c r="Q124" s="2" t="s">
        <v>103</v>
      </c>
      <c r="R124" s="2" t="s">
        <v>90</v>
      </c>
      <c r="S124" s="2">
        <v>45375</v>
      </c>
      <c r="T124" s="2">
        <v>39217</v>
      </c>
      <c r="U124" s="2">
        <v>6158</v>
      </c>
      <c r="V124" s="2">
        <v>31850</v>
      </c>
      <c r="W124" s="2">
        <v>4381</v>
      </c>
      <c r="X124" s="2">
        <v>5633</v>
      </c>
      <c r="Y124" s="2" t="s">
        <v>91</v>
      </c>
      <c r="Z124" s="2">
        <v>89</v>
      </c>
      <c r="AA124" s="2">
        <v>4.4000000000000004</v>
      </c>
      <c r="AB124" s="2" t="s">
        <v>64</v>
      </c>
    </row>
    <row r="125" spans="1:28" x14ac:dyDescent="0.25">
      <c r="A125" s="4" t="s">
        <v>423</v>
      </c>
      <c r="B125" s="4" t="s">
        <v>424</v>
      </c>
      <c r="C125" s="4">
        <v>13</v>
      </c>
      <c r="D125" s="4" t="s">
        <v>55</v>
      </c>
      <c r="E125" s="4" t="s">
        <v>154</v>
      </c>
      <c r="F125" s="4" t="s">
        <v>150</v>
      </c>
      <c r="G125" s="5">
        <v>45281</v>
      </c>
      <c r="H125" s="5">
        <v>45305</v>
      </c>
      <c r="I125" s="4">
        <v>24</v>
      </c>
      <c r="J125" s="4" t="s">
        <v>115</v>
      </c>
      <c r="K125" s="4" t="s">
        <v>160</v>
      </c>
      <c r="L125" s="4" t="s">
        <v>117</v>
      </c>
      <c r="M125" s="4" t="s">
        <v>108</v>
      </c>
      <c r="N125" s="4" t="s">
        <v>37</v>
      </c>
      <c r="O125" s="4" t="s">
        <v>365</v>
      </c>
      <c r="P125" s="4">
        <v>460</v>
      </c>
      <c r="Q125" s="4" t="s">
        <v>69</v>
      </c>
      <c r="R125" s="4" t="s">
        <v>40</v>
      </c>
      <c r="S125" s="4">
        <v>73708</v>
      </c>
      <c r="T125" s="4">
        <v>37256</v>
      </c>
      <c r="U125" s="4">
        <v>36452</v>
      </c>
      <c r="V125" s="4">
        <v>37284</v>
      </c>
      <c r="W125" s="4">
        <v>20319</v>
      </c>
      <c r="X125" s="4">
        <v>12460</v>
      </c>
      <c r="Y125" s="4" t="s">
        <v>41</v>
      </c>
      <c r="Z125" s="4">
        <v>90</v>
      </c>
      <c r="AA125" s="4">
        <v>2.4</v>
      </c>
      <c r="AB125" s="4" t="s">
        <v>52</v>
      </c>
    </row>
    <row r="126" spans="1:28" x14ac:dyDescent="0.25">
      <c r="A126" s="2" t="s">
        <v>425</v>
      </c>
      <c r="B126" s="2" t="s">
        <v>229</v>
      </c>
      <c r="C126" s="2">
        <v>36</v>
      </c>
      <c r="D126" s="2" t="s">
        <v>30</v>
      </c>
      <c r="E126" s="2" t="s">
        <v>122</v>
      </c>
      <c r="F126" s="2" t="s">
        <v>46</v>
      </c>
      <c r="G126" s="3">
        <v>44982</v>
      </c>
      <c r="H126" s="3">
        <v>44999</v>
      </c>
      <c r="I126" s="2">
        <v>17</v>
      </c>
      <c r="J126" s="2" t="s">
        <v>33</v>
      </c>
      <c r="K126" s="2" t="s">
        <v>233</v>
      </c>
      <c r="L126" s="2" t="s">
        <v>35</v>
      </c>
      <c r="M126" s="2" t="s">
        <v>61</v>
      </c>
      <c r="N126" s="2" t="s">
        <v>37</v>
      </c>
      <c r="O126" s="2" t="s">
        <v>246</v>
      </c>
      <c r="P126" s="2">
        <v>402</v>
      </c>
      <c r="Q126" s="2" t="s">
        <v>39</v>
      </c>
      <c r="R126" s="2" t="s">
        <v>111</v>
      </c>
      <c r="S126" s="2">
        <v>119892</v>
      </c>
      <c r="T126" s="2">
        <v>94885</v>
      </c>
      <c r="U126" s="2">
        <v>25007</v>
      </c>
      <c r="V126" s="2">
        <v>106157</v>
      </c>
      <c r="W126" s="2">
        <v>4694</v>
      </c>
      <c r="X126" s="2">
        <v>4449</v>
      </c>
      <c r="Y126" s="2" t="s">
        <v>91</v>
      </c>
      <c r="Z126" s="2">
        <v>96</v>
      </c>
      <c r="AA126" s="2">
        <v>4.9000000000000004</v>
      </c>
      <c r="AB126" s="2" t="s">
        <v>52</v>
      </c>
    </row>
    <row r="127" spans="1:28" x14ac:dyDescent="0.25">
      <c r="A127" s="4" t="s">
        <v>426</v>
      </c>
      <c r="B127" s="4" t="s">
        <v>427</v>
      </c>
      <c r="C127" s="4">
        <v>21</v>
      </c>
      <c r="D127" s="4" t="s">
        <v>30</v>
      </c>
      <c r="E127" s="4" t="s">
        <v>67</v>
      </c>
      <c r="F127" s="4" t="s">
        <v>80</v>
      </c>
      <c r="G127" s="5">
        <v>44915</v>
      </c>
      <c r="H127" s="5">
        <v>44940</v>
      </c>
      <c r="I127" s="4">
        <v>25</v>
      </c>
      <c r="J127" s="4" t="s">
        <v>33</v>
      </c>
      <c r="K127" s="4" t="s">
        <v>174</v>
      </c>
      <c r="L127" s="4" t="s">
        <v>48</v>
      </c>
      <c r="M127" s="4" t="s">
        <v>130</v>
      </c>
      <c r="N127" s="4" t="s">
        <v>62</v>
      </c>
      <c r="O127" s="4" t="s">
        <v>428</v>
      </c>
      <c r="P127" s="4">
        <v>111</v>
      </c>
      <c r="Q127" s="4" t="s">
        <v>69</v>
      </c>
      <c r="R127" s="4" t="s">
        <v>90</v>
      </c>
      <c r="S127" s="4">
        <v>136723</v>
      </c>
      <c r="T127" s="4">
        <v>113498</v>
      </c>
      <c r="U127" s="4">
        <v>23225</v>
      </c>
      <c r="V127" s="4">
        <v>109326</v>
      </c>
      <c r="W127" s="4">
        <v>17600</v>
      </c>
      <c r="X127" s="4">
        <v>5193</v>
      </c>
      <c r="Y127" s="4" t="s">
        <v>41</v>
      </c>
      <c r="Z127" s="4">
        <v>65</v>
      </c>
      <c r="AA127" s="4">
        <v>2.2000000000000002</v>
      </c>
      <c r="AB127" s="4" t="s">
        <v>42</v>
      </c>
    </row>
    <row r="128" spans="1:28" x14ac:dyDescent="0.25">
      <c r="A128" s="2" t="s">
        <v>429</v>
      </c>
      <c r="B128" s="2" t="s">
        <v>430</v>
      </c>
      <c r="C128" s="2">
        <v>24</v>
      </c>
      <c r="D128" s="2" t="s">
        <v>30</v>
      </c>
      <c r="E128" s="2" t="s">
        <v>56</v>
      </c>
      <c r="F128" s="2" t="s">
        <v>46</v>
      </c>
      <c r="G128" s="3">
        <v>44723</v>
      </c>
      <c r="H128" s="3">
        <v>44740</v>
      </c>
      <c r="I128" s="2">
        <v>17</v>
      </c>
      <c r="J128" s="2" t="s">
        <v>115</v>
      </c>
      <c r="K128" s="2" t="s">
        <v>160</v>
      </c>
      <c r="L128" s="2" t="s">
        <v>117</v>
      </c>
      <c r="M128" s="2" t="s">
        <v>75</v>
      </c>
      <c r="N128" s="2" t="s">
        <v>118</v>
      </c>
      <c r="O128" s="2" t="s">
        <v>431</v>
      </c>
      <c r="P128" s="2">
        <v>325</v>
      </c>
      <c r="Q128" s="2" t="s">
        <v>69</v>
      </c>
      <c r="R128" s="2" t="s">
        <v>136</v>
      </c>
      <c r="S128" s="2">
        <v>161425</v>
      </c>
      <c r="T128" s="2">
        <v>0</v>
      </c>
      <c r="U128" s="2">
        <v>161425</v>
      </c>
      <c r="V128" s="2">
        <v>119684</v>
      </c>
      <c r="W128" s="2">
        <v>24919</v>
      </c>
      <c r="X128" s="2">
        <v>14368</v>
      </c>
      <c r="Y128" s="2" t="s">
        <v>91</v>
      </c>
      <c r="Z128" s="2">
        <v>45</v>
      </c>
      <c r="AA128" s="2">
        <v>4.8</v>
      </c>
      <c r="AB128" s="2" t="s">
        <v>104</v>
      </c>
    </row>
    <row r="129" spans="1:28" x14ac:dyDescent="0.25">
      <c r="A129" s="4" t="s">
        <v>432</v>
      </c>
      <c r="B129" s="4" t="s">
        <v>433</v>
      </c>
      <c r="C129" s="4">
        <v>82</v>
      </c>
      <c r="D129" s="4" t="s">
        <v>55</v>
      </c>
      <c r="E129" s="4" t="s">
        <v>79</v>
      </c>
      <c r="F129" s="4" t="s">
        <v>129</v>
      </c>
      <c r="G129" s="5">
        <v>44806</v>
      </c>
      <c r="H129" s="5">
        <v>44807</v>
      </c>
      <c r="I129" s="4">
        <v>1</v>
      </c>
      <c r="J129" s="4" t="s">
        <v>140</v>
      </c>
      <c r="K129" s="4" t="s">
        <v>141</v>
      </c>
      <c r="L129" s="4" t="s">
        <v>142</v>
      </c>
      <c r="M129" s="4" t="s">
        <v>143</v>
      </c>
      <c r="N129" s="4" t="s">
        <v>37</v>
      </c>
      <c r="O129" s="4" t="s">
        <v>434</v>
      </c>
      <c r="P129" s="4">
        <v>265</v>
      </c>
      <c r="Q129" s="4" t="s">
        <v>50</v>
      </c>
      <c r="R129" s="4" t="s">
        <v>40</v>
      </c>
      <c r="S129" s="4">
        <v>123127</v>
      </c>
      <c r="T129" s="4">
        <v>76324</v>
      </c>
      <c r="U129" s="4">
        <v>46803</v>
      </c>
      <c r="V129" s="4">
        <v>102483</v>
      </c>
      <c r="W129" s="4">
        <v>5159</v>
      </c>
      <c r="X129" s="4">
        <v>12784</v>
      </c>
      <c r="Y129" s="4" t="s">
        <v>91</v>
      </c>
      <c r="Z129" s="4">
        <v>97</v>
      </c>
      <c r="AA129" s="4">
        <v>2.1</v>
      </c>
      <c r="AB129" s="4" t="s">
        <v>137</v>
      </c>
    </row>
    <row r="130" spans="1:28" x14ac:dyDescent="0.25">
      <c r="A130" s="2" t="s">
        <v>435</v>
      </c>
      <c r="B130" s="2" t="s">
        <v>93</v>
      </c>
      <c r="C130" s="2">
        <v>13</v>
      </c>
      <c r="D130" s="2" t="s">
        <v>30</v>
      </c>
      <c r="E130" s="2" t="s">
        <v>56</v>
      </c>
      <c r="F130" s="2" t="s">
        <v>150</v>
      </c>
      <c r="G130" s="3">
        <v>45494</v>
      </c>
      <c r="H130" s="3">
        <v>45511</v>
      </c>
      <c r="I130" s="2">
        <v>17</v>
      </c>
      <c r="J130" s="2" t="s">
        <v>58</v>
      </c>
      <c r="K130" s="2" t="s">
        <v>88</v>
      </c>
      <c r="L130" s="2" t="s">
        <v>60</v>
      </c>
      <c r="M130" s="2" t="s">
        <v>83</v>
      </c>
      <c r="N130" s="2" t="s">
        <v>109</v>
      </c>
      <c r="O130" s="2" t="s">
        <v>355</v>
      </c>
      <c r="P130" s="2">
        <v>131</v>
      </c>
      <c r="Q130" s="2" t="s">
        <v>69</v>
      </c>
      <c r="R130" s="2" t="s">
        <v>51</v>
      </c>
      <c r="S130" s="2">
        <v>61022</v>
      </c>
      <c r="T130" s="2">
        <v>24456</v>
      </c>
      <c r="U130" s="2">
        <v>36566</v>
      </c>
      <c r="V130" s="2">
        <v>35234</v>
      </c>
      <c r="W130" s="2">
        <v>8484</v>
      </c>
      <c r="X130" s="2">
        <v>12636</v>
      </c>
      <c r="Y130" s="2" t="s">
        <v>41</v>
      </c>
      <c r="Z130" s="2">
        <v>40</v>
      </c>
      <c r="AA130" s="2">
        <v>2.7</v>
      </c>
      <c r="AB130" s="2" t="s">
        <v>137</v>
      </c>
    </row>
    <row r="131" spans="1:28" x14ac:dyDescent="0.25">
      <c r="A131" s="4" t="s">
        <v>436</v>
      </c>
      <c r="B131" s="4" t="s">
        <v>437</v>
      </c>
      <c r="C131" s="4">
        <v>24</v>
      </c>
      <c r="D131" s="4" t="s">
        <v>55</v>
      </c>
      <c r="E131" s="4" t="s">
        <v>122</v>
      </c>
      <c r="F131" s="4" t="s">
        <v>94</v>
      </c>
      <c r="G131" s="5">
        <v>45420</v>
      </c>
      <c r="H131" s="5">
        <v>45428</v>
      </c>
      <c r="I131" s="4">
        <v>8</v>
      </c>
      <c r="J131" s="4" t="s">
        <v>33</v>
      </c>
      <c r="K131" s="4" t="s">
        <v>47</v>
      </c>
      <c r="L131" s="4" t="s">
        <v>48</v>
      </c>
      <c r="M131" s="4" t="s">
        <v>108</v>
      </c>
      <c r="N131" s="4" t="s">
        <v>118</v>
      </c>
      <c r="O131" s="4" t="s">
        <v>438</v>
      </c>
      <c r="P131" s="4">
        <v>293</v>
      </c>
      <c r="Q131" s="4" t="s">
        <v>50</v>
      </c>
      <c r="R131" s="4" t="s">
        <v>90</v>
      </c>
      <c r="S131" s="4">
        <v>163001</v>
      </c>
      <c r="T131" s="4">
        <v>108714</v>
      </c>
      <c r="U131" s="4">
        <v>54287</v>
      </c>
      <c r="V131" s="4">
        <v>136607</v>
      </c>
      <c r="W131" s="4">
        <v>23063</v>
      </c>
      <c r="X131" s="4">
        <v>1362</v>
      </c>
      <c r="Y131" s="4" t="s">
        <v>41</v>
      </c>
      <c r="Z131" s="4">
        <v>42</v>
      </c>
      <c r="AA131" s="4">
        <v>4.9000000000000004</v>
      </c>
      <c r="AB131" s="4" t="s">
        <v>104</v>
      </c>
    </row>
    <row r="132" spans="1:28" x14ac:dyDescent="0.25">
      <c r="A132" s="2" t="s">
        <v>439</v>
      </c>
      <c r="B132" s="2" t="s">
        <v>440</v>
      </c>
      <c r="C132" s="2">
        <v>41</v>
      </c>
      <c r="D132" s="2" t="s">
        <v>30</v>
      </c>
      <c r="E132" s="2" t="s">
        <v>45</v>
      </c>
      <c r="F132" s="2" t="s">
        <v>157</v>
      </c>
      <c r="G132" s="3">
        <v>45497</v>
      </c>
      <c r="H132" s="3">
        <v>45498</v>
      </c>
      <c r="I132" s="2">
        <v>1</v>
      </c>
      <c r="J132" s="2" t="s">
        <v>58</v>
      </c>
      <c r="K132" s="2" t="s">
        <v>88</v>
      </c>
      <c r="L132" s="2" t="s">
        <v>60</v>
      </c>
      <c r="M132" s="2" t="s">
        <v>134</v>
      </c>
      <c r="N132" s="2" t="s">
        <v>118</v>
      </c>
      <c r="O132" s="2" t="s">
        <v>382</v>
      </c>
      <c r="P132" s="2">
        <v>238</v>
      </c>
      <c r="Q132" s="2" t="s">
        <v>50</v>
      </c>
      <c r="R132" s="2" t="s">
        <v>51</v>
      </c>
      <c r="S132" s="2">
        <v>175959</v>
      </c>
      <c r="T132" s="2">
        <v>109049</v>
      </c>
      <c r="U132" s="2">
        <v>66910</v>
      </c>
      <c r="V132" s="2">
        <v>134331</v>
      </c>
      <c r="W132" s="2">
        <v>26316</v>
      </c>
      <c r="X132" s="2">
        <v>13212</v>
      </c>
      <c r="Y132" s="2" t="s">
        <v>41</v>
      </c>
      <c r="Z132" s="2">
        <v>90</v>
      </c>
      <c r="AA132" s="2">
        <v>2.7</v>
      </c>
      <c r="AB132" s="2" t="s">
        <v>104</v>
      </c>
    </row>
    <row r="133" spans="1:28" x14ac:dyDescent="0.25">
      <c r="A133" s="4" t="s">
        <v>441</v>
      </c>
      <c r="B133" s="4" t="s">
        <v>442</v>
      </c>
      <c r="C133" s="4">
        <v>8</v>
      </c>
      <c r="D133" s="4" t="s">
        <v>55</v>
      </c>
      <c r="E133" s="4" t="s">
        <v>45</v>
      </c>
      <c r="F133" s="4" t="s">
        <v>57</v>
      </c>
      <c r="G133" s="5">
        <v>45248</v>
      </c>
      <c r="H133" s="5">
        <v>45249</v>
      </c>
      <c r="I133" s="4">
        <v>1</v>
      </c>
      <c r="J133" s="4" t="s">
        <v>115</v>
      </c>
      <c r="K133" s="4" t="s">
        <v>116</v>
      </c>
      <c r="L133" s="4" t="s">
        <v>117</v>
      </c>
      <c r="M133" s="4" t="s">
        <v>36</v>
      </c>
      <c r="N133" s="4" t="s">
        <v>109</v>
      </c>
      <c r="O133" s="4" t="s">
        <v>358</v>
      </c>
      <c r="P133" s="4">
        <v>215</v>
      </c>
      <c r="Q133" s="4" t="s">
        <v>103</v>
      </c>
      <c r="R133" s="4" t="s">
        <v>90</v>
      </c>
      <c r="S133" s="4">
        <v>72987</v>
      </c>
      <c r="T133" s="4">
        <v>44753</v>
      </c>
      <c r="U133" s="4">
        <v>28234</v>
      </c>
      <c r="V133" s="4">
        <v>42322</v>
      </c>
      <c r="W133" s="4">
        <v>24319</v>
      </c>
      <c r="X133" s="4">
        <v>5084</v>
      </c>
      <c r="Y133" s="4" t="s">
        <v>41</v>
      </c>
      <c r="Z133" s="4">
        <v>94</v>
      </c>
      <c r="AA133" s="4">
        <v>3.6</v>
      </c>
      <c r="AB133" s="4" t="s">
        <v>52</v>
      </c>
    </row>
    <row r="134" spans="1:28" x14ac:dyDescent="0.25">
      <c r="A134" s="2" t="s">
        <v>443</v>
      </c>
      <c r="B134" s="2" t="s">
        <v>444</v>
      </c>
      <c r="C134" s="2">
        <v>79</v>
      </c>
      <c r="D134" s="2" t="s">
        <v>55</v>
      </c>
      <c r="E134" s="2" t="s">
        <v>154</v>
      </c>
      <c r="F134" s="2" t="s">
        <v>114</v>
      </c>
      <c r="G134" s="3">
        <v>44715</v>
      </c>
      <c r="H134" s="3">
        <v>44734</v>
      </c>
      <c r="I134" s="2">
        <v>19</v>
      </c>
      <c r="J134" s="2" t="s">
        <v>33</v>
      </c>
      <c r="K134" s="2" t="s">
        <v>278</v>
      </c>
      <c r="L134" s="2" t="s">
        <v>279</v>
      </c>
      <c r="M134" s="2" t="s">
        <v>108</v>
      </c>
      <c r="N134" s="2" t="s">
        <v>109</v>
      </c>
      <c r="O134" s="2" t="s">
        <v>168</v>
      </c>
      <c r="P134" s="2">
        <v>134</v>
      </c>
      <c r="Q134" s="2" t="s">
        <v>50</v>
      </c>
      <c r="R134" s="2" t="s">
        <v>111</v>
      </c>
      <c r="S134" s="2">
        <v>112590</v>
      </c>
      <c r="T134" s="2">
        <v>75445</v>
      </c>
      <c r="U134" s="2">
        <v>37145</v>
      </c>
      <c r="V134" s="2">
        <v>90524</v>
      </c>
      <c r="W134" s="2">
        <v>11422</v>
      </c>
      <c r="X134" s="2">
        <v>7917</v>
      </c>
      <c r="Y134" s="2" t="s">
        <v>41</v>
      </c>
      <c r="Z134" s="2">
        <v>48</v>
      </c>
      <c r="AA134" s="2">
        <v>4.3</v>
      </c>
      <c r="AB134" s="2" t="s">
        <v>42</v>
      </c>
    </row>
    <row r="135" spans="1:28" x14ac:dyDescent="0.25">
      <c r="A135" s="4" t="s">
        <v>445</v>
      </c>
      <c r="B135" s="4" t="s">
        <v>446</v>
      </c>
      <c r="C135" s="4">
        <v>18</v>
      </c>
      <c r="D135" s="4" t="s">
        <v>55</v>
      </c>
      <c r="E135" s="4" t="s">
        <v>87</v>
      </c>
      <c r="F135" s="4" t="s">
        <v>150</v>
      </c>
      <c r="G135" s="5">
        <v>45205</v>
      </c>
      <c r="H135" s="5">
        <v>45219</v>
      </c>
      <c r="I135" s="4">
        <v>14</v>
      </c>
      <c r="J135" s="4" t="s">
        <v>33</v>
      </c>
      <c r="K135" s="4" t="s">
        <v>34</v>
      </c>
      <c r="L135" s="4" t="s">
        <v>35</v>
      </c>
      <c r="M135" s="4" t="s">
        <v>95</v>
      </c>
      <c r="N135" s="4" t="s">
        <v>109</v>
      </c>
      <c r="O135" s="4" t="s">
        <v>119</v>
      </c>
      <c r="P135" s="4">
        <v>238</v>
      </c>
      <c r="Q135" s="4" t="s">
        <v>50</v>
      </c>
      <c r="R135" s="4" t="s">
        <v>90</v>
      </c>
      <c r="S135" s="4">
        <v>51590</v>
      </c>
      <c r="T135" s="4">
        <v>43744</v>
      </c>
      <c r="U135" s="4">
        <v>7846</v>
      </c>
      <c r="V135" s="4">
        <v>28703</v>
      </c>
      <c r="W135" s="4">
        <v>6164</v>
      </c>
      <c r="X135" s="4">
        <v>13731</v>
      </c>
      <c r="Y135" s="4" t="s">
        <v>41</v>
      </c>
      <c r="Z135" s="4">
        <v>42</v>
      </c>
      <c r="AA135" s="4">
        <v>2.6</v>
      </c>
      <c r="AB135" s="4" t="s">
        <v>52</v>
      </c>
    </row>
    <row r="136" spans="1:28" x14ac:dyDescent="0.25">
      <c r="A136" s="2" t="s">
        <v>447</v>
      </c>
      <c r="B136" s="2" t="s">
        <v>287</v>
      </c>
      <c r="C136" s="2">
        <v>36</v>
      </c>
      <c r="D136" s="2" t="s">
        <v>30</v>
      </c>
      <c r="E136" s="2" t="s">
        <v>67</v>
      </c>
      <c r="F136" s="2" t="s">
        <v>94</v>
      </c>
      <c r="G136" s="3">
        <v>44662</v>
      </c>
      <c r="H136" s="3">
        <v>44684</v>
      </c>
      <c r="I136" s="2">
        <v>22</v>
      </c>
      <c r="J136" s="2" t="s">
        <v>58</v>
      </c>
      <c r="K136" s="2" t="s">
        <v>59</v>
      </c>
      <c r="L136" s="2" t="s">
        <v>60</v>
      </c>
      <c r="M136" s="2" t="s">
        <v>143</v>
      </c>
      <c r="N136" s="2" t="s">
        <v>62</v>
      </c>
      <c r="O136" s="2" t="s">
        <v>448</v>
      </c>
      <c r="P136" s="2">
        <v>285</v>
      </c>
      <c r="Q136" s="2" t="s">
        <v>39</v>
      </c>
      <c r="R136" s="2" t="s">
        <v>90</v>
      </c>
      <c r="S136" s="2">
        <v>145776</v>
      </c>
      <c r="T136" s="2">
        <v>92777</v>
      </c>
      <c r="U136" s="2">
        <v>52999</v>
      </c>
      <c r="V136" s="2">
        <v>126121</v>
      </c>
      <c r="W136" s="2">
        <v>4339</v>
      </c>
      <c r="X136" s="2">
        <v>13671</v>
      </c>
      <c r="Y136" s="2" t="s">
        <v>91</v>
      </c>
      <c r="Z136" s="2">
        <v>89</v>
      </c>
      <c r="AA136" s="2">
        <v>4.9000000000000004</v>
      </c>
      <c r="AB136" s="2" t="s">
        <v>64</v>
      </c>
    </row>
    <row r="137" spans="1:28" x14ac:dyDescent="0.25">
      <c r="A137" s="4" t="s">
        <v>449</v>
      </c>
      <c r="B137" s="4" t="s">
        <v>450</v>
      </c>
      <c r="C137" s="4">
        <v>52</v>
      </c>
      <c r="D137" s="4" t="s">
        <v>55</v>
      </c>
      <c r="E137" s="4" t="s">
        <v>79</v>
      </c>
      <c r="F137" s="4" t="s">
        <v>157</v>
      </c>
      <c r="G137" s="5">
        <v>44606</v>
      </c>
      <c r="H137" s="5">
        <v>44609</v>
      </c>
      <c r="I137" s="4">
        <v>3</v>
      </c>
      <c r="J137" s="4" t="s">
        <v>115</v>
      </c>
      <c r="K137" s="4" t="s">
        <v>160</v>
      </c>
      <c r="L137" s="4" t="s">
        <v>117</v>
      </c>
      <c r="M137" s="4" t="s">
        <v>143</v>
      </c>
      <c r="N137" s="4" t="s">
        <v>62</v>
      </c>
      <c r="O137" s="4" t="s">
        <v>282</v>
      </c>
      <c r="P137" s="4">
        <v>22</v>
      </c>
      <c r="Q137" s="4" t="s">
        <v>103</v>
      </c>
      <c r="R137" s="4" t="s">
        <v>90</v>
      </c>
      <c r="S137" s="4">
        <v>80173</v>
      </c>
      <c r="T137" s="4">
        <v>60037</v>
      </c>
      <c r="U137" s="4">
        <v>20136</v>
      </c>
      <c r="V137" s="4">
        <v>49037</v>
      </c>
      <c r="W137" s="4">
        <v>19805</v>
      </c>
      <c r="X137" s="4">
        <v>7596</v>
      </c>
      <c r="Y137" s="4" t="s">
        <v>41</v>
      </c>
      <c r="Z137" s="4">
        <v>67</v>
      </c>
      <c r="AA137" s="4">
        <v>2.5</v>
      </c>
      <c r="AB137" s="4" t="s">
        <v>64</v>
      </c>
    </row>
    <row r="138" spans="1:28" x14ac:dyDescent="0.25">
      <c r="A138" s="2" t="s">
        <v>451</v>
      </c>
      <c r="B138" s="2" t="s">
        <v>452</v>
      </c>
      <c r="C138" s="2">
        <v>40</v>
      </c>
      <c r="D138" s="2" t="s">
        <v>30</v>
      </c>
      <c r="E138" s="2" t="s">
        <v>87</v>
      </c>
      <c r="F138" s="2" t="s">
        <v>129</v>
      </c>
      <c r="G138" s="3">
        <v>44632</v>
      </c>
      <c r="H138" s="3">
        <v>44652</v>
      </c>
      <c r="I138" s="2">
        <v>20</v>
      </c>
      <c r="J138" s="2" t="s">
        <v>33</v>
      </c>
      <c r="K138" s="2" t="s">
        <v>233</v>
      </c>
      <c r="L138" s="2" t="s">
        <v>35</v>
      </c>
      <c r="M138" s="2" t="s">
        <v>61</v>
      </c>
      <c r="N138" s="2" t="s">
        <v>118</v>
      </c>
      <c r="O138" s="2" t="s">
        <v>352</v>
      </c>
      <c r="P138" s="2">
        <v>452</v>
      </c>
      <c r="Q138" s="2" t="s">
        <v>103</v>
      </c>
      <c r="R138" s="2" t="s">
        <v>90</v>
      </c>
      <c r="S138" s="2">
        <v>46561</v>
      </c>
      <c r="T138" s="2">
        <v>33793</v>
      </c>
      <c r="U138" s="2">
        <v>12768</v>
      </c>
      <c r="V138" s="2">
        <v>27995</v>
      </c>
      <c r="W138" s="2">
        <v>10167</v>
      </c>
      <c r="X138" s="2">
        <v>6775</v>
      </c>
      <c r="Y138" s="2" t="s">
        <v>41</v>
      </c>
      <c r="Z138" s="2">
        <v>91</v>
      </c>
      <c r="AA138" s="2">
        <v>3.6</v>
      </c>
      <c r="AB138" s="2" t="s">
        <v>42</v>
      </c>
    </row>
    <row r="139" spans="1:28" x14ac:dyDescent="0.25">
      <c r="A139" s="4" t="s">
        <v>453</v>
      </c>
      <c r="B139" s="4" t="s">
        <v>454</v>
      </c>
      <c r="C139" s="4">
        <v>53</v>
      </c>
      <c r="D139" s="4" t="s">
        <v>30</v>
      </c>
      <c r="E139" s="4" t="s">
        <v>87</v>
      </c>
      <c r="F139" s="4" t="s">
        <v>94</v>
      </c>
      <c r="G139" s="5">
        <v>45554</v>
      </c>
      <c r="H139" s="5">
        <v>45566</v>
      </c>
      <c r="I139" s="4">
        <v>12</v>
      </c>
      <c r="J139" s="4" t="s">
        <v>33</v>
      </c>
      <c r="K139" s="4" t="s">
        <v>278</v>
      </c>
      <c r="L139" s="4" t="s">
        <v>279</v>
      </c>
      <c r="M139" s="4" t="s">
        <v>95</v>
      </c>
      <c r="N139" s="4" t="s">
        <v>37</v>
      </c>
      <c r="O139" s="4" t="s">
        <v>455</v>
      </c>
      <c r="P139" s="4">
        <v>14</v>
      </c>
      <c r="Q139" s="4" t="s">
        <v>50</v>
      </c>
      <c r="R139" s="4" t="s">
        <v>51</v>
      </c>
      <c r="S139" s="4">
        <v>80957</v>
      </c>
      <c r="T139" s="4">
        <v>33806</v>
      </c>
      <c r="U139" s="4">
        <v>47151</v>
      </c>
      <c r="V139" s="4">
        <v>62414</v>
      </c>
      <c r="W139" s="4">
        <v>1960</v>
      </c>
      <c r="X139" s="4">
        <v>13782</v>
      </c>
      <c r="Y139" s="4" t="s">
        <v>41</v>
      </c>
      <c r="Z139" s="4">
        <v>73</v>
      </c>
      <c r="AA139" s="4">
        <v>3.1</v>
      </c>
      <c r="AB139" s="4" t="s">
        <v>42</v>
      </c>
    </row>
    <row r="140" spans="1:28" x14ac:dyDescent="0.25">
      <c r="A140" s="2" t="s">
        <v>456</v>
      </c>
      <c r="B140" s="2" t="s">
        <v>457</v>
      </c>
      <c r="C140" s="2">
        <v>17</v>
      </c>
      <c r="D140" s="2" t="s">
        <v>55</v>
      </c>
      <c r="E140" s="2" t="s">
        <v>31</v>
      </c>
      <c r="F140" s="2" t="s">
        <v>46</v>
      </c>
      <c r="G140" s="3">
        <v>45654</v>
      </c>
      <c r="H140" s="3">
        <v>45657</v>
      </c>
      <c r="I140" s="2">
        <v>3</v>
      </c>
      <c r="J140" s="2" t="s">
        <v>33</v>
      </c>
      <c r="K140" s="2" t="s">
        <v>197</v>
      </c>
      <c r="L140" s="2" t="s">
        <v>198</v>
      </c>
      <c r="M140" s="2" t="s">
        <v>101</v>
      </c>
      <c r="N140" s="2" t="s">
        <v>37</v>
      </c>
      <c r="O140" s="2" t="s">
        <v>355</v>
      </c>
      <c r="P140" s="2">
        <v>91</v>
      </c>
      <c r="Q140" s="2" t="s">
        <v>39</v>
      </c>
      <c r="R140" s="2" t="s">
        <v>51</v>
      </c>
      <c r="S140" s="2">
        <v>131811</v>
      </c>
      <c r="T140" s="2">
        <v>88866</v>
      </c>
      <c r="U140" s="2">
        <v>42945</v>
      </c>
      <c r="V140" s="2">
        <v>88362</v>
      </c>
      <c r="W140" s="2">
        <v>27417</v>
      </c>
      <c r="X140" s="2">
        <v>12593</v>
      </c>
      <c r="Y140" s="2" t="s">
        <v>91</v>
      </c>
      <c r="Z140" s="2">
        <v>84</v>
      </c>
      <c r="AA140" s="2">
        <v>3.1</v>
      </c>
      <c r="AB140" s="2" t="s">
        <v>42</v>
      </c>
    </row>
    <row r="141" spans="1:28" x14ac:dyDescent="0.25">
      <c r="A141" s="4" t="s">
        <v>458</v>
      </c>
      <c r="B141" s="4" t="s">
        <v>459</v>
      </c>
      <c r="C141" s="4">
        <v>77</v>
      </c>
      <c r="D141" s="4" t="s">
        <v>55</v>
      </c>
      <c r="E141" s="4" t="s">
        <v>87</v>
      </c>
      <c r="F141" s="4" t="s">
        <v>94</v>
      </c>
      <c r="G141" s="5">
        <v>45194</v>
      </c>
      <c r="H141" s="5">
        <v>45200</v>
      </c>
      <c r="I141" s="4">
        <v>6</v>
      </c>
      <c r="J141" s="4" t="s">
        <v>33</v>
      </c>
      <c r="K141" s="4" t="s">
        <v>174</v>
      </c>
      <c r="L141" s="4" t="s">
        <v>48</v>
      </c>
      <c r="M141" s="4" t="s">
        <v>36</v>
      </c>
      <c r="N141" s="4" t="s">
        <v>62</v>
      </c>
      <c r="O141" s="4" t="s">
        <v>89</v>
      </c>
      <c r="P141" s="4">
        <v>113</v>
      </c>
      <c r="Q141" s="4" t="s">
        <v>69</v>
      </c>
      <c r="R141" s="4" t="s">
        <v>51</v>
      </c>
      <c r="S141" s="4">
        <v>139408</v>
      </c>
      <c r="T141" s="4">
        <v>89491</v>
      </c>
      <c r="U141" s="4">
        <v>49917</v>
      </c>
      <c r="V141" s="4">
        <v>130301</v>
      </c>
      <c r="W141" s="4">
        <v>1022</v>
      </c>
      <c r="X141" s="4">
        <v>5935</v>
      </c>
      <c r="Y141" s="4" t="s">
        <v>41</v>
      </c>
      <c r="Z141" s="4">
        <v>51</v>
      </c>
      <c r="AA141" s="4">
        <v>4.8</v>
      </c>
      <c r="AB141" s="4" t="s">
        <v>52</v>
      </c>
    </row>
    <row r="142" spans="1:28" x14ac:dyDescent="0.25">
      <c r="A142" s="2" t="s">
        <v>460</v>
      </c>
      <c r="B142" s="2" t="s">
        <v>268</v>
      </c>
      <c r="C142" s="2">
        <v>23</v>
      </c>
      <c r="D142" s="2" t="s">
        <v>55</v>
      </c>
      <c r="E142" s="2" t="s">
        <v>56</v>
      </c>
      <c r="F142" s="2" t="s">
        <v>94</v>
      </c>
      <c r="G142" s="3">
        <v>45309</v>
      </c>
      <c r="H142" s="3">
        <v>45312</v>
      </c>
      <c r="I142" s="2">
        <v>3</v>
      </c>
      <c r="J142" s="2" t="s">
        <v>58</v>
      </c>
      <c r="K142" s="2" t="s">
        <v>88</v>
      </c>
      <c r="L142" s="2" t="s">
        <v>60</v>
      </c>
      <c r="M142" s="2" t="s">
        <v>101</v>
      </c>
      <c r="N142" s="2" t="s">
        <v>62</v>
      </c>
      <c r="O142" s="2" t="s">
        <v>461</v>
      </c>
      <c r="P142" s="2">
        <v>166</v>
      </c>
      <c r="Q142" s="2" t="s">
        <v>39</v>
      </c>
      <c r="R142" s="2" t="s">
        <v>40</v>
      </c>
      <c r="S142" s="2">
        <v>161933</v>
      </c>
      <c r="T142" s="2">
        <v>96310</v>
      </c>
      <c r="U142" s="2">
        <v>65623</v>
      </c>
      <c r="V142" s="2">
        <v>119522</v>
      </c>
      <c r="W142" s="2">
        <v>26947</v>
      </c>
      <c r="X142" s="2">
        <v>10973</v>
      </c>
      <c r="Y142" s="2" t="s">
        <v>41</v>
      </c>
      <c r="Z142" s="2">
        <v>75</v>
      </c>
      <c r="AA142" s="2">
        <v>4.0999999999999996</v>
      </c>
      <c r="AB142" s="2" t="s">
        <v>42</v>
      </c>
    </row>
    <row r="143" spans="1:28" x14ac:dyDescent="0.25">
      <c r="A143" s="4" t="s">
        <v>462</v>
      </c>
      <c r="B143" s="4" t="s">
        <v>463</v>
      </c>
      <c r="C143" s="4">
        <v>33</v>
      </c>
      <c r="D143" s="4" t="s">
        <v>55</v>
      </c>
      <c r="E143" s="4" t="s">
        <v>67</v>
      </c>
      <c r="F143" s="4" t="s">
        <v>46</v>
      </c>
      <c r="G143" s="5">
        <v>45165</v>
      </c>
      <c r="H143" s="5">
        <v>45170</v>
      </c>
      <c r="I143" s="4">
        <v>5</v>
      </c>
      <c r="J143" s="4" t="s">
        <v>123</v>
      </c>
      <c r="K143" s="4" t="s">
        <v>124</v>
      </c>
      <c r="L143" s="4" t="s">
        <v>125</v>
      </c>
      <c r="M143" s="4" t="s">
        <v>101</v>
      </c>
      <c r="N143" s="4" t="s">
        <v>37</v>
      </c>
      <c r="O143" s="4" t="s">
        <v>464</v>
      </c>
      <c r="P143" s="4">
        <v>94</v>
      </c>
      <c r="Q143" s="4" t="s">
        <v>50</v>
      </c>
      <c r="R143" s="4" t="s">
        <v>51</v>
      </c>
      <c r="S143" s="4">
        <v>95982</v>
      </c>
      <c r="T143" s="4">
        <v>65364</v>
      </c>
      <c r="U143" s="4">
        <v>30618</v>
      </c>
      <c r="V143" s="4">
        <v>62906</v>
      </c>
      <c r="W143" s="4">
        <v>21959</v>
      </c>
      <c r="X143" s="4">
        <v>9765</v>
      </c>
      <c r="Y143" s="4" t="s">
        <v>91</v>
      </c>
      <c r="Z143" s="4">
        <v>87</v>
      </c>
      <c r="AA143" s="4">
        <v>2.2000000000000002</v>
      </c>
      <c r="AB143" s="4" t="s">
        <v>52</v>
      </c>
    </row>
    <row r="144" spans="1:28" x14ac:dyDescent="0.25">
      <c r="A144" s="2" t="s">
        <v>465</v>
      </c>
      <c r="B144" s="2" t="s">
        <v>466</v>
      </c>
      <c r="C144" s="2">
        <v>16</v>
      </c>
      <c r="D144" s="2" t="s">
        <v>30</v>
      </c>
      <c r="E144" s="2" t="s">
        <v>87</v>
      </c>
      <c r="F144" s="2" t="s">
        <v>57</v>
      </c>
      <c r="G144" s="3">
        <v>45105</v>
      </c>
      <c r="H144" s="3">
        <v>45112</v>
      </c>
      <c r="I144" s="2">
        <v>7</v>
      </c>
      <c r="J144" s="2" t="s">
        <v>73</v>
      </c>
      <c r="K144" s="2" t="s">
        <v>74</v>
      </c>
      <c r="L144" s="2" t="s">
        <v>73</v>
      </c>
      <c r="M144" s="2" t="s">
        <v>95</v>
      </c>
      <c r="N144" s="2" t="s">
        <v>118</v>
      </c>
      <c r="O144" s="2" t="s">
        <v>76</v>
      </c>
      <c r="P144" s="2">
        <v>25</v>
      </c>
      <c r="Q144" s="2" t="s">
        <v>103</v>
      </c>
      <c r="R144" s="2" t="s">
        <v>111</v>
      </c>
      <c r="S144" s="2">
        <v>140342</v>
      </c>
      <c r="T144" s="2">
        <v>104965</v>
      </c>
      <c r="U144" s="2">
        <v>35377</v>
      </c>
      <c r="V144" s="2">
        <v>115009</v>
      </c>
      <c r="W144" s="2">
        <v>6450</v>
      </c>
      <c r="X144" s="2">
        <v>14992</v>
      </c>
      <c r="Y144" s="2" t="s">
        <v>41</v>
      </c>
      <c r="Z144" s="2">
        <v>74</v>
      </c>
      <c r="AA144" s="2">
        <v>3.1</v>
      </c>
      <c r="AB144" s="2" t="s">
        <v>137</v>
      </c>
    </row>
    <row r="145" spans="1:28" x14ac:dyDescent="0.25">
      <c r="A145" s="4" t="s">
        <v>467</v>
      </c>
      <c r="B145" s="4" t="s">
        <v>468</v>
      </c>
      <c r="C145" s="4">
        <v>33</v>
      </c>
      <c r="D145" s="4" t="s">
        <v>55</v>
      </c>
      <c r="E145" s="4" t="s">
        <v>87</v>
      </c>
      <c r="F145" s="4" t="s">
        <v>157</v>
      </c>
      <c r="G145" s="5">
        <v>44630</v>
      </c>
      <c r="H145" s="5">
        <v>44640</v>
      </c>
      <c r="I145" s="4">
        <v>10</v>
      </c>
      <c r="J145" s="4" t="s">
        <v>123</v>
      </c>
      <c r="K145" s="4" t="s">
        <v>251</v>
      </c>
      <c r="L145" s="4" t="s">
        <v>125</v>
      </c>
      <c r="M145" s="4" t="s">
        <v>134</v>
      </c>
      <c r="N145" s="4" t="s">
        <v>62</v>
      </c>
      <c r="O145" s="4" t="s">
        <v>49</v>
      </c>
      <c r="P145" s="4">
        <v>88</v>
      </c>
      <c r="Q145" s="4" t="s">
        <v>103</v>
      </c>
      <c r="R145" s="4" t="s">
        <v>40</v>
      </c>
      <c r="S145" s="4">
        <v>48879</v>
      </c>
      <c r="T145" s="4">
        <v>28262</v>
      </c>
      <c r="U145" s="4">
        <v>20617</v>
      </c>
      <c r="V145" s="4">
        <v>24661</v>
      </c>
      <c r="W145" s="4">
        <v>18925</v>
      </c>
      <c r="X145" s="4">
        <v>2025</v>
      </c>
      <c r="Y145" s="4" t="s">
        <v>41</v>
      </c>
      <c r="Z145" s="4">
        <v>70</v>
      </c>
      <c r="AA145" s="4">
        <v>4.0999999999999996</v>
      </c>
      <c r="AB145" s="4" t="s">
        <v>137</v>
      </c>
    </row>
    <row r="146" spans="1:28" x14ac:dyDescent="0.25">
      <c r="A146" s="2" t="s">
        <v>469</v>
      </c>
      <c r="B146" s="2" t="s">
        <v>470</v>
      </c>
      <c r="C146" s="2">
        <v>82</v>
      </c>
      <c r="D146" s="2" t="s">
        <v>30</v>
      </c>
      <c r="E146" s="2" t="s">
        <v>154</v>
      </c>
      <c r="F146" s="2" t="s">
        <v>57</v>
      </c>
      <c r="G146" s="3">
        <v>44769</v>
      </c>
      <c r="H146" s="3">
        <v>44780</v>
      </c>
      <c r="I146" s="2">
        <v>11</v>
      </c>
      <c r="J146" s="2" t="s">
        <v>115</v>
      </c>
      <c r="K146" s="2" t="s">
        <v>160</v>
      </c>
      <c r="L146" s="2" t="s">
        <v>117</v>
      </c>
      <c r="M146" s="2" t="s">
        <v>108</v>
      </c>
      <c r="N146" s="2" t="s">
        <v>118</v>
      </c>
      <c r="O146" s="2" t="s">
        <v>471</v>
      </c>
      <c r="P146" s="2">
        <v>122</v>
      </c>
      <c r="Q146" s="2" t="s">
        <v>69</v>
      </c>
      <c r="R146" s="2" t="s">
        <v>90</v>
      </c>
      <c r="S146" s="2">
        <v>141757</v>
      </c>
      <c r="T146" s="2">
        <v>91586</v>
      </c>
      <c r="U146" s="2">
        <v>50171</v>
      </c>
      <c r="V146" s="2">
        <v>107996</v>
      </c>
      <c r="W146" s="2">
        <v>19735</v>
      </c>
      <c r="X146" s="2">
        <v>9505</v>
      </c>
      <c r="Y146" s="2" t="s">
        <v>41</v>
      </c>
      <c r="Z146" s="2">
        <v>67</v>
      </c>
      <c r="AA146" s="2">
        <v>2.2999999999999998</v>
      </c>
      <c r="AB146" s="2" t="s">
        <v>42</v>
      </c>
    </row>
    <row r="147" spans="1:28" x14ac:dyDescent="0.25">
      <c r="A147" s="4" t="s">
        <v>472</v>
      </c>
      <c r="B147" s="4" t="s">
        <v>473</v>
      </c>
      <c r="C147" s="4">
        <v>17</v>
      </c>
      <c r="D147" s="4" t="s">
        <v>55</v>
      </c>
      <c r="E147" s="4" t="s">
        <v>31</v>
      </c>
      <c r="F147" s="4" t="s">
        <v>129</v>
      </c>
      <c r="G147" s="5">
        <v>45159</v>
      </c>
      <c r="H147" s="5">
        <v>45162</v>
      </c>
      <c r="I147" s="4">
        <v>3</v>
      </c>
      <c r="J147" s="4" t="s">
        <v>33</v>
      </c>
      <c r="K147" s="4" t="s">
        <v>174</v>
      </c>
      <c r="L147" s="4" t="s">
        <v>48</v>
      </c>
      <c r="M147" s="4" t="s">
        <v>134</v>
      </c>
      <c r="N147" s="4" t="s">
        <v>37</v>
      </c>
      <c r="O147" s="4" t="s">
        <v>189</v>
      </c>
      <c r="P147" s="4">
        <v>459</v>
      </c>
      <c r="Q147" s="4" t="s">
        <v>50</v>
      </c>
      <c r="R147" s="4" t="s">
        <v>90</v>
      </c>
      <c r="S147" s="4">
        <v>168405</v>
      </c>
      <c r="T147" s="4">
        <v>145779</v>
      </c>
      <c r="U147" s="4">
        <v>22626</v>
      </c>
      <c r="V147" s="4">
        <v>147639</v>
      </c>
      <c r="W147" s="4">
        <v>13698</v>
      </c>
      <c r="X147" s="4">
        <v>3529</v>
      </c>
      <c r="Y147" s="4" t="s">
        <v>41</v>
      </c>
      <c r="Z147" s="4">
        <v>68</v>
      </c>
      <c r="AA147" s="4">
        <v>2.1</v>
      </c>
      <c r="AB147" s="4" t="s">
        <v>137</v>
      </c>
    </row>
    <row r="148" spans="1:28" x14ac:dyDescent="0.25">
      <c r="A148" s="2" t="s">
        <v>474</v>
      </c>
      <c r="B148" s="2" t="s">
        <v>475</v>
      </c>
      <c r="C148" s="2">
        <v>33</v>
      </c>
      <c r="D148" s="2" t="s">
        <v>30</v>
      </c>
      <c r="E148" s="2" t="s">
        <v>122</v>
      </c>
      <c r="F148" s="2" t="s">
        <v>129</v>
      </c>
      <c r="G148" s="3">
        <v>44760</v>
      </c>
      <c r="H148" s="3">
        <v>44763</v>
      </c>
      <c r="I148" s="2">
        <v>3</v>
      </c>
      <c r="J148" s="2" t="s">
        <v>58</v>
      </c>
      <c r="K148" s="2" t="s">
        <v>88</v>
      </c>
      <c r="L148" s="2" t="s">
        <v>60</v>
      </c>
      <c r="M148" s="2" t="s">
        <v>108</v>
      </c>
      <c r="N148" s="2" t="s">
        <v>109</v>
      </c>
      <c r="O148" s="2" t="s">
        <v>214</v>
      </c>
      <c r="P148" s="2">
        <v>431</v>
      </c>
      <c r="Q148" s="2" t="s">
        <v>103</v>
      </c>
      <c r="R148" s="2" t="s">
        <v>51</v>
      </c>
      <c r="S148" s="2">
        <v>149433</v>
      </c>
      <c r="T148" s="2">
        <v>85448</v>
      </c>
      <c r="U148" s="2">
        <v>63985</v>
      </c>
      <c r="V148" s="2">
        <v>114741</v>
      </c>
      <c r="W148" s="2">
        <v>18547</v>
      </c>
      <c r="X148" s="2">
        <v>11756</v>
      </c>
      <c r="Y148" s="2" t="s">
        <v>41</v>
      </c>
      <c r="Z148" s="2">
        <v>59</v>
      </c>
      <c r="AA148" s="2">
        <v>2.2000000000000002</v>
      </c>
      <c r="AB148" s="2" t="s">
        <v>104</v>
      </c>
    </row>
    <row r="149" spans="1:28" x14ac:dyDescent="0.25">
      <c r="A149" s="4" t="s">
        <v>476</v>
      </c>
      <c r="B149" s="4" t="s">
        <v>477</v>
      </c>
      <c r="C149" s="4">
        <v>71</v>
      </c>
      <c r="D149" s="4" t="s">
        <v>55</v>
      </c>
      <c r="E149" s="4" t="s">
        <v>56</v>
      </c>
      <c r="F149" s="4" t="s">
        <v>150</v>
      </c>
      <c r="G149" s="5">
        <v>44916</v>
      </c>
      <c r="H149" s="5">
        <v>44922</v>
      </c>
      <c r="I149" s="4">
        <v>6</v>
      </c>
      <c r="J149" s="4" t="s">
        <v>115</v>
      </c>
      <c r="K149" s="4" t="s">
        <v>160</v>
      </c>
      <c r="L149" s="4" t="s">
        <v>117</v>
      </c>
      <c r="M149" s="4" t="s">
        <v>143</v>
      </c>
      <c r="N149" s="4" t="s">
        <v>62</v>
      </c>
      <c r="O149" s="4" t="s">
        <v>376</v>
      </c>
      <c r="P149" s="4">
        <v>350</v>
      </c>
      <c r="Q149" s="4" t="s">
        <v>103</v>
      </c>
      <c r="R149" s="4" t="s">
        <v>40</v>
      </c>
      <c r="S149" s="4">
        <v>84958</v>
      </c>
      <c r="T149" s="4">
        <v>42133</v>
      </c>
      <c r="U149" s="4">
        <v>42825</v>
      </c>
      <c r="V149" s="4">
        <v>43765</v>
      </c>
      <c r="W149" s="4">
        <v>28332</v>
      </c>
      <c r="X149" s="4">
        <v>10249</v>
      </c>
      <c r="Y149" s="4" t="s">
        <v>41</v>
      </c>
      <c r="Z149" s="4">
        <v>91</v>
      </c>
      <c r="AA149" s="4">
        <v>2.2000000000000002</v>
      </c>
      <c r="AB149" s="4" t="s">
        <v>137</v>
      </c>
    </row>
    <row r="150" spans="1:28" x14ac:dyDescent="0.25">
      <c r="A150" s="2" t="s">
        <v>478</v>
      </c>
      <c r="B150" s="2" t="s">
        <v>479</v>
      </c>
      <c r="C150" s="2">
        <v>75</v>
      </c>
      <c r="D150" s="2" t="s">
        <v>30</v>
      </c>
      <c r="E150" s="2" t="s">
        <v>79</v>
      </c>
      <c r="F150" s="2" t="s">
        <v>94</v>
      </c>
      <c r="G150" s="3">
        <v>45500</v>
      </c>
      <c r="H150" s="3">
        <v>45530</v>
      </c>
      <c r="I150" s="2">
        <v>30</v>
      </c>
      <c r="J150" s="2" t="s">
        <v>123</v>
      </c>
      <c r="K150" s="2" t="s">
        <v>251</v>
      </c>
      <c r="L150" s="2" t="s">
        <v>125</v>
      </c>
      <c r="M150" s="2" t="s">
        <v>101</v>
      </c>
      <c r="N150" s="2" t="s">
        <v>37</v>
      </c>
      <c r="O150" s="2" t="s">
        <v>230</v>
      </c>
      <c r="P150" s="2">
        <v>77</v>
      </c>
      <c r="Q150" s="2" t="s">
        <v>39</v>
      </c>
      <c r="R150" s="2" t="s">
        <v>51</v>
      </c>
      <c r="S150" s="2">
        <v>46774</v>
      </c>
      <c r="T150" s="2">
        <v>29735</v>
      </c>
      <c r="U150" s="2">
        <v>17039</v>
      </c>
      <c r="V150" s="2">
        <v>31267</v>
      </c>
      <c r="W150" s="2">
        <v>4461</v>
      </c>
      <c r="X150" s="2">
        <v>9719</v>
      </c>
      <c r="Y150" s="2" t="s">
        <v>41</v>
      </c>
      <c r="Z150" s="2">
        <v>96</v>
      </c>
      <c r="AA150" s="2">
        <v>3</v>
      </c>
      <c r="AB150" s="2" t="s">
        <v>137</v>
      </c>
    </row>
    <row r="151" spans="1:28" x14ac:dyDescent="0.25">
      <c r="A151" s="4" t="s">
        <v>480</v>
      </c>
      <c r="B151" s="4" t="s">
        <v>177</v>
      </c>
      <c r="C151" s="4">
        <v>67</v>
      </c>
      <c r="D151" s="4" t="s">
        <v>30</v>
      </c>
      <c r="E151" s="4" t="s">
        <v>122</v>
      </c>
      <c r="F151" s="4" t="s">
        <v>129</v>
      </c>
      <c r="G151" s="5">
        <v>45126</v>
      </c>
      <c r="H151" s="5">
        <v>45139</v>
      </c>
      <c r="I151" s="4">
        <v>13</v>
      </c>
      <c r="J151" s="4" t="s">
        <v>140</v>
      </c>
      <c r="K151" s="4" t="s">
        <v>141</v>
      </c>
      <c r="L151" s="4" t="s">
        <v>142</v>
      </c>
      <c r="M151" s="4" t="s">
        <v>101</v>
      </c>
      <c r="N151" s="4" t="s">
        <v>37</v>
      </c>
      <c r="O151" s="4" t="s">
        <v>184</v>
      </c>
      <c r="P151" s="4">
        <v>456</v>
      </c>
      <c r="Q151" s="4" t="s">
        <v>50</v>
      </c>
      <c r="R151" s="4" t="s">
        <v>40</v>
      </c>
      <c r="S151" s="4">
        <v>54342</v>
      </c>
      <c r="T151" s="4">
        <v>36361</v>
      </c>
      <c r="U151" s="4">
        <v>17981</v>
      </c>
      <c r="V151" s="4">
        <v>17921</v>
      </c>
      <c r="W151" s="4">
        <v>25436</v>
      </c>
      <c r="X151" s="4">
        <v>8285</v>
      </c>
      <c r="Y151" s="4" t="s">
        <v>91</v>
      </c>
      <c r="Z151" s="4">
        <v>92</v>
      </c>
      <c r="AA151" s="4">
        <v>4.4000000000000004</v>
      </c>
      <c r="AB151" s="4" t="s">
        <v>52</v>
      </c>
    </row>
    <row r="152" spans="1:28" x14ac:dyDescent="0.25">
      <c r="A152" s="2" t="s">
        <v>481</v>
      </c>
      <c r="B152" s="2" t="s">
        <v>482</v>
      </c>
      <c r="C152" s="2">
        <v>17</v>
      </c>
      <c r="D152" s="2" t="s">
        <v>55</v>
      </c>
      <c r="E152" s="2" t="s">
        <v>154</v>
      </c>
      <c r="F152" s="2" t="s">
        <v>46</v>
      </c>
      <c r="G152" s="3">
        <v>45469</v>
      </c>
      <c r="H152" s="3">
        <v>45494</v>
      </c>
      <c r="I152" s="2">
        <v>25</v>
      </c>
      <c r="J152" s="2" t="s">
        <v>33</v>
      </c>
      <c r="K152" s="2" t="s">
        <v>47</v>
      </c>
      <c r="L152" s="2" t="s">
        <v>48</v>
      </c>
      <c r="M152" s="2" t="s">
        <v>108</v>
      </c>
      <c r="N152" s="2" t="s">
        <v>62</v>
      </c>
      <c r="O152" s="2" t="s">
        <v>102</v>
      </c>
      <c r="P152" s="2">
        <v>109</v>
      </c>
      <c r="Q152" s="2" t="s">
        <v>103</v>
      </c>
      <c r="R152" s="2" t="s">
        <v>111</v>
      </c>
      <c r="S152" s="2">
        <v>177399</v>
      </c>
      <c r="T152" s="2">
        <v>133862</v>
      </c>
      <c r="U152" s="2">
        <v>43537</v>
      </c>
      <c r="V152" s="2">
        <v>140397</v>
      </c>
      <c r="W152" s="2">
        <v>29416</v>
      </c>
      <c r="X152" s="2">
        <v>6626</v>
      </c>
      <c r="Y152" s="2" t="s">
        <v>41</v>
      </c>
      <c r="Z152" s="2">
        <v>59</v>
      </c>
      <c r="AA152" s="2">
        <v>4.0999999999999996</v>
      </c>
      <c r="AB152" s="2" t="s">
        <v>137</v>
      </c>
    </row>
    <row r="153" spans="1:28" x14ac:dyDescent="0.25">
      <c r="A153" s="4" t="s">
        <v>483</v>
      </c>
      <c r="B153" s="4" t="s">
        <v>484</v>
      </c>
      <c r="C153" s="4">
        <v>77</v>
      </c>
      <c r="D153" s="4" t="s">
        <v>55</v>
      </c>
      <c r="E153" s="4" t="s">
        <v>154</v>
      </c>
      <c r="F153" s="4" t="s">
        <v>32</v>
      </c>
      <c r="G153" s="5">
        <v>44973</v>
      </c>
      <c r="H153" s="5">
        <v>45000</v>
      </c>
      <c r="I153" s="4">
        <v>27</v>
      </c>
      <c r="J153" s="4" t="s">
        <v>33</v>
      </c>
      <c r="K153" s="4" t="s">
        <v>197</v>
      </c>
      <c r="L153" s="4" t="s">
        <v>198</v>
      </c>
      <c r="M153" s="4" t="s">
        <v>130</v>
      </c>
      <c r="N153" s="4" t="s">
        <v>37</v>
      </c>
      <c r="O153" s="4" t="s">
        <v>300</v>
      </c>
      <c r="P153" s="4">
        <v>361</v>
      </c>
      <c r="Q153" s="4" t="s">
        <v>39</v>
      </c>
      <c r="R153" s="4" t="s">
        <v>136</v>
      </c>
      <c r="S153" s="4">
        <v>142287</v>
      </c>
      <c r="T153" s="4">
        <v>0</v>
      </c>
      <c r="U153" s="4">
        <v>142287</v>
      </c>
      <c r="V153" s="4">
        <v>101561</v>
      </c>
      <c r="W153" s="4">
        <v>27984</v>
      </c>
      <c r="X153" s="4">
        <v>8105</v>
      </c>
      <c r="Y153" s="4" t="s">
        <v>41</v>
      </c>
      <c r="Z153" s="4">
        <v>99</v>
      </c>
      <c r="AA153" s="4">
        <v>2.4</v>
      </c>
      <c r="AB153" s="4" t="s">
        <v>104</v>
      </c>
    </row>
    <row r="154" spans="1:28" x14ac:dyDescent="0.25">
      <c r="A154" s="2" t="s">
        <v>485</v>
      </c>
      <c r="B154" s="2" t="s">
        <v>486</v>
      </c>
      <c r="C154" s="2">
        <v>67</v>
      </c>
      <c r="D154" s="2" t="s">
        <v>30</v>
      </c>
      <c r="E154" s="2" t="s">
        <v>154</v>
      </c>
      <c r="F154" s="2" t="s">
        <v>150</v>
      </c>
      <c r="G154" s="3">
        <v>45278</v>
      </c>
      <c r="H154" s="3">
        <v>45290</v>
      </c>
      <c r="I154" s="2">
        <v>12</v>
      </c>
      <c r="J154" s="2" t="s">
        <v>123</v>
      </c>
      <c r="K154" s="2" t="s">
        <v>124</v>
      </c>
      <c r="L154" s="2" t="s">
        <v>125</v>
      </c>
      <c r="M154" s="2" t="s">
        <v>36</v>
      </c>
      <c r="N154" s="2" t="s">
        <v>118</v>
      </c>
      <c r="O154" s="2" t="s">
        <v>184</v>
      </c>
      <c r="P154" s="2">
        <v>26</v>
      </c>
      <c r="Q154" s="2" t="s">
        <v>39</v>
      </c>
      <c r="R154" s="2" t="s">
        <v>51</v>
      </c>
      <c r="S154" s="2">
        <v>96737</v>
      </c>
      <c r="T154" s="2">
        <v>58362</v>
      </c>
      <c r="U154" s="2">
        <v>38375</v>
      </c>
      <c r="V154" s="2">
        <v>61182</v>
      </c>
      <c r="W154" s="2">
        <v>29085</v>
      </c>
      <c r="X154" s="2">
        <v>4126</v>
      </c>
      <c r="Y154" s="2" t="s">
        <v>41</v>
      </c>
      <c r="Z154" s="2">
        <v>66</v>
      </c>
      <c r="AA154" s="2">
        <v>3.5</v>
      </c>
      <c r="AB154" s="2" t="s">
        <v>104</v>
      </c>
    </row>
    <row r="155" spans="1:28" x14ac:dyDescent="0.25">
      <c r="A155" s="4" t="s">
        <v>487</v>
      </c>
      <c r="B155" s="4" t="s">
        <v>488</v>
      </c>
      <c r="C155" s="4">
        <v>27</v>
      </c>
      <c r="D155" s="4" t="s">
        <v>55</v>
      </c>
      <c r="E155" s="4" t="s">
        <v>31</v>
      </c>
      <c r="F155" s="4" t="s">
        <v>46</v>
      </c>
      <c r="G155" s="5">
        <v>45187</v>
      </c>
      <c r="H155" s="5">
        <v>45210</v>
      </c>
      <c r="I155" s="4">
        <v>23</v>
      </c>
      <c r="J155" s="4" t="s">
        <v>140</v>
      </c>
      <c r="K155" s="4" t="s">
        <v>167</v>
      </c>
      <c r="L155" s="4" t="s">
        <v>142</v>
      </c>
      <c r="M155" s="4" t="s">
        <v>108</v>
      </c>
      <c r="N155" s="4" t="s">
        <v>118</v>
      </c>
      <c r="O155" s="4" t="s">
        <v>119</v>
      </c>
      <c r="P155" s="4">
        <v>112</v>
      </c>
      <c r="Q155" s="4" t="s">
        <v>103</v>
      </c>
      <c r="R155" s="4" t="s">
        <v>136</v>
      </c>
      <c r="S155" s="4">
        <v>183963</v>
      </c>
      <c r="T155" s="4">
        <v>0</v>
      </c>
      <c r="U155" s="4">
        <v>183963</v>
      </c>
      <c r="V155" s="4">
        <v>141482</v>
      </c>
      <c r="W155" s="4">
        <v>28011</v>
      </c>
      <c r="X155" s="4">
        <v>10717</v>
      </c>
      <c r="Y155" s="4" t="s">
        <v>41</v>
      </c>
      <c r="Z155" s="4">
        <v>40</v>
      </c>
      <c r="AA155" s="4">
        <v>3.5</v>
      </c>
      <c r="AB155" s="4" t="s">
        <v>52</v>
      </c>
    </row>
    <row r="156" spans="1:28" x14ac:dyDescent="0.25">
      <c r="A156" s="2" t="s">
        <v>489</v>
      </c>
      <c r="B156" s="2" t="s">
        <v>430</v>
      </c>
      <c r="C156" s="2">
        <v>82</v>
      </c>
      <c r="D156" s="2" t="s">
        <v>30</v>
      </c>
      <c r="E156" s="2" t="s">
        <v>79</v>
      </c>
      <c r="F156" s="2" t="s">
        <v>157</v>
      </c>
      <c r="G156" s="3">
        <v>45548</v>
      </c>
      <c r="H156" s="3">
        <v>45551</v>
      </c>
      <c r="I156" s="2">
        <v>3</v>
      </c>
      <c r="J156" s="2" t="s">
        <v>33</v>
      </c>
      <c r="K156" s="2" t="s">
        <v>47</v>
      </c>
      <c r="L156" s="2" t="s">
        <v>48</v>
      </c>
      <c r="M156" s="2" t="s">
        <v>95</v>
      </c>
      <c r="N156" s="2" t="s">
        <v>118</v>
      </c>
      <c r="O156" s="2" t="s">
        <v>471</v>
      </c>
      <c r="P156" s="2">
        <v>97</v>
      </c>
      <c r="Q156" s="2" t="s">
        <v>39</v>
      </c>
      <c r="R156" s="2" t="s">
        <v>51</v>
      </c>
      <c r="S156" s="2">
        <v>88359</v>
      </c>
      <c r="T156" s="2">
        <v>52853</v>
      </c>
      <c r="U156" s="2">
        <v>35506</v>
      </c>
      <c r="V156" s="2">
        <v>67993</v>
      </c>
      <c r="W156" s="2">
        <v>2860</v>
      </c>
      <c r="X156" s="2">
        <v>13696</v>
      </c>
      <c r="Y156" s="2" t="s">
        <v>41</v>
      </c>
      <c r="Z156" s="2">
        <v>86</v>
      </c>
      <c r="AA156" s="2">
        <v>2.1</v>
      </c>
      <c r="AB156" s="2" t="s">
        <v>137</v>
      </c>
    </row>
    <row r="157" spans="1:28" x14ac:dyDescent="0.25">
      <c r="A157" s="4" t="s">
        <v>490</v>
      </c>
      <c r="B157" s="4" t="s">
        <v>491</v>
      </c>
      <c r="C157" s="4">
        <v>58</v>
      </c>
      <c r="D157" s="4" t="s">
        <v>30</v>
      </c>
      <c r="E157" s="4" t="s">
        <v>67</v>
      </c>
      <c r="F157" s="4" t="s">
        <v>57</v>
      </c>
      <c r="G157" s="5">
        <v>44950</v>
      </c>
      <c r="H157" s="5">
        <v>44961</v>
      </c>
      <c r="I157" s="4">
        <v>11</v>
      </c>
      <c r="J157" s="4" t="s">
        <v>73</v>
      </c>
      <c r="K157" s="4" t="s">
        <v>74</v>
      </c>
      <c r="L157" s="4" t="s">
        <v>73</v>
      </c>
      <c r="M157" s="4" t="s">
        <v>83</v>
      </c>
      <c r="N157" s="4" t="s">
        <v>118</v>
      </c>
      <c r="O157" s="4" t="s">
        <v>492</v>
      </c>
      <c r="P157" s="4">
        <v>433</v>
      </c>
      <c r="Q157" s="4" t="s">
        <v>39</v>
      </c>
      <c r="R157" s="4" t="s">
        <v>51</v>
      </c>
      <c r="S157" s="4">
        <v>69564</v>
      </c>
      <c r="T157" s="4">
        <v>30496</v>
      </c>
      <c r="U157" s="4">
        <v>39068</v>
      </c>
      <c r="V157" s="4">
        <v>52483</v>
      </c>
      <c r="W157" s="4">
        <v>10626</v>
      </c>
      <c r="X157" s="4">
        <v>2099</v>
      </c>
      <c r="Y157" s="4" t="s">
        <v>41</v>
      </c>
      <c r="Z157" s="4">
        <v>91</v>
      </c>
      <c r="AA157" s="4">
        <v>3.7</v>
      </c>
      <c r="AB157" s="4" t="s">
        <v>64</v>
      </c>
    </row>
    <row r="158" spans="1:28" x14ac:dyDescent="0.25">
      <c r="A158" s="2" t="s">
        <v>493</v>
      </c>
      <c r="B158" s="2" t="s">
        <v>128</v>
      </c>
      <c r="C158" s="2">
        <v>16</v>
      </c>
      <c r="D158" s="2" t="s">
        <v>55</v>
      </c>
      <c r="E158" s="2" t="s">
        <v>45</v>
      </c>
      <c r="F158" s="2" t="s">
        <v>32</v>
      </c>
      <c r="G158" s="3">
        <v>45190</v>
      </c>
      <c r="H158" s="3">
        <v>45204</v>
      </c>
      <c r="I158" s="2">
        <v>14</v>
      </c>
      <c r="J158" s="2" t="s">
        <v>33</v>
      </c>
      <c r="K158" s="2" t="s">
        <v>47</v>
      </c>
      <c r="L158" s="2" t="s">
        <v>48</v>
      </c>
      <c r="M158" s="2" t="s">
        <v>134</v>
      </c>
      <c r="N158" s="2" t="s">
        <v>118</v>
      </c>
      <c r="O158" s="2" t="s">
        <v>227</v>
      </c>
      <c r="P158" s="2">
        <v>241</v>
      </c>
      <c r="Q158" s="2" t="s">
        <v>69</v>
      </c>
      <c r="R158" s="2" t="s">
        <v>51</v>
      </c>
      <c r="S158" s="2">
        <v>48427</v>
      </c>
      <c r="T158" s="2">
        <v>21111</v>
      </c>
      <c r="U158" s="2">
        <v>27316</v>
      </c>
      <c r="V158" s="2">
        <v>23668</v>
      </c>
      <c r="W158" s="2">
        <v>16473</v>
      </c>
      <c r="X158" s="2">
        <v>3687</v>
      </c>
      <c r="Y158" s="2" t="s">
        <v>41</v>
      </c>
      <c r="Z158" s="2">
        <v>73</v>
      </c>
      <c r="AA158" s="2">
        <v>2.9</v>
      </c>
      <c r="AB158" s="2" t="s">
        <v>104</v>
      </c>
    </row>
    <row r="159" spans="1:28" x14ac:dyDescent="0.25">
      <c r="A159" s="4" t="s">
        <v>494</v>
      </c>
      <c r="B159" s="4" t="s">
        <v>250</v>
      </c>
      <c r="C159" s="4">
        <v>22</v>
      </c>
      <c r="D159" s="4" t="s">
        <v>55</v>
      </c>
      <c r="E159" s="4" t="s">
        <v>45</v>
      </c>
      <c r="F159" s="4" t="s">
        <v>114</v>
      </c>
      <c r="G159" s="5">
        <v>45499</v>
      </c>
      <c r="H159" s="5">
        <v>45504</v>
      </c>
      <c r="I159" s="4">
        <v>5</v>
      </c>
      <c r="J159" s="4" t="s">
        <v>33</v>
      </c>
      <c r="K159" s="4" t="s">
        <v>47</v>
      </c>
      <c r="L159" s="4" t="s">
        <v>48</v>
      </c>
      <c r="M159" s="4" t="s">
        <v>36</v>
      </c>
      <c r="N159" s="4" t="s">
        <v>37</v>
      </c>
      <c r="O159" s="4" t="s">
        <v>355</v>
      </c>
      <c r="P159" s="4">
        <v>161</v>
      </c>
      <c r="Q159" s="4" t="s">
        <v>69</v>
      </c>
      <c r="R159" s="4" t="s">
        <v>90</v>
      </c>
      <c r="S159" s="4">
        <v>139276</v>
      </c>
      <c r="T159" s="4">
        <v>107644</v>
      </c>
      <c r="U159" s="4">
        <v>31632</v>
      </c>
      <c r="V159" s="4">
        <v>123503</v>
      </c>
      <c r="W159" s="4">
        <v>9962</v>
      </c>
      <c r="X159" s="4">
        <v>3930</v>
      </c>
      <c r="Y159" s="4" t="s">
        <v>41</v>
      </c>
      <c r="Z159" s="4">
        <v>90</v>
      </c>
      <c r="AA159" s="4">
        <v>4.3</v>
      </c>
      <c r="AB159" s="4" t="s">
        <v>104</v>
      </c>
    </row>
    <row r="160" spans="1:28" x14ac:dyDescent="0.25">
      <c r="A160" s="2" t="s">
        <v>495</v>
      </c>
      <c r="B160" s="2" t="s">
        <v>496</v>
      </c>
      <c r="C160" s="2">
        <v>60</v>
      </c>
      <c r="D160" s="2" t="s">
        <v>30</v>
      </c>
      <c r="E160" s="2" t="s">
        <v>67</v>
      </c>
      <c r="F160" s="2" t="s">
        <v>114</v>
      </c>
      <c r="G160" s="3">
        <v>45539</v>
      </c>
      <c r="H160" s="3">
        <v>45552</v>
      </c>
      <c r="I160" s="2">
        <v>13</v>
      </c>
      <c r="J160" s="2" t="s">
        <v>123</v>
      </c>
      <c r="K160" s="2" t="s">
        <v>251</v>
      </c>
      <c r="L160" s="2" t="s">
        <v>125</v>
      </c>
      <c r="M160" s="2" t="s">
        <v>75</v>
      </c>
      <c r="N160" s="2" t="s">
        <v>109</v>
      </c>
      <c r="O160" s="2" t="s">
        <v>497</v>
      </c>
      <c r="P160" s="2">
        <v>457</v>
      </c>
      <c r="Q160" s="2" t="s">
        <v>50</v>
      </c>
      <c r="R160" s="2" t="s">
        <v>51</v>
      </c>
      <c r="S160" s="2">
        <v>68665</v>
      </c>
      <c r="T160" s="2">
        <v>40375</v>
      </c>
      <c r="U160" s="2">
        <v>28290</v>
      </c>
      <c r="V160" s="2">
        <v>54958</v>
      </c>
      <c r="W160" s="2">
        <v>1587</v>
      </c>
      <c r="X160" s="2">
        <v>11587</v>
      </c>
      <c r="Y160" s="2" t="s">
        <v>41</v>
      </c>
      <c r="Z160" s="2">
        <v>84</v>
      </c>
      <c r="AA160" s="2">
        <v>4.5999999999999996</v>
      </c>
      <c r="AB160" s="2" t="s">
        <v>52</v>
      </c>
    </row>
    <row r="161" spans="1:28" x14ac:dyDescent="0.25">
      <c r="A161" s="4" t="s">
        <v>498</v>
      </c>
      <c r="B161" s="4" t="s">
        <v>499</v>
      </c>
      <c r="C161" s="4">
        <v>54</v>
      </c>
      <c r="D161" s="4" t="s">
        <v>30</v>
      </c>
      <c r="E161" s="4" t="s">
        <v>154</v>
      </c>
      <c r="F161" s="4" t="s">
        <v>157</v>
      </c>
      <c r="G161" s="5">
        <v>44655</v>
      </c>
      <c r="H161" s="5">
        <v>44665</v>
      </c>
      <c r="I161" s="4">
        <v>10</v>
      </c>
      <c r="J161" s="4" t="s">
        <v>58</v>
      </c>
      <c r="K161" s="4" t="s">
        <v>59</v>
      </c>
      <c r="L161" s="4" t="s">
        <v>60</v>
      </c>
      <c r="M161" s="4" t="s">
        <v>75</v>
      </c>
      <c r="N161" s="4" t="s">
        <v>118</v>
      </c>
      <c r="O161" s="4" t="s">
        <v>175</v>
      </c>
      <c r="P161" s="4">
        <v>176</v>
      </c>
      <c r="Q161" s="4" t="s">
        <v>103</v>
      </c>
      <c r="R161" s="4" t="s">
        <v>136</v>
      </c>
      <c r="S161" s="4">
        <v>78403</v>
      </c>
      <c r="T161" s="4">
        <v>0</v>
      </c>
      <c r="U161" s="4">
        <v>78403</v>
      </c>
      <c r="V161" s="4">
        <v>54394</v>
      </c>
      <c r="W161" s="4">
        <v>6402</v>
      </c>
      <c r="X161" s="4">
        <v>13803</v>
      </c>
      <c r="Y161" s="4" t="s">
        <v>91</v>
      </c>
      <c r="Z161" s="4">
        <v>54</v>
      </c>
      <c r="AA161" s="4">
        <v>4.2</v>
      </c>
      <c r="AB161" s="4" t="s">
        <v>64</v>
      </c>
    </row>
    <row r="162" spans="1:28" x14ac:dyDescent="0.25">
      <c r="A162" s="2" t="s">
        <v>500</v>
      </c>
      <c r="B162" s="2" t="s">
        <v>501</v>
      </c>
      <c r="C162" s="2">
        <v>80</v>
      </c>
      <c r="D162" s="2" t="s">
        <v>55</v>
      </c>
      <c r="E162" s="2" t="s">
        <v>56</v>
      </c>
      <c r="F162" s="2" t="s">
        <v>80</v>
      </c>
      <c r="G162" s="3">
        <v>44638</v>
      </c>
      <c r="H162" s="3">
        <v>44651</v>
      </c>
      <c r="I162" s="2">
        <v>13</v>
      </c>
      <c r="J162" s="2" t="s">
        <v>140</v>
      </c>
      <c r="K162" s="2" t="s">
        <v>167</v>
      </c>
      <c r="L162" s="2" t="s">
        <v>142</v>
      </c>
      <c r="M162" s="2" t="s">
        <v>101</v>
      </c>
      <c r="N162" s="2" t="s">
        <v>62</v>
      </c>
      <c r="O162" s="2" t="s">
        <v>464</v>
      </c>
      <c r="P162" s="2">
        <v>339</v>
      </c>
      <c r="Q162" s="2" t="s">
        <v>69</v>
      </c>
      <c r="R162" s="2" t="s">
        <v>90</v>
      </c>
      <c r="S162" s="2">
        <v>47556</v>
      </c>
      <c r="T162" s="2">
        <v>34873</v>
      </c>
      <c r="U162" s="2">
        <v>12683</v>
      </c>
      <c r="V162" s="2">
        <v>17644</v>
      </c>
      <c r="W162" s="2">
        <v>23601</v>
      </c>
      <c r="X162" s="2">
        <v>2397</v>
      </c>
      <c r="Y162" s="2" t="s">
        <v>91</v>
      </c>
      <c r="Z162" s="2">
        <v>56</v>
      </c>
      <c r="AA162" s="2">
        <v>3.4</v>
      </c>
      <c r="AB162" s="2" t="s">
        <v>64</v>
      </c>
    </row>
    <row r="163" spans="1:28" x14ac:dyDescent="0.25">
      <c r="A163" s="4" t="s">
        <v>502</v>
      </c>
      <c r="B163" s="4" t="s">
        <v>501</v>
      </c>
      <c r="C163" s="4">
        <v>43</v>
      </c>
      <c r="D163" s="4" t="s">
        <v>30</v>
      </c>
      <c r="E163" s="4" t="s">
        <v>56</v>
      </c>
      <c r="F163" s="4" t="s">
        <v>94</v>
      </c>
      <c r="G163" s="5">
        <v>45114</v>
      </c>
      <c r="H163" s="5">
        <v>45134</v>
      </c>
      <c r="I163" s="4">
        <v>20</v>
      </c>
      <c r="J163" s="4" t="s">
        <v>33</v>
      </c>
      <c r="K163" s="4" t="s">
        <v>233</v>
      </c>
      <c r="L163" s="4" t="s">
        <v>35</v>
      </c>
      <c r="M163" s="4" t="s">
        <v>108</v>
      </c>
      <c r="N163" s="4" t="s">
        <v>62</v>
      </c>
      <c r="O163" s="4" t="s">
        <v>295</v>
      </c>
      <c r="P163" s="4">
        <v>61</v>
      </c>
      <c r="Q163" s="4" t="s">
        <v>50</v>
      </c>
      <c r="R163" s="4" t="s">
        <v>90</v>
      </c>
      <c r="S163" s="4">
        <v>56055</v>
      </c>
      <c r="T163" s="4">
        <v>46716</v>
      </c>
      <c r="U163" s="4">
        <v>9339</v>
      </c>
      <c r="V163" s="4">
        <v>32856</v>
      </c>
      <c r="W163" s="4">
        <v>17309</v>
      </c>
      <c r="X163" s="4">
        <v>3754</v>
      </c>
      <c r="Y163" s="4" t="s">
        <v>41</v>
      </c>
      <c r="Z163" s="4">
        <v>52</v>
      </c>
      <c r="AA163" s="4">
        <v>3.1</v>
      </c>
      <c r="AB163" s="4" t="s">
        <v>137</v>
      </c>
    </row>
    <row r="164" spans="1:28" x14ac:dyDescent="0.25">
      <c r="A164" s="2" t="s">
        <v>503</v>
      </c>
      <c r="B164" s="2" t="s">
        <v>504</v>
      </c>
      <c r="C164" s="2">
        <v>10</v>
      </c>
      <c r="D164" s="2" t="s">
        <v>30</v>
      </c>
      <c r="E164" s="2" t="s">
        <v>31</v>
      </c>
      <c r="F164" s="2" t="s">
        <v>150</v>
      </c>
      <c r="G164" s="3">
        <v>45239</v>
      </c>
      <c r="H164" s="3">
        <v>45247</v>
      </c>
      <c r="I164" s="2">
        <v>8</v>
      </c>
      <c r="J164" s="2" t="s">
        <v>123</v>
      </c>
      <c r="K164" s="2" t="s">
        <v>251</v>
      </c>
      <c r="L164" s="2" t="s">
        <v>125</v>
      </c>
      <c r="M164" s="2" t="s">
        <v>36</v>
      </c>
      <c r="N164" s="2" t="s">
        <v>62</v>
      </c>
      <c r="O164" s="2" t="s">
        <v>271</v>
      </c>
      <c r="P164" s="2">
        <v>77</v>
      </c>
      <c r="Q164" s="2" t="s">
        <v>69</v>
      </c>
      <c r="R164" s="2" t="s">
        <v>51</v>
      </c>
      <c r="S164" s="2">
        <v>63066</v>
      </c>
      <c r="T164" s="2">
        <v>42345</v>
      </c>
      <c r="U164" s="2">
        <v>20721</v>
      </c>
      <c r="V164" s="2">
        <v>24673</v>
      </c>
      <c r="W164" s="2">
        <v>24709</v>
      </c>
      <c r="X164" s="2">
        <v>12355</v>
      </c>
      <c r="Y164" s="2" t="s">
        <v>41</v>
      </c>
      <c r="Z164" s="2">
        <v>69</v>
      </c>
      <c r="AA164" s="2">
        <v>5</v>
      </c>
      <c r="AB164" s="2" t="s">
        <v>52</v>
      </c>
    </row>
    <row r="165" spans="1:28" x14ac:dyDescent="0.25">
      <c r="A165" s="4" t="s">
        <v>505</v>
      </c>
      <c r="B165" s="4" t="s">
        <v>506</v>
      </c>
      <c r="C165" s="4">
        <v>11</v>
      </c>
      <c r="D165" s="4" t="s">
        <v>55</v>
      </c>
      <c r="E165" s="4" t="s">
        <v>154</v>
      </c>
      <c r="F165" s="4" t="s">
        <v>57</v>
      </c>
      <c r="G165" s="5">
        <v>45157</v>
      </c>
      <c r="H165" s="5">
        <v>45169</v>
      </c>
      <c r="I165" s="4">
        <v>12</v>
      </c>
      <c r="J165" s="4" t="s">
        <v>33</v>
      </c>
      <c r="K165" s="4" t="s">
        <v>47</v>
      </c>
      <c r="L165" s="4" t="s">
        <v>48</v>
      </c>
      <c r="M165" s="4" t="s">
        <v>36</v>
      </c>
      <c r="N165" s="4" t="s">
        <v>62</v>
      </c>
      <c r="O165" s="4" t="s">
        <v>38</v>
      </c>
      <c r="P165" s="4">
        <v>437</v>
      </c>
      <c r="Q165" s="4" t="s">
        <v>39</v>
      </c>
      <c r="R165" s="4" t="s">
        <v>40</v>
      </c>
      <c r="S165" s="4">
        <v>114239</v>
      </c>
      <c r="T165" s="4">
        <v>75802</v>
      </c>
      <c r="U165" s="4">
        <v>38437</v>
      </c>
      <c r="V165" s="4">
        <v>91156</v>
      </c>
      <c r="W165" s="4">
        <v>12715</v>
      </c>
      <c r="X165" s="4">
        <v>7671</v>
      </c>
      <c r="Y165" s="4" t="s">
        <v>91</v>
      </c>
      <c r="Z165" s="4">
        <v>92</v>
      </c>
      <c r="AA165" s="4">
        <v>3</v>
      </c>
      <c r="AB165" s="4" t="s">
        <v>104</v>
      </c>
    </row>
    <row r="166" spans="1:28" x14ac:dyDescent="0.25">
      <c r="A166" s="2" t="s">
        <v>507</v>
      </c>
      <c r="B166" s="2" t="s">
        <v>508</v>
      </c>
      <c r="C166" s="2">
        <v>63</v>
      </c>
      <c r="D166" s="2" t="s">
        <v>30</v>
      </c>
      <c r="E166" s="2" t="s">
        <v>67</v>
      </c>
      <c r="F166" s="2" t="s">
        <v>150</v>
      </c>
      <c r="G166" s="3">
        <v>45425</v>
      </c>
      <c r="H166" s="3">
        <v>45446</v>
      </c>
      <c r="I166" s="2">
        <v>21</v>
      </c>
      <c r="J166" s="2" t="s">
        <v>123</v>
      </c>
      <c r="K166" s="2" t="s">
        <v>124</v>
      </c>
      <c r="L166" s="2" t="s">
        <v>125</v>
      </c>
      <c r="M166" s="2" t="s">
        <v>143</v>
      </c>
      <c r="N166" s="2" t="s">
        <v>62</v>
      </c>
      <c r="O166" s="2" t="s">
        <v>509</v>
      </c>
      <c r="P166" s="2">
        <v>214</v>
      </c>
      <c r="Q166" s="2" t="s">
        <v>103</v>
      </c>
      <c r="R166" s="2" t="s">
        <v>51</v>
      </c>
      <c r="S166" s="2">
        <v>140925</v>
      </c>
      <c r="T166" s="2">
        <v>89311</v>
      </c>
      <c r="U166" s="2">
        <v>51614</v>
      </c>
      <c r="V166" s="2">
        <v>119861</v>
      </c>
      <c r="W166" s="2">
        <v>6939</v>
      </c>
      <c r="X166" s="2">
        <v>10515</v>
      </c>
      <c r="Y166" s="2" t="s">
        <v>41</v>
      </c>
      <c r="Z166" s="2">
        <v>95</v>
      </c>
      <c r="AA166" s="2">
        <v>4.0999999999999996</v>
      </c>
      <c r="AB166" s="2" t="s">
        <v>64</v>
      </c>
    </row>
    <row r="167" spans="1:28" x14ac:dyDescent="0.25">
      <c r="A167" s="4" t="s">
        <v>510</v>
      </c>
      <c r="B167" s="4" t="s">
        <v>511</v>
      </c>
      <c r="C167" s="4">
        <v>19</v>
      </c>
      <c r="D167" s="4" t="s">
        <v>30</v>
      </c>
      <c r="E167" s="4" t="s">
        <v>87</v>
      </c>
      <c r="F167" s="4" t="s">
        <v>57</v>
      </c>
      <c r="G167" s="5">
        <v>44691</v>
      </c>
      <c r="H167" s="5">
        <v>44700</v>
      </c>
      <c r="I167" s="4">
        <v>9</v>
      </c>
      <c r="J167" s="4" t="s">
        <v>33</v>
      </c>
      <c r="K167" s="4" t="s">
        <v>47</v>
      </c>
      <c r="L167" s="4" t="s">
        <v>48</v>
      </c>
      <c r="M167" s="4" t="s">
        <v>75</v>
      </c>
      <c r="N167" s="4" t="s">
        <v>109</v>
      </c>
      <c r="O167" s="4" t="s">
        <v>434</v>
      </c>
      <c r="P167" s="4">
        <v>268</v>
      </c>
      <c r="Q167" s="4" t="s">
        <v>69</v>
      </c>
      <c r="R167" s="4" t="s">
        <v>111</v>
      </c>
      <c r="S167" s="4">
        <v>96769</v>
      </c>
      <c r="T167" s="4">
        <v>62377</v>
      </c>
      <c r="U167" s="4">
        <v>34392</v>
      </c>
      <c r="V167" s="4">
        <v>70162</v>
      </c>
      <c r="W167" s="4">
        <v>16791</v>
      </c>
      <c r="X167" s="4">
        <v>6164</v>
      </c>
      <c r="Y167" s="4" t="s">
        <v>41</v>
      </c>
      <c r="Z167" s="4">
        <v>97</v>
      </c>
      <c r="AA167" s="4">
        <v>5</v>
      </c>
      <c r="AB167" s="4" t="s">
        <v>104</v>
      </c>
    </row>
    <row r="168" spans="1:28" x14ac:dyDescent="0.25">
      <c r="A168" s="2" t="s">
        <v>512</v>
      </c>
      <c r="B168" s="2" t="s">
        <v>513</v>
      </c>
      <c r="C168" s="2">
        <v>69</v>
      </c>
      <c r="D168" s="2" t="s">
        <v>30</v>
      </c>
      <c r="E168" s="2" t="s">
        <v>87</v>
      </c>
      <c r="F168" s="2" t="s">
        <v>129</v>
      </c>
      <c r="G168" s="3">
        <v>44715</v>
      </c>
      <c r="H168" s="3">
        <v>44740</v>
      </c>
      <c r="I168" s="2">
        <v>25</v>
      </c>
      <c r="J168" s="2" t="s">
        <v>33</v>
      </c>
      <c r="K168" s="2" t="s">
        <v>174</v>
      </c>
      <c r="L168" s="2" t="s">
        <v>48</v>
      </c>
      <c r="M168" s="2" t="s">
        <v>61</v>
      </c>
      <c r="N168" s="2" t="s">
        <v>118</v>
      </c>
      <c r="O168" s="2" t="s">
        <v>246</v>
      </c>
      <c r="P168" s="2">
        <v>260</v>
      </c>
      <c r="Q168" s="2" t="s">
        <v>39</v>
      </c>
      <c r="R168" s="2" t="s">
        <v>51</v>
      </c>
      <c r="S168" s="2">
        <v>134783</v>
      </c>
      <c r="T168" s="2">
        <v>57101</v>
      </c>
      <c r="U168" s="2">
        <v>77682</v>
      </c>
      <c r="V168" s="2">
        <v>104257</v>
      </c>
      <c r="W168" s="2">
        <v>14214</v>
      </c>
      <c r="X168" s="2">
        <v>13887</v>
      </c>
      <c r="Y168" s="2" t="s">
        <v>41</v>
      </c>
      <c r="Z168" s="2">
        <v>76</v>
      </c>
      <c r="AA168" s="2">
        <v>3.3</v>
      </c>
      <c r="AB168" s="2" t="s">
        <v>137</v>
      </c>
    </row>
    <row r="169" spans="1:28" x14ac:dyDescent="0.25">
      <c r="A169" s="4" t="s">
        <v>514</v>
      </c>
      <c r="B169" s="4" t="s">
        <v>515</v>
      </c>
      <c r="C169" s="4">
        <v>20</v>
      </c>
      <c r="D169" s="4" t="s">
        <v>30</v>
      </c>
      <c r="E169" s="4" t="s">
        <v>122</v>
      </c>
      <c r="F169" s="4" t="s">
        <v>157</v>
      </c>
      <c r="G169" s="5">
        <v>45388</v>
      </c>
      <c r="H169" s="5">
        <v>45402</v>
      </c>
      <c r="I169" s="4">
        <v>14</v>
      </c>
      <c r="J169" s="4" t="s">
        <v>33</v>
      </c>
      <c r="K169" s="4" t="s">
        <v>197</v>
      </c>
      <c r="L169" s="4" t="s">
        <v>198</v>
      </c>
      <c r="M169" s="4" t="s">
        <v>75</v>
      </c>
      <c r="N169" s="4" t="s">
        <v>62</v>
      </c>
      <c r="O169" s="4" t="s">
        <v>337</v>
      </c>
      <c r="P169" s="4">
        <v>494</v>
      </c>
      <c r="Q169" s="4" t="s">
        <v>50</v>
      </c>
      <c r="R169" s="4" t="s">
        <v>51</v>
      </c>
      <c r="S169" s="4">
        <v>97411</v>
      </c>
      <c r="T169" s="4">
        <v>66737</v>
      </c>
      <c r="U169" s="4">
        <v>30674</v>
      </c>
      <c r="V169" s="4">
        <v>59224</v>
      </c>
      <c r="W169" s="4">
        <v>22449</v>
      </c>
      <c r="X169" s="4">
        <v>11501</v>
      </c>
      <c r="Y169" s="4" t="s">
        <v>41</v>
      </c>
      <c r="Z169" s="4">
        <v>43</v>
      </c>
      <c r="AA169" s="4">
        <v>4.4000000000000004</v>
      </c>
      <c r="AB169" s="4" t="s">
        <v>137</v>
      </c>
    </row>
    <row r="170" spans="1:28" x14ac:dyDescent="0.25">
      <c r="A170" s="2" t="s">
        <v>516</v>
      </c>
      <c r="B170" s="2" t="s">
        <v>517</v>
      </c>
      <c r="C170" s="2">
        <v>84</v>
      </c>
      <c r="D170" s="2" t="s">
        <v>30</v>
      </c>
      <c r="E170" s="2" t="s">
        <v>45</v>
      </c>
      <c r="F170" s="2" t="s">
        <v>150</v>
      </c>
      <c r="G170" s="3">
        <v>44795</v>
      </c>
      <c r="H170" s="3">
        <v>44799</v>
      </c>
      <c r="I170" s="2">
        <v>4</v>
      </c>
      <c r="J170" s="2" t="s">
        <v>73</v>
      </c>
      <c r="K170" s="2" t="s">
        <v>74</v>
      </c>
      <c r="L170" s="2" t="s">
        <v>73</v>
      </c>
      <c r="M170" s="2" t="s">
        <v>95</v>
      </c>
      <c r="N170" s="2" t="s">
        <v>118</v>
      </c>
      <c r="O170" s="2" t="s">
        <v>84</v>
      </c>
      <c r="P170" s="2">
        <v>268</v>
      </c>
      <c r="Q170" s="2" t="s">
        <v>50</v>
      </c>
      <c r="R170" s="2" t="s">
        <v>90</v>
      </c>
      <c r="S170" s="2">
        <v>33596</v>
      </c>
      <c r="T170" s="2">
        <v>28441</v>
      </c>
      <c r="U170" s="2">
        <v>5155</v>
      </c>
      <c r="V170" s="2">
        <v>17000</v>
      </c>
      <c r="W170" s="2">
        <v>6379</v>
      </c>
      <c r="X170" s="2">
        <v>8567</v>
      </c>
      <c r="Y170" s="2" t="s">
        <v>41</v>
      </c>
      <c r="Z170" s="2">
        <v>66</v>
      </c>
      <c r="AA170" s="2">
        <v>2.2999999999999998</v>
      </c>
      <c r="AB170" s="2" t="s">
        <v>42</v>
      </c>
    </row>
    <row r="171" spans="1:28" x14ac:dyDescent="0.25">
      <c r="A171" s="4" t="s">
        <v>518</v>
      </c>
      <c r="B171" s="4" t="s">
        <v>519</v>
      </c>
      <c r="C171" s="4">
        <v>20</v>
      </c>
      <c r="D171" s="4" t="s">
        <v>30</v>
      </c>
      <c r="E171" s="4" t="s">
        <v>31</v>
      </c>
      <c r="F171" s="4" t="s">
        <v>150</v>
      </c>
      <c r="G171" s="5">
        <v>44952</v>
      </c>
      <c r="H171" s="5">
        <v>44975</v>
      </c>
      <c r="I171" s="4">
        <v>23</v>
      </c>
      <c r="J171" s="4" t="s">
        <v>33</v>
      </c>
      <c r="K171" s="4" t="s">
        <v>47</v>
      </c>
      <c r="L171" s="4" t="s">
        <v>48</v>
      </c>
      <c r="M171" s="4" t="s">
        <v>108</v>
      </c>
      <c r="N171" s="4" t="s">
        <v>62</v>
      </c>
      <c r="O171" s="4" t="s">
        <v>520</v>
      </c>
      <c r="P171" s="4">
        <v>396</v>
      </c>
      <c r="Q171" s="4" t="s">
        <v>103</v>
      </c>
      <c r="R171" s="4" t="s">
        <v>111</v>
      </c>
      <c r="S171" s="4">
        <v>151790</v>
      </c>
      <c r="T171" s="4">
        <v>115225</v>
      </c>
      <c r="U171" s="4">
        <v>36565</v>
      </c>
      <c r="V171" s="4">
        <v>137172</v>
      </c>
      <c r="W171" s="4">
        <v>5411</v>
      </c>
      <c r="X171" s="4">
        <v>8672</v>
      </c>
      <c r="Y171" s="4" t="s">
        <v>91</v>
      </c>
      <c r="Z171" s="4">
        <v>99</v>
      </c>
      <c r="AA171" s="4">
        <v>3.3</v>
      </c>
      <c r="AB171" s="4" t="s">
        <v>42</v>
      </c>
    </row>
    <row r="172" spans="1:28" x14ac:dyDescent="0.25">
      <c r="A172" s="2" t="s">
        <v>521</v>
      </c>
      <c r="B172" s="2" t="s">
        <v>308</v>
      </c>
      <c r="C172" s="2">
        <v>27</v>
      </c>
      <c r="D172" s="2" t="s">
        <v>55</v>
      </c>
      <c r="E172" s="2" t="s">
        <v>154</v>
      </c>
      <c r="F172" s="2" t="s">
        <v>157</v>
      </c>
      <c r="G172" s="3">
        <v>45355</v>
      </c>
      <c r="H172" s="3">
        <v>45377</v>
      </c>
      <c r="I172" s="2">
        <v>22</v>
      </c>
      <c r="J172" s="2" t="s">
        <v>33</v>
      </c>
      <c r="K172" s="2" t="s">
        <v>233</v>
      </c>
      <c r="L172" s="2" t="s">
        <v>35</v>
      </c>
      <c r="M172" s="2" t="s">
        <v>95</v>
      </c>
      <c r="N172" s="2" t="s">
        <v>37</v>
      </c>
      <c r="O172" s="2" t="s">
        <v>431</v>
      </c>
      <c r="P172" s="2">
        <v>469</v>
      </c>
      <c r="Q172" s="2" t="s">
        <v>39</v>
      </c>
      <c r="R172" s="2" t="s">
        <v>136</v>
      </c>
      <c r="S172" s="2">
        <v>131061</v>
      </c>
      <c r="T172" s="2">
        <v>0</v>
      </c>
      <c r="U172" s="2">
        <v>131061</v>
      </c>
      <c r="V172" s="2">
        <v>109299</v>
      </c>
      <c r="W172" s="2">
        <v>12234</v>
      </c>
      <c r="X172" s="2">
        <v>5319</v>
      </c>
      <c r="Y172" s="2" t="s">
        <v>41</v>
      </c>
      <c r="Z172" s="2">
        <v>48</v>
      </c>
      <c r="AA172" s="2">
        <v>3.2</v>
      </c>
      <c r="AB172" s="2" t="s">
        <v>42</v>
      </c>
    </row>
    <row r="173" spans="1:28" x14ac:dyDescent="0.25">
      <c r="A173" s="4" t="s">
        <v>522</v>
      </c>
      <c r="B173" s="4" t="s">
        <v>523</v>
      </c>
      <c r="C173" s="4">
        <v>45</v>
      </c>
      <c r="D173" s="4" t="s">
        <v>55</v>
      </c>
      <c r="E173" s="4" t="s">
        <v>31</v>
      </c>
      <c r="F173" s="4" t="s">
        <v>32</v>
      </c>
      <c r="G173" s="5">
        <v>45157</v>
      </c>
      <c r="H173" s="5">
        <v>45179</v>
      </c>
      <c r="I173" s="4">
        <v>22</v>
      </c>
      <c r="J173" s="4" t="s">
        <v>58</v>
      </c>
      <c r="K173" s="4" t="s">
        <v>88</v>
      </c>
      <c r="L173" s="4" t="s">
        <v>60</v>
      </c>
      <c r="M173" s="4" t="s">
        <v>143</v>
      </c>
      <c r="N173" s="4" t="s">
        <v>118</v>
      </c>
      <c r="O173" s="4" t="s">
        <v>49</v>
      </c>
      <c r="P173" s="4">
        <v>288</v>
      </c>
      <c r="Q173" s="4" t="s">
        <v>103</v>
      </c>
      <c r="R173" s="4" t="s">
        <v>51</v>
      </c>
      <c r="S173" s="4">
        <v>155158</v>
      </c>
      <c r="T173" s="4">
        <v>75372</v>
      </c>
      <c r="U173" s="4">
        <v>79786</v>
      </c>
      <c r="V173" s="4">
        <v>114439</v>
      </c>
      <c r="W173" s="4">
        <v>23093</v>
      </c>
      <c r="X173" s="4">
        <v>12753</v>
      </c>
      <c r="Y173" s="4" t="s">
        <v>41</v>
      </c>
      <c r="Z173" s="4">
        <v>91</v>
      </c>
      <c r="AA173" s="4">
        <v>2</v>
      </c>
      <c r="AB173" s="4" t="s">
        <v>104</v>
      </c>
    </row>
    <row r="174" spans="1:28" x14ac:dyDescent="0.25">
      <c r="A174" s="2" t="s">
        <v>524</v>
      </c>
      <c r="B174" s="2" t="s">
        <v>525</v>
      </c>
      <c r="C174" s="2">
        <v>23</v>
      </c>
      <c r="D174" s="2" t="s">
        <v>55</v>
      </c>
      <c r="E174" s="2" t="s">
        <v>122</v>
      </c>
      <c r="F174" s="2" t="s">
        <v>32</v>
      </c>
      <c r="G174" s="3">
        <v>45108</v>
      </c>
      <c r="H174" s="3">
        <v>45133</v>
      </c>
      <c r="I174" s="2">
        <v>25</v>
      </c>
      <c r="J174" s="2" t="s">
        <v>123</v>
      </c>
      <c r="K174" s="2" t="s">
        <v>124</v>
      </c>
      <c r="L174" s="2" t="s">
        <v>125</v>
      </c>
      <c r="M174" s="2" t="s">
        <v>134</v>
      </c>
      <c r="N174" s="2" t="s">
        <v>109</v>
      </c>
      <c r="O174" s="2" t="s">
        <v>428</v>
      </c>
      <c r="P174" s="2">
        <v>105</v>
      </c>
      <c r="Q174" s="2" t="s">
        <v>69</v>
      </c>
      <c r="R174" s="2" t="s">
        <v>136</v>
      </c>
      <c r="S174" s="2">
        <v>140933</v>
      </c>
      <c r="T174" s="2">
        <v>0</v>
      </c>
      <c r="U174" s="2">
        <v>140933</v>
      </c>
      <c r="V174" s="2">
        <v>123644</v>
      </c>
      <c r="W174" s="2">
        <v>4358</v>
      </c>
      <c r="X174" s="2">
        <v>10594</v>
      </c>
      <c r="Y174" s="2" t="s">
        <v>41</v>
      </c>
      <c r="Z174" s="2">
        <v>75</v>
      </c>
      <c r="AA174" s="2">
        <v>3.2</v>
      </c>
      <c r="AB174" s="2" t="s">
        <v>42</v>
      </c>
    </row>
    <row r="175" spans="1:28" x14ac:dyDescent="0.25">
      <c r="A175" s="4" t="s">
        <v>526</v>
      </c>
      <c r="B175" s="4" t="s">
        <v>527</v>
      </c>
      <c r="C175" s="4">
        <v>11</v>
      </c>
      <c r="D175" s="4" t="s">
        <v>30</v>
      </c>
      <c r="E175" s="4" t="s">
        <v>67</v>
      </c>
      <c r="F175" s="4" t="s">
        <v>114</v>
      </c>
      <c r="G175" s="5">
        <v>45202</v>
      </c>
      <c r="H175" s="5">
        <v>45220</v>
      </c>
      <c r="I175" s="4">
        <v>18</v>
      </c>
      <c r="J175" s="4" t="s">
        <v>33</v>
      </c>
      <c r="K175" s="4" t="s">
        <v>197</v>
      </c>
      <c r="L175" s="4" t="s">
        <v>198</v>
      </c>
      <c r="M175" s="4" t="s">
        <v>134</v>
      </c>
      <c r="N175" s="4" t="s">
        <v>109</v>
      </c>
      <c r="O175" s="4" t="s">
        <v>271</v>
      </c>
      <c r="P175" s="4">
        <v>425</v>
      </c>
      <c r="Q175" s="4" t="s">
        <v>39</v>
      </c>
      <c r="R175" s="4" t="s">
        <v>136</v>
      </c>
      <c r="S175" s="4">
        <v>185982</v>
      </c>
      <c r="T175" s="4">
        <v>0</v>
      </c>
      <c r="U175" s="4">
        <v>185982</v>
      </c>
      <c r="V175" s="4">
        <v>148291</v>
      </c>
      <c r="W175" s="4">
        <v>25197</v>
      </c>
      <c r="X175" s="4">
        <v>10385</v>
      </c>
      <c r="Y175" s="4" t="s">
        <v>41</v>
      </c>
      <c r="Z175" s="4">
        <v>52</v>
      </c>
      <c r="AA175" s="4">
        <v>2.9</v>
      </c>
      <c r="AB175" s="4" t="s">
        <v>64</v>
      </c>
    </row>
    <row r="176" spans="1:28" x14ac:dyDescent="0.25">
      <c r="A176" s="2" t="s">
        <v>528</v>
      </c>
      <c r="B176" s="2" t="s">
        <v>529</v>
      </c>
      <c r="C176" s="2">
        <v>28</v>
      </c>
      <c r="D176" s="2" t="s">
        <v>55</v>
      </c>
      <c r="E176" s="2" t="s">
        <v>56</v>
      </c>
      <c r="F176" s="2" t="s">
        <v>114</v>
      </c>
      <c r="G176" s="3">
        <v>44645</v>
      </c>
      <c r="H176" s="3">
        <v>44659</v>
      </c>
      <c r="I176" s="2">
        <v>14</v>
      </c>
      <c r="J176" s="2" t="s">
        <v>140</v>
      </c>
      <c r="K176" s="2" t="s">
        <v>167</v>
      </c>
      <c r="L176" s="2" t="s">
        <v>142</v>
      </c>
      <c r="M176" s="2" t="s">
        <v>134</v>
      </c>
      <c r="N176" s="2" t="s">
        <v>109</v>
      </c>
      <c r="O176" s="2" t="s">
        <v>530</v>
      </c>
      <c r="P176" s="2">
        <v>434</v>
      </c>
      <c r="Q176" s="2" t="s">
        <v>50</v>
      </c>
      <c r="R176" s="2" t="s">
        <v>90</v>
      </c>
      <c r="S176" s="2">
        <v>121830</v>
      </c>
      <c r="T176" s="2">
        <v>74558</v>
      </c>
      <c r="U176" s="2">
        <v>47272</v>
      </c>
      <c r="V176" s="2">
        <v>91655</v>
      </c>
      <c r="W176" s="2">
        <v>16280</v>
      </c>
      <c r="X176" s="2">
        <v>12127</v>
      </c>
      <c r="Y176" s="2" t="s">
        <v>41</v>
      </c>
      <c r="Z176" s="2">
        <v>78</v>
      </c>
      <c r="AA176" s="2">
        <v>2.2000000000000002</v>
      </c>
      <c r="AB176" s="2" t="s">
        <v>42</v>
      </c>
    </row>
    <row r="177" spans="1:28" x14ac:dyDescent="0.25">
      <c r="A177" s="4" t="s">
        <v>531</v>
      </c>
      <c r="B177" s="4" t="s">
        <v>532</v>
      </c>
      <c r="C177" s="4">
        <v>67</v>
      </c>
      <c r="D177" s="4" t="s">
        <v>30</v>
      </c>
      <c r="E177" s="4" t="s">
        <v>56</v>
      </c>
      <c r="F177" s="4" t="s">
        <v>80</v>
      </c>
      <c r="G177" s="5">
        <v>45638</v>
      </c>
      <c r="H177" s="5">
        <v>45646</v>
      </c>
      <c r="I177" s="4">
        <v>8</v>
      </c>
      <c r="J177" s="4" t="s">
        <v>123</v>
      </c>
      <c r="K177" s="4" t="s">
        <v>124</v>
      </c>
      <c r="L177" s="4" t="s">
        <v>125</v>
      </c>
      <c r="M177" s="4" t="s">
        <v>36</v>
      </c>
      <c r="N177" s="4" t="s">
        <v>109</v>
      </c>
      <c r="O177" s="4" t="s">
        <v>285</v>
      </c>
      <c r="P177" s="4">
        <v>275</v>
      </c>
      <c r="Q177" s="4" t="s">
        <v>103</v>
      </c>
      <c r="R177" s="4" t="s">
        <v>90</v>
      </c>
      <c r="S177" s="4">
        <v>122061</v>
      </c>
      <c r="T177" s="4">
        <v>97527</v>
      </c>
      <c r="U177" s="4">
        <v>24534</v>
      </c>
      <c r="V177" s="4">
        <v>96593</v>
      </c>
      <c r="W177" s="4">
        <v>8248</v>
      </c>
      <c r="X177" s="4">
        <v>14973</v>
      </c>
      <c r="Y177" s="4" t="s">
        <v>41</v>
      </c>
      <c r="Z177" s="4">
        <v>58</v>
      </c>
      <c r="AA177" s="4">
        <v>2.7</v>
      </c>
      <c r="AB177" s="4" t="s">
        <v>42</v>
      </c>
    </row>
    <row r="178" spans="1:28" x14ac:dyDescent="0.25">
      <c r="A178" s="2" t="s">
        <v>533</v>
      </c>
      <c r="B178" s="2" t="s">
        <v>534</v>
      </c>
      <c r="C178" s="2">
        <v>76</v>
      </c>
      <c r="D178" s="2" t="s">
        <v>55</v>
      </c>
      <c r="E178" s="2" t="s">
        <v>56</v>
      </c>
      <c r="F178" s="2" t="s">
        <v>80</v>
      </c>
      <c r="G178" s="3">
        <v>45474</v>
      </c>
      <c r="H178" s="3">
        <v>45482</v>
      </c>
      <c r="I178" s="2">
        <v>8</v>
      </c>
      <c r="J178" s="2" t="s">
        <v>33</v>
      </c>
      <c r="K178" s="2" t="s">
        <v>233</v>
      </c>
      <c r="L178" s="2" t="s">
        <v>35</v>
      </c>
      <c r="M178" s="2" t="s">
        <v>61</v>
      </c>
      <c r="N178" s="2" t="s">
        <v>62</v>
      </c>
      <c r="O178" s="2" t="s">
        <v>68</v>
      </c>
      <c r="P178" s="2">
        <v>469</v>
      </c>
      <c r="Q178" s="2" t="s">
        <v>69</v>
      </c>
      <c r="R178" s="2" t="s">
        <v>111</v>
      </c>
      <c r="S178" s="2">
        <v>106142</v>
      </c>
      <c r="T178" s="2">
        <v>64472</v>
      </c>
      <c r="U178" s="2">
        <v>41670</v>
      </c>
      <c r="V178" s="2">
        <v>72263</v>
      </c>
      <c r="W178" s="2">
        <v>18702</v>
      </c>
      <c r="X178" s="2">
        <v>12361</v>
      </c>
      <c r="Y178" s="2" t="s">
        <v>41</v>
      </c>
      <c r="Z178" s="2">
        <v>89</v>
      </c>
      <c r="AA178" s="2">
        <v>3.1</v>
      </c>
      <c r="AB178" s="2" t="s">
        <v>42</v>
      </c>
    </row>
    <row r="179" spans="1:28" x14ac:dyDescent="0.25">
      <c r="A179" s="4" t="s">
        <v>535</v>
      </c>
      <c r="B179" s="4" t="s">
        <v>536</v>
      </c>
      <c r="C179" s="4">
        <v>10</v>
      </c>
      <c r="D179" s="4" t="s">
        <v>30</v>
      </c>
      <c r="E179" s="4" t="s">
        <v>31</v>
      </c>
      <c r="F179" s="4" t="s">
        <v>80</v>
      </c>
      <c r="G179" s="5">
        <v>45614</v>
      </c>
      <c r="H179" s="5">
        <v>45617</v>
      </c>
      <c r="I179" s="4">
        <v>3</v>
      </c>
      <c r="J179" s="4" t="s">
        <v>33</v>
      </c>
      <c r="K179" s="4" t="s">
        <v>34</v>
      </c>
      <c r="L179" s="4" t="s">
        <v>35</v>
      </c>
      <c r="M179" s="4" t="s">
        <v>75</v>
      </c>
      <c r="N179" s="4" t="s">
        <v>62</v>
      </c>
      <c r="O179" s="4" t="s">
        <v>199</v>
      </c>
      <c r="P179" s="4">
        <v>344</v>
      </c>
      <c r="Q179" s="4" t="s">
        <v>39</v>
      </c>
      <c r="R179" s="4" t="s">
        <v>111</v>
      </c>
      <c r="S179" s="4">
        <v>53354</v>
      </c>
      <c r="T179" s="4">
        <v>42361</v>
      </c>
      <c r="U179" s="4">
        <v>10993</v>
      </c>
      <c r="V179" s="4">
        <v>32243</v>
      </c>
      <c r="W179" s="4">
        <v>7736</v>
      </c>
      <c r="X179" s="4">
        <v>9310</v>
      </c>
      <c r="Y179" s="4" t="s">
        <v>41</v>
      </c>
      <c r="Z179" s="4">
        <v>87</v>
      </c>
      <c r="AA179" s="4">
        <v>4.0999999999999996</v>
      </c>
      <c r="AB179" s="4" t="s">
        <v>104</v>
      </c>
    </row>
    <row r="180" spans="1:28" x14ac:dyDescent="0.25">
      <c r="A180" s="2" t="s">
        <v>537</v>
      </c>
      <c r="B180" s="2" t="s">
        <v>515</v>
      </c>
      <c r="C180" s="2">
        <v>9</v>
      </c>
      <c r="D180" s="2" t="s">
        <v>55</v>
      </c>
      <c r="E180" s="2" t="s">
        <v>56</v>
      </c>
      <c r="F180" s="2" t="s">
        <v>57</v>
      </c>
      <c r="G180" s="3">
        <v>44926</v>
      </c>
      <c r="H180" s="3">
        <v>44952</v>
      </c>
      <c r="I180" s="2">
        <v>26</v>
      </c>
      <c r="J180" s="2" t="s">
        <v>140</v>
      </c>
      <c r="K180" s="2" t="s">
        <v>167</v>
      </c>
      <c r="L180" s="2" t="s">
        <v>142</v>
      </c>
      <c r="M180" s="2" t="s">
        <v>36</v>
      </c>
      <c r="N180" s="2" t="s">
        <v>109</v>
      </c>
      <c r="O180" s="2" t="s">
        <v>538</v>
      </c>
      <c r="P180" s="2">
        <v>199</v>
      </c>
      <c r="Q180" s="2" t="s">
        <v>103</v>
      </c>
      <c r="R180" s="2" t="s">
        <v>111</v>
      </c>
      <c r="S180" s="2">
        <v>134347</v>
      </c>
      <c r="T180" s="2">
        <v>107745</v>
      </c>
      <c r="U180" s="2">
        <v>26602</v>
      </c>
      <c r="V180" s="2">
        <v>118514</v>
      </c>
      <c r="W180" s="2">
        <v>11367</v>
      </c>
      <c r="X180" s="2">
        <v>776</v>
      </c>
      <c r="Y180" s="2" t="s">
        <v>41</v>
      </c>
      <c r="Z180" s="2">
        <v>81</v>
      </c>
      <c r="AA180" s="2">
        <v>4.2</v>
      </c>
      <c r="AB180" s="2" t="s">
        <v>104</v>
      </c>
    </row>
    <row r="181" spans="1:28" x14ac:dyDescent="0.25">
      <c r="A181" s="4" t="s">
        <v>539</v>
      </c>
      <c r="B181" s="4" t="s">
        <v>540</v>
      </c>
      <c r="C181" s="4">
        <v>10</v>
      </c>
      <c r="D181" s="4" t="s">
        <v>55</v>
      </c>
      <c r="E181" s="4" t="s">
        <v>45</v>
      </c>
      <c r="F181" s="4" t="s">
        <v>94</v>
      </c>
      <c r="G181" s="5">
        <v>44779</v>
      </c>
      <c r="H181" s="5">
        <v>44789</v>
      </c>
      <c r="I181" s="4">
        <v>10</v>
      </c>
      <c r="J181" s="4" t="s">
        <v>58</v>
      </c>
      <c r="K181" s="4" t="s">
        <v>59</v>
      </c>
      <c r="L181" s="4" t="s">
        <v>60</v>
      </c>
      <c r="M181" s="4" t="s">
        <v>36</v>
      </c>
      <c r="N181" s="4" t="s">
        <v>118</v>
      </c>
      <c r="O181" s="4" t="s">
        <v>352</v>
      </c>
      <c r="P181" s="4">
        <v>203</v>
      </c>
      <c r="Q181" s="4" t="s">
        <v>69</v>
      </c>
      <c r="R181" s="4" t="s">
        <v>111</v>
      </c>
      <c r="S181" s="4">
        <v>70178</v>
      </c>
      <c r="T181" s="4">
        <v>57829</v>
      </c>
      <c r="U181" s="4">
        <v>12349</v>
      </c>
      <c r="V181" s="4">
        <v>45979</v>
      </c>
      <c r="W181" s="4">
        <v>18480</v>
      </c>
      <c r="X181" s="4">
        <v>4102</v>
      </c>
      <c r="Y181" s="4" t="s">
        <v>41</v>
      </c>
      <c r="Z181" s="4">
        <v>94</v>
      </c>
      <c r="AA181" s="4">
        <v>3.6</v>
      </c>
      <c r="AB181" s="4" t="s">
        <v>64</v>
      </c>
    </row>
    <row r="182" spans="1:28" x14ac:dyDescent="0.25">
      <c r="A182" s="2" t="s">
        <v>541</v>
      </c>
      <c r="B182" s="2" t="s">
        <v>542</v>
      </c>
      <c r="C182" s="2">
        <v>6</v>
      </c>
      <c r="D182" s="2" t="s">
        <v>55</v>
      </c>
      <c r="E182" s="2" t="s">
        <v>56</v>
      </c>
      <c r="F182" s="2" t="s">
        <v>57</v>
      </c>
      <c r="G182" s="3">
        <v>44572</v>
      </c>
      <c r="H182" s="3">
        <v>44591</v>
      </c>
      <c r="I182" s="2">
        <v>19</v>
      </c>
      <c r="J182" s="2" t="s">
        <v>33</v>
      </c>
      <c r="K182" s="2" t="s">
        <v>233</v>
      </c>
      <c r="L182" s="2" t="s">
        <v>35</v>
      </c>
      <c r="M182" s="2" t="s">
        <v>75</v>
      </c>
      <c r="N182" s="2" t="s">
        <v>62</v>
      </c>
      <c r="O182" s="2" t="s">
        <v>543</v>
      </c>
      <c r="P182" s="2">
        <v>384</v>
      </c>
      <c r="Q182" s="2" t="s">
        <v>50</v>
      </c>
      <c r="R182" s="2" t="s">
        <v>40</v>
      </c>
      <c r="S182" s="2">
        <v>154487</v>
      </c>
      <c r="T182" s="2">
        <v>68397</v>
      </c>
      <c r="U182" s="2">
        <v>86090</v>
      </c>
      <c r="V182" s="2">
        <v>113174</v>
      </c>
      <c r="W182" s="2">
        <v>22165</v>
      </c>
      <c r="X182" s="2">
        <v>14450</v>
      </c>
      <c r="Y182" s="2" t="s">
        <v>41</v>
      </c>
      <c r="Z182" s="2">
        <v>79</v>
      </c>
      <c r="AA182" s="2">
        <v>4.5</v>
      </c>
      <c r="AB182" s="2" t="s">
        <v>64</v>
      </c>
    </row>
    <row r="183" spans="1:28" x14ac:dyDescent="0.25">
      <c r="A183" s="4" t="s">
        <v>544</v>
      </c>
      <c r="B183" s="4" t="s">
        <v>545</v>
      </c>
      <c r="C183" s="4">
        <v>77</v>
      </c>
      <c r="D183" s="4" t="s">
        <v>55</v>
      </c>
      <c r="E183" s="4" t="s">
        <v>87</v>
      </c>
      <c r="F183" s="4" t="s">
        <v>94</v>
      </c>
      <c r="G183" s="5">
        <v>44711</v>
      </c>
      <c r="H183" s="5">
        <v>44721</v>
      </c>
      <c r="I183" s="4">
        <v>10</v>
      </c>
      <c r="J183" s="4" t="s">
        <v>202</v>
      </c>
      <c r="K183" s="4" t="s">
        <v>203</v>
      </c>
      <c r="L183" s="4" t="s">
        <v>204</v>
      </c>
      <c r="M183" s="4" t="s">
        <v>36</v>
      </c>
      <c r="N183" s="4" t="s">
        <v>109</v>
      </c>
      <c r="O183" s="4" t="s">
        <v>271</v>
      </c>
      <c r="P183" s="4">
        <v>488</v>
      </c>
      <c r="Q183" s="4" t="s">
        <v>50</v>
      </c>
      <c r="R183" s="4" t="s">
        <v>136</v>
      </c>
      <c r="S183" s="4">
        <v>75267</v>
      </c>
      <c r="T183" s="4">
        <v>0</v>
      </c>
      <c r="U183" s="4">
        <v>75267</v>
      </c>
      <c r="V183" s="4">
        <v>38610</v>
      </c>
      <c r="W183" s="4">
        <v>22997</v>
      </c>
      <c r="X183" s="4">
        <v>11239</v>
      </c>
      <c r="Y183" s="4" t="s">
        <v>91</v>
      </c>
      <c r="Z183" s="4">
        <v>79</v>
      </c>
      <c r="AA183" s="4">
        <v>2.2000000000000002</v>
      </c>
      <c r="AB183" s="4" t="s">
        <v>64</v>
      </c>
    </row>
    <row r="184" spans="1:28" x14ac:dyDescent="0.25">
      <c r="A184" s="2" t="s">
        <v>546</v>
      </c>
      <c r="B184" s="2" t="s">
        <v>547</v>
      </c>
      <c r="C184" s="2">
        <v>62</v>
      </c>
      <c r="D184" s="2" t="s">
        <v>30</v>
      </c>
      <c r="E184" s="2" t="s">
        <v>79</v>
      </c>
      <c r="F184" s="2" t="s">
        <v>72</v>
      </c>
      <c r="G184" s="3">
        <v>44874</v>
      </c>
      <c r="H184" s="3">
        <v>44893</v>
      </c>
      <c r="I184" s="2">
        <v>19</v>
      </c>
      <c r="J184" s="2" t="s">
        <v>33</v>
      </c>
      <c r="K184" s="2" t="s">
        <v>278</v>
      </c>
      <c r="L184" s="2" t="s">
        <v>279</v>
      </c>
      <c r="M184" s="2" t="s">
        <v>95</v>
      </c>
      <c r="N184" s="2" t="s">
        <v>37</v>
      </c>
      <c r="O184" s="2" t="s">
        <v>548</v>
      </c>
      <c r="P184" s="2">
        <v>161</v>
      </c>
      <c r="Q184" s="2" t="s">
        <v>39</v>
      </c>
      <c r="R184" s="2" t="s">
        <v>40</v>
      </c>
      <c r="S184" s="2">
        <v>147101</v>
      </c>
      <c r="T184" s="2">
        <v>64767</v>
      </c>
      <c r="U184" s="2">
        <v>82334</v>
      </c>
      <c r="V184" s="2">
        <v>119327</v>
      </c>
      <c r="W184" s="2">
        <v>10066</v>
      </c>
      <c r="X184" s="2">
        <v>14264</v>
      </c>
      <c r="Y184" s="2" t="s">
        <v>41</v>
      </c>
      <c r="Z184" s="2">
        <v>96</v>
      </c>
      <c r="AA184" s="2">
        <v>3.4</v>
      </c>
      <c r="AB184" s="2" t="s">
        <v>137</v>
      </c>
    </row>
    <row r="185" spans="1:28" x14ac:dyDescent="0.25">
      <c r="A185" s="4" t="s">
        <v>549</v>
      </c>
      <c r="B185" s="4" t="s">
        <v>550</v>
      </c>
      <c r="C185" s="4">
        <v>67</v>
      </c>
      <c r="D185" s="4" t="s">
        <v>55</v>
      </c>
      <c r="E185" s="4" t="s">
        <v>154</v>
      </c>
      <c r="F185" s="4" t="s">
        <v>72</v>
      </c>
      <c r="G185" s="5">
        <v>44729</v>
      </c>
      <c r="H185" s="5">
        <v>44756</v>
      </c>
      <c r="I185" s="4">
        <v>27</v>
      </c>
      <c r="J185" s="4" t="s">
        <v>140</v>
      </c>
      <c r="K185" s="4" t="s">
        <v>167</v>
      </c>
      <c r="L185" s="4" t="s">
        <v>142</v>
      </c>
      <c r="M185" s="4" t="s">
        <v>75</v>
      </c>
      <c r="N185" s="4" t="s">
        <v>109</v>
      </c>
      <c r="O185" s="4" t="s">
        <v>438</v>
      </c>
      <c r="P185" s="4">
        <v>373</v>
      </c>
      <c r="Q185" s="4" t="s">
        <v>69</v>
      </c>
      <c r="R185" s="4" t="s">
        <v>90</v>
      </c>
      <c r="S185" s="4">
        <v>164479</v>
      </c>
      <c r="T185" s="4">
        <v>136643</v>
      </c>
      <c r="U185" s="4">
        <v>27836</v>
      </c>
      <c r="V185" s="4">
        <v>137953</v>
      </c>
      <c r="W185" s="4">
        <v>21697</v>
      </c>
      <c r="X185" s="4">
        <v>1011</v>
      </c>
      <c r="Y185" s="4" t="s">
        <v>41</v>
      </c>
      <c r="Z185" s="4">
        <v>42</v>
      </c>
      <c r="AA185" s="4">
        <v>3.7</v>
      </c>
      <c r="AB185" s="4" t="s">
        <v>42</v>
      </c>
    </row>
    <row r="186" spans="1:28" x14ac:dyDescent="0.25">
      <c r="A186" s="2" t="s">
        <v>551</v>
      </c>
      <c r="B186" s="2" t="s">
        <v>552</v>
      </c>
      <c r="C186" s="2">
        <v>65</v>
      </c>
      <c r="D186" s="2" t="s">
        <v>55</v>
      </c>
      <c r="E186" s="2" t="s">
        <v>45</v>
      </c>
      <c r="F186" s="2" t="s">
        <v>114</v>
      </c>
      <c r="G186" s="3">
        <v>45019</v>
      </c>
      <c r="H186" s="3">
        <v>45048</v>
      </c>
      <c r="I186" s="2">
        <v>29</v>
      </c>
      <c r="J186" s="2" t="s">
        <v>33</v>
      </c>
      <c r="K186" s="2" t="s">
        <v>278</v>
      </c>
      <c r="L186" s="2" t="s">
        <v>279</v>
      </c>
      <c r="M186" s="2" t="s">
        <v>143</v>
      </c>
      <c r="N186" s="2" t="s">
        <v>37</v>
      </c>
      <c r="O186" s="2" t="s">
        <v>553</v>
      </c>
      <c r="P186" s="2">
        <v>47</v>
      </c>
      <c r="Q186" s="2" t="s">
        <v>103</v>
      </c>
      <c r="R186" s="2" t="s">
        <v>136</v>
      </c>
      <c r="S186" s="2">
        <v>151800</v>
      </c>
      <c r="T186" s="2">
        <v>0</v>
      </c>
      <c r="U186" s="2">
        <v>151800</v>
      </c>
      <c r="V186" s="2">
        <v>136640</v>
      </c>
      <c r="W186" s="2">
        <v>1347</v>
      </c>
      <c r="X186" s="2">
        <v>11357</v>
      </c>
      <c r="Y186" s="2" t="s">
        <v>41</v>
      </c>
      <c r="Z186" s="2">
        <v>91</v>
      </c>
      <c r="AA186" s="2">
        <v>4.9000000000000004</v>
      </c>
      <c r="AB186" s="2" t="s">
        <v>64</v>
      </c>
    </row>
    <row r="187" spans="1:28" x14ac:dyDescent="0.25">
      <c r="A187" s="4" t="s">
        <v>554</v>
      </c>
      <c r="B187" s="4" t="s">
        <v>555</v>
      </c>
      <c r="C187" s="4">
        <v>22</v>
      </c>
      <c r="D187" s="4" t="s">
        <v>30</v>
      </c>
      <c r="E187" s="4" t="s">
        <v>154</v>
      </c>
      <c r="F187" s="4" t="s">
        <v>129</v>
      </c>
      <c r="G187" s="5">
        <v>44861</v>
      </c>
      <c r="H187" s="5">
        <v>44885</v>
      </c>
      <c r="I187" s="4">
        <v>24</v>
      </c>
      <c r="J187" s="4" t="s">
        <v>33</v>
      </c>
      <c r="K187" s="4" t="s">
        <v>174</v>
      </c>
      <c r="L187" s="4" t="s">
        <v>48</v>
      </c>
      <c r="M187" s="4" t="s">
        <v>130</v>
      </c>
      <c r="N187" s="4" t="s">
        <v>109</v>
      </c>
      <c r="O187" s="4" t="s">
        <v>256</v>
      </c>
      <c r="P187" s="4">
        <v>33</v>
      </c>
      <c r="Q187" s="4" t="s">
        <v>50</v>
      </c>
      <c r="R187" s="4" t="s">
        <v>136</v>
      </c>
      <c r="S187" s="4">
        <v>82395</v>
      </c>
      <c r="T187" s="4">
        <v>0</v>
      </c>
      <c r="U187" s="4">
        <v>82395</v>
      </c>
      <c r="V187" s="4">
        <v>66346</v>
      </c>
      <c r="W187" s="4">
        <v>2402</v>
      </c>
      <c r="X187" s="4">
        <v>11454</v>
      </c>
      <c r="Y187" s="4" t="s">
        <v>41</v>
      </c>
      <c r="Z187" s="4">
        <v>90</v>
      </c>
      <c r="AA187" s="4">
        <v>3.1</v>
      </c>
      <c r="AB187" s="4" t="s">
        <v>137</v>
      </c>
    </row>
    <row r="188" spans="1:28" x14ac:dyDescent="0.25">
      <c r="A188" s="2" t="s">
        <v>556</v>
      </c>
      <c r="B188" s="2" t="s">
        <v>557</v>
      </c>
      <c r="C188" s="2">
        <v>10</v>
      </c>
      <c r="D188" s="2" t="s">
        <v>55</v>
      </c>
      <c r="E188" s="2" t="s">
        <v>45</v>
      </c>
      <c r="F188" s="2" t="s">
        <v>157</v>
      </c>
      <c r="G188" s="3">
        <v>45629</v>
      </c>
      <c r="H188" s="3">
        <v>45650</v>
      </c>
      <c r="I188" s="2">
        <v>21</v>
      </c>
      <c r="J188" s="2" t="s">
        <v>140</v>
      </c>
      <c r="K188" s="2" t="s">
        <v>167</v>
      </c>
      <c r="L188" s="2" t="s">
        <v>142</v>
      </c>
      <c r="M188" s="2" t="s">
        <v>101</v>
      </c>
      <c r="N188" s="2" t="s">
        <v>109</v>
      </c>
      <c r="O188" s="2" t="s">
        <v>171</v>
      </c>
      <c r="P188" s="2">
        <v>188</v>
      </c>
      <c r="Q188" s="2" t="s">
        <v>69</v>
      </c>
      <c r="R188" s="2" t="s">
        <v>51</v>
      </c>
      <c r="S188" s="2">
        <v>93163</v>
      </c>
      <c r="T188" s="2">
        <v>48608</v>
      </c>
      <c r="U188" s="2">
        <v>44555</v>
      </c>
      <c r="V188" s="2">
        <v>70951</v>
      </c>
      <c r="W188" s="2">
        <v>13331</v>
      </c>
      <c r="X188" s="2">
        <v>4151</v>
      </c>
      <c r="Y188" s="2" t="s">
        <v>41</v>
      </c>
      <c r="Z188" s="2">
        <v>62</v>
      </c>
      <c r="AA188" s="2">
        <v>3.5</v>
      </c>
      <c r="AB188" s="2" t="s">
        <v>137</v>
      </c>
    </row>
    <row r="189" spans="1:28" x14ac:dyDescent="0.25">
      <c r="A189" s="4" t="s">
        <v>558</v>
      </c>
      <c r="B189" s="4" t="s">
        <v>559</v>
      </c>
      <c r="C189" s="4">
        <v>5</v>
      </c>
      <c r="D189" s="4" t="s">
        <v>55</v>
      </c>
      <c r="E189" s="4" t="s">
        <v>87</v>
      </c>
      <c r="F189" s="4" t="s">
        <v>129</v>
      </c>
      <c r="G189" s="5">
        <v>45033</v>
      </c>
      <c r="H189" s="5">
        <v>45036</v>
      </c>
      <c r="I189" s="4">
        <v>3</v>
      </c>
      <c r="J189" s="4" t="s">
        <v>202</v>
      </c>
      <c r="K189" s="4" t="s">
        <v>225</v>
      </c>
      <c r="L189" s="4" t="s">
        <v>226</v>
      </c>
      <c r="M189" s="4" t="s">
        <v>61</v>
      </c>
      <c r="N189" s="4" t="s">
        <v>109</v>
      </c>
      <c r="O189" s="4" t="s">
        <v>560</v>
      </c>
      <c r="P189" s="4">
        <v>186</v>
      </c>
      <c r="Q189" s="4" t="s">
        <v>69</v>
      </c>
      <c r="R189" s="4" t="s">
        <v>40</v>
      </c>
      <c r="S189" s="4">
        <v>148606</v>
      </c>
      <c r="T189" s="4">
        <v>80909</v>
      </c>
      <c r="U189" s="4">
        <v>67697</v>
      </c>
      <c r="V189" s="4">
        <v>113688</v>
      </c>
      <c r="W189" s="4">
        <v>27580</v>
      </c>
      <c r="X189" s="4">
        <v>5910</v>
      </c>
      <c r="Y189" s="4" t="s">
        <v>41</v>
      </c>
      <c r="Z189" s="4">
        <v>53</v>
      </c>
      <c r="AA189" s="4">
        <v>3.8</v>
      </c>
      <c r="AB189" s="4" t="s">
        <v>137</v>
      </c>
    </row>
    <row r="190" spans="1:28" x14ac:dyDescent="0.25">
      <c r="A190" s="2" t="s">
        <v>561</v>
      </c>
      <c r="B190" s="2" t="s">
        <v>562</v>
      </c>
      <c r="C190" s="2">
        <v>10</v>
      </c>
      <c r="D190" s="2" t="s">
        <v>55</v>
      </c>
      <c r="E190" s="2" t="s">
        <v>154</v>
      </c>
      <c r="F190" s="2" t="s">
        <v>129</v>
      </c>
      <c r="G190" s="3">
        <v>45611</v>
      </c>
      <c r="H190" s="3">
        <v>45613</v>
      </c>
      <c r="I190" s="2">
        <v>2</v>
      </c>
      <c r="J190" s="2" t="s">
        <v>33</v>
      </c>
      <c r="K190" s="2" t="s">
        <v>278</v>
      </c>
      <c r="L190" s="2" t="s">
        <v>279</v>
      </c>
      <c r="M190" s="2" t="s">
        <v>130</v>
      </c>
      <c r="N190" s="2" t="s">
        <v>109</v>
      </c>
      <c r="O190" s="2" t="s">
        <v>455</v>
      </c>
      <c r="P190" s="2">
        <v>265</v>
      </c>
      <c r="Q190" s="2" t="s">
        <v>103</v>
      </c>
      <c r="R190" s="2" t="s">
        <v>51</v>
      </c>
      <c r="S190" s="2">
        <v>54778</v>
      </c>
      <c r="T190" s="2">
        <v>37478</v>
      </c>
      <c r="U190" s="2">
        <v>17300</v>
      </c>
      <c r="V190" s="2">
        <v>9881</v>
      </c>
      <c r="W190" s="2">
        <v>29786</v>
      </c>
      <c r="X190" s="2">
        <v>12289</v>
      </c>
      <c r="Y190" s="2" t="s">
        <v>41</v>
      </c>
      <c r="Z190" s="2">
        <v>78</v>
      </c>
      <c r="AA190" s="2">
        <v>5</v>
      </c>
      <c r="AB190" s="2" t="s">
        <v>137</v>
      </c>
    </row>
    <row r="191" spans="1:28" x14ac:dyDescent="0.25">
      <c r="A191" s="4" t="s">
        <v>563</v>
      </c>
      <c r="B191" s="4" t="s">
        <v>564</v>
      </c>
      <c r="C191" s="4">
        <v>57</v>
      </c>
      <c r="D191" s="4" t="s">
        <v>55</v>
      </c>
      <c r="E191" s="4" t="s">
        <v>154</v>
      </c>
      <c r="F191" s="4" t="s">
        <v>72</v>
      </c>
      <c r="G191" s="5">
        <v>45608</v>
      </c>
      <c r="H191" s="5">
        <v>45617</v>
      </c>
      <c r="I191" s="4">
        <v>9</v>
      </c>
      <c r="J191" s="4" t="s">
        <v>123</v>
      </c>
      <c r="K191" s="4" t="s">
        <v>124</v>
      </c>
      <c r="L191" s="4" t="s">
        <v>125</v>
      </c>
      <c r="M191" s="4" t="s">
        <v>83</v>
      </c>
      <c r="N191" s="4" t="s">
        <v>62</v>
      </c>
      <c r="O191" s="4" t="s">
        <v>126</v>
      </c>
      <c r="P191" s="4">
        <v>198</v>
      </c>
      <c r="Q191" s="4" t="s">
        <v>39</v>
      </c>
      <c r="R191" s="4" t="s">
        <v>90</v>
      </c>
      <c r="S191" s="4">
        <v>30666</v>
      </c>
      <c r="T191" s="4">
        <v>24696</v>
      </c>
      <c r="U191" s="4">
        <v>5970</v>
      </c>
      <c r="V191" s="4">
        <v>9341</v>
      </c>
      <c r="W191" s="4">
        <v>7630</v>
      </c>
      <c r="X191" s="4">
        <v>9064</v>
      </c>
      <c r="Y191" s="4" t="s">
        <v>41</v>
      </c>
      <c r="Z191" s="4">
        <v>78</v>
      </c>
      <c r="AA191" s="4">
        <v>2.2999999999999998</v>
      </c>
      <c r="AB191" s="4" t="s">
        <v>137</v>
      </c>
    </row>
    <row r="192" spans="1:28" x14ac:dyDescent="0.25">
      <c r="A192" s="2" t="s">
        <v>565</v>
      </c>
      <c r="B192" s="2" t="s">
        <v>559</v>
      </c>
      <c r="C192" s="2">
        <v>81</v>
      </c>
      <c r="D192" s="2" t="s">
        <v>55</v>
      </c>
      <c r="E192" s="2" t="s">
        <v>56</v>
      </c>
      <c r="F192" s="2" t="s">
        <v>157</v>
      </c>
      <c r="G192" s="3">
        <v>45549</v>
      </c>
      <c r="H192" s="3">
        <v>45571</v>
      </c>
      <c r="I192" s="2">
        <v>22</v>
      </c>
      <c r="J192" s="2" t="s">
        <v>140</v>
      </c>
      <c r="K192" s="2" t="s">
        <v>141</v>
      </c>
      <c r="L192" s="2" t="s">
        <v>142</v>
      </c>
      <c r="M192" s="2" t="s">
        <v>75</v>
      </c>
      <c r="N192" s="2" t="s">
        <v>62</v>
      </c>
      <c r="O192" s="2" t="s">
        <v>285</v>
      </c>
      <c r="P192" s="2">
        <v>216</v>
      </c>
      <c r="Q192" s="2" t="s">
        <v>50</v>
      </c>
      <c r="R192" s="2" t="s">
        <v>90</v>
      </c>
      <c r="S192" s="2">
        <v>167652</v>
      </c>
      <c r="T192" s="2">
        <v>140302</v>
      </c>
      <c r="U192" s="2">
        <v>27350</v>
      </c>
      <c r="V192" s="2">
        <v>143888</v>
      </c>
      <c r="W192" s="2">
        <v>15056</v>
      </c>
      <c r="X192" s="2">
        <v>4259</v>
      </c>
      <c r="Y192" s="2" t="s">
        <v>41</v>
      </c>
      <c r="Z192" s="2">
        <v>77</v>
      </c>
      <c r="AA192" s="2">
        <v>4.4000000000000004</v>
      </c>
      <c r="AB192" s="2" t="s">
        <v>42</v>
      </c>
    </row>
    <row r="193" spans="1:28" x14ac:dyDescent="0.25">
      <c r="A193" s="4" t="s">
        <v>566</v>
      </c>
      <c r="B193" s="4" t="s">
        <v>567</v>
      </c>
      <c r="C193" s="4">
        <v>22</v>
      </c>
      <c r="D193" s="4" t="s">
        <v>30</v>
      </c>
      <c r="E193" s="4" t="s">
        <v>87</v>
      </c>
      <c r="F193" s="4" t="s">
        <v>32</v>
      </c>
      <c r="G193" s="5">
        <v>44733</v>
      </c>
      <c r="H193" s="5">
        <v>44743</v>
      </c>
      <c r="I193" s="4">
        <v>10</v>
      </c>
      <c r="J193" s="4" t="s">
        <v>33</v>
      </c>
      <c r="K193" s="4" t="s">
        <v>233</v>
      </c>
      <c r="L193" s="4" t="s">
        <v>35</v>
      </c>
      <c r="M193" s="4" t="s">
        <v>108</v>
      </c>
      <c r="N193" s="4" t="s">
        <v>118</v>
      </c>
      <c r="O193" s="4" t="s">
        <v>151</v>
      </c>
      <c r="P193" s="4">
        <v>364</v>
      </c>
      <c r="Q193" s="4" t="s">
        <v>69</v>
      </c>
      <c r="R193" s="4" t="s">
        <v>51</v>
      </c>
      <c r="S193" s="4">
        <v>156414</v>
      </c>
      <c r="T193" s="4">
        <v>80164</v>
      </c>
      <c r="U193" s="4">
        <v>76250</v>
      </c>
      <c r="V193" s="4">
        <v>141980</v>
      </c>
      <c r="W193" s="4">
        <v>4861</v>
      </c>
      <c r="X193" s="4">
        <v>9015</v>
      </c>
      <c r="Y193" s="4" t="s">
        <v>41</v>
      </c>
      <c r="Z193" s="4">
        <v>91</v>
      </c>
      <c r="AA193" s="4">
        <v>2.9</v>
      </c>
      <c r="AB193" s="4" t="s">
        <v>52</v>
      </c>
    </row>
    <row r="194" spans="1:28" x14ac:dyDescent="0.25">
      <c r="A194" s="2" t="s">
        <v>568</v>
      </c>
      <c r="B194" s="2" t="s">
        <v>446</v>
      </c>
      <c r="C194" s="2">
        <v>59</v>
      </c>
      <c r="D194" s="2" t="s">
        <v>30</v>
      </c>
      <c r="E194" s="2" t="s">
        <v>79</v>
      </c>
      <c r="F194" s="2" t="s">
        <v>94</v>
      </c>
      <c r="G194" s="3">
        <v>45429</v>
      </c>
      <c r="H194" s="3">
        <v>45448</v>
      </c>
      <c r="I194" s="2">
        <v>19</v>
      </c>
      <c r="J194" s="2" t="s">
        <v>58</v>
      </c>
      <c r="K194" s="2" t="s">
        <v>88</v>
      </c>
      <c r="L194" s="2" t="s">
        <v>60</v>
      </c>
      <c r="M194" s="2" t="s">
        <v>134</v>
      </c>
      <c r="N194" s="2" t="s">
        <v>37</v>
      </c>
      <c r="O194" s="2" t="s">
        <v>126</v>
      </c>
      <c r="P194" s="2">
        <v>283</v>
      </c>
      <c r="Q194" s="2" t="s">
        <v>103</v>
      </c>
      <c r="R194" s="2" t="s">
        <v>40</v>
      </c>
      <c r="S194" s="2">
        <v>135422</v>
      </c>
      <c r="T194" s="2">
        <v>64479</v>
      </c>
      <c r="U194" s="2">
        <v>70943</v>
      </c>
      <c r="V194" s="2">
        <v>102049</v>
      </c>
      <c r="W194" s="2">
        <v>19320</v>
      </c>
      <c r="X194" s="2">
        <v>9591</v>
      </c>
      <c r="Y194" s="2" t="s">
        <v>41</v>
      </c>
      <c r="Z194" s="2">
        <v>62</v>
      </c>
      <c r="AA194" s="2">
        <v>4.3</v>
      </c>
      <c r="AB194" s="2" t="s">
        <v>137</v>
      </c>
    </row>
    <row r="195" spans="1:28" x14ac:dyDescent="0.25">
      <c r="A195" s="4" t="s">
        <v>569</v>
      </c>
      <c r="B195" s="4" t="s">
        <v>570</v>
      </c>
      <c r="C195" s="4">
        <v>20</v>
      </c>
      <c r="D195" s="4" t="s">
        <v>55</v>
      </c>
      <c r="E195" s="4" t="s">
        <v>87</v>
      </c>
      <c r="F195" s="4" t="s">
        <v>129</v>
      </c>
      <c r="G195" s="5">
        <v>44767</v>
      </c>
      <c r="H195" s="5">
        <v>44774</v>
      </c>
      <c r="I195" s="4">
        <v>7</v>
      </c>
      <c r="J195" s="4" t="s">
        <v>202</v>
      </c>
      <c r="K195" s="4" t="s">
        <v>225</v>
      </c>
      <c r="L195" s="4" t="s">
        <v>226</v>
      </c>
      <c r="M195" s="4" t="s">
        <v>95</v>
      </c>
      <c r="N195" s="4" t="s">
        <v>62</v>
      </c>
      <c r="O195" s="4" t="s">
        <v>571</v>
      </c>
      <c r="P195" s="4">
        <v>494</v>
      </c>
      <c r="Q195" s="4" t="s">
        <v>69</v>
      </c>
      <c r="R195" s="4" t="s">
        <v>90</v>
      </c>
      <c r="S195" s="4">
        <v>73951</v>
      </c>
      <c r="T195" s="4">
        <v>46326</v>
      </c>
      <c r="U195" s="4">
        <v>27625</v>
      </c>
      <c r="V195" s="4">
        <v>43096</v>
      </c>
      <c r="W195" s="4">
        <v>16455</v>
      </c>
      <c r="X195" s="4">
        <v>10334</v>
      </c>
      <c r="Y195" s="4" t="s">
        <v>41</v>
      </c>
      <c r="Z195" s="4">
        <v>63</v>
      </c>
      <c r="AA195" s="4">
        <v>2.2000000000000002</v>
      </c>
      <c r="AB195" s="4" t="s">
        <v>104</v>
      </c>
    </row>
    <row r="196" spans="1:28" x14ac:dyDescent="0.25">
      <c r="A196" s="2" t="s">
        <v>572</v>
      </c>
      <c r="B196" s="2" t="s">
        <v>573</v>
      </c>
      <c r="C196" s="2">
        <v>56</v>
      </c>
      <c r="D196" s="2" t="s">
        <v>30</v>
      </c>
      <c r="E196" s="2" t="s">
        <v>122</v>
      </c>
      <c r="F196" s="2" t="s">
        <v>129</v>
      </c>
      <c r="G196" s="3">
        <v>45574</v>
      </c>
      <c r="H196" s="3">
        <v>45589</v>
      </c>
      <c r="I196" s="2">
        <v>15</v>
      </c>
      <c r="J196" s="2" t="s">
        <v>123</v>
      </c>
      <c r="K196" s="2" t="s">
        <v>251</v>
      </c>
      <c r="L196" s="2" t="s">
        <v>125</v>
      </c>
      <c r="M196" s="2" t="s">
        <v>75</v>
      </c>
      <c r="N196" s="2" t="s">
        <v>118</v>
      </c>
      <c r="O196" s="2" t="s">
        <v>151</v>
      </c>
      <c r="P196" s="2">
        <v>402</v>
      </c>
      <c r="Q196" s="2" t="s">
        <v>39</v>
      </c>
      <c r="R196" s="2" t="s">
        <v>51</v>
      </c>
      <c r="S196" s="2">
        <v>77050</v>
      </c>
      <c r="T196" s="2">
        <v>36350</v>
      </c>
      <c r="U196" s="2">
        <v>40700</v>
      </c>
      <c r="V196" s="2">
        <v>49428</v>
      </c>
      <c r="W196" s="2">
        <v>23086</v>
      </c>
      <c r="X196" s="2">
        <v>1090</v>
      </c>
      <c r="Y196" s="2" t="s">
        <v>91</v>
      </c>
      <c r="Z196" s="2">
        <v>50</v>
      </c>
      <c r="AA196" s="2">
        <v>2.2999999999999998</v>
      </c>
      <c r="AB196" s="2" t="s">
        <v>52</v>
      </c>
    </row>
    <row r="197" spans="1:28" x14ac:dyDescent="0.25">
      <c r="A197" s="4" t="s">
        <v>574</v>
      </c>
      <c r="B197" s="4" t="s">
        <v>415</v>
      </c>
      <c r="C197" s="4">
        <v>50</v>
      </c>
      <c r="D197" s="4" t="s">
        <v>30</v>
      </c>
      <c r="E197" s="4" t="s">
        <v>67</v>
      </c>
      <c r="F197" s="4" t="s">
        <v>72</v>
      </c>
      <c r="G197" s="5">
        <v>44972</v>
      </c>
      <c r="H197" s="5">
        <v>44989</v>
      </c>
      <c r="I197" s="4">
        <v>17</v>
      </c>
      <c r="J197" s="4" t="s">
        <v>123</v>
      </c>
      <c r="K197" s="4" t="s">
        <v>251</v>
      </c>
      <c r="L197" s="4" t="s">
        <v>125</v>
      </c>
      <c r="M197" s="4" t="s">
        <v>36</v>
      </c>
      <c r="N197" s="4" t="s">
        <v>118</v>
      </c>
      <c r="O197" s="4" t="s">
        <v>295</v>
      </c>
      <c r="P197" s="4">
        <v>179</v>
      </c>
      <c r="Q197" s="4" t="s">
        <v>50</v>
      </c>
      <c r="R197" s="4" t="s">
        <v>136</v>
      </c>
      <c r="S197" s="4">
        <v>93103</v>
      </c>
      <c r="T197" s="4">
        <v>0</v>
      </c>
      <c r="U197" s="4">
        <v>93103</v>
      </c>
      <c r="V197" s="4">
        <v>64322</v>
      </c>
      <c r="W197" s="4">
        <v>20869</v>
      </c>
      <c r="X197" s="4">
        <v>3687</v>
      </c>
      <c r="Y197" s="4" t="s">
        <v>41</v>
      </c>
      <c r="Z197" s="4">
        <v>76</v>
      </c>
      <c r="AA197" s="4">
        <v>2</v>
      </c>
      <c r="AB197" s="4" t="s">
        <v>64</v>
      </c>
    </row>
    <row r="198" spans="1:28" x14ac:dyDescent="0.25">
      <c r="A198" s="2" t="s">
        <v>575</v>
      </c>
      <c r="B198" s="2" t="s">
        <v>576</v>
      </c>
      <c r="C198" s="2">
        <v>18</v>
      </c>
      <c r="D198" s="2" t="s">
        <v>55</v>
      </c>
      <c r="E198" s="2" t="s">
        <v>79</v>
      </c>
      <c r="F198" s="2" t="s">
        <v>80</v>
      </c>
      <c r="G198" s="3">
        <v>44801</v>
      </c>
      <c r="H198" s="3">
        <v>44827</v>
      </c>
      <c r="I198" s="2">
        <v>26</v>
      </c>
      <c r="J198" s="2" t="s">
        <v>202</v>
      </c>
      <c r="K198" s="2" t="s">
        <v>225</v>
      </c>
      <c r="L198" s="2" t="s">
        <v>226</v>
      </c>
      <c r="M198" s="2" t="s">
        <v>75</v>
      </c>
      <c r="N198" s="2" t="s">
        <v>118</v>
      </c>
      <c r="O198" s="2" t="s">
        <v>352</v>
      </c>
      <c r="P198" s="2">
        <v>289</v>
      </c>
      <c r="Q198" s="2" t="s">
        <v>103</v>
      </c>
      <c r="R198" s="2" t="s">
        <v>40</v>
      </c>
      <c r="S198" s="2">
        <v>132745</v>
      </c>
      <c r="T198" s="2">
        <v>88801</v>
      </c>
      <c r="U198" s="2">
        <v>43944</v>
      </c>
      <c r="V198" s="2">
        <v>94040</v>
      </c>
      <c r="W198" s="2">
        <v>26414</v>
      </c>
      <c r="X198" s="2">
        <v>8017</v>
      </c>
      <c r="Y198" s="2" t="s">
        <v>41</v>
      </c>
      <c r="Z198" s="2">
        <v>70</v>
      </c>
      <c r="AA198" s="2">
        <v>2.2999999999999998</v>
      </c>
      <c r="AB198" s="2" t="s">
        <v>104</v>
      </c>
    </row>
    <row r="199" spans="1:28" x14ac:dyDescent="0.25">
      <c r="A199" s="4" t="s">
        <v>577</v>
      </c>
      <c r="B199" s="4" t="s">
        <v>578</v>
      </c>
      <c r="C199" s="4">
        <v>34</v>
      </c>
      <c r="D199" s="4" t="s">
        <v>30</v>
      </c>
      <c r="E199" s="4" t="s">
        <v>67</v>
      </c>
      <c r="F199" s="4" t="s">
        <v>80</v>
      </c>
      <c r="G199" s="5">
        <v>45619</v>
      </c>
      <c r="H199" s="5">
        <v>45637</v>
      </c>
      <c r="I199" s="4">
        <v>18</v>
      </c>
      <c r="J199" s="4" t="s">
        <v>123</v>
      </c>
      <c r="K199" s="4" t="s">
        <v>251</v>
      </c>
      <c r="L199" s="4" t="s">
        <v>125</v>
      </c>
      <c r="M199" s="4" t="s">
        <v>61</v>
      </c>
      <c r="N199" s="4" t="s">
        <v>118</v>
      </c>
      <c r="O199" s="4" t="s">
        <v>230</v>
      </c>
      <c r="P199" s="4">
        <v>345</v>
      </c>
      <c r="Q199" s="4" t="s">
        <v>50</v>
      </c>
      <c r="R199" s="4" t="s">
        <v>90</v>
      </c>
      <c r="S199" s="4">
        <v>77441</v>
      </c>
      <c r="T199" s="4">
        <v>51542</v>
      </c>
      <c r="U199" s="4">
        <v>25899</v>
      </c>
      <c r="V199" s="4">
        <v>51788</v>
      </c>
      <c r="W199" s="4">
        <v>16615</v>
      </c>
      <c r="X199" s="4">
        <v>5642</v>
      </c>
      <c r="Y199" s="4" t="s">
        <v>41</v>
      </c>
      <c r="Z199" s="4">
        <v>51</v>
      </c>
      <c r="AA199" s="4">
        <v>4.8</v>
      </c>
      <c r="AB199" s="4" t="s">
        <v>64</v>
      </c>
    </row>
    <row r="200" spans="1:28" x14ac:dyDescent="0.25">
      <c r="A200" s="2" t="s">
        <v>579</v>
      </c>
      <c r="B200" s="2" t="s">
        <v>473</v>
      </c>
      <c r="C200" s="2">
        <v>35</v>
      </c>
      <c r="D200" s="2" t="s">
        <v>55</v>
      </c>
      <c r="E200" s="2" t="s">
        <v>79</v>
      </c>
      <c r="F200" s="2" t="s">
        <v>32</v>
      </c>
      <c r="G200" s="3">
        <v>45031</v>
      </c>
      <c r="H200" s="3">
        <v>45038</v>
      </c>
      <c r="I200" s="2">
        <v>7</v>
      </c>
      <c r="J200" s="2" t="s">
        <v>73</v>
      </c>
      <c r="K200" s="2" t="s">
        <v>74</v>
      </c>
      <c r="L200" s="2" t="s">
        <v>73</v>
      </c>
      <c r="M200" s="2" t="s">
        <v>95</v>
      </c>
      <c r="N200" s="2" t="s">
        <v>109</v>
      </c>
      <c r="O200" s="2" t="s">
        <v>580</v>
      </c>
      <c r="P200" s="2">
        <v>472</v>
      </c>
      <c r="Q200" s="2" t="s">
        <v>69</v>
      </c>
      <c r="R200" s="2" t="s">
        <v>111</v>
      </c>
      <c r="S200" s="2">
        <v>52255</v>
      </c>
      <c r="T200" s="2">
        <v>46371</v>
      </c>
      <c r="U200" s="2">
        <v>5884</v>
      </c>
      <c r="V200" s="2">
        <v>6736</v>
      </c>
      <c r="W200" s="2">
        <v>26042</v>
      </c>
      <c r="X200" s="2">
        <v>14542</v>
      </c>
      <c r="Y200" s="2" t="s">
        <v>41</v>
      </c>
      <c r="Z200" s="2">
        <v>63</v>
      </c>
      <c r="AA200" s="2">
        <v>3.9</v>
      </c>
      <c r="AB200" s="2" t="s">
        <v>137</v>
      </c>
    </row>
    <row r="201" spans="1:28" x14ac:dyDescent="0.25">
      <c r="A201" s="4" t="s">
        <v>581</v>
      </c>
      <c r="B201" s="4" t="s">
        <v>582</v>
      </c>
      <c r="C201" s="4">
        <v>40</v>
      </c>
      <c r="D201" s="4" t="s">
        <v>30</v>
      </c>
      <c r="E201" s="4" t="s">
        <v>154</v>
      </c>
      <c r="F201" s="4" t="s">
        <v>94</v>
      </c>
      <c r="G201" s="5">
        <v>45135</v>
      </c>
      <c r="H201" s="5">
        <v>45148</v>
      </c>
      <c r="I201" s="4">
        <v>13</v>
      </c>
      <c r="J201" s="4" t="s">
        <v>73</v>
      </c>
      <c r="K201" s="4" t="s">
        <v>74</v>
      </c>
      <c r="L201" s="4" t="s">
        <v>73</v>
      </c>
      <c r="M201" s="4" t="s">
        <v>143</v>
      </c>
      <c r="N201" s="4" t="s">
        <v>62</v>
      </c>
      <c r="O201" s="4" t="s">
        <v>144</v>
      </c>
      <c r="P201" s="4">
        <v>245</v>
      </c>
      <c r="Q201" s="4" t="s">
        <v>69</v>
      </c>
      <c r="R201" s="4" t="s">
        <v>51</v>
      </c>
      <c r="S201" s="4">
        <v>126467</v>
      </c>
      <c r="T201" s="4">
        <v>67933</v>
      </c>
      <c r="U201" s="4">
        <v>58534</v>
      </c>
      <c r="V201" s="4">
        <v>96039</v>
      </c>
      <c r="W201" s="4">
        <v>13901</v>
      </c>
      <c r="X201" s="4">
        <v>14596</v>
      </c>
      <c r="Y201" s="4" t="s">
        <v>91</v>
      </c>
      <c r="Z201" s="4">
        <v>73</v>
      </c>
      <c r="AA201" s="4">
        <v>3.4</v>
      </c>
      <c r="AB201" s="4" t="s">
        <v>104</v>
      </c>
    </row>
    <row r="202" spans="1:28" x14ac:dyDescent="0.25">
      <c r="A202" s="2" t="s">
        <v>583</v>
      </c>
      <c r="B202" s="2" t="s">
        <v>584</v>
      </c>
      <c r="C202" s="2">
        <v>53</v>
      </c>
      <c r="D202" s="2" t="s">
        <v>55</v>
      </c>
      <c r="E202" s="2" t="s">
        <v>45</v>
      </c>
      <c r="F202" s="2" t="s">
        <v>80</v>
      </c>
      <c r="G202" s="3">
        <v>45093</v>
      </c>
      <c r="H202" s="3">
        <v>45099</v>
      </c>
      <c r="I202" s="2">
        <v>6</v>
      </c>
      <c r="J202" s="2" t="s">
        <v>33</v>
      </c>
      <c r="K202" s="2" t="s">
        <v>99</v>
      </c>
      <c r="L202" s="2" t="s">
        <v>100</v>
      </c>
      <c r="M202" s="2" t="s">
        <v>61</v>
      </c>
      <c r="N202" s="2" t="s">
        <v>118</v>
      </c>
      <c r="O202" s="2" t="s">
        <v>234</v>
      </c>
      <c r="P202" s="2">
        <v>176</v>
      </c>
      <c r="Q202" s="2" t="s">
        <v>50</v>
      </c>
      <c r="R202" s="2" t="s">
        <v>40</v>
      </c>
      <c r="S202" s="2">
        <v>158522</v>
      </c>
      <c r="T202" s="2">
        <v>96732</v>
      </c>
      <c r="U202" s="2">
        <v>61790</v>
      </c>
      <c r="V202" s="2">
        <v>135749</v>
      </c>
      <c r="W202" s="2">
        <v>14891</v>
      </c>
      <c r="X202" s="2">
        <v>3949</v>
      </c>
      <c r="Y202" s="2" t="s">
        <v>41</v>
      </c>
      <c r="Z202" s="2">
        <v>94</v>
      </c>
      <c r="AA202" s="2">
        <v>3.2</v>
      </c>
      <c r="AB202" s="2" t="s">
        <v>137</v>
      </c>
    </row>
    <row r="203" spans="1:28" x14ac:dyDescent="0.25">
      <c r="A203" s="4" t="s">
        <v>585</v>
      </c>
      <c r="B203" s="4" t="s">
        <v>586</v>
      </c>
      <c r="C203" s="4">
        <v>21</v>
      </c>
      <c r="D203" s="4" t="s">
        <v>55</v>
      </c>
      <c r="E203" s="4" t="s">
        <v>56</v>
      </c>
      <c r="F203" s="4" t="s">
        <v>46</v>
      </c>
      <c r="G203" s="5">
        <v>45044</v>
      </c>
      <c r="H203" s="5">
        <v>45062</v>
      </c>
      <c r="I203" s="4">
        <v>18</v>
      </c>
      <c r="J203" s="4" t="s">
        <v>33</v>
      </c>
      <c r="K203" s="4" t="s">
        <v>81</v>
      </c>
      <c r="L203" s="4" t="s">
        <v>82</v>
      </c>
      <c r="M203" s="4" t="s">
        <v>61</v>
      </c>
      <c r="N203" s="4" t="s">
        <v>109</v>
      </c>
      <c r="O203" s="4" t="s">
        <v>331</v>
      </c>
      <c r="P203" s="4">
        <v>413</v>
      </c>
      <c r="Q203" s="4" t="s">
        <v>69</v>
      </c>
      <c r="R203" s="4" t="s">
        <v>40</v>
      </c>
      <c r="S203" s="4">
        <v>140307</v>
      </c>
      <c r="T203" s="4">
        <v>78599</v>
      </c>
      <c r="U203" s="4">
        <v>61708</v>
      </c>
      <c r="V203" s="4">
        <v>115499</v>
      </c>
      <c r="W203" s="4">
        <v>17370</v>
      </c>
      <c r="X203" s="4">
        <v>2703</v>
      </c>
      <c r="Y203" s="4" t="s">
        <v>41</v>
      </c>
      <c r="Z203" s="4">
        <v>71</v>
      </c>
      <c r="AA203" s="4">
        <v>2.9</v>
      </c>
      <c r="AB203" s="4" t="s">
        <v>42</v>
      </c>
    </row>
    <row r="204" spans="1:28" x14ac:dyDescent="0.25">
      <c r="A204" s="2" t="s">
        <v>587</v>
      </c>
      <c r="B204" s="2" t="s">
        <v>588</v>
      </c>
      <c r="C204" s="2">
        <v>11</v>
      </c>
      <c r="D204" s="2" t="s">
        <v>30</v>
      </c>
      <c r="E204" s="2" t="s">
        <v>56</v>
      </c>
      <c r="F204" s="2" t="s">
        <v>129</v>
      </c>
      <c r="G204" s="3">
        <v>44684</v>
      </c>
      <c r="H204" s="3">
        <v>44691</v>
      </c>
      <c r="I204" s="2">
        <v>7</v>
      </c>
      <c r="J204" s="2" t="s">
        <v>140</v>
      </c>
      <c r="K204" s="2" t="s">
        <v>167</v>
      </c>
      <c r="L204" s="2" t="s">
        <v>142</v>
      </c>
      <c r="M204" s="2" t="s">
        <v>36</v>
      </c>
      <c r="N204" s="2" t="s">
        <v>37</v>
      </c>
      <c r="O204" s="2" t="s">
        <v>461</v>
      </c>
      <c r="P204" s="2">
        <v>185</v>
      </c>
      <c r="Q204" s="2" t="s">
        <v>50</v>
      </c>
      <c r="R204" s="2" t="s">
        <v>51</v>
      </c>
      <c r="S204" s="2">
        <v>89531</v>
      </c>
      <c r="T204" s="2">
        <v>39069</v>
      </c>
      <c r="U204" s="2">
        <v>50462</v>
      </c>
      <c r="V204" s="2">
        <v>72558</v>
      </c>
      <c r="W204" s="2">
        <v>12276</v>
      </c>
      <c r="X204" s="2">
        <v>824</v>
      </c>
      <c r="Y204" s="2" t="s">
        <v>41</v>
      </c>
      <c r="Z204" s="2">
        <v>78</v>
      </c>
      <c r="AA204" s="2">
        <v>2.6</v>
      </c>
      <c r="AB204" s="2" t="s">
        <v>42</v>
      </c>
    </row>
    <row r="205" spans="1:28" x14ac:dyDescent="0.25">
      <c r="A205" s="4" t="s">
        <v>589</v>
      </c>
      <c r="B205" s="4" t="s">
        <v>590</v>
      </c>
      <c r="C205" s="4">
        <v>27</v>
      </c>
      <c r="D205" s="4" t="s">
        <v>30</v>
      </c>
      <c r="E205" s="4" t="s">
        <v>45</v>
      </c>
      <c r="F205" s="4" t="s">
        <v>80</v>
      </c>
      <c r="G205" s="5">
        <v>45607</v>
      </c>
      <c r="H205" s="5">
        <v>45623</v>
      </c>
      <c r="I205" s="4">
        <v>16</v>
      </c>
      <c r="J205" s="4" t="s">
        <v>33</v>
      </c>
      <c r="K205" s="4" t="s">
        <v>107</v>
      </c>
      <c r="L205" s="4" t="s">
        <v>48</v>
      </c>
      <c r="M205" s="4" t="s">
        <v>108</v>
      </c>
      <c r="N205" s="4" t="s">
        <v>118</v>
      </c>
      <c r="O205" s="4" t="s">
        <v>591</v>
      </c>
      <c r="P205" s="4">
        <v>445</v>
      </c>
      <c r="Q205" s="4" t="s">
        <v>39</v>
      </c>
      <c r="R205" s="4" t="s">
        <v>136</v>
      </c>
      <c r="S205" s="4">
        <v>151608</v>
      </c>
      <c r="T205" s="4">
        <v>0</v>
      </c>
      <c r="U205" s="4">
        <v>151608</v>
      </c>
      <c r="V205" s="4">
        <v>115576</v>
      </c>
      <c r="W205" s="4">
        <v>21685</v>
      </c>
      <c r="X205" s="4">
        <v>10532</v>
      </c>
      <c r="Y205" s="4" t="s">
        <v>41</v>
      </c>
      <c r="Z205" s="4">
        <v>44</v>
      </c>
      <c r="AA205" s="4">
        <v>2.2000000000000002</v>
      </c>
      <c r="AB205" s="4" t="s">
        <v>52</v>
      </c>
    </row>
    <row r="206" spans="1:28" x14ac:dyDescent="0.25">
      <c r="A206" s="2" t="s">
        <v>592</v>
      </c>
      <c r="B206" s="2" t="s">
        <v>593</v>
      </c>
      <c r="C206" s="2">
        <v>45</v>
      </c>
      <c r="D206" s="2" t="s">
        <v>30</v>
      </c>
      <c r="E206" s="2" t="s">
        <v>79</v>
      </c>
      <c r="F206" s="2" t="s">
        <v>72</v>
      </c>
      <c r="G206" s="3">
        <v>45371</v>
      </c>
      <c r="H206" s="3">
        <v>45380</v>
      </c>
      <c r="I206" s="2">
        <v>9</v>
      </c>
      <c r="J206" s="2" t="s">
        <v>33</v>
      </c>
      <c r="K206" s="2" t="s">
        <v>107</v>
      </c>
      <c r="L206" s="2" t="s">
        <v>48</v>
      </c>
      <c r="M206" s="2" t="s">
        <v>101</v>
      </c>
      <c r="N206" s="2" t="s">
        <v>37</v>
      </c>
      <c r="O206" s="2" t="s">
        <v>175</v>
      </c>
      <c r="P206" s="2">
        <v>95</v>
      </c>
      <c r="Q206" s="2" t="s">
        <v>69</v>
      </c>
      <c r="R206" s="2" t="s">
        <v>40</v>
      </c>
      <c r="S206" s="2">
        <v>94976</v>
      </c>
      <c r="T206" s="2">
        <v>43990</v>
      </c>
      <c r="U206" s="2">
        <v>50986</v>
      </c>
      <c r="V206" s="2">
        <v>66506</v>
      </c>
      <c r="W206" s="2">
        <v>22693</v>
      </c>
      <c r="X206" s="2">
        <v>4622</v>
      </c>
      <c r="Y206" s="2" t="s">
        <v>41</v>
      </c>
      <c r="Z206" s="2">
        <v>46</v>
      </c>
      <c r="AA206" s="2">
        <v>2.2000000000000002</v>
      </c>
      <c r="AB206" s="2" t="s">
        <v>137</v>
      </c>
    </row>
    <row r="207" spans="1:28" x14ac:dyDescent="0.25">
      <c r="A207" s="4" t="s">
        <v>594</v>
      </c>
      <c r="B207" s="4" t="s">
        <v>351</v>
      </c>
      <c r="C207" s="4">
        <v>8</v>
      </c>
      <c r="D207" s="4" t="s">
        <v>30</v>
      </c>
      <c r="E207" s="4" t="s">
        <v>56</v>
      </c>
      <c r="F207" s="4" t="s">
        <v>157</v>
      </c>
      <c r="G207" s="5">
        <v>45099</v>
      </c>
      <c r="H207" s="5">
        <v>45119</v>
      </c>
      <c r="I207" s="4">
        <v>20</v>
      </c>
      <c r="J207" s="4" t="s">
        <v>140</v>
      </c>
      <c r="K207" s="4" t="s">
        <v>141</v>
      </c>
      <c r="L207" s="4" t="s">
        <v>142</v>
      </c>
      <c r="M207" s="4" t="s">
        <v>108</v>
      </c>
      <c r="N207" s="4" t="s">
        <v>118</v>
      </c>
      <c r="O207" s="4" t="s">
        <v>595</v>
      </c>
      <c r="P207" s="4">
        <v>378</v>
      </c>
      <c r="Q207" s="4" t="s">
        <v>50</v>
      </c>
      <c r="R207" s="4" t="s">
        <v>111</v>
      </c>
      <c r="S207" s="4">
        <v>54466</v>
      </c>
      <c r="T207" s="4">
        <v>33146</v>
      </c>
      <c r="U207" s="4">
        <v>21320</v>
      </c>
      <c r="V207" s="4">
        <v>38138</v>
      </c>
      <c r="W207" s="4">
        <v>5301</v>
      </c>
      <c r="X207" s="4">
        <v>9130</v>
      </c>
      <c r="Y207" s="4" t="s">
        <v>41</v>
      </c>
      <c r="Z207" s="4">
        <v>95</v>
      </c>
      <c r="AA207" s="4">
        <v>4.7</v>
      </c>
      <c r="AB207" s="4" t="s">
        <v>137</v>
      </c>
    </row>
    <row r="208" spans="1:28" x14ac:dyDescent="0.25">
      <c r="A208" s="2" t="s">
        <v>596</v>
      </c>
      <c r="B208" s="2" t="s">
        <v>597</v>
      </c>
      <c r="C208" s="2">
        <v>39</v>
      </c>
      <c r="D208" s="2" t="s">
        <v>30</v>
      </c>
      <c r="E208" s="2" t="s">
        <v>154</v>
      </c>
      <c r="F208" s="2" t="s">
        <v>94</v>
      </c>
      <c r="G208" s="3">
        <v>44924</v>
      </c>
      <c r="H208" s="3">
        <v>44943</v>
      </c>
      <c r="I208" s="2">
        <v>19</v>
      </c>
      <c r="J208" s="2" t="s">
        <v>33</v>
      </c>
      <c r="K208" s="2" t="s">
        <v>233</v>
      </c>
      <c r="L208" s="2" t="s">
        <v>35</v>
      </c>
      <c r="M208" s="2" t="s">
        <v>101</v>
      </c>
      <c r="N208" s="2" t="s">
        <v>37</v>
      </c>
      <c r="O208" s="2" t="s">
        <v>553</v>
      </c>
      <c r="P208" s="2">
        <v>159</v>
      </c>
      <c r="Q208" s="2" t="s">
        <v>50</v>
      </c>
      <c r="R208" s="2" t="s">
        <v>111</v>
      </c>
      <c r="S208" s="2">
        <v>169829</v>
      </c>
      <c r="T208" s="2">
        <v>124410</v>
      </c>
      <c r="U208" s="2">
        <v>45419</v>
      </c>
      <c r="V208" s="2">
        <v>146470</v>
      </c>
      <c r="W208" s="2">
        <v>8442</v>
      </c>
      <c r="X208" s="2">
        <v>13684</v>
      </c>
      <c r="Y208" s="2" t="s">
        <v>41</v>
      </c>
      <c r="Z208" s="2">
        <v>56</v>
      </c>
      <c r="AA208" s="2">
        <v>2.5</v>
      </c>
      <c r="AB208" s="2" t="s">
        <v>104</v>
      </c>
    </row>
    <row r="209" spans="1:28" x14ac:dyDescent="0.25">
      <c r="A209" s="4" t="s">
        <v>598</v>
      </c>
      <c r="B209" s="4" t="s">
        <v>599</v>
      </c>
      <c r="C209" s="4">
        <v>22</v>
      </c>
      <c r="D209" s="4" t="s">
        <v>30</v>
      </c>
      <c r="E209" s="4" t="s">
        <v>79</v>
      </c>
      <c r="F209" s="4" t="s">
        <v>150</v>
      </c>
      <c r="G209" s="5">
        <v>45657</v>
      </c>
      <c r="H209" s="5">
        <v>45657</v>
      </c>
      <c r="I209" s="4">
        <v>1</v>
      </c>
      <c r="J209" s="4" t="s">
        <v>33</v>
      </c>
      <c r="K209" s="4" t="s">
        <v>174</v>
      </c>
      <c r="L209" s="4" t="s">
        <v>48</v>
      </c>
      <c r="M209" s="4" t="s">
        <v>134</v>
      </c>
      <c r="N209" s="4" t="s">
        <v>62</v>
      </c>
      <c r="O209" s="4" t="s">
        <v>63</v>
      </c>
      <c r="P209" s="4">
        <v>306</v>
      </c>
      <c r="Q209" s="4" t="s">
        <v>39</v>
      </c>
      <c r="R209" s="4" t="s">
        <v>90</v>
      </c>
      <c r="S209" s="4">
        <v>169414</v>
      </c>
      <c r="T209" s="4">
        <v>146484</v>
      </c>
      <c r="U209" s="4">
        <v>22930</v>
      </c>
      <c r="V209" s="4">
        <v>148710</v>
      </c>
      <c r="W209" s="4">
        <v>13243</v>
      </c>
      <c r="X209" s="4">
        <v>3589</v>
      </c>
      <c r="Y209" s="4" t="s">
        <v>41</v>
      </c>
      <c r="Z209" s="4">
        <v>55</v>
      </c>
      <c r="AA209" s="4">
        <v>2.5</v>
      </c>
      <c r="AB209" s="4" t="s">
        <v>137</v>
      </c>
    </row>
    <row r="210" spans="1:28" x14ac:dyDescent="0.25">
      <c r="A210" s="2" t="s">
        <v>600</v>
      </c>
      <c r="B210" s="2" t="s">
        <v>601</v>
      </c>
      <c r="C210" s="2">
        <v>33</v>
      </c>
      <c r="D210" s="2" t="s">
        <v>30</v>
      </c>
      <c r="E210" s="2" t="s">
        <v>56</v>
      </c>
      <c r="F210" s="2" t="s">
        <v>114</v>
      </c>
      <c r="G210" s="3">
        <v>45052</v>
      </c>
      <c r="H210" s="3">
        <v>45069</v>
      </c>
      <c r="I210" s="2">
        <v>17</v>
      </c>
      <c r="J210" s="2" t="s">
        <v>33</v>
      </c>
      <c r="K210" s="2" t="s">
        <v>233</v>
      </c>
      <c r="L210" s="2" t="s">
        <v>35</v>
      </c>
      <c r="M210" s="2" t="s">
        <v>134</v>
      </c>
      <c r="N210" s="2" t="s">
        <v>118</v>
      </c>
      <c r="O210" s="2" t="s">
        <v>164</v>
      </c>
      <c r="P210" s="2">
        <v>437</v>
      </c>
      <c r="Q210" s="2" t="s">
        <v>69</v>
      </c>
      <c r="R210" s="2" t="s">
        <v>40</v>
      </c>
      <c r="S210" s="2">
        <v>57842</v>
      </c>
      <c r="T210" s="2">
        <v>33856</v>
      </c>
      <c r="U210" s="2">
        <v>23986</v>
      </c>
      <c r="V210" s="2">
        <v>40815</v>
      </c>
      <c r="W210" s="2">
        <v>10489</v>
      </c>
      <c r="X210" s="2">
        <v>2308</v>
      </c>
      <c r="Y210" s="2" t="s">
        <v>41</v>
      </c>
      <c r="Z210" s="2">
        <v>79</v>
      </c>
      <c r="AA210" s="2">
        <v>3.5</v>
      </c>
      <c r="AB210" s="2" t="s">
        <v>52</v>
      </c>
    </row>
    <row r="211" spans="1:28" x14ac:dyDescent="0.25">
      <c r="A211" s="4" t="s">
        <v>602</v>
      </c>
      <c r="B211" s="4" t="s">
        <v>603</v>
      </c>
      <c r="C211" s="4">
        <v>11</v>
      </c>
      <c r="D211" s="4" t="s">
        <v>55</v>
      </c>
      <c r="E211" s="4" t="s">
        <v>154</v>
      </c>
      <c r="F211" s="4" t="s">
        <v>157</v>
      </c>
      <c r="G211" s="5">
        <v>45139</v>
      </c>
      <c r="H211" s="5">
        <v>45148</v>
      </c>
      <c r="I211" s="4">
        <v>9</v>
      </c>
      <c r="J211" s="4" t="s">
        <v>140</v>
      </c>
      <c r="K211" s="4" t="s">
        <v>141</v>
      </c>
      <c r="L211" s="4" t="s">
        <v>142</v>
      </c>
      <c r="M211" s="4" t="s">
        <v>130</v>
      </c>
      <c r="N211" s="4" t="s">
        <v>109</v>
      </c>
      <c r="O211" s="4" t="s">
        <v>241</v>
      </c>
      <c r="P211" s="4">
        <v>8</v>
      </c>
      <c r="Q211" s="4" t="s">
        <v>103</v>
      </c>
      <c r="R211" s="4" t="s">
        <v>40</v>
      </c>
      <c r="S211" s="4">
        <v>119586</v>
      </c>
      <c r="T211" s="4">
        <v>83637</v>
      </c>
      <c r="U211" s="4">
        <v>35949</v>
      </c>
      <c r="V211" s="4">
        <v>94630</v>
      </c>
      <c r="W211" s="4">
        <v>14770</v>
      </c>
      <c r="X211" s="4">
        <v>5604</v>
      </c>
      <c r="Y211" s="4" t="s">
        <v>41</v>
      </c>
      <c r="Z211" s="4">
        <v>90</v>
      </c>
      <c r="AA211" s="4">
        <v>2.1</v>
      </c>
      <c r="AB211" s="4" t="s">
        <v>104</v>
      </c>
    </row>
    <row r="212" spans="1:28" x14ac:dyDescent="0.25">
      <c r="A212" s="2" t="s">
        <v>604</v>
      </c>
      <c r="B212" s="2" t="s">
        <v>605</v>
      </c>
      <c r="C212" s="2">
        <v>12</v>
      </c>
      <c r="D212" s="2" t="s">
        <v>30</v>
      </c>
      <c r="E212" s="2" t="s">
        <v>67</v>
      </c>
      <c r="F212" s="2" t="s">
        <v>157</v>
      </c>
      <c r="G212" s="3">
        <v>45524</v>
      </c>
      <c r="H212" s="3">
        <v>45530</v>
      </c>
      <c r="I212" s="2">
        <v>6</v>
      </c>
      <c r="J212" s="2" t="s">
        <v>115</v>
      </c>
      <c r="K212" s="2" t="s">
        <v>160</v>
      </c>
      <c r="L212" s="2" t="s">
        <v>117</v>
      </c>
      <c r="M212" s="2" t="s">
        <v>108</v>
      </c>
      <c r="N212" s="2" t="s">
        <v>62</v>
      </c>
      <c r="O212" s="2" t="s">
        <v>199</v>
      </c>
      <c r="P212" s="2">
        <v>198</v>
      </c>
      <c r="Q212" s="2" t="s">
        <v>103</v>
      </c>
      <c r="R212" s="2" t="s">
        <v>40</v>
      </c>
      <c r="S212" s="2">
        <v>30629</v>
      </c>
      <c r="T212" s="2">
        <v>17040</v>
      </c>
      <c r="U212" s="2">
        <v>13589</v>
      </c>
      <c r="V212" s="2">
        <v>13784</v>
      </c>
      <c r="W212" s="2">
        <v>7526</v>
      </c>
      <c r="X212" s="2">
        <v>8050</v>
      </c>
      <c r="Y212" s="2" t="s">
        <v>41</v>
      </c>
      <c r="Z212" s="2">
        <v>70</v>
      </c>
      <c r="AA212" s="2">
        <v>3.2</v>
      </c>
      <c r="AB212" s="2" t="s">
        <v>52</v>
      </c>
    </row>
    <row r="213" spans="1:28" x14ac:dyDescent="0.25">
      <c r="A213" s="4" t="s">
        <v>606</v>
      </c>
      <c r="B213" s="4" t="s">
        <v>427</v>
      </c>
      <c r="C213" s="4">
        <v>25</v>
      </c>
      <c r="D213" s="4" t="s">
        <v>55</v>
      </c>
      <c r="E213" s="4" t="s">
        <v>56</v>
      </c>
      <c r="F213" s="4" t="s">
        <v>46</v>
      </c>
      <c r="G213" s="5">
        <v>45547</v>
      </c>
      <c r="H213" s="5">
        <v>45568</v>
      </c>
      <c r="I213" s="4">
        <v>21</v>
      </c>
      <c r="J213" s="4" t="s">
        <v>58</v>
      </c>
      <c r="K213" s="4" t="s">
        <v>59</v>
      </c>
      <c r="L213" s="4" t="s">
        <v>60</v>
      </c>
      <c r="M213" s="4" t="s">
        <v>95</v>
      </c>
      <c r="N213" s="4" t="s">
        <v>62</v>
      </c>
      <c r="O213" s="4" t="s">
        <v>365</v>
      </c>
      <c r="P213" s="4">
        <v>121</v>
      </c>
      <c r="Q213" s="4" t="s">
        <v>103</v>
      </c>
      <c r="R213" s="4" t="s">
        <v>136</v>
      </c>
      <c r="S213" s="4">
        <v>31709</v>
      </c>
      <c r="T213" s="4">
        <v>0</v>
      </c>
      <c r="U213" s="4">
        <v>31709</v>
      </c>
      <c r="V213" s="4">
        <v>8949</v>
      </c>
      <c r="W213" s="4">
        <v>6484</v>
      </c>
      <c r="X213" s="4">
        <v>13515</v>
      </c>
      <c r="Y213" s="4" t="s">
        <v>41</v>
      </c>
      <c r="Z213" s="4">
        <v>65</v>
      </c>
      <c r="AA213" s="4">
        <v>4.4000000000000004</v>
      </c>
      <c r="AB213" s="4" t="s">
        <v>104</v>
      </c>
    </row>
    <row r="214" spans="1:28" x14ac:dyDescent="0.25">
      <c r="A214" s="2" t="s">
        <v>607</v>
      </c>
      <c r="B214" s="2" t="s">
        <v>608</v>
      </c>
      <c r="C214" s="2">
        <v>65</v>
      </c>
      <c r="D214" s="2" t="s">
        <v>55</v>
      </c>
      <c r="E214" s="2" t="s">
        <v>45</v>
      </c>
      <c r="F214" s="2" t="s">
        <v>157</v>
      </c>
      <c r="G214" s="3">
        <v>45071</v>
      </c>
      <c r="H214" s="3">
        <v>45077</v>
      </c>
      <c r="I214" s="2">
        <v>6</v>
      </c>
      <c r="J214" s="2" t="s">
        <v>33</v>
      </c>
      <c r="K214" s="2" t="s">
        <v>174</v>
      </c>
      <c r="L214" s="2" t="s">
        <v>48</v>
      </c>
      <c r="M214" s="2" t="s">
        <v>101</v>
      </c>
      <c r="N214" s="2" t="s">
        <v>118</v>
      </c>
      <c r="O214" s="2" t="s">
        <v>38</v>
      </c>
      <c r="P214" s="2">
        <v>183</v>
      </c>
      <c r="Q214" s="2" t="s">
        <v>39</v>
      </c>
      <c r="R214" s="2" t="s">
        <v>51</v>
      </c>
      <c r="S214" s="2">
        <v>49173</v>
      </c>
      <c r="T214" s="2">
        <v>24342</v>
      </c>
      <c r="U214" s="2">
        <v>24831</v>
      </c>
      <c r="V214" s="2">
        <v>33152</v>
      </c>
      <c r="W214" s="2">
        <v>5123</v>
      </c>
      <c r="X214" s="2">
        <v>8492</v>
      </c>
      <c r="Y214" s="2" t="s">
        <v>41</v>
      </c>
      <c r="Z214" s="2">
        <v>81</v>
      </c>
      <c r="AA214" s="2">
        <v>4.3</v>
      </c>
      <c r="AB214" s="2" t="s">
        <v>137</v>
      </c>
    </row>
    <row r="215" spans="1:28" x14ac:dyDescent="0.25">
      <c r="A215" s="4" t="s">
        <v>609</v>
      </c>
      <c r="B215" s="4" t="s">
        <v>610</v>
      </c>
      <c r="C215" s="4">
        <v>7</v>
      </c>
      <c r="D215" s="4" t="s">
        <v>30</v>
      </c>
      <c r="E215" s="4" t="s">
        <v>45</v>
      </c>
      <c r="F215" s="4" t="s">
        <v>129</v>
      </c>
      <c r="G215" s="5">
        <v>45075</v>
      </c>
      <c r="H215" s="5">
        <v>45104</v>
      </c>
      <c r="I215" s="4">
        <v>29</v>
      </c>
      <c r="J215" s="4" t="s">
        <v>33</v>
      </c>
      <c r="K215" s="4" t="s">
        <v>197</v>
      </c>
      <c r="L215" s="4" t="s">
        <v>198</v>
      </c>
      <c r="M215" s="4" t="s">
        <v>83</v>
      </c>
      <c r="N215" s="4" t="s">
        <v>118</v>
      </c>
      <c r="O215" s="4" t="s">
        <v>96</v>
      </c>
      <c r="P215" s="4">
        <v>98</v>
      </c>
      <c r="Q215" s="4" t="s">
        <v>39</v>
      </c>
      <c r="R215" s="4" t="s">
        <v>51</v>
      </c>
      <c r="S215" s="4">
        <v>124580</v>
      </c>
      <c r="T215" s="4">
        <v>60122</v>
      </c>
      <c r="U215" s="4">
        <v>64458</v>
      </c>
      <c r="V215" s="4">
        <v>96138</v>
      </c>
      <c r="W215" s="4">
        <v>11606</v>
      </c>
      <c r="X215" s="4">
        <v>12499</v>
      </c>
      <c r="Y215" s="4" t="s">
        <v>41</v>
      </c>
      <c r="Z215" s="4">
        <v>98</v>
      </c>
      <c r="AA215" s="4">
        <v>4.5999999999999996</v>
      </c>
      <c r="AB215" s="4" t="s">
        <v>64</v>
      </c>
    </row>
    <row r="216" spans="1:28" x14ac:dyDescent="0.25">
      <c r="A216" s="2" t="s">
        <v>611</v>
      </c>
      <c r="B216" s="2" t="s">
        <v>612</v>
      </c>
      <c r="C216" s="2">
        <v>24</v>
      </c>
      <c r="D216" s="2" t="s">
        <v>30</v>
      </c>
      <c r="E216" s="2" t="s">
        <v>79</v>
      </c>
      <c r="F216" s="2" t="s">
        <v>46</v>
      </c>
      <c r="G216" s="3">
        <v>45313</v>
      </c>
      <c r="H216" s="3">
        <v>45328</v>
      </c>
      <c r="I216" s="2">
        <v>15</v>
      </c>
      <c r="J216" s="2" t="s">
        <v>123</v>
      </c>
      <c r="K216" s="2" t="s">
        <v>251</v>
      </c>
      <c r="L216" s="2" t="s">
        <v>125</v>
      </c>
      <c r="M216" s="2" t="s">
        <v>108</v>
      </c>
      <c r="N216" s="2" t="s">
        <v>109</v>
      </c>
      <c r="O216" s="2" t="s">
        <v>321</v>
      </c>
      <c r="P216" s="2">
        <v>439</v>
      </c>
      <c r="Q216" s="2" t="s">
        <v>50</v>
      </c>
      <c r="R216" s="2" t="s">
        <v>51</v>
      </c>
      <c r="S216" s="2">
        <v>92434</v>
      </c>
      <c r="T216" s="2">
        <v>55228</v>
      </c>
      <c r="U216" s="2">
        <v>37206</v>
      </c>
      <c r="V216" s="2">
        <v>67596</v>
      </c>
      <c r="W216" s="2">
        <v>11508</v>
      </c>
      <c r="X216" s="2">
        <v>12312</v>
      </c>
      <c r="Y216" s="2" t="s">
        <v>41</v>
      </c>
      <c r="Z216" s="2">
        <v>64</v>
      </c>
      <c r="AA216" s="2">
        <v>2.6</v>
      </c>
      <c r="AB216" s="2" t="s">
        <v>137</v>
      </c>
    </row>
    <row r="217" spans="1:28" x14ac:dyDescent="0.25">
      <c r="A217" s="4" t="s">
        <v>613</v>
      </c>
      <c r="B217" s="4" t="s">
        <v>347</v>
      </c>
      <c r="C217" s="4">
        <v>24</v>
      </c>
      <c r="D217" s="4" t="s">
        <v>30</v>
      </c>
      <c r="E217" s="4" t="s">
        <v>45</v>
      </c>
      <c r="F217" s="4" t="s">
        <v>114</v>
      </c>
      <c r="G217" s="5">
        <v>45221</v>
      </c>
      <c r="H217" s="5">
        <v>45225</v>
      </c>
      <c r="I217" s="4">
        <v>4</v>
      </c>
      <c r="J217" s="4" t="s">
        <v>33</v>
      </c>
      <c r="K217" s="4" t="s">
        <v>34</v>
      </c>
      <c r="L217" s="4" t="s">
        <v>35</v>
      </c>
      <c r="M217" s="4" t="s">
        <v>36</v>
      </c>
      <c r="N217" s="4" t="s">
        <v>62</v>
      </c>
      <c r="O217" s="4" t="s">
        <v>560</v>
      </c>
      <c r="P217" s="4">
        <v>448</v>
      </c>
      <c r="Q217" s="4" t="s">
        <v>69</v>
      </c>
      <c r="R217" s="4" t="s">
        <v>40</v>
      </c>
      <c r="S217" s="4">
        <v>54914</v>
      </c>
      <c r="T217" s="4">
        <v>22490</v>
      </c>
      <c r="U217" s="4">
        <v>32424</v>
      </c>
      <c r="V217" s="4">
        <v>33063</v>
      </c>
      <c r="W217" s="4">
        <v>16904</v>
      </c>
      <c r="X217" s="4">
        <v>3639</v>
      </c>
      <c r="Y217" s="4" t="s">
        <v>41</v>
      </c>
      <c r="Z217" s="4">
        <v>64</v>
      </c>
      <c r="AA217" s="4">
        <v>4</v>
      </c>
      <c r="AB217" s="4" t="s">
        <v>42</v>
      </c>
    </row>
    <row r="218" spans="1:28" x14ac:dyDescent="0.25">
      <c r="A218" s="2" t="s">
        <v>614</v>
      </c>
      <c r="B218" s="2" t="s">
        <v>615</v>
      </c>
      <c r="C218" s="2">
        <v>37</v>
      </c>
      <c r="D218" s="2" t="s">
        <v>55</v>
      </c>
      <c r="E218" s="2" t="s">
        <v>45</v>
      </c>
      <c r="F218" s="2" t="s">
        <v>32</v>
      </c>
      <c r="G218" s="3">
        <v>44707</v>
      </c>
      <c r="H218" s="3">
        <v>44708</v>
      </c>
      <c r="I218" s="2">
        <v>1</v>
      </c>
      <c r="J218" s="2" t="s">
        <v>115</v>
      </c>
      <c r="K218" s="2" t="s">
        <v>160</v>
      </c>
      <c r="L218" s="2" t="s">
        <v>117</v>
      </c>
      <c r="M218" s="2" t="s">
        <v>36</v>
      </c>
      <c r="N218" s="2" t="s">
        <v>37</v>
      </c>
      <c r="O218" s="2" t="s">
        <v>300</v>
      </c>
      <c r="P218" s="2">
        <v>286</v>
      </c>
      <c r="Q218" s="2" t="s">
        <v>103</v>
      </c>
      <c r="R218" s="2" t="s">
        <v>136</v>
      </c>
      <c r="S218" s="2">
        <v>61556</v>
      </c>
      <c r="T218" s="2">
        <v>0</v>
      </c>
      <c r="U218" s="2">
        <v>61556</v>
      </c>
      <c r="V218" s="2">
        <v>20283</v>
      </c>
      <c r="W218" s="2">
        <v>27989</v>
      </c>
      <c r="X218" s="2">
        <v>10607</v>
      </c>
      <c r="Y218" s="2" t="s">
        <v>41</v>
      </c>
      <c r="Z218" s="2">
        <v>86</v>
      </c>
      <c r="AA218" s="2">
        <v>2.2000000000000002</v>
      </c>
      <c r="AB218" s="2" t="s">
        <v>52</v>
      </c>
    </row>
    <row r="219" spans="1:28" x14ac:dyDescent="0.25">
      <c r="A219" s="4" t="s">
        <v>616</v>
      </c>
      <c r="B219" s="4" t="s">
        <v>617</v>
      </c>
      <c r="C219" s="4">
        <v>71</v>
      </c>
      <c r="D219" s="4" t="s">
        <v>55</v>
      </c>
      <c r="E219" s="4" t="s">
        <v>56</v>
      </c>
      <c r="F219" s="4" t="s">
        <v>32</v>
      </c>
      <c r="G219" s="5">
        <v>45650</v>
      </c>
      <c r="H219" s="5">
        <v>45657</v>
      </c>
      <c r="I219" s="4">
        <v>7</v>
      </c>
      <c r="J219" s="4" t="s">
        <v>115</v>
      </c>
      <c r="K219" s="4" t="s">
        <v>160</v>
      </c>
      <c r="L219" s="4" t="s">
        <v>117</v>
      </c>
      <c r="M219" s="4" t="s">
        <v>75</v>
      </c>
      <c r="N219" s="4" t="s">
        <v>109</v>
      </c>
      <c r="O219" s="4" t="s">
        <v>147</v>
      </c>
      <c r="P219" s="4">
        <v>286</v>
      </c>
      <c r="Q219" s="4" t="s">
        <v>103</v>
      </c>
      <c r="R219" s="4" t="s">
        <v>90</v>
      </c>
      <c r="S219" s="4">
        <v>133951</v>
      </c>
      <c r="T219" s="4">
        <v>115847</v>
      </c>
      <c r="U219" s="4">
        <v>18104</v>
      </c>
      <c r="V219" s="4">
        <v>98837</v>
      </c>
      <c r="W219" s="4">
        <v>23101</v>
      </c>
      <c r="X219" s="4">
        <v>8015</v>
      </c>
      <c r="Y219" s="4" t="s">
        <v>41</v>
      </c>
      <c r="Z219" s="4">
        <v>51</v>
      </c>
      <c r="AA219" s="4">
        <v>3.6</v>
      </c>
      <c r="AB219" s="4" t="s">
        <v>42</v>
      </c>
    </row>
    <row r="220" spans="1:28" x14ac:dyDescent="0.25">
      <c r="A220" s="2" t="s">
        <v>618</v>
      </c>
      <c r="B220" s="2" t="s">
        <v>466</v>
      </c>
      <c r="C220" s="2">
        <v>73</v>
      </c>
      <c r="D220" s="2" t="s">
        <v>30</v>
      </c>
      <c r="E220" s="2" t="s">
        <v>45</v>
      </c>
      <c r="F220" s="2" t="s">
        <v>80</v>
      </c>
      <c r="G220" s="3">
        <v>45226</v>
      </c>
      <c r="H220" s="3">
        <v>45254</v>
      </c>
      <c r="I220" s="2">
        <v>28</v>
      </c>
      <c r="J220" s="2" t="s">
        <v>58</v>
      </c>
      <c r="K220" s="2" t="s">
        <v>88</v>
      </c>
      <c r="L220" s="2" t="s">
        <v>60</v>
      </c>
      <c r="M220" s="2" t="s">
        <v>108</v>
      </c>
      <c r="N220" s="2" t="s">
        <v>118</v>
      </c>
      <c r="O220" s="2" t="s">
        <v>382</v>
      </c>
      <c r="P220" s="2">
        <v>289</v>
      </c>
      <c r="Q220" s="2" t="s">
        <v>39</v>
      </c>
      <c r="R220" s="2" t="s">
        <v>111</v>
      </c>
      <c r="S220" s="2">
        <v>182750</v>
      </c>
      <c r="T220" s="2">
        <v>162373</v>
      </c>
      <c r="U220" s="2">
        <v>20377</v>
      </c>
      <c r="V220" s="2">
        <v>149241</v>
      </c>
      <c r="W220" s="2">
        <v>25398</v>
      </c>
      <c r="X220" s="2">
        <v>4662</v>
      </c>
      <c r="Y220" s="2" t="s">
        <v>41</v>
      </c>
      <c r="Z220" s="2">
        <v>65</v>
      </c>
      <c r="AA220" s="2">
        <v>2</v>
      </c>
      <c r="AB220" s="2" t="s">
        <v>104</v>
      </c>
    </row>
    <row r="221" spans="1:28" x14ac:dyDescent="0.25">
      <c r="A221" s="4" t="s">
        <v>619</v>
      </c>
      <c r="B221" s="4" t="s">
        <v>620</v>
      </c>
      <c r="C221" s="4">
        <v>7</v>
      </c>
      <c r="D221" s="4" t="s">
        <v>55</v>
      </c>
      <c r="E221" s="4" t="s">
        <v>79</v>
      </c>
      <c r="F221" s="4" t="s">
        <v>57</v>
      </c>
      <c r="G221" s="5">
        <v>45177</v>
      </c>
      <c r="H221" s="5">
        <v>45185</v>
      </c>
      <c r="I221" s="4">
        <v>8</v>
      </c>
      <c r="J221" s="4" t="s">
        <v>115</v>
      </c>
      <c r="K221" s="4" t="s">
        <v>160</v>
      </c>
      <c r="L221" s="4" t="s">
        <v>117</v>
      </c>
      <c r="M221" s="4" t="s">
        <v>130</v>
      </c>
      <c r="N221" s="4" t="s">
        <v>118</v>
      </c>
      <c r="O221" s="4" t="s">
        <v>553</v>
      </c>
      <c r="P221" s="4">
        <v>285</v>
      </c>
      <c r="Q221" s="4" t="s">
        <v>39</v>
      </c>
      <c r="R221" s="4" t="s">
        <v>90</v>
      </c>
      <c r="S221" s="4">
        <v>39082</v>
      </c>
      <c r="T221" s="4">
        <v>25072</v>
      </c>
      <c r="U221" s="4">
        <v>14010</v>
      </c>
      <c r="V221" s="4">
        <v>14892</v>
      </c>
      <c r="W221" s="4">
        <v>16085</v>
      </c>
      <c r="X221" s="4">
        <v>6327</v>
      </c>
      <c r="Y221" s="4" t="s">
        <v>41</v>
      </c>
      <c r="Z221" s="4">
        <v>77</v>
      </c>
      <c r="AA221" s="4">
        <v>2.7</v>
      </c>
      <c r="AB221" s="4" t="s">
        <v>52</v>
      </c>
    </row>
    <row r="222" spans="1:28" x14ac:dyDescent="0.25">
      <c r="A222" s="2" t="s">
        <v>621</v>
      </c>
      <c r="B222" s="2" t="s">
        <v>527</v>
      </c>
      <c r="C222" s="2">
        <v>16</v>
      </c>
      <c r="D222" s="2" t="s">
        <v>30</v>
      </c>
      <c r="E222" s="2" t="s">
        <v>31</v>
      </c>
      <c r="F222" s="2" t="s">
        <v>157</v>
      </c>
      <c r="G222" s="3">
        <v>45226</v>
      </c>
      <c r="H222" s="3">
        <v>45252</v>
      </c>
      <c r="I222" s="2">
        <v>26</v>
      </c>
      <c r="J222" s="2" t="s">
        <v>33</v>
      </c>
      <c r="K222" s="2" t="s">
        <v>174</v>
      </c>
      <c r="L222" s="2" t="s">
        <v>48</v>
      </c>
      <c r="M222" s="2" t="s">
        <v>83</v>
      </c>
      <c r="N222" s="2" t="s">
        <v>62</v>
      </c>
      <c r="O222" s="2" t="s">
        <v>326</v>
      </c>
      <c r="P222" s="2">
        <v>20</v>
      </c>
      <c r="Q222" s="2" t="s">
        <v>103</v>
      </c>
      <c r="R222" s="2" t="s">
        <v>90</v>
      </c>
      <c r="S222" s="2">
        <v>55247</v>
      </c>
      <c r="T222" s="2">
        <v>47730</v>
      </c>
      <c r="U222" s="2">
        <v>7517</v>
      </c>
      <c r="V222" s="2">
        <v>19659</v>
      </c>
      <c r="W222" s="2">
        <v>26260</v>
      </c>
      <c r="X222" s="2">
        <v>5978</v>
      </c>
      <c r="Y222" s="2" t="s">
        <v>41</v>
      </c>
      <c r="Z222" s="2">
        <v>99</v>
      </c>
      <c r="AA222" s="2">
        <v>4.5999999999999996</v>
      </c>
      <c r="AB222" s="2" t="s">
        <v>64</v>
      </c>
    </row>
    <row r="223" spans="1:28" x14ac:dyDescent="0.25">
      <c r="A223" s="4" t="s">
        <v>622</v>
      </c>
      <c r="B223" s="4" t="s">
        <v>623</v>
      </c>
      <c r="C223" s="4">
        <v>6</v>
      </c>
      <c r="D223" s="4" t="s">
        <v>30</v>
      </c>
      <c r="E223" s="4" t="s">
        <v>122</v>
      </c>
      <c r="F223" s="4" t="s">
        <v>46</v>
      </c>
      <c r="G223" s="5">
        <v>45635</v>
      </c>
      <c r="H223" s="5">
        <v>45637</v>
      </c>
      <c r="I223" s="4">
        <v>2</v>
      </c>
      <c r="J223" s="4" t="s">
        <v>33</v>
      </c>
      <c r="K223" s="4" t="s">
        <v>47</v>
      </c>
      <c r="L223" s="4" t="s">
        <v>48</v>
      </c>
      <c r="M223" s="4" t="s">
        <v>101</v>
      </c>
      <c r="N223" s="4" t="s">
        <v>109</v>
      </c>
      <c r="O223" s="4" t="s">
        <v>434</v>
      </c>
      <c r="P223" s="4">
        <v>358</v>
      </c>
      <c r="Q223" s="4" t="s">
        <v>39</v>
      </c>
      <c r="R223" s="4" t="s">
        <v>40</v>
      </c>
      <c r="S223" s="4">
        <v>57520</v>
      </c>
      <c r="T223" s="4">
        <v>39764</v>
      </c>
      <c r="U223" s="4">
        <v>17756</v>
      </c>
      <c r="V223" s="4">
        <v>18243</v>
      </c>
      <c r="W223" s="4">
        <v>23073</v>
      </c>
      <c r="X223" s="4">
        <v>12486</v>
      </c>
      <c r="Y223" s="4" t="s">
        <v>41</v>
      </c>
      <c r="Z223" s="4">
        <v>76</v>
      </c>
      <c r="AA223" s="4">
        <v>3.5</v>
      </c>
      <c r="AB223" s="4" t="s">
        <v>64</v>
      </c>
    </row>
    <row r="224" spans="1:28" x14ac:dyDescent="0.25">
      <c r="A224" s="2" t="s">
        <v>624</v>
      </c>
      <c r="B224" s="2" t="s">
        <v>625</v>
      </c>
      <c r="C224" s="2">
        <v>55</v>
      </c>
      <c r="D224" s="2" t="s">
        <v>55</v>
      </c>
      <c r="E224" s="2" t="s">
        <v>154</v>
      </c>
      <c r="F224" s="2" t="s">
        <v>80</v>
      </c>
      <c r="G224" s="3">
        <v>44731</v>
      </c>
      <c r="H224" s="3">
        <v>44747</v>
      </c>
      <c r="I224" s="2">
        <v>16</v>
      </c>
      <c r="J224" s="2" t="s">
        <v>33</v>
      </c>
      <c r="K224" s="2" t="s">
        <v>278</v>
      </c>
      <c r="L224" s="2" t="s">
        <v>279</v>
      </c>
      <c r="M224" s="2" t="s">
        <v>75</v>
      </c>
      <c r="N224" s="2" t="s">
        <v>37</v>
      </c>
      <c r="O224" s="2" t="s">
        <v>438</v>
      </c>
      <c r="P224" s="2">
        <v>205</v>
      </c>
      <c r="Q224" s="2" t="s">
        <v>103</v>
      </c>
      <c r="R224" s="2" t="s">
        <v>40</v>
      </c>
      <c r="S224" s="2">
        <v>68898</v>
      </c>
      <c r="T224" s="2">
        <v>37643</v>
      </c>
      <c r="U224" s="2">
        <v>31255</v>
      </c>
      <c r="V224" s="2">
        <v>40355</v>
      </c>
      <c r="W224" s="2">
        <v>16758</v>
      </c>
      <c r="X224" s="2">
        <v>9663</v>
      </c>
      <c r="Y224" s="2" t="s">
        <v>41</v>
      </c>
      <c r="Z224" s="2">
        <v>52</v>
      </c>
      <c r="AA224" s="2">
        <v>3.7</v>
      </c>
      <c r="AB224" s="2" t="s">
        <v>42</v>
      </c>
    </row>
    <row r="225" spans="1:28" x14ac:dyDescent="0.25">
      <c r="A225" s="4" t="s">
        <v>626</v>
      </c>
      <c r="B225" s="4" t="s">
        <v>362</v>
      </c>
      <c r="C225" s="4">
        <v>14</v>
      </c>
      <c r="D225" s="4" t="s">
        <v>30</v>
      </c>
      <c r="E225" s="4" t="s">
        <v>67</v>
      </c>
      <c r="F225" s="4" t="s">
        <v>80</v>
      </c>
      <c r="G225" s="5">
        <v>44745</v>
      </c>
      <c r="H225" s="5">
        <v>44749</v>
      </c>
      <c r="I225" s="4">
        <v>4</v>
      </c>
      <c r="J225" s="4" t="s">
        <v>33</v>
      </c>
      <c r="K225" s="4" t="s">
        <v>81</v>
      </c>
      <c r="L225" s="4" t="s">
        <v>82</v>
      </c>
      <c r="M225" s="4" t="s">
        <v>95</v>
      </c>
      <c r="N225" s="4" t="s">
        <v>118</v>
      </c>
      <c r="O225" s="4" t="s">
        <v>627</v>
      </c>
      <c r="P225" s="4">
        <v>177</v>
      </c>
      <c r="Q225" s="4" t="s">
        <v>69</v>
      </c>
      <c r="R225" s="4" t="s">
        <v>136</v>
      </c>
      <c r="S225" s="4">
        <v>76546</v>
      </c>
      <c r="T225" s="4">
        <v>0</v>
      </c>
      <c r="U225" s="4">
        <v>76546</v>
      </c>
      <c r="V225" s="4">
        <v>49369</v>
      </c>
      <c r="W225" s="4">
        <v>12459</v>
      </c>
      <c r="X225" s="4">
        <v>10596</v>
      </c>
      <c r="Y225" s="4" t="s">
        <v>41</v>
      </c>
      <c r="Z225" s="4">
        <v>68</v>
      </c>
      <c r="AA225" s="4">
        <v>2.1</v>
      </c>
      <c r="AB225" s="4" t="s">
        <v>64</v>
      </c>
    </row>
    <row r="226" spans="1:28" x14ac:dyDescent="0.25">
      <c r="A226" s="2" t="s">
        <v>628</v>
      </c>
      <c r="B226" s="2" t="s">
        <v>629</v>
      </c>
      <c r="C226" s="2">
        <v>24</v>
      </c>
      <c r="D226" s="2" t="s">
        <v>55</v>
      </c>
      <c r="E226" s="2" t="s">
        <v>56</v>
      </c>
      <c r="F226" s="2" t="s">
        <v>57</v>
      </c>
      <c r="G226" s="3">
        <v>45059</v>
      </c>
      <c r="H226" s="3">
        <v>45079</v>
      </c>
      <c r="I226" s="2">
        <v>20</v>
      </c>
      <c r="J226" s="2" t="s">
        <v>140</v>
      </c>
      <c r="K226" s="2" t="s">
        <v>141</v>
      </c>
      <c r="L226" s="2" t="s">
        <v>142</v>
      </c>
      <c r="M226" s="2" t="s">
        <v>130</v>
      </c>
      <c r="N226" s="2" t="s">
        <v>118</v>
      </c>
      <c r="O226" s="2" t="s">
        <v>161</v>
      </c>
      <c r="P226" s="2">
        <v>231</v>
      </c>
      <c r="Q226" s="2" t="s">
        <v>103</v>
      </c>
      <c r="R226" s="2" t="s">
        <v>90</v>
      </c>
      <c r="S226" s="2">
        <v>117378</v>
      </c>
      <c r="T226" s="2">
        <v>77888</v>
      </c>
      <c r="U226" s="2">
        <v>39490</v>
      </c>
      <c r="V226" s="2">
        <v>91999</v>
      </c>
      <c r="W226" s="2">
        <v>7848</v>
      </c>
      <c r="X226" s="2">
        <v>12624</v>
      </c>
      <c r="Y226" s="2" t="s">
        <v>41</v>
      </c>
      <c r="Z226" s="2">
        <v>88</v>
      </c>
      <c r="AA226" s="2">
        <v>2.8</v>
      </c>
      <c r="AB226" s="2" t="s">
        <v>137</v>
      </c>
    </row>
    <row r="227" spans="1:28" x14ac:dyDescent="0.25">
      <c r="A227" s="4" t="s">
        <v>630</v>
      </c>
      <c r="B227" s="4" t="s">
        <v>180</v>
      </c>
      <c r="C227" s="4">
        <v>7</v>
      </c>
      <c r="D227" s="4" t="s">
        <v>30</v>
      </c>
      <c r="E227" s="4" t="s">
        <v>122</v>
      </c>
      <c r="F227" s="4" t="s">
        <v>46</v>
      </c>
      <c r="G227" s="5">
        <v>44910</v>
      </c>
      <c r="H227" s="5">
        <v>44912</v>
      </c>
      <c r="I227" s="4">
        <v>2</v>
      </c>
      <c r="J227" s="4" t="s">
        <v>58</v>
      </c>
      <c r="K227" s="4" t="s">
        <v>59</v>
      </c>
      <c r="L227" s="4" t="s">
        <v>60</v>
      </c>
      <c r="M227" s="4" t="s">
        <v>101</v>
      </c>
      <c r="N227" s="4" t="s">
        <v>118</v>
      </c>
      <c r="O227" s="4" t="s">
        <v>631</v>
      </c>
      <c r="P227" s="4">
        <v>336</v>
      </c>
      <c r="Q227" s="4" t="s">
        <v>69</v>
      </c>
      <c r="R227" s="4" t="s">
        <v>90</v>
      </c>
      <c r="S227" s="4">
        <v>137914</v>
      </c>
      <c r="T227" s="4">
        <v>118507</v>
      </c>
      <c r="U227" s="4">
        <v>19407</v>
      </c>
      <c r="V227" s="4">
        <v>106880</v>
      </c>
      <c r="W227" s="4">
        <v>22639</v>
      </c>
      <c r="X227" s="4">
        <v>4945</v>
      </c>
      <c r="Y227" s="4" t="s">
        <v>91</v>
      </c>
      <c r="Z227" s="4">
        <v>95</v>
      </c>
      <c r="AA227" s="4">
        <v>4.7</v>
      </c>
      <c r="AB227" s="4" t="s">
        <v>137</v>
      </c>
    </row>
    <row r="228" spans="1:28" x14ac:dyDescent="0.25">
      <c r="A228" s="2" t="s">
        <v>632</v>
      </c>
      <c r="B228" s="2" t="s">
        <v>633</v>
      </c>
      <c r="C228" s="2">
        <v>70</v>
      </c>
      <c r="D228" s="2" t="s">
        <v>55</v>
      </c>
      <c r="E228" s="2" t="s">
        <v>45</v>
      </c>
      <c r="F228" s="2" t="s">
        <v>150</v>
      </c>
      <c r="G228" s="3">
        <v>45650</v>
      </c>
      <c r="H228" s="3">
        <v>45653</v>
      </c>
      <c r="I228" s="2">
        <v>3</v>
      </c>
      <c r="J228" s="2" t="s">
        <v>123</v>
      </c>
      <c r="K228" s="2" t="s">
        <v>124</v>
      </c>
      <c r="L228" s="2" t="s">
        <v>125</v>
      </c>
      <c r="M228" s="2" t="s">
        <v>75</v>
      </c>
      <c r="N228" s="2" t="s">
        <v>37</v>
      </c>
      <c r="O228" s="2" t="s">
        <v>214</v>
      </c>
      <c r="P228" s="2">
        <v>21</v>
      </c>
      <c r="Q228" s="2" t="s">
        <v>39</v>
      </c>
      <c r="R228" s="2" t="s">
        <v>51</v>
      </c>
      <c r="S228" s="2">
        <v>109113</v>
      </c>
      <c r="T228" s="2">
        <v>68012</v>
      </c>
      <c r="U228" s="2">
        <v>41101</v>
      </c>
      <c r="V228" s="2">
        <v>84934</v>
      </c>
      <c r="W228" s="2">
        <v>11930</v>
      </c>
      <c r="X228" s="2">
        <v>8527</v>
      </c>
      <c r="Y228" s="2" t="s">
        <v>91</v>
      </c>
      <c r="Z228" s="2">
        <v>83</v>
      </c>
      <c r="AA228" s="2">
        <v>3.1</v>
      </c>
      <c r="AB228" s="2" t="s">
        <v>52</v>
      </c>
    </row>
    <row r="229" spans="1:28" x14ac:dyDescent="0.25">
      <c r="A229" s="4" t="s">
        <v>634</v>
      </c>
      <c r="B229" s="4" t="s">
        <v>635</v>
      </c>
      <c r="C229" s="4">
        <v>40</v>
      </c>
      <c r="D229" s="4" t="s">
        <v>55</v>
      </c>
      <c r="E229" s="4" t="s">
        <v>79</v>
      </c>
      <c r="F229" s="4" t="s">
        <v>114</v>
      </c>
      <c r="G229" s="5">
        <v>44622</v>
      </c>
      <c r="H229" s="5">
        <v>44640</v>
      </c>
      <c r="I229" s="4">
        <v>18</v>
      </c>
      <c r="J229" s="4" t="s">
        <v>140</v>
      </c>
      <c r="K229" s="4" t="s">
        <v>167</v>
      </c>
      <c r="L229" s="4" t="s">
        <v>142</v>
      </c>
      <c r="M229" s="4" t="s">
        <v>143</v>
      </c>
      <c r="N229" s="4" t="s">
        <v>118</v>
      </c>
      <c r="O229" s="4" t="s">
        <v>175</v>
      </c>
      <c r="P229" s="4">
        <v>45</v>
      </c>
      <c r="Q229" s="4" t="s">
        <v>103</v>
      </c>
      <c r="R229" s="4" t="s">
        <v>51</v>
      </c>
      <c r="S229" s="4">
        <v>85482</v>
      </c>
      <c r="T229" s="4">
        <v>45129</v>
      </c>
      <c r="U229" s="4">
        <v>40353</v>
      </c>
      <c r="V229" s="4">
        <v>64618</v>
      </c>
      <c r="W229" s="4">
        <v>14675</v>
      </c>
      <c r="X229" s="4">
        <v>4438</v>
      </c>
      <c r="Y229" s="4" t="s">
        <v>41</v>
      </c>
      <c r="Z229" s="4">
        <v>78</v>
      </c>
      <c r="AA229" s="4">
        <v>3</v>
      </c>
      <c r="AB229" s="4" t="s">
        <v>42</v>
      </c>
    </row>
    <row r="230" spans="1:28" x14ac:dyDescent="0.25">
      <c r="A230" s="2" t="s">
        <v>636</v>
      </c>
      <c r="B230" s="2" t="s">
        <v>637</v>
      </c>
      <c r="C230" s="2">
        <v>22</v>
      </c>
      <c r="D230" s="2" t="s">
        <v>55</v>
      </c>
      <c r="E230" s="2" t="s">
        <v>154</v>
      </c>
      <c r="F230" s="2" t="s">
        <v>46</v>
      </c>
      <c r="G230" s="3">
        <v>45634</v>
      </c>
      <c r="H230" s="3">
        <v>45657</v>
      </c>
      <c r="I230" s="2">
        <v>23</v>
      </c>
      <c r="J230" s="2" t="s">
        <v>140</v>
      </c>
      <c r="K230" s="2" t="s">
        <v>141</v>
      </c>
      <c r="L230" s="2" t="s">
        <v>142</v>
      </c>
      <c r="M230" s="2" t="s">
        <v>143</v>
      </c>
      <c r="N230" s="2" t="s">
        <v>109</v>
      </c>
      <c r="O230" s="2" t="s">
        <v>282</v>
      </c>
      <c r="P230" s="2">
        <v>286</v>
      </c>
      <c r="Q230" s="2" t="s">
        <v>69</v>
      </c>
      <c r="R230" s="2" t="s">
        <v>40</v>
      </c>
      <c r="S230" s="2">
        <v>133368</v>
      </c>
      <c r="T230" s="2">
        <v>82438</v>
      </c>
      <c r="U230" s="2">
        <v>50930</v>
      </c>
      <c r="V230" s="2">
        <v>88256</v>
      </c>
      <c r="W230" s="2">
        <v>28509</v>
      </c>
      <c r="X230" s="2">
        <v>14911</v>
      </c>
      <c r="Y230" s="2" t="s">
        <v>41</v>
      </c>
      <c r="Z230" s="2">
        <v>96</v>
      </c>
      <c r="AA230" s="2">
        <v>4.9000000000000004</v>
      </c>
      <c r="AB230" s="2" t="s">
        <v>137</v>
      </c>
    </row>
    <row r="231" spans="1:28" x14ac:dyDescent="0.25">
      <c r="A231" s="4" t="s">
        <v>638</v>
      </c>
      <c r="B231" s="4" t="s">
        <v>304</v>
      </c>
      <c r="C231" s="4">
        <v>40</v>
      </c>
      <c r="D231" s="4" t="s">
        <v>55</v>
      </c>
      <c r="E231" s="4" t="s">
        <v>31</v>
      </c>
      <c r="F231" s="4" t="s">
        <v>157</v>
      </c>
      <c r="G231" s="5">
        <v>44831</v>
      </c>
      <c r="H231" s="5">
        <v>44837</v>
      </c>
      <c r="I231" s="4">
        <v>6</v>
      </c>
      <c r="J231" s="4" t="s">
        <v>123</v>
      </c>
      <c r="K231" s="4" t="s">
        <v>251</v>
      </c>
      <c r="L231" s="4" t="s">
        <v>125</v>
      </c>
      <c r="M231" s="4" t="s">
        <v>101</v>
      </c>
      <c r="N231" s="4" t="s">
        <v>118</v>
      </c>
      <c r="O231" s="4" t="s">
        <v>131</v>
      </c>
      <c r="P231" s="4">
        <v>314</v>
      </c>
      <c r="Q231" s="4" t="s">
        <v>39</v>
      </c>
      <c r="R231" s="4" t="s">
        <v>51</v>
      </c>
      <c r="S231" s="4">
        <v>86905</v>
      </c>
      <c r="T231" s="4">
        <v>44128</v>
      </c>
      <c r="U231" s="4">
        <v>42777</v>
      </c>
      <c r="V231" s="4">
        <v>65865</v>
      </c>
      <c r="W231" s="4">
        <v>8566</v>
      </c>
      <c r="X231" s="4">
        <v>11761</v>
      </c>
      <c r="Y231" s="4" t="s">
        <v>41</v>
      </c>
      <c r="Z231" s="4">
        <v>70</v>
      </c>
      <c r="AA231" s="4">
        <v>2.4</v>
      </c>
      <c r="AB231" s="4" t="s">
        <v>42</v>
      </c>
    </row>
    <row r="232" spans="1:28" x14ac:dyDescent="0.25">
      <c r="A232" s="2" t="s">
        <v>639</v>
      </c>
      <c r="B232" s="2" t="s">
        <v>213</v>
      </c>
      <c r="C232" s="2">
        <v>28</v>
      </c>
      <c r="D232" s="2" t="s">
        <v>30</v>
      </c>
      <c r="E232" s="2" t="s">
        <v>87</v>
      </c>
      <c r="F232" s="2" t="s">
        <v>150</v>
      </c>
      <c r="G232" s="3">
        <v>44843</v>
      </c>
      <c r="H232" s="3">
        <v>44849</v>
      </c>
      <c r="I232" s="2">
        <v>6</v>
      </c>
      <c r="J232" s="2" t="s">
        <v>115</v>
      </c>
      <c r="K232" s="2" t="s">
        <v>160</v>
      </c>
      <c r="L232" s="2" t="s">
        <v>117</v>
      </c>
      <c r="M232" s="2" t="s">
        <v>130</v>
      </c>
      <c r="N232" s="2" t="s">
        <v>37</v>
      </c>
      <c r="O232" s="2" t="s">
        <v>428</v>
      </c>
      <c r="P232" s="2">
        <v>487</v>
      </c>
      <c r="Q232" s="2" t="s">
        <v>103</v>
      </c>
      <c r="R232" s="2" t="s">
        <v>40</v>
      </c>
      <c r="S232" s="2">
        <v>88893</v>
      </c>
      <c r="T232" s="2">
        <v>40280</v>
      </c>
      <c r="U232" s="2">
        <v>48613</v>
      </c>
      <c r="V232" s="2">
        <v>58171</v>
      </c>
      <c r="W232" s="2">
        <v>25830</v>
      </c>
      <c r="X232" s="2">
        <v>3851</v>
      </c>
      <c r="Y232" s="2" t="s">
        <v>41</v>
      </c>
      <c r="Z232" s="2">
        <v>68</v>
      </c>
      <c r="AA232" s="2">
        <v>4.5999999999999996</v>
      </c>
      <c r="AB232" s="2" t="s">
        <v>137</v>
      </c>
    </row>
    <row r="233" spans="1:28" x14ac:dyDescent="0.25">
      <c r="A233" s="4" t="s">
        <v>640</v>
      </c>
      <c r="B233" s="4" t="s">
        <v>641</v>
      </c>
      <c r="C233" s="4">
        <v>63</v>
      </c>
      <c r="D233" s="4" t="s">
        <v>55</v>
      </c>
      <c r="E233" s="4" t="s">
        <v>67</v>
      </c>
      <c r="F233" s="4" t="s">
        <v>114</v>
      </c>
      <c r="G233" s="5">
        <v>44647</v>
      </c>
      <c r="H233" s="5">
        <v>44667</v>
      </c>
      <c r="I233" s="4">
        <v>20</v>
      </c>
      <c r="J233" s="4" t="s">
        <v>115</v>
      </c>
      <c r="K233" s="4" t="s">
        <v>116</v>
      </c>
      <c r="L233" s="4" t="s">
        <v>117</v>
      </c>
      <c r="M233" s="4" t="s">
        <v>108</v>
      </c>
      <c r="N233" s="4" t="s">
        <v>62</v>
      </c>
      <c r="O233" s="4" t="s">
        <v>205</v>
      </c>
      <c r="P233" s="4">
        <v>232</v>
      </c>
      <c r="Q233" s="4" t="s">
        <v>103</v>
      </c>
      <c r="R233" s="4" t="s">
        <v>90</v>
      </c>
      <c r="S233" s="4">
        <v>100462</v>
      </c>
      <c r="T233" s="4">
        <v>89928</v>
      </c>
      <c r="U233" s="4">
        <v>10534</v>
      </c>
      <c r="V233" s="4">
        <v>69414</v>
      </c>
      <c r="W233" s="4">
        <v>17996</v>
      </c>
      <c r="X233" s="4">
        <v>9312</v>
      </c>
      <c r="Y233" s="4" t="s">
        <v>91</v>
      </c>
      <c r="Z233" s="4">
        <v>64</v>
      </c>
      <c r="AA233" s="4">
        <v>3.5</v>
      </c>
      <c r="AB233" s="4" t="s">
        <v>104</v>
      </c>
    </row>
    <row r="234" spans="1:28" x14ac:dyDescent="0.25">
      <c r="A234" s="2" t="s">
        <v>642</v>
      </c>
      <c r="B234" s="2" t="s">
        <v>643</v>
      </c>
      <c r="C234" s="2">
        <v>61</v>
      </c>
      <c r="D234" s="2" t="s">
        <v>30</v>
      </c>
      <c r="E234" s="2" t="s">
        <v>79</v>
      </c>
      <c r="F234" s="2" t="s">
        <v>46</v>
      </c>
      <c r="G234" s="3">
        <v>45506</v>
      </c>
      <c r="H234" s="3">
        <v>45512</v>
      </c>
      <c r="I234" s="2">
        <v>6</v>
      </c>
      <c r="J234" s="2" t="s">
        <v>33</v>
      </c>
      <c r="K234" s="2" t="s">
        <v>81</v>
      </c>
      <c r="L234" s="2" t="s">
        <v>82</v>
      </c>
      <c r="M234" s="2" t="s">
        <v>101</v>
      </c>
      <c r="N234" s="2" t="s">
        <v>62</v>
      </c>
      <c r="O234" s="2" t="s">
        <v>217</v>
      </c>
      <c r="P234" s="2">
        <v>238</v>
      </c>
      <c r="Q234" s="2" t="s">
        <v>103</v>
      </c>
      <c r="R234" s="2" t="s">
        <v>90</v>
      </c>
      <c r="S234" s="2">
        <v>149373</v>
      </c>
      <c r="T234" s="2">
        <v>95687</v>
      </c>
      <c r="U234" s="2">
        <v>53686</v>
      </c>
      <c r="V234" s="2">
        <v>136244</v>
      </c>
      <c r="W234" s="2">
        <v>4708</v>
      </c>
      <c r="X234" s="2">
        <v>3445</v>
      </c>
      <c r="Y234" s="2" t="s">
        <v>41</v>
      </c>
      <c r="Z234" s="2">
        <v>68</v>
      </c>
      <c r="AA234" s="2">
        <v>2.1</v>
      </c>
      <c r="AB234" s="2" t="s">
        <v>137</v>
      </c>
    </row>
    <row r="235" spans="1:28" x14ac:dyDescent="0.25">
      <c r="A235" s="4" t="s">
        <v>644</v>
      </c>
      <c r="B235" s="4" t="s">
        <v>342</v>
      </c>
      <c r="C235" s="4">
        <v>63</v>
      </c>
      <c r="D235" s="4" t="s">
        <v>55</v>
      </c>
      <c r="E235" s="4" t="s">
        <v>79</v>
      </c>
      <c r="F235" s="4" t="s">
        <v>80</v>
      </c>
      <c r="G235" s="5">
        <v>44897</v>
      </c>
      <c r="H235" s="5">
        <v>44920</v>
      </c>
      <c r="I235" s="4">
        <v>23</v>
      </c>
      <c r="J235" s="4" t="s">
        <v>33</v>
      </c>
      <c r="K235" s="4" t="s">
        <v>34</v>
      </c>
      <c r="L235" s="4" t="s">
        <v>35</v>
      </c>
      <c r="M235" s="4" t="s">
        <v>36</v>
      </c>
      <c r="N235" s="4" t="s">
        <v>37</v>
      </c>
      <c r="O235" s="4" t="s">
        <v>282</v>
      </c>
      <c r="P235" s="4">
        <v>269</v>
      </c>
      <c r="Q235" s="4" t="s">
        <v>103</v>
      </c>
      <c r="R235" s="4" t="s">
        <v>51</v>
      </c>
      <c r="S235" s="4">
        <v>73457</v>
      </c>
      <c r="T235" s="4">
        <v>30350</v>
      </c>
      <c r="U235" s="4">
        <v>43107</v>
      </c>
      <c r="V235" s="4">
        <v>46916</v>
      </c>
      <c r="W235" s="4">
        <v>13408</v>
      </c>
      <c r="X235" s="4">
        <v>9516</v>
      </c>
      <c r="Y235" s="4" t="s">
        <v>41</v>
      </c>
      <c r="Z235" s="4">
        <v>61</v>
      </c>
      <c r="AA235" s="4">
        <v>3.7</v>
      </c>
      <c r="AB235" s="4" t="s">
        <v>64</v>
      </c>
    </row>
    <row r="236" spans="1:28" x14ac:dyDescent="0.25">
      <c r="A236" s="2" t="s">
        <v>645</v>
      </c>
      <c r="B236" s="2" t="s">
        <v>646</v>
      </c>
      <c r="C236" s="2">
        <v>27</v>
      </c>
      <c r="D236" s="2" t="s">
        <v>55</v>
      </c>
      <c r="E236" s="2" t="s">
        <v>67</v>
      </c>
      <c r="F236" s="2" t="s">
        <v>46</v>
      </c>
      <c r="G236" s="3">
        <v>45195</v>
      </c>
      <c r="H236" s="3">
        <v>45219</v>
      </c>
      <c r="I236" s="2">
        <v>24</v>
      </c>
      <c r="J236" s="2" t="s">
        <v>33</v>
      </c>
      <c r="K236" s="2" t="s">
        <v>107</v>
      </c>
      <c r="L236" s="2" t="s">
        <v>48</v>
      </c>
      <c r="M236" s="2" t="s">
        <v>143</v>
      </c>
      <c r="N236" s="2" t="s">
        <v>62</v>
      </c>
      <c r="O236" s="2" t="s">
        <v>647</v>
      </c>
      <c r="P236" s="2">
        <v>2</v>
      </c>
      <c r="Q236" s="2" t="s">
        <v>50</v>
      </c>
      <c r="R236" s="2" t="s">
        <v>90</v>
      </c>
      <c r="S236" s="2">
        <v>161635</v>
      </c>
      <c r="T236" s="2">
        <v>123336</v>
      </c>
      <c r="U236" s="2">
        <v>38299</v>
      </c>
      <c r="V236" s="2">
        <v>125230</v>
      </c>
      <c r="W236" s="2">
        <v>17306</v>
      </c>
      <c r="X236" s="2">
        <v>14515</v>
      </c>
      <c r="Y236" s="2" t="s">
        <v>91</v>
      </c>
      <c r="Z236" s="2">
        <v>96</v>
      </c>
      <c r="AA236" s="2">
        <v>3.5</v>
      </c>
      <c r="AB236" s="2" t="s">
        <v>64</v>
      </c>
    </row>
    <row r="237" spans="1:28" x14ac:dyDescent="0.25">
      <c r="A237" s="4" t="s">
        <v>648</v>
      </c>
      <c r="B237" s="4" t="s">
        <v>121</v>
      </c>
      <c r="C237" s="4">
        <v>63</v>
      </c>
      <c r="D237" s="4" t="s">
        <v>30</v>
      </c>
      <c r="E237" s="4" t="s">
        <v>87</v>
      </c>
      <c r="F237" s="4" t="s">
        <v>157</v>
      </c>
      <c r="G237" s="5">
        <v>44575</v>
      </c>
      <c r="H237" s="5">
        <v>44583</v>
      </c>
      <c r="I237" s="4">
        <v>8</v>
      </c>
      <c r="J237" s="4" t="s">
        <v>33</v>
      </c>
      <c r="K237" s="4" t="s">
        <v>99</v>
      </c>
      <c r="L237" s="4" t="s">
        <v>100</v>
      </c>
      <c r="M237" s="4" t="s">
        <v>101</v>
      </c>
      <c r="N237" s="4" t="s">
        <v>109</v>
      </c>
      <c r="O237" s="4" t="s">
        <v>208</v>
      </c>
      <c r="P237" s="4">
        <v>76</v>
      </c>
      <c r="Q237" s="4" t="s">
        <v>69</v>
      </c>
      <c r="R237" s="4" t="s">
        <v>136</v>
      </c>
      <c r="S237" s="4">
        <v>35643</v>
      </c>
      <c r="T237" s="4">
        <v>0</v>
      </c>
      <c r="U237" s="4">
        <v>35643</v>
      </c>
      <c r="V237" s="4">
        <v>14626</v>
      </c>
      <c r="W237" s="4">
        <v>5763</v>
      </c>
      <c r="X237" s="4">
        <v>14489</v>
      </c>
      <c r="Y237" s="4" t="s">
        <v>41</v>
      </c>
      <c r="Z237" s="4">
        <v>93</v>
      </c>
      <c r="AA237" s="4">
        <v>3.8</v>
      </c>
      <c r="AB237" s="4" t="s">
        <v>52</v>
      </c>
    </row>
    <row r="238" spans="1:28" x14ac:dyDescent="0.25">
      <c r="A238" s="2" t="s">
        <v>649</v>
      </c>
      <c r="B238" s="2" t="s">
        <v>270</v>
      </c>
      <c r="C238" s="2">
        <v>11</v>
      </c>
      <c r="D238" s="2" t="s">
        <v>55</v>
      </c>
      <c r="E238" s="2" t="s">
        <v>67</v>
      </c>
      <c r="F238" s="2" t="s">
        <v>129</v>
      </c>
      <c r="G238" s="3">
        <v>44892</v>
      </c>
      <c r="H238" s="3">
        <v>44914</v>
      </c>
      <c r="I238" s="2">
        <v>22</v>
      </c>
      <c r="J238" s="2" t="s">
        <v>58</v>
      </c>
      <c r="K238" s="2" t="s">
        <v>59</v>
      </c>
      <c r="L238" s="2" t="s">
        <v>60</v>
      </c>
      <c r="M238" s="2" t="s">
        <v>101</v>
      </c>
      <c r="N238" s="2" t="s">
        <v>109</v>
      </c>
      <c r="O238" s="2" t="s">
        <v>234</v>
      </c>
      <c r="P238" s="2">
        <v>185</v>
      </c>
      <c r="Q238" s="2" t="s">
        <v>69</v>
      </c>
      <c r="R238" s="2" t="s">
        <v>90</v>
      </c>
      <c r="S238" s="2">
        <v>105178</v>
      </c>
      <c r="T238" s="2">
        <v>88989</v>
      </c>
      <c r="U238" s="2">
        <v>16189</v>
      </c>
      <c r="V238" s="2">
        <v>83458</v>
      </c>
      <c r="W238" s="2">
        <v>11578</v>
      </c>
      <c r="X238" s="2">
        <v>6538</v>
      </c>
      <c r="Y238" s="2" t="s">
        <v>41</v>
      </c>
      <c r="Z238" s="2">
        <v>93</v>
      </c>
      <c r="AA238" s="2">
        <v>3.7</v>
      </c>
      <c r="AB238" s="2" t="s">
        <v>52</v>
      </c>
    </row>
    <row r="239" spans="1:28" x14ac:dyDescent="0.25">
      <c r="A239" s="4" t="s">
        <v>650</v>
      </c>
      <c r="B239" s="4" t="s">
        <v>488</v>
      </c>
      <c r="C239" s="4">
        <v>20</v>
      </c>
      <c r="D239" s="4" t="s">
        <v>30</v>
      </c>
      <c r="E239" s="4" t="s">
        <v>45</v>
      </c>
      <c r="F239" s="4" t="s">
        <v>94</v>
      </c>
      <c r="G239" s="5">
        <v>45409</v>
      </c>
      <c r="H239" s="5">
        <v>45426</v>
      </c>
      <c r="I239" s="4">
        <v>17</v>
      </c>
      <c r="J239" s="4" t="s">
        <v>115</v>
      </c>
      <c r="K239" s="4" t="s">
        <v>160</v>
      </c>
      <c r="L239" s="4" t="s">
        <v>117</v>
      </c>
      <c r="M239" s="4" t="s">
        <v>101</v>
      </c>
      <c r="N239" s="4" t="s">
        <v>62</v>
      </c>
      <c r="O239" s="4" t="s">
        <v>337</v>
      </c>
      <c r="P239" s="4">
        <v>374</v>
      </c>
      <c r="Q239" s="4" t="s">
        <v>69</v>
      </c>
      <c r="R239" s="4" t="s">
        <v>111</v>
      </c>
      <c r="S239" s="4">
        <v>108844</v>
      </c>
      <c r="T239" s="4">
        <v>73785</v>
      </c>
      <c r="U239" s="4">
        <v>35059</v>
      </c>
      <c r="V239" s="4">
        <v>80284</v>
      </c>
      <c r="W239" s="4">
        <v>14993</v>
      </c>
      <c r="X239" s="4">
        <v>10475</v>
      </c>
      <c r="Y239" s="4" t="s">
        <v>41</v>
      </c>
      <c r="Z239" s="4">
        <v>79</v>
      </c>
      <c r="AA239" s="4">
        <v>3.1</v>
      </c>
      <c r="AB239" s="4" t="s">
        <v>64</v>
      </c>
    </row>
    <row r="240" spans="1:28" x14ac:dyDescent="0.25">
      <c r="A240" s="2" t="s">
        <v>651</v>
      </c>
      <c r="B240" s="2" t="s">
        <v>615</v>
      </c>
      <c r="C240" s="2">
        <v>68</v>
      </c>
      <c r="D240" s="2" t="s">
        <v>30</v>
      </c>
      <c r="E240" s="2" t="s">
        <v>87</v>
      </c>
      <c r="F240" s="2" t="s">
        <v>129</v>
      </c>
      <c r="G240" s="3">
        <v>45038</v>
      </c>
      <c r="H240" s="3">
        <v>45061</v>
      </c>
      <c r="I240" s="2">
        <v>23</v>
      </c>
      <c r="J240" s="2" t="s">
        <v>58</v>
      </c>
      <c r="K240" s="2" t="s">
        <v>59</v>
      </c>
      <c r="L240" s="2" t="s">
        <v>60</v>
      </c>
      <c r="M240" s="2" t="s">
        <v>130</v>
      </c>
      <c r="N240" s="2" t="s">
        <v>62</v>
      </c>
      <c r="O240" s="2" t="s">
        <v>631</v>
      </c>
      <c r="P240" s="2">
        <v>321</v>
      </c>
      <c r="Q240" s="2" t="s">
        <v>69</v>
      </c>
      <c r="R240" s="2" t="s">
        <v>40</v>
      </c>
      <c r="S240" s="2">
        <v>132739</v>
      </c>
      <c r="T240" s="2">
        <v>67019</v>
      </c>
      <c r="U240" s="2">
        <v>65720</v>
      </c>
      <c r="V240" s="2">
        <v>113693</v>
      </c>
      <c r="W240" s="2">
        <v>14567</v>
      </c>
      <c r="X240" s="2">
        <v>1245</v>
      </c>
      <c r="Y240" s="2" t="s">
        <v>41</v>
      </c>
      <c r="Z240" s="2">
        <v>53</v>
      </c>
      <c r="AA240" s="2">
        <v>2</v>
      </c>
      <c r="AB240" s="2" t="s">
        <v>64</v>
      </c>
    </row>
    <row r="241" spans="1:28" x14ac:dyDescent="0.25">
      <c r="A241" s="4" t="s">
        <v>652</v>
      </c>
      <c r="B241" s="4" t="s">
        <v>653</v>
      </c>
      <c r="C241" s="4">
        <v>37</v>
      </c>
      <c r="D241" s="4" t="s">
        <v>55</v>
      </c>
      <c r="E241" s="4" t="s">
        <v>79</v>
      </c>
      <c r="F241" s="4" t="s">
        <v>46</v>
      </c>
      <c r="G241" s="5">
        <v>45599</v>
      </c>
      <c r="H241" s="5">
        <v>45617</v>
      </c>
      <c r="I241" s="4">
        <v>18</v>
      </c>
      <c r="J241" s="4" t="s">
        <v>33</v>
      </c>
      <c r="K241" s="4" t="s">
        <v>47</v>
      </c>
      <c r="L241" s="4" t="s">
        <v>48</v>
      </c>
      <c r="M241" s="4" t="s">
        <v>36</v>
      </c>
      <c r="N241" s="4" t="s">
        <v>118</v>
      </c>
      <c r="O241" s="4" t="s">
        <v>68</v>
      </c>
      <c r="P241" s="4">
        <v>371</v>
      </c>
      <c r="Q241" s="4" t="s">
        <v>69</v>
      </c>
      <c r="R241" s="4" t="s">
        <v>40</v>
      </c>
      <c r="S241" s="4">
        <v>85119</v>
      </c>
      <c r="T241" s="4">
        <v>57599</v>
      </c>
      <c r="U241" s="4">
        <v>27520</v>
      </c>
      <c r="V241" s="4">
        <v>55860</v>
      </c>
      <c r="W241" s="4">
        <v>11830</v>
      </c>
      <c r="X241" s="4">
        <v>14161</v>
      </c>
      <c r="Y241" s="4" t="s">
        <v>41</v>
      </c>
      <c r="Z241" s="4">
        <v>70</v>
      </c>
      <c r="AA241" s="4">
        <v>4.4000000000000004</v>
      </c>
      <c r="AB241" s="4" t="s">
        <v>64</v>
      </c>
    </row>
    <row r="242" spans="1:28" x14ac:dyDescent="0.25">
      <c r="A242" s="2" t="s">
        <v>654</v>
      </c>
      <c r="B242" s="2" t="s">
        <v>488</v>
      </c>
      <c r="C242" s="2">
        <v>85</v>
      </c>
      <c r="D242" s="2" t="s">
        <v>30</v>
      </c>
      <c r="E242" s="2" t="s">
        <v>45</v>
      </c>
      <c r="F242" s="2" t="s">
        <v>150</v>
      </c>
      <c r="G242" s="3">
        <v>45409</v>
      </c>
      <c r="H242" s="3">
        <v>45439</v>
      </c>
      <c r="I242" s="2">
        <v>30</v>
      </c>
      <c r="J242" s="2" t="s">
        <v>33</v>
      </c>
      <c r="K242" s="2" t="s">
        <v>197</v>
      </c>
      <c r="L242" s="2" t="s">
        <v>198</v>
      </c>
      <c r="M242" s="2" t="s">
        <v>134</v>
      </c>
      <c r="N242" s="2" t="s">
        <v>118</v>
      </c>
      <c r="O242" s="2" t="s">
        <v>553</v>
      </c>
      <c r="P242" s="2">
        <v>10</v>
      </c>
      <c r="Q242" s="2" t="s">
        <v>39</v>
      </c>
      <c r="R242" s="2" t="s">
        <v>51</v>
      </c>
      <c r="S242" s="2">
        <v>136091</v>
      </c>
      <c r="T242" s="2">
        <v>57140</v>
      </c>
      <c r="U242" s="2">
        <v>78951</v>
      </c>
      <c r="V242" s="2">
        <v>91958</v>
      </c>
      <c r="W242" s="2">
        <v>27199</v>
      </c>
      <c r="X242" s="2">
        <v>13538</v>
      </c>
      <c r="Y242" s="2" t="s">
        <v>91</v>
      </c>
      <c r="Z242" s="2">
        <v>93</v>
      </c>
      <c r="AA242" s="2">
        <v>2.1</v>
      </c>
      <c r="AB242" s="2" t="s">
        <v>137</v>
      </c>
    </row>
    <row r="243" spans="1:28" x14ac:dyDescent="0.25">
      <c r="A243" s="4" t="s">
        <v>655</v>
      </c>
      <c r="B243" s="4" t="s">
        <v>590</v>
      </c>
      <c r="C243" s="4">
        <v>26</v>
      </c>
      <c r="D243" s="4" t="s">
        <v>30</v>
      </c>
      <c r="E243" s="4" t="s">
        <v>154</v>
      </c>
      <c r="F243" s="4" t="s">
        <v>72</v>
      </c>
      <c r="G243" s="5">
        <v>44801</v>
      </c>
      <c r="H243" s="5">
        <v>44829</v>
      </c>
      <c r="I243" s="4">
        <v>28</v>
      </c>
      <c r="J243" s="4" t="s">
        <v>58</v>
      </c>
      <c r="K243" s="4" t="s">
        <v>59</v>
      </c>
      <c r="L243" s="4" t="s">
        <v>60</v>
      </c>
      <c r="M243" s="4" t="s">
        <v>130</v>
      </c>
      <c r="N243" s="4" t="s">
        <v>118</v>
      </c>
      <c r="O243" s="4" t="s">
        <v>376</v>
      </c>
      <c r="P243" s="4">
        <v>255</v>
      </c>
      <c r="Q243" s="4" t="s">
        <v>39</v>
      </c>
      <c r="R243" s="4" t="s">
        <v>136</v>
      </c>
      <c r="S243" s="4">
        <v>159371</v>
      </c>
      <c r="T243" s="4">
        <v>0</v>
      </c>
      <c r="U243" s="4">
        <v>159371</v>
      </c>
      <c r="V243" s="4">
        <v>123464</v>
      </c>
      <c r="W243" s="4">
        <v>28179</v>
      </c>
      <c r="X243" s="4">
        <v>5458</v>
      </c>
      <c r="Y243" s="4" t="s">
        <v>41</v>
      </c>
      <c r="Z243" s="4">
        <v>51</v>
      </c>
      <c r="AA243" s="4">
        <v>2.2999999999999998</v>
      </c>
      <c r="AB243" s="4" t="s">
        <v>104</v>
      </c>
    </row>
    <row r="244" spans="1:28" x14ac:dyDescent="0.25">
      <c r="A244" s="2" t="s">
        <v>656</v>
      </c>
      <c r="B244" s="2" t="s">
        <v>657</v>
      </c>
      <c r="C244" s="2">
        <v>16</v>
      </c>
      <c r="D244" s="2" t="s">
        <v>30</v>
      </c>
      <c r="E244" s="2" t="s">
        <v>122</v>
      </c>
      <c r="F244" s="2" t="s">
        <v>150</v>
      </c>
      <c r="G244" s="3">
        <v>45586</v>
      </c>
      <c r="H244" s="3">
        <v>45591</v>
      </c>
      <c r="I244" s="2">
        <v>5</v>
      </c>
      <c r="J244" s="2" t="s">
        <v>115</v>
      </c>
      <c r="K244" s="2" t="s">
        <v>160</v>
      </c>
      <c r="L244" s="2" t="s">
        <v>117</v>
      </c>
      <c r="M244" s="2" t="s">
        <v>83</v>
      </c>
      <c r="N244" s="2" t="s">
        <v>118</v>
      </c>
      <c r="O244" s="2" t="s">
        <v>355</v>
      </c>
      <c r="P244" s="2">
        <v>394</v>
      </c>
      <c r="Q244" s="2" t="s">
        <v>69</v>
      </c>
      <c r="R244" s="2" t="s">
        <v>51</v>
      </c>
      <c r="S244" s="2">
        <v>60684</v>
      </c>
      <c r="T244" s="2">
        <v>32636</v>
      </c>
      <c r="U244" s="2">
        <v>28048</v>
      </c>
      <c r="V244" s="2">
        <v>39791</v>
      </c>
      <c r="W244" s="2">
        <v>7723</v>
      </c>
      <c r="X244" s="2">
        <v>12371</v>
      </c>
      <c r="Y244" s="2" t="s">
        <v>41</v>
      </c>
      <c r="Z244" s="2">
        <v>73</v>
      </c>
      <c r="AA244" s="2">
        <v>2.2999999999999998</v>
      </c>
      <c r="AB244" s="2" t="s">
        <v>52</v>
      </c>
    </row>
    <row r="245" spans="1:28" x14ac:dyDescent="0.25">
      <c r="A245" s="4" t="s">
        <v>658</v>
      </c>
      <c r="B245" s="4" t="s">
        <v>659</v>
      </c>
      <c r="C245" s="4">
        <v>81</v>
      </c>
      <c r="D245" s="4" t="s">
        <v>55</v>
      </c>
      <c r="E245" s="4" t="s">
        <v>45</v>
      </c>
      <c r="F245" s="4" t="s">
        <v>150</v>
      </c>
      <c r="G245" s="5">
        <v>44656</v>
      </c>
      <c r="H245" s="5">
        <v>44660</v>
      </c>
      <c r="I245" s="4">
        <v>4</v>
      </c>
      <c r="J245" s="4" t="s">
        <v>202</v>
      </c>
      <c r="K245" s="4" t="s">
        <v>225</v>
      </c>
      <c r="L245" s="4" t="s">
        <v>226</v>
      </c>
      <c r="M245" s="4" t="s">
        <v>130</v>
      </c>
      <c r="N245" s="4" t="s">
        <v>118</v>
      </c>
      <c r="O245" s="4" t="s">
        <v>627</v>
      </c>
      <c r="P245" s="4">
        <v>103</v>
      </c>
      <c r="Q245" s="4" t="s">
        <v>39</v>
      </c>
      <c r="R245" s="4" t="s">
        <v>136</v>
      </c>
      <c r="S245" s="4">
        <v>105804</v>
      </c>
      <c r="T245" s="4">
        <v>0</v>
      </c>
      <c r="U245" s="4">
        <v>105804</v>
      </c>
      <c r="V245" s="4">
        <v>77522</v>
      </c>
      <c r="W245" s="4">
        <v>18441</v>
      </c>
      <c r="X245" s="4">
        <v>5728</v>
      </c>
      <c r="Y245" s="4" t="s">
        <v>41</v>
      </c>
      <c r="Z245" s="4">
        <v>57</v>
      </c>
      <c r="AA245" s="4">
        <v>2.4</v>
      </c>
      <c r="AB245" s="4" t="s">
        <v>52</v>
      </c>
    </row>
    <row r="246" spans="1:28" x14ac:dyDescent="0.25">
      <c r="A246" s="2" t="s">
        <v>660</v>
      </c>
      <c r="B246" s="2" t="s">
        <v>661</v>
      </c>
      <c r="C246" s="2">
        <v>84</v>
      </c>
      <c r="D246" s="2" t="s">
        <v>55</v>
      </c>
      <c r="E246" s="2" t="s">
        <v>31</v>
      </c>
      <c r="F246" s="2" t="s">
        <v>94</v>
      </c>
      <c r="G246" s="3">
        <v>45279</v>
      </c>
      <c r="H246" s="3">
        <v>45297</v>
      </c>
      <c r="I246" s="2">
        <v>18</v>
      </c>
      <c r="J246" s="2" t="s">
        <v>33</v>
      </c>
      <c r="K246" s="2" t="s">
        <v>47</v>
      </c>
      <c r="L246" s="2" t="s">
        <v>48</v>
      </c>
      <c r="M246" s="2" t="s">
        <v>143</v>
      </c>
      <c r="N246" s="2" t="s">
        <v>118</v>
      </c>
      <c r="O246" s="2" t="s">
        <v>382</v>
      </c>
      <c r="P246" s="2">
        <v>88</v>
      </c>
      <c r="Q246" s="2" t="s">
        <v>69</v>
      </c>
      <c r="R246" s="2" t="s">
        <v>136</v>
      </c>
      <c r="S246" s="2">
        <v>121194</v>
      </c>
      <c r="T246" s="2">
        <v>0</v>
      </c>
      <c r="U246" s="2">
        <v>121194</v>
      </c>
      <c r="V246" s="2">
        <v>93798</v>
      </c>
      <c r="W246" s="2">
        <v>18713</v>
      </c>
      <c r="X246" s="2">
        <v>7768</v>
      </c>
      <c r="Y246" s="2" t="s">
        <v>91</v>
      </c>
      <c r="Z246" s="2">
        <v>70</v>
      </c>
      <c r="AA246" s="2">
        <v>4.7</v>
      </c>
      <c r="AB246" s="2" t="s">
        <v>104</v>
      </c>
    </row>
    <row r="247" spans="1:28" x14ac:dyDescent="0.25">
      <c r="A247" s="4" t="s">
        <v>662</v>
      </c>
      <c r="B247" s="4" t="s">
        <v>663</v>
      </c>
      <c r="C247" s="4">
        <v>11</v>
      </c>
      <c r="D247" s="4" t="s">
        <v>55</v>
      </c>
      <c r="E247" s="4" t="s">
        <v>67</v>
      </c>
      <c r="F247" s="4" t="s">
        <v>114</v>
      </c>
      <c r="G247" s="5">
        <v>44928</v>
      </c>
      <c r="H247" s="5">
        <v>44951</v>
      </c>
      <c r="I247" s="4">
        <v>23</v>
      </c>
      <c r="J247" s="4" t="s">
        <v>33</v>
      </c>
      <c r="K247" s="4" t="s">
        <v>233</v>
      </c>
      <c r="L247" s="4" t="s">
        <v>35</v>
      </c>
      <c r="M247" s="4" t="s">
        <v>83</v>
      </c>
      <c r="N247" s="4" t="s">
        <v>118</v>
      </c>
      <c r="O247" s="4" t="s">
        <v>399</v>
      </c>
      <c r="P247" s="4">
        <v>419</v>
      </c>
      <c r="Q247" s="4" t="s">
        <v>39</v>
      </c>
      <c r="R247" s="4" t="s">
        <v>51</v>
      </c>
      <c r="S247" s="4">
        <v>68692</v>
      </c>
      <c r="T247" s="4">
        <v>39178</v>
      </c>
      <c r="U247" s="4">
        <v>29514</v>
      </c>
      <c r="V247" s="4">
        <v>25590</v>
      </c>
      <c r="W247" s="4">
        <v>25764</v>
      </c>
      <c r="X247" s="4">
        <v>13024</v>
      </c>
      <c r="Y247" s="4" t="s">
        <v>91</v>
      </c>
      <c r="Z247" s="4">
        <v>91</v>
      </c>
      <c r="AA247" s="4">
        <v>4.8</v>
      </c>
      <c r="AB247" s="4" t="s">
        <v>137</v>
      </c>
    </row>
    <row r="248" spans="1:28" x14ac:dyDescent="0.25">
      <c r="A248" s="2" t="s">
        <v>664</v>
      </c>
      <c r="B248" s="2" t="s">
        <v>665</v>
      </c>
      <c r="C248" s="2">
        <v>44</v>
      </c>
      <c r="D248" s="2" t="s">
        <v>30</v>
      </c>
      <c r="E248" s="2" t="s">
        <v>87</v>
      </c>
      <c r="F248" s="2" t="s">
        <v>32</v>
      </c>
      <c r="G248" s="3">
        <v>45020</v>
      </c>
      <c r="H248" s="3">
        <v>45025</v>
      </c>
      <c r="I248" s="2">
        <v>5</v>
      </c>
      <c r="J248" s="2" t="s">
        <v>33</v>
      </c>
      <c r="K248" s="2" t="s">
        <v>233</v>
      </c>
      <c r="L248" s="2" t="s">
        <v>35</v>
      </c>
      <c r="M248" s="2" t="s">
        <v>95</v>
      </c>
      <c r="N248" s="2" t="s">
        <v>37</v>
      </c>
      <c r="O248" s="2" t="s">
        <v>406</v>
      </c>
      <c r="P248" s="2">
        <v>404</v>
      </c>
      <c r="Q248" s="2" t="s">
        <v>50</v>
      </c>
      <c r="R248" s="2" t="s">
        <v>111</v>
      </c>
      <c r="S248" s="2">
        <v>140750</v>
      </c>
      <c r="T248" s="2">
        <v>89217</v>
      </c>
      <c r="U248" s="2">
        <v>51533</v>
      </c>
      <c r="V248" s="2">
        <v>132796</v>
      </c>
      <c r="W248" s="2">
        <v>1991</v>
      </c>
      <c r="X248" s="2">
        <v>1570</v>
      </c>
      <c r="Y248" s="2" t="s">
        <v>41</v>
      </c>
      <c r="Z248" s="2">
        <v>94</v>
      </c>
      <c r="AA248" s="2">
        <v>2.5</v>
      </c>
      <c r="AB248" s="2" t="s">
        <v>52</v>
      </c>
    </row>
    <row r="249" spans="1:28" x14ac:dyDescent="0.25">
      <c r="A249" s="4" t="s">
        <v>666</v>
      </c>
      <c r="B249" s="4" t="s">
        <v>615</v>
      </c>
      <c r="C249" s="4">
        <v>21</v>
      </c>
      <c r="D249" s="4" t="s">
        <v>55</v>
      </c>
      <c r="E249" s="4" t="s">
        <v>67</v>
      </c>
      <c r="F249" s="4" t="s">
        <v>157</v>
      </c>
      <c r="G249" s="5">
        <v>45229</v>
      </c>
      <c r="H249" s="5">
        <v>45247</v>
      </c>
      <c r="I249" s="4">
        <v>18</v>
      </c>
      <c r="J249" s="4" t="s">
        <v>202</v>
      </c>
      <c r="K249" s="4" t="s">
        <v>203</v>
      </c>
      <c r="L249" s="4" t="s">
        <v>204</v>
      </c>
      <c r="M249" s="4" t="s">
        <v>75</v>
      </c>
      <c r="N249" s="4" t="s">
        <v>37</v>
      </c>
      <c r="O249" s="4" t="s">
        <v>431</v>
      </c>
      <c r="P249" s="4">
        <v>212</v>
      </c>
      <c r="Q249" s="4" t="s">
        <v>39</v>
      </c>
      <c r="R249" s="4" t="s">
        <v>51</v>
      </c>
      <c r="S249" s="4">
        <v>95393</v>
      </c>
      <c r="T249" s="4">
        <v>49141</v>
      </c>
      <c r="U249" s="4">
        <v>46252</v>
      </c>
      <c r="V249" s="4">
        <v>68882</v>
      </c>
      <c r="W249" s="4">
        <v>18955</v>
      </c>
      <c r="X249" s="4">
        <v>3105</v>
      </c>
      <c r="Y249" s="4" t="s">
        <v>41</v>
      </c>
      <c r="Z249" s="4">
        <v>92</v>
      </c>
      <c r="AA249" s="4">
        <v>4.0999999999999996</v>
      </c>
      <c r="AB249" s="4" t="s">
        <v>137</v>
      </c>
    </row>
    <row r="250" spans="1:28" x14ac:dyDescent="0.25">
      <c r="A250" s="2" t="s">
        <v>667</v>
      </c>
      <c r="B250" s="2" t="s">
        <v>668</v>
      </c>
      <c r="C250" s="2">
        <v>77</v>
      </c>
      <c r="D250" s="2" t="s">
        <v>30</v>
      </c>
      <c r="E250" s="2" t="s">
        <v>31</v>
      </c>
      <c r="F250" s="2" t="s">
        <v>129</v>
      </c>
      <c r="G250" s="3">
        <v>44721</v>
      </c>
      <c r="H250" s="3">
        <v>44745</v>
      </c>
      <c r="I250" s="2">
        <v>24</v>
      </c>
      <c r="J250" s="2" t="s">
        <v>33</v>
      </c>
      <c r="K250" s="2" t="s">
        <v>278</v>
      </c>
      <c r="L250" s="2" t="s">
        <v>279</v>
      </c>
      <c r="M250" s="2" t="s">
        <v>36</v>
      </c>
      <c r="N250" s="2" t="s">
        <v>37</v>
      </c>
      <c r="O250" s="2" t="s">
        <v>434</v>
      </c>
      <c r="P250" s="2">
        <v>50</v>
      </c>
      <c r="Q250" s="2" t="s">
        <v>103</v>
      </c>
      <c r="R250" s="2" t="s">
        <v>40</v>
      </c>
      <c r="S250" s="2">
        <v>103076</v>
      </c>
      <c r="T250" s="2">
        <v>62428</v>
      </c>
      <c r="U250" s="2">
        <v>40648</v>
      </c>
      <c r="V250" s="2">
        <v>85749</v>
      </c>
      <c r="W250" s="2">
        <v>14297</v>
      </c>
      <c r="X250" s="2">
        <v>1640</v>
      </c>
      <c r="Y250" s="2" t="s">
        <v>41</v>
      </c>
      <c r="Z250" s="2">
        <v>92</v>
      </c>
      <c r="AA250" s="2">
        <v>3.1</v>
      </c>
      <c r="AB250" s="2" t="s">
        <v>137</v>
      </c>
    </row>
    <row r="251" spans="1:28" x14ac:dyDescent="0.25">
      <c r="A251" s="4" t="s">
        <v>669</v>
      </c>
      <c r="B251" s="4" t="s">
        <v>670</v>
      </c>
      <c r="C251" s="4">
        <v>16</v>
      </c>
      <c r="D251" s="4" t="s">
        <v>55</v>
      </c>
      <c r="E251" s="4" t="s">
        <v>154</v>
      </c>
      <c r="F251" s="4" t="s">
        <v>72</v>
      </c>
      <c r="G251" s="5">
        <v>44562</v>
      </c>
      <c r="H251" s="5">
        <v>44587</v>
      </c>
      <c r="I251" s="4">
        <v>25</v>
      </c>
      <c r="J251" s="4" t="s">
        <v>140</v>
      </c>
      <c r="K251" s="4" t="s">
        <v>141</v>
      </c>
      <c r="L251" s="4" t="s">
        <v>142</v>
      </c>
      <c r="M251" s="4" t="s">
        <v>83</v>
      </c>
      <c r="N251" s="4" t="s">
        <v>118</v>
      </c>
      <c r="O251" s="4" t="s">
        <v>431</v>
      </c>
      <c r="P251" s="4">
        <v>296</v>
      </c>
      <c r="Q251" s="4" t="s">
        <v>103</v>
      </c>
      <c r="R251" s="4" t="s">
        <v>40</v>
      </c>
      <c r="S251" s="4">
        <v>100211</v>
      </c>
      <c r="T251" s="4">
        <v>49095</v>
      </c>
      <c r="U251" s="4">
        <v>51116</v>
      </c>
      <c r="V251" s="4">
        <v>58912</v>
      </c>
      <c r="W251" s="4">
        <v>23331</v>
      </c>
      <c r="X251" s="4">
        <v>14875</v>
      </c>
      <c r="Y251" s="4" t="s">
        <v>41</v>
      </c>
      <c r="Z251" s="4">
        <v>83</v>
      </c>
      <c r="AA251" s="4">
        <v>2.9</v>
      </c>
      <c r="AB251" s="4" t="s">
        <v>137</v>
      </c>
    </row>
    <row r="252" spans="1:28" x14ac:dyDescent="0.25">
      <c r="A252" s="2" t="s">
        <v>671</v>
      </c>
      <c r="B252" s="2" t="s">
        <v>672</v>
      </c>
      <c r="C252" s="2">
        <v>16</v>
      </c>
      <c r="D252" s="2" t="s">
        <v>55</v>
      </c>
      <c r="E252" s="2" t="s">
        <v>67</v>
      </c>
      <c r="F252" s="2" t="s">
        <v>129</v>
      </c>
      <c r="G252" s="3">
        <v>45164</v>
      </c>
      <c r="H252" s="3">
        <v>45166</v>
      </c>
      <c r="I252" s="2">
        <v>2</v>
      </c>
      <c r="J252" s="2" t="s">
        <v>58</v>
      </c>
      <c r="K252" s="2" t="s">
        <v>88</v>
      </c>
      <c r="L252" s="2" t="s">
        <v>60</v>
      </c>
      <c r="M252" s="2" t="s">
        <v>130</v>
      </c>
      <c r="N252" s="2" t="s">
        <v>62</v>
      </c>
      <c r="O252" s="2" t="s">
        <v>673</v>
      </c>
      <c r="P252" s="2">
        <v>57</v>
      </c>
      <c r="Q252" s="2" t="s">
        <v>50</v>
      </c>
      <c r="R252" s="2" t="s">
        <v>90</v>
      </c>
      <c r="S252" s="2">
        <v>97547</v>
      </c>
      <c r="T252" s="2">
        <v>76825</v>
      </c>
      <c r="U252" s="2">
        <v>20722</v>
      </c>
      <c r="V252" s="2">
        <v>66667</v>
      </c>
      <c r="W252" s="2">
        <v>15146</v>
      </c>
      <c r="X252" s="2">
        <v>12005</v>
      </c>
      <c r="Y252" s="2" t="s">
        <v>41</v>
      </c>
      <c r="Z252" s="2">
        <v>65</v>
      </c>
      <c r="AA252" s="2">
        <v>3.1</v>
      </c>
      <c r="AB252" s="2" t="s">
        <v>42</v>
      </c>
    </row>
    <row r="253" spans="1:28" x14ac:dyDescent="0.25">
      <c r="A253" s="4" t="s">
        <v>674</v>
      </c>
      <c r="B253" s="4" t="s">
        <v>675</v>
      </c>
      <c r="C253" s="4">
        <v>65</v>
      </c>
      <c r="D253" s="4" t="s">
        <v>55</v>
      </c>
      <c r="E253" s="4" t="s">
        <v>31</v>
      </c>
      <c r="F253" s="4" t="s">
        <v>94</v>
      </c>
      <c r="G253" s="5">
        <v>45349</v>
      </c>
      <c r="H253" s="5">
        <v>45376</v>
      </c>
      <c r="I253" s="4">
        <v>27</v>
      </c>
      <c r="J253" s="4" t="s">
        <v>58</v>
      </c>
      <c r="K253" s="4" t="s">
        <v>88</v>
      </c>
      <c r="L253" s="4" t="s">
        <v>60</v>
      </c>
      <c r="M253" s="4" t="s">
        <v>143</v>
      </c>
      <c r="N253" s="4" t="s">
        <v>118</v>
      </c>
      <c r="O253" s="4" t="s">
        <v>560</v>
      </c>
      <c r="P253" s="4">
        <v>6</v>
      </c>
      <c r="Q253" s="4" t="s">
        <v>69</v>
      </c>
      <c r="R253" s="4" t="s">
        <v>90</v>
      </c>
      <c r="S253" s="4">
        <v>86868</v>
      </c>
      <c r="T253" s="4">
        <v>69267</v>
      </c>
      <c r="U253" s="4">
        <v>17601</v>
      </c>
      <c r="V253" s="4">
        <v>42747</v>
      </c>
      <c r="W253" s="4">
        <v>24636</v>
      </c>
      <c r="X253" s="4">
        <v>14998</v>
      </c>
      <c r="Y253" s="4" t="s">
        <v>41</v>
      </c>
      <c r="Z253" s="4">
        <v>48</v>
      </c>
      <c r="AA253" s="4">
        <v>2.2999999999999998</v>
      </c>
      <c r="AB253" s="4" t="s">
        <v>137</v>
      </c>
    </row>
    <row r="254" spans="1:28" x14ac:dyDescent="0.25">
      <c r="A254" s="2" t="s">
        <v>676</v>
      </c>
      <c r="B254" s="2" t="s">
        <v>677</v>
      </c>
      <c r="C254" s="2">
        <v>82</v>
      </c>
      <c r="D254" s="2" t="s">
        <v>30</v>
      </c>
      <c r="E254" s="2" t="s">
        <v>154</v>
      </c>
      <c r="F254" s="2" t="s">
        <v>150</v>
      </c>
      <c r="G254" s="3">
        <v>45605</v>
      </c>
      <c r="H254" s="3">
        <v>45619</v>
      </c>
      <c r="I254" s="2">
        <v>14</v>
      </c>
      <c r="J254" s="2" t="s">
        <v>33</v>
      </c>
      <c r="K254" s="2" t="s">
        <v>99</v>
      </c>
      <c r="L254" s="2" t="s">
        <v>100</v>
      </c>
      <c r="M254" s="2" t="s">
        <v>108</v>
      </c>
      <c r="N254" s="2" t="s">
        <v>118</v>
      </c>
      <c r="O254" s="2" t="s">
        <v>678</v>
      </c>
      <c r="P254" s="2">
        <v>218</v>
      </c>
      <c r="Q254" s="2" t="s">
        <v>69</v>
      </c>
      <c r="R254" s="2" t="s">
        <v>51</v>
      </c>
      <c r="S254" s="2">
        <v>179250</v>
      </c>
      <c r="T254" s="2">
        <v>109995</v>
      </c>
      <c r="U254" s="2">
        <v>69255</v>
      </c>
      <c r="V254" s="2">
        <v>135588</v>
      </c>
      <c r="W254" s="2">
        <v>28748</v>
      </c>
      <c r="X254" s="2">
        <v>12475</v>
      </c>
      <c r="Y254" s="2" t="s">
        <v>41</v>
      </c>
      <c r="Z254" s="2">
        <v>99</v>
      </c>
      <c r="AA254" s="2">
        <v>3.6</v>
      </c>
      <c r="AB254" s="2" t="s">
        <v>52</v>
      </c>
    </row>
    <row r="255" spans="1:28" x14ac:dyDescent="0.25">
      <c r="A255" s="4" t="s">
        <v>679</v>
      </c>
      <c r="B255" s="4" t="s">
        <v>680</v>
      </c>
      <c r="C255" s="4">
        <v>77</v>
      </c>
      <c r="D255" s="4" t="s">
        <v>30</v>
      </c>
      <c r="E255" s="4" t="s">
        <v>45</v>
      </c>
      <c r="F255" s="4" t="s">
        <v>157</v>
      </c>
      <c r="G255" s="5">
        <v>45548</v>
      </c>
      <c r="H255" s="5">
        <v>45571</v>
      </c>
      <c r="I255" s="4">
        <v>23</v>
      </c>
      <c r="J255" s="4" t="s">
        <v>202</v>
      </c>
      <c r="K255" s="4" t="s">
        <v>203</v>
      </c>
      <c r="L255" s="4" t="s">
        <v>204</v>
      </c>
      <c r="M255" s="4" t="s">
        <v>75</v>
      </c>
      <c r="N255" s="4" t="s">
        <v>118</v>
      </c>
      <c r="O255" s="4" t="s">
        <v>681</v>
      </c>
      <c r="P255" s="4">
        <v>41</v>
      </c>
      <c r="Q255" s="4" t="s">
        <v>69</v>
      </c>
      <c r="R255" s="4" t="s">
        <v>40</v>
      </c>
      <c r="S255" s="4">
        <v>164305</v>
      </c>
      <c r="T255" s="4">
        <v>99441</v>
      </c>
      <c r="U255" s="4">
        <v>64864</v>
      </c>
      <c r="V255" s="4">
        <v>128850</v>
      </c>
      <c r="W255" s="4">
        <v>21665</v>
      </c>
      <c r="X255" s="4">
        <v>12651</v>
      </c>
      <c r="Y255" s="4" t="s">
        <v>41</v>
      </c>
      <c r="Z255" s="4">
        <v>77</v>
      </c>
      <c r="AA255" s="4">
        <v>2.9</v>
      </c>
      <c r="AB255" s="4" t="s">
        <v>104</v>
      </c>
    </row>
    <row r="256" spans="1:28" x14ac:dyDescent="0.25">
      <c r="A256" s="2" t="s">
        <v>682</v>
      </c>
      <c r="B256" s="2" t="s">
        <v>683</v>
      </c>
      <c r="C256" s="2">
        <v>73</v>
      </c>
      <c r="D256" s="2" t="s">
        <v>55</v>
      </c>
      <c r="E256" s="2" t="s">
        <v>87</v>
      </c>
      <c r="F256" s="2" t="s">
        <v>150</v>
      </c>
      <c r="G256" s="3">
        <v>45611</v>
      </c>
      <c r="H256" s="3">
        <v>45640</v>
      </c>
      <c r="I256" s="2">
        <v>29</v>
      </c>
      <c r="J256" s="2" t="s">
        <v>33</v>
      </c>
      <c r="K256" s="2" t="s">
        <v>174</v>
      </c>
      <c r="L256" s="2" t="s">
        <v>48</v>
      </c>
      <c r="M256" s="2" t="s">
        <v>95</v>
      </c>
      <c r="N256" s="2" t="s">
        <v>37</v>
      </c>
      <c r="O256" s="2" t="s">
        <v>461</v>
      </c>
      <c r="P256" s="2">
        <v>149</v>
      </c>
      <c r="Q256" s="2" t="s">
        <v>39</v>
      </c>
      <c r="R256" s="2" t="s">
        <v>90</v>
      </c>
      <c r="S256" s="2">
        <v>125525</v>
      </c>
      <c r="T256" s="2">
        <v>77628</v>
      </c>
      <c r="U256" s="2">
        <v>47897</v>
      </c>
      <c r="V256" s="2">
        <v>84710</v>
      </c>
      <c r="W256" s="2">
        <v>24821</v>
      </c>
      <c r="X256" s="2">
        <v>13361</v>
      </c>
      <c r="Y256" s="2" t="s">
        <v>41</v>
      </c>
      <c r="Z256" s="2">
        <v>50</v>
      </c>
      <c r="AA256" s="2">
        <v>3.7</v>
      </c>
      <c r="AB256" s="2" t="s">
        <v>52</v>
      </c>
    </row>
    <row r="257" spans="1:28" x14ac:dyDescent="0.25">
      <c r="A257" s="4" t="s">
        <v>684</v>
      </c>
      <c r="B257" s="4" t="s">
        <v>685</v>
      </c>
      <c r="C257" s="4">
        <v>8</v>
      </c>
      <c r="D257" s="4" t="s">
        <v>30</v>
      </c>
      <c r="E257" s="4" t="s">
        <v>87</v>
      </c>
      <c r="F257" s="4" t="s">
        <v>157</v>
      </c>
      <c r="G257" s="5">
        <v>44821</v>
      </c>
      <c r="H257" s="5">
        <v>44838</v>
      </c>
      <c r="I257" s="4">
        <v>17</v>
      </c>
      <c r="J257" s="4" t="s">
        <v>202</v>
      </c>
      <c r="K257" s="4" t="s">
        <v>203</v>
      </c>
      <c r="L257" s="4" t="s">
        <v>204</v>
      </c>
      <c r="M257" s="4" t="s">
        <v>134</v>
      </c>
      <c r="N257" s="4" t="s">
        <v>109</v>
      </c>
      <c r="O257" s="4" t="s">
        <v>326</v>
      </c>
      <c r="P257" s="4">
        <v>141</v>
      </c>
      <c r="Q257" s="4" t="s">
        <v>50</v>
      </c>
      <c r="R257" s="4" t="s">
        <v>90</v>
      </c>
      <c r="S257" s="4">
        <v>60126</v>
      </c>
      <c r="T257" s="4">
        <v>47965</v>
      </c>
      <c r="U257" s="4">
        <v>12161</v>
      </c>
      <c r="V257" s="4">
        <v>34242</v>
      </c>
      <c r="W257" s="4">
        <v>20786</v>
      </c>
      <c r="X257" s="4">
        <v>3360</v>
      </c>
      <c r="Y257" s="4" t="s">
        <v>41</v>
      </c>
      <c r="Z257" s="4">
        <v>51</v>
      </c>
      <c r="AA257" s="4">
        <v>2.8</v>
      </c>
      <c r="AB257" s="4" t="s">
        <v>64</v>
      </c>
    </row>
    <row r="258" spans="1:28" x14ac:dyDescent="0.25">
      <c r="A258" s="2" t="s">
        <v>686</v>
      </c>
      <c r="B258" s="2" t="s">
        <v>687</v>
      </c>
      <c r="C258" s="2">
        <v>72</v>
      </c>
      <c r="D258" s="2" t="s">
        <v>55</v>
      </c>
      <c r="E258" s="2" t="s">
        <v>45</v>
      </c>
      <c r="F258" s="2" t="s">
        <v>157</v>
      </c>
      <c r="G258" s="3">
        <v>44859</v>
      </c>
      <c r="H258" s="3">
        <v>44879</v>
      </c>
      <c r="I258" s="2">
        <v>20</v>
      </c>
      <c r="J258" s="2" t="s">
        <v>140</v>
      </c>
      <c r="K258" s="2" t="s">
        <v>141</v>
      </c>
      <c r="L258" s="2" t="s">
        <v>142</v>
      </c>
      <c r="M258" s="2" t="s">
        <v>108</v>
      </c>
      <c r="N258" s="2" t="s">
        <v>37</v>
      </c>
      <c r="O258" s="2" t="s">
        <v>102</v>
      </c>
      <c r="P258" s="2">
        <v>372</v>
      </c>
      <c r="Q258" s="2" t="s">
        <v>39</v>
      </c>
      <c r="R258" s="2" t="s">
        <v>40</v>
      </c>
      <c r="S258" s="2">
        <v>111926</v>
      </c>
      <c r="T258" s="2">
        <v>70138</v>
      </c>
      <c r="U258" s="2">
        <v>41788</v>
      </c>
      <c r="V258" s="2">
        <v>95459</v>
      </c>
      <c r="W258" s="2">
        <v>2780</v>
      </c>
      <c r="X258" s="2">
        <v>11022</v>
      </c>
      <c r="Y258" s="2" t="s">
        <v>91</v>
      </c>
      <c r="Z258" s="2">
        <v>50</v>
      </c>
      <c r="AA258" s="2">
        <v>3.4</v>
      </c>
      <c r="AB258" s="2" t="s">
        <v>137</v>
      </c>
    </row>
    <row r="259" spans="1:28" x14ac:dyDescent="0.25">
      <c r="A259" s="4" t="s">
        <v>688</v>
      </c>
      <c r="B259" s="4" t="s">
        <v>689</v>
      </c>
      <c r="C259" s="4">
        <v>73</v>
      </c>
      <c r="D259" s="4" t="s">
        <v>55</v>
      </c>
      <c r="E259" s="4" t="s">
        <v>67</v>
      </c>
      <c r="F259" s="4" t="s">
        <v>114</v>
      </c>
      <c r="G259" s="5">
        <v>45533</v>
      </c>
      <c r="H259" s="5">
        <v>45542</v>
      </c>
      <c r="I259" s="4">
        <v>9</v>
      </c>
      <c r="J259" s="4" t="s">
        <v>140</v>
      </c>
      <c r="K259" s="4" t="s">
        <v>141</v>
      </c>
      <c r="L259" s="4" t="s">
        <v>142</v>
      </c>
      <c r="M259" s="4" t="s">
        <v>108</v>
      </c>
      <c r="N259" s="4" t="s">
        <v>62</v>
      </c>
      <c r="O259" s="4" t="s">
        <v>110</v>
      </c>
      <c r="P259" s="4">
        <v>196</v>
      </c>
      <c r="Q259" s="4" t="s">
        <v>50</v>
      </c>
      <c r="R259" s="4" t="s">
        <v>51</v>
      </c>
      <c r="S259" s="4">
        <v>32544</v>
      </c>
      <c r="T259" s="4">
        <v>22353</v>
      </c>
      <c r="U259" s="4">
        <v>10191</v>
      </c>
      <c r="V259" s="4">
        <v>15752</v>
      </c>
      <c r="W259" s="4">
        <v>4190</v>
      </c>
      <c r="X259" s="4">
        <v>9204</v>
      </c>
      <c r="Y259" s="4" t="s">
        <v>41</v>
      </c>
      <c r="Z259" s="4">
        <v>98</v>
      </c>
      <c r="AA259" s="4">
        <v>4</v>
      </c>
      <c r="AB259" s="4" t="s">
        <v>52</v>
      </c>
    </row>
    <row r="260" spans="1:28" x14ac:dyDescent="0.25">
      <c r="A260" s="2" t="s">
        <v>690</v>
      </c>
      <c r="B260" s="2" t="s">
        <v>188</v>
      </c>
      <c r="C260" s="2">
        <v>39</v>
      </c>
      <c r="D260" s="2" t="s">
        <v>55</v>
      </c>
      <c r="E260" s="2" t="s">
        <v>79</v>
      </c>
      <c r="F260" s="2" t="s">
        <v>72</v>
      </c>
      <c r="G260" s="3">
        <v>45363</v>
      </c>
      <c r="H260" s="3">
        <v>45378</v>
      </c>
      <c r="I260" s="2">
        <v>15</v>
      </c>
      <c r="J260" s="2" t="s">
        <v>73</v>
      </c>
      <c r="K260" s="2" t="s">
        <v>74</v>
      </c>
      <c r="L260" s="2" t="s">
        <v>73</v>
      </c>
      <c r="M260" s="2" t="s">
        <v>61</v>
      </c>
      <c r="N260" s="2" t="s">
        <v>118</v>
      </c>
      <c r="O260" s="2" t="s">
        <v>406</v>
      </c>
      <c r="P260" s="2">
        <v>281</v>
      </c>
      <c r="Q260" s="2" t="s">
        <v>69</v>
      </c>
      <c r="R260" s="2" t="s">
        <v>90</v>
      </c>
      <c r="S260" s="2">
        <v>32741</v>
      </c>
      <c r="T260" s="2">
        <v>24804</v>
      </c>
      <c r="U260" s="2">
        <v>7937</v>
      </c>
      <c r="V260" s="2">
        <v>22813</v>
      </c>
      <c r="W260" s="2">
        <v>1391</v>
      </c>
      <c r="X260" s="2">
        <v>7237</v>
      </c>
      <c r="Y260" s="2" t="s">
        <v>41</v>
      </c>
      <c r="Z260" s="2">
        <v>62</v>
      </c>
      <c r="AA260" s="2">
        <v>2.7</v>
      </c>
      <c r="AB260" s="2" t="s">
        <v>52</v>
      </c>
    </row>
    <row r="261" spans="1:28" x14ac:dyDescent="0.25">
      <c r="A261" s="4" t="s">
        <v>691</v>
      </c>
      <c r="B261" s="4" t="s">
        <v>315</v>
      </c>
      <c r="C261" s="4">
        <v>9</v>
      </c>
      <c r="D261" s="4" t="s">
        <v>55</v>
      </c>
      <c r="E261" s="4" t="s">
        <v>56</v>
      </c>
      <c r="F261" s="4" t="s">
        <v>57</v>
      </c>
      <c r="G261" s="5">
        <v>45006</v>
      </c>
      <c r="H261" s="5">
        <v>45026</v>
      </c>
      <c r="I261" s="4">
        <v>20</v>
      </c>
      <c r="J261" s="4" t="s">
        <v>33</v>
      </c>
      <c r="K261" s="4" t="s">
        <v>34</v>
      </c>
      <c r="L261" s="4" t="s">
        <v>35</v>
      </c>
      <c r="M261" s="4" t="s">
        <v>36</v>
      </c>
      <c r="N261" s="4" t="s">
        <v>109</v>
      </c>
      <c r="O261" s="4" t="s">
        <v>431</v>
      </c>
      <c r="P261" s="4">
        <v>412</v>
      </c>
      <c r="Q261" s="4" t="s">
        <v>39</v>
      </c>
      <c r="R261" s="4" t="s">
        <v>90</v>
      </c>
      <c r="S261" s="4">
        <v>72255</v>
      </c>
      <c r="T261" s="4">
        <v>57670</v>
      </c>
      <c r="U261" s="4">
        <v>14585</v>
      </c>
      <c r="V261" s="4">
        <v>53303</v>
      </c>
      <c r="W261" s="4">
        <v>9301</v>
      </c>
      <c r="X261" s="4">
        <v>5326</v>
      </c>
      <c r="Y261" s="4" t="s">
        <v>91</v>
      </c>
      <c r="Z261" s="4">
        <v>69</v>
      </c>
      <c r="AA261" s="4">
        <v>4.8</v>
      </c>
      <c r="AB261" s="4" t="s">
        <v>52</v>
      </c>
    </row>
    <row r="262" spans="1:28" x14ac:dyDescent="0.25">
      <c r="A262" s="2" t="s">
        <v>692</v>
      </c>
      <c r="B262" s="2" t="s">
        <v>693</v>
      </c>
      <c r="C262" s="2">
        <v>46</v>
      </c>
      <c r="D262" s="2" t="s">
        <v>30</v>
      </c>
      <c r="E262" s="2" t="s">
        <v>154</v>
      </c>
      <c r="F262" s="2" t="s">
        <v>157</v>
      </c>
      <c r="G262" s="3">
        <v>45129</v>
      </c>
      <c r="H262" s="3">
        <v>45154</v>
      </c>
      <c r="I262" s="2">
        <v>25</v>
      </c>
      <c r="J262" s="2" t="s">
        <v>33</v>
      </c>
      <c r="K262" s="2" t="s">
        <v>197</v>
      </c>
      <c r="L262" s="2" t="s">
        <v>198</v>
      </c>
      <c r="M262" s="2" t="s">
        <v>108</v>
      </c>
      <c r="N262" s="2" t="s">
        <v>118</v>
      </c>
      <c r="O262" s="2" t="s">
        <v>428</v>
      </c>
      <c r="P262" s="2">
        <v>490</v>
      </c>
      <c r="Q262" s="2" t="s">
        <v>50</v>
      </c>
      <c r="R262" s="2" t="s">
        <v>40</v>
      </c>
      <c r="S262" s="2">
        <v>134467</v>
      </c>
      <c r="T262" s="2">
        <v>78406</v>
      </c>
      <c r="U262" s="2">
        <v>56061</v>
      </c>
      <c r="V262" s="2">
        <v>120494</v>
      </c>
      <c r="W262" s="2">
        <v>3274</v>
      </c>
      <c r="X262" s="2">
        <v>8556</v>
      </c>
      <c r="Y262" s="2" t="s">
        <v>41</v>
      </c>
      <c r="Z262" s="2">
        <v>71</v>
      </c>
      <c r="AA262" s="2">
        <v>2.2999999999999998</v>
      </c>
      <c r="AB262" s="2" t="s">
        <v>42</v>
      </c>
    </row>
    <row r="263" spans="1:28" x14ac:dyDescent="0.25">
      <c r="A263" s="4" t="s">
        <v>694</v>
      </c>
      <c r="B263" s="4" t="s">
        <v>693</v>
      </c>
      <c r="C263" s="4">
        <v>32</v>
      </c>
      <c r="D263" s="4" t="s">
        <v>55</v>
      </c>
      <c r="E263" s="4" t="s">
        <v>87</v>
      </c>
      <c r="F263" s="4" t="s">
        <v>46</v>
      </c>
      <c r="G263" s="5">
        <v>44773</v>
      </c>
      <c r="H263" s="5">
        <v>44775</v>
      </c>
      <c r="I263" s="4">
        <v>2</v>
      </c>
      <c r="J263" s="4" t="s">
        <v>202</v>
      </c>
      <c r="K263" s="4" t="s">
        <v>203</v>
      </c>
      <c r="L263" s="4" t="s">
        <v>204</v>
      </c>
      <c r="M263" s="4" t="s">
        <v>101</v>
      </c>
      <c r="N263" s="4" t="s">
        <v>118</v>
      </c>
      <c r="O263" s="4" t="s">
        <v>373</v>
      </c>
      <c r="P263" s="4">
        <v>460</v>
      </c>
      <c r="Q263" s="4" t="s">
        <v>103</v>
      </c>
      <c r="R263" s="4" t="s">
        <v>40</v>
      </c>
      <c r="S263" s="4">
        <v>22552</v>
      </c>
      <c r="T263" s="4">
        <v>10823</v>
      </c>
      <c r="U263" s="4">
        <v>11729</v>
      </c>
      <c r="V263" s="4">
        <v>5227</v>
      </c>
      <c r="W263" s="4">
        <v>2239</v>
      </c>
      <c r="X263" s="4">
        <v>11388</v>
      </c>
      <c r="Y263" s="4" t="s">
        <v>41</v>
      </c>
      <c r="Z263" s="4">
        <v>97</v>
      </c>
      <c r="AA263" s="4">
        <v>3.2</v>
      </c>
      <c r="AB263" s="4" t="s">
        <v>104</v>
      </c>
    </row>
    <row r="264" spans="1:28" x14ac:dyDescent="0.25">
      <c r="A264" s="2" t="s">
        <v>695</v>
      </c>
      <c r="B264" s="2" t="s">
        <v>534</v>
      </c>
      <c r="C264" s="2">
        <v>66</v>
      </c>
      <c r="D264" s="2" t="s">
        <v>30</v>
      </c>
      <c r="E264" s="2" t="s">
        <v>67</v>
      </c>
      <c r="F264" s="2" t="s">
        <v>157</v>
      </c>
      <c r="G264" s="3">
        <v>45024</v>
      </c>
      <c r="H264" s="3">
        <v>45025</v>
      </c>
      <c r="I264" s="2">
        <v>1</v>
      </c>
      <c r="J264" s="2" t="s">
        <v>115</v>
      </c>
      <c r="K264" s="2" t="s">
        <v>116</v>
      </c>
      <c r="L264" s="2" t="s">
        <v>117</v>
      </c>
      <c r="M264" s="2" t="s">
        <v>36</v>
      </c>
      <c r="N264" s="2" t="s">
        <v>118</v>
      </c>
      <c r="O264" s="2" t="s">
        <v>461</v>
      </c>
      <c r="P264" s="2">
        <v>206</v>
      </c>
      <c r="Q264" s="2" t="s">
        <v>69</v>
      </c>
      <c r="R264" s="2" t="s">
        <v>90</v>
      </c>
      <c r="S264" s="2">
        <v>137059</v>
      </c>
      <c r="T264" s="2">
        <v>85544</v>
      </c>
      <c r="U264" s="2">
        <v>51515</v>
      </c>
      <c r="V264" s="2">
        <v>100775</v>
      </c>
      <c r="W264" s="2">
        <v>18518</v>
      </c>
      <c r="X264" s="2">
        <v>14481</v>
      </c>
      <c r="Y264" s="2" t="s">
        <v>41</v>
      </c>
      <c r="Z264" s="2">
        <v>89</v>
      </c>
      <c r="AA264" s="2">
        <v>2.9</v>
      </c>
      <c r="AB264" s="2" t="s">
        <v>64</v>
      </c>
    </row>
    <row r="265" spans="1:28" x14ac:dyDescent="0.25">
      <c r="A265" s="4" t="s">
        <v>696</v>
      </c>
      <c r="B265" s="4" t="s">
        <v>697</v>
      </c>
      <c r="C265" s="4">
        <v>10</v>
      </c>
      <c r="D265" s="4" t="s">
        <v>30</v>
      </c>
      <c r="E265" s="4" t="s">
        <v>31</v>
      </c>
      <c r="F265" s="4" t="s">
        <v>46</v>
      </c>
      <c r="G265" s="5">
        <v>45360</v>
      </c>
      <c r="H265" s="5">
        <v>45389</v>
      </c>
      <c r="I265" s="4">
        <v>29</v>
      </c>
      <c r="J265" s="4" t="s">
        <v>33</v>
      </c>
      <c r="K265" s="4" t="s">
        <v>34</v>
      </c>
      <c r="L265" s="4" t="s">
        <v>35</v>
      </c>
      <c r="M265" s="4" t="s">
        <v>83</v>
      </c>
      <c r="N265" s="4" t="s">
        <v>62</v>
      </c>
      <c r="O265" s="4" t="s">
        <v>256</v>
      </c>
      <c r="P265" s="4">
        <v>72</v>
      </c>
      <c r="Q265" s="4" t="s">
        <v>69</v>
      </c>
      <c r="R265" s="4" t="s">
        <v>40</v>
      </c>
      <c r="S265" s="4">
        <v>48900</v>
      </c>
      <c r="T265" s="4">
        <v>26737</v>
      </c>
      <c r="U265" s="4">
        <v>22163</v>
      </c>
      <c r="V265" s="4">
        <v>11649</v>
      </c>
      <c r="W265" s="4">
        <v>24584</v>
      </c>
      <c r="X265" s="4">
        <v>10214</v>
      </c>
      <c r="Y265" s="4" t="s">
        <v>91</v>
      </c>
      <c r="Z265" s="4">
        <v>74</v>
      </c>
      <c r="AA265" s="4">
        <v>3.9</v>
      </c>
      <c r="AB265" s="4" t="s">
        <v>137</v>
      </c>
    </row>
    <row r="266" spans="1:28" x14ac:dyDescent="0.25">
      <c r="A266" s="2" t="s">
        <v>698</v>
      </c>
      <c r="B266" s="2" t="s">
        <v>699</v>
      </c>
      <c r="C266" s="2">
        <v>7</v>
      </c>
      <c r="D266" s="2" t="s">
        <v>55</v>
      </c>
      <c r="E266" s="2" t="s">
        <v>45</v>
      </c>
      <c r="F266" s="2" t="s">
        <v>57</v>
      </c>
      <c r="G266" s="3">
        <v>45253</v>
      </c>
      <c r="H266" s="3">
        <v>45279</v>
      </c>
      <c r="I266" s="2">
        <v>26</v>
      </c>
      <c r="J266" s="2" t="s">
        <v>33</v>
      </c>
      <c r="K266" s="2" t="s">
        <v>197</v>
      </c>
      <c r="L266" s="2" t="s">
        <v>198</v>
      </c>
      <c r="M266" s="2" t="s">
        <v>36</v>
      </c>
      <c r="N266" s="2" t="s">
        <v>109</v>
      </c>
      <c r="O266" s="2" t="s">
        <v>96</v>
      </c>
      <c r="P266" s="2">
        <v>482</v>
      </c>
      <c r="Q266" s="2" t="s">
        <v>39</v>
      </c>
      <c r="R266" s="2" t="s">
        <v>51</v>
      </c>
      <c r="S266" s="2">
        <v>72198</v>
      </c>
      <c r="T266" s="2">
        <v>39468</v>
      </c>
      <c r="U266" s="2">
        <v>32730</v>
      </c>
      <c r="V266" s="2">
        <v>66075</v>
      </c>
      <c r="W266" s="2">
        <v>3360</v>
      </c>
      <c r="X266" s="2">
        <v>1104</v>
      </c>
      <c r="Y266" s="2" t="s">
        <v>91</v>
      </c>
      <c r="Z266" s="2">
        <v>98</v>
      </c>
      <c r="AA266" s="2">
        <v>4.8</v>
      </c>
      <c r="AB266" s="2" t="s">
        <v>104</v>
      </c>
    </row>
    <row r="267" spans="1:28" x14ac:dyDescent="0.25">
      <c r="A267" s="4" t="s">
        <v>700</v>
      </c>
      <c r="B267" s="4" t="s">
        <v>701</v>
      </c>
      <c r="C267" s="4">
        <v>6</v>
      </c>
      <c r="D267" s="4" t="s">
        <v>55</v>
      </c>
      <c r="E267" s="4" t="s">
        <v>122</v>
      </c>
      <c r="F267" s="4" t="s">
        <v>46</v>
      </c>
      <c r="G267" s="5">
        <v>44761</v>
      </c>
      <c r="H267" s="5">
        <v>44776</v>
      </c>
      <c r="I267" s="4">
        <v>15</v>
      </c>
      <c r="J267" s="4" t="s">
        <v>33</v>
      </c>
      <c r="K267" s="4" t="s">
        <v>233</v>
      </c>
      <c r="L267" s="4" t="s">
        <v>35</v>
      </c>
      <c r="M267" s="4" t="s">
        <v>101</v>
      </c>
      <c r="N267" s="4" t="s">
        <v>62</v>
      </c>
      <c r="O267" s="4" t="s">
        <v>580</v>
      </c>
      <c r="P267" s="4">
        <v>255</v>
      </c>
      <c r="Q267" s="4" t="s">
        <v>39</v>
      </c>
      <c r="R267" s="4" t="s">
        <v>90</v>
      </c>
      <c r="S267" s="4">
        <v>82907</v>
      </c>
      <c r="T267" s="4">
        <v>57809</v>
      </c>
      <c r="U267" s="4">
        <v>25098</v>
      </c>
      <c r="V267" s="4">
        <v>58121</v>
      </c>
      <c r="W267" s="4">
        <v>14966</v>
      </c>
      <c r="X267" s="4">
        <v>6027</v>
      </c>
      <c r="Y267" s="4" t="s">
        <v>41</v>
      </c>
      <c r="Z267" s="4">
        <v>76</v>
      </c>
      <c r="AA267" s="4">
        <v>3.6</v>
      </c>
      <c r="AB267" s="4" t="s">
        <v>52</v>
      </c>
    </row>
    <row r="268" spans="1:28" x14ac:dyDescent="0.25">
      <c r="A268" s="2" t="s">
        <v>702</v>
      </c>
      <c r="B268" s="2" t="s">
        <v>193</v>
      </c>
      <c r="C268" s="2">
        <v>10</v>
      </c>
      <c r="D268" s="2" t="s">
        <v>55</v>
      </c>
      <c r="E268" s="2" t="s">
        <v>45</v>
      </c>
      <c r="F268" s="2" t="s">
        <v>157</v>
      </c>
      <c r="G268" s="3">
        <v>44809</v>
      </c>
      <c r="H268" s="3">
        <v>44818</v>
      </c>
      <c r="I268" s="2">
        <v>9</v>
      </c>
      <c r="J268" s="2" t="s">
        <v>140</v>
      </c>
      <c r="K268" s="2" t="s">
        <v>141</v>
      </c>
      <c r="L268" s="2" t="s">
        <v>142</v>
      </c>
      <c r="M268" s="2" t="s">
        <v>143</v>
      </c>
      <c r="N268" s="2" t="s">
        <v>118</v>
      </c>
      <c r="O268" s="2" t="s">
        <v>217</v>
      </c>
      <c r="P268" s="2">
        <v>225</v>
      </c>
      <c r="Q268" s="2" t="s">
        <v>39</v>
      </c>
      <c r="R268" s="2" t="s">
        <v>51</v>
      </c>
      <c r="S268" s="2">
        <v>26756</v>
      </c>
      <c r="T268" s="2">
        <v>16945</v>
      </c>
      <c r="U268" s="2">
        <v>9811</v>
      </c>
      <c r="V268" s="2">
        <v>15668</v>
      </c>
      <c r="W268" s="2">
        <v>5370</v>
      </c>
      <c r="X268" s="2">
        <v>2137</v>
      </c>
      <c r="Y268" s="2" t="s">
        <v>91</v>
      </c>
      <c r="Z268" s="2">
        <v>71</v>
      </c>
      <c r="AA268" s="2">
        <v>2.2000000000000002</v>
      </c>
      <c r="AB268" s="2" t="s">
        <v>104</v>
      </c>
    </row>
    <row r="269" spans="1:28" x14ac:dyDescent="0.25">
      <c r="A269" s="4" t="s">
        <v>703</v>
      </c>
      <c r="B269" s="4" t="s">
        <v>704</v>
      </c>
      <c r="C269" s="4">
        <v>80</v>
      </c>
      <c r="D269" s="4" t="s">
        <v>30</v>
      </c>
      <c r="E269" s="4" t="s">
        <v>67</v>
      </c>
      <c r="F269" s="4" t="s">
        <v>150</v>
      </c>
      <c r="G269" s="5">
        <v>44821</v>
      </c>
      <c r="H269" s="5">
        <v>44828</v>
      </c>
      <c r="I269" s="4">
        <v>7</v>
      </c>
      <c r="J269" s="4" t="s">
        <v>140</v>
      </c>
      <c r="K269" s="4" t="s">
        <v>141</v>
      </c>
      <c r="L269" s="4" t="s">
        <v>142</v>
      </c>
      <c r="M269" s="4" t="s">
        <v>75</v>
      </c>
      <c r="N269" s="4" t="s">
        <v>37</v>
      </c>
      <c r="O269" s="4" t="s">
        <v>164</v>
      </c>
      <c r="P269" s="4">
        <v>481</v>
      </c>
      <c r="Q269" s="4" t="s">
        <v>39</v>
      </c>
      <c r="R269" s="4" t="s">
        <v>51</v>
      </c>
      <c r="S269" s="4">
        <v>43444</v>
      </c>
      <c r="T269" s="4">
        <v>25355</v>
      </c>
      <c r="U269" s="4">
        <v>18089</v>
      </c>
      <c r="V269" s="4">
        <v>14862</v>
      </c>
      <c r="W269" s="4">
        <v>20538</v>
      </c>
      <c r="X269" s="4">
        <v>3449</v>
      </c>
      <c r="Y269" s="4" t="s">
        <v>91</v>
      </c>
      <c r="Z269" s="4">
        <v>92</v>
      </c>
      <c r="AA269" s="4">
        <v>4.3</v>
      </c>
      <c r="AB269" s="4" t="s">
        <v>52</v>
      </c>
    </row>
    <row r="270" spans="1:28" x14ac:dyDescent="0.25">
      <c r="A270" s="2" t="s">
        <v>705</v>
      </c>
      <c r="B270" s="2" t="s">
        <v>706</v>
      </c>
      <c r="C270" s="2">
        <v>76</v>
      </c>
      <c r="D270" s="2" t="s">
        <v>55</v>
      </c>
      <c r="E270" s="2" t="s">
        <v>31</v>
      </c>
      <c r="F270" s="2" t="s">
        <v>157</v>
      </c>
      <c r="G270" s="3">
        <v>45647</v>
      </c>
      <c r="H270" s="3">
        <v>45651</v>
      </c>
      <c r="I270" s="2">
        <v>4</v>
      </c>
      <c r="J270" s="2" t="s">
        <v>33</v>
      </c>
      <c r="K270" s="2" t="s">
        <v>233</v>
      </c>
      <c r="L270" s="2" t="s">
        <v>35</v>
      </c>
      <c r="M270" s="2" t="s">
        <v>75</v>
      </c>
      <c r="N270" s="2" t="s">
        <v>109</v>
      </c>
      <c r="O270" s="2" t="s">
        <v>256</v>
      </c>
      <c r="P270" s="2">
        <v>142</v>
      </c>
      <c r="Q270" s="2" t="s">
        <v>69</v>
      </c>
      <c r="R270" s="2" t="s">
        <v>40</v>
      </c>
      <c r="S270" s="2">
        <v>68971</v>
      </c>
      <c r="T270" s="2">
        <v>37883</v>
      </c>
      <c r="U270" s="2">
        <v>31088</v>
      </c>
      <c r="V270" s="2">
        <v>34538</v>
      </c>
      <c r="W270" s="2">
        <v>27103</v>
      </c>
      <c r="X270" s="2">
        <v>2944</v>
      </c>
      <c r="Y270" s="2" t="s">
        <v>41</v>
      </c>
      <c r="Z270" s="2">
        <v>99</v>
      </c>
      <c r="AA270" s="2">
        <v>2.1</v>
      </c>
      <c r="AB270" s="2" t="s">
        <v>52</v>
      </c>
    </row>
    <row r="271" spans="1:28" x14ac:dyDescent="0.25">
      <c r="A271" s="4" t="s">
        <v>707</v>
      </c>
      <c r="B271" s="4" t="s">
        <v>159</v>
      </c>
      <c r="C271" s="4">
        <v>60</v>
      </c>
      <c r="D271" s="4" t="s">
        <v>30</v>
      </c>
      <c r="E271" s="4" t="s">
        <v>45</v>
      </c>
      <c r="F271" s="4" t="s">
        <v>72</v>
      </c>
      <c r="G271" s="5">
        <v>45490</v>
      </c>
      <c r="H271" s="5">
        <v>45492</v>
      </c>
      <c r="I271" s="4">
        <v>2</v>
      </c>
      <c r="J271" s="4" t="s">
        <v>33</v>
      </c>
      <c r="K271" s="4" t="s">
        <v>34</v>
      </c>
      <c r="L271" s="4" t="s">
        <v>35</v>
      </c>
      <c r="M271" s="4" t="s">
        <v>75</v>
      </c>
      <c r="N271" s="4" t="s">
        <v>109</v>
      </c>
      <c r="O271" s="4" t="s">
        <v>548</v>
      </c>
      <c r="P271" s="4">
        <v>249</v>
      </c>
      <c r="Q271" s="4" t="s">
        <v>69</v>
      </c>
      <c r="R271" s="4" t="s">
        <v>90</v>
      </c>
      <c r="S271" s="4">
        <v>102277</v>
      </c>
      <c r="T271" s="4">
        <v>74224</v>
      </c>
      <c r="U271" s="4">
        <v>28053</v>
      </c>
      <c r="V271" s="4">
        <v>66682</v>
      </c>
      <c r="W271" s="4">
        <v>24638</v>
      </c>
      <c r="X271" s="4">
        <v>7787</v>
      </c>
      <c r="Y271" s="4" t="s">
        <v>41</v>
      </c>
      <c r="Z271" s="4">
        <v>97</v>
      </c>
      <c r="AA271" s="4">
        <v>3</v>
      </c>
      <c r="AB271" s="4" t="s">
        <v>104</v>
      </c>
    </row>
    <row r="272" spans="1:28" x14ac:dyDescent="0.25">
      <c r="A272" s="2" t="s">
        <v>708</v>
      </c>
      <c r="B272" s="2" t="s">
        <v>709</v>
      </c>
      <c r="C272" s="2">
        <v>17</v>
      </c>
      <c r="D272" s="2" t="s">
        <v>55</v>
      </c>
      <c r="E272" s="2" t="s">
        <v>67</v>
      </c>
      <c r="F272" s="2" t="s">
        <v>32</v>
      </c>
      <c r="G272" s="3">
        <v>45331</v>
      </c>
      <c r="H272" s="3">
        <v>45360</v>
      </c>
      <c r="I272" s="2">
        <v>29</v>
      </c>
      <c r="J272" s="2" t="s">
        <v>73</v>
      </c>
      <c r="K272" s="2" t="s">
        <v>74</v>
      </c>
      <c r="L272" s="2" t="s">
        <v>73</v>
      </c>
      <c r="M272" s="2" t="s">
        <v>83</v>
      </c>
      <c r="N272" s="2" t="s">
        <v>37</v>
      </c>
      <c r="O272" s="2" t="s">
        <v>184</v>
      </c>
      <c r="P272" s="2">
        <v>75</v>
      </c>
      <c r="Q272" s="2" t="s">
        <v>39</v>
      </c>
      <c r="R272" s="2" t="s">
        <v>51</v>
      </c>
      <c r="S272" s="2">
        <v>141512</v>
      </c>
      <c r="T272" s="2">
        <v>62396</v>
      </c>
      <c r="U272" s="2">
        <v>79116</v>
      </c>
      <c r="V272" s="2">
        <v>124273</v>
      </c>
      <c r="W272" s="2">
        <v>6834</v>
      </c>
      <c r="X272" s="2">
        <v>6846</v>
      </c>
      <c r="Y272" s="2" t="s">
        <v>41</v>
      </c>
      <c r="Z272" s="2">
        <v>80</v>
      </c>
      <c r="AA272" s="2">
        <v>3.1</v>
      </c>
      <c r="AB272" s="2" t="s">
        <v>52</v>
      </c>
    </row>
    <row r="273" spans="1:28" x14ac:dyDescent="0.25">
      <c r="A273" s="4" t="s">
        <v>710</v>
      </c>
      <c r="B273" s="4" t="s">
        <v>711</v>
      </c>
      <c r="C273" s="4">
        <v>21</v>
      </c>
      <c r="D273" s="4" t="s">
        <v>55</v>
      </c>
      <c r="E273" s="4" t="s">
        <v>122</v>
      </c>
      <c r="F273" s="4" t="s">
        <v>46</v>
      </c>
      <c r="G273" s="5">
        <v>44841</v>
      </c>
      <c r="H273" s="5">
        <v>44845</v>
      </c>
      <c r="I273" s="4">
        <v>4</v>
      </c>
      <c r="J273" s="4" t="s">
        <v>33</v>
      </c>
      <c r="K273" s="4" t="s">
        <v>107</v>
      </c>
      <c r="L273" s="4" t="s">
        <v>48</v>
      </c>
      <c r="M273" s="4" t="s">
        <v>108</v>
      </c>
      <c r="N273" s="4" t="s">
        <v>109</v>
      </c>
      <c r="O273" s="4" t="s">
        <v>248</v>
      </c>
      <c r="P273" s="4">
        <v>454</v>
      </c>
      <c r="Q273" s="4" t="s">
        <v>50</v>
      </c>
      <c r="R273" s="4" t="s">
        <v>51</v>
      </c>
      <c r="S273" s="4">
        <v>88382</v>
      </c>
      <c r="T273" s="4">
        <v>50681</v>
      </c>
      <c r="U273" s="4">
        <v>37701</v>
      </c>
      <c r="V273" s="4">
        <v>46101</v>
      </c>
      <c r="W273" s="4">
        <v>26871</v>
      </c>
      <c r="X273" s="4">
        <v>13518</v>
      </c>
      <c r="Y273" s="4" t="s">
        <v>41</v>
      </c>
      <c r="Z273" s="4">
        <v>54</v>
      </c>
      <c r="AA273" s="4">
        <v>2.2999999999999998</v>
      </c>
      <c r="AB273" s="4" t="s">
        <v>42</v>
      </c>
    </row>
    <row r="274" spans="1:28" x14ac:dyDescent="0.25">
      <c r="A274" s="2" t="s">
        <v>712</v>
      </c>
      <c r="B274" s="2" t="s">
        <v>473</v>
      </c>
      <c r="C274" s="2">
        <v>80</v>
      </c>
      <c r="D274" s="2" t="s">
        <v>30</v>
      </c>
      <c r="E274" s="2" t="s">
        <v>87</v>
      </c>
      <c r="F274" s="2" t="s">
        <v>46</v>
      </c>
      <c r="G274" s="3">
        <v>44591</v>
      </c>
      <c r="H274" s="3">
        <v>44615</v>
      </c>
      <c r="I274" s="2">
        <v>24</v>
      </c>
      <c r="J274" s="2" t="s">
        <v>33</v>
      </c>
      <c r="K274" s="2" t="s">
        <v>81</v>
      </c>
      <c r="L274" s="2" t="s">
        <v>82</v>
      </c>
      <c r="M274" s="2" t="s">
        <v>61</v>
      </c>
      <c r="N274" s="2" t="s">
        <v>118</v>
      </c>
      <c r="O274" s="2" t="s">
        <v>431</v>
      </c>
      <c r="P274" s="2">
        <v>114</v>
      </c>
      <c r="Q274" s="2" t="s">
        <v>39</v>
      </c>
      <c r="R274" s="2" t="s">
        <v>51</v>
      </c>
      <c r="S274" s="2">
        <v>23072</v>
      </c>
      <c r="T274" s="2">
        <v>16090</v>
      </c>
      <c r="U274" s="2">
        <v>6982</v>
      </c>
      <c r="V274" s="2">
        <v>6331</v>
      </c>
      <c r="W274" s="2">
        <v>14689</v>
      </c>
      <c r="X274" s="2">
        <v>1224</v>
      </c>
      <c r="Y274" s="2" t="s">
        <v>41</v>
      </c>
      <c r="Z274" s="2">
        <v>72</v>
      </c>
      <c r="AA274" s="2">
        <v>2.1</v>
      </c>
      <c r="AB274" s="2" t="s">
        <v>42</v>
      </c>
    </row>
    <row r="275" spans="1:28" x14ac:dyDescent="0.25">
      <c r="A275" s="4" t="s">
        <v>713</v>
      </c>
      <c r="B275" s="4" t="s">
        <v>714</v>
      </c>
      <c r="C275" s="4">
        <v>17</v>
      </c>
      <c r="D275" s="4" t="s">
        <v>30</v>
      </c>
      <c r="E275" s="4" t="s">
        <v>87</v>
      </c>
      <c r="F275" s="4" t="s">
        <v>32</v>
      </c>
      <c r="G275" s="5">
        <v>44732</v>
      </c>
      <c r="H275" s="5">
        <v>44750</v>
      </c>
      <c r="I275" s="4">
        <v>18</v>
      </c>
      <c r="J275" s="4" t="s">
        <v>123</v>
      </c>
      <c r="K275" s="4" t="s">
        <v>251</v>
      </c>
      <c r="L275" s="4" t="s">
        <v>125</v>
      </c>
      <c r="M275" s="4" t="s">
        <v>61</v>
      </c>
      <c r="N275" s="4" t="s">
        <v>109</v>
      </c>
      <c r="O275" s="4" t="s">
        <v>461</v>
      </c>
      <c r="P275" s="4">
        <v>123</v>
      </c>
      <c r="Q275" s="4" t="s">
        <v>69</v>
      </c>
      <c r="R275" s="4" t="s">
        <v>90</v>
      </c>
      <c r="S275" s="4">
        <v>161013</v>
      </c>
      <c r="T275" s="4">
        <v>130580</v>
      </c>
      <c r="U275" s="4">
        <v>30433</v>
      </c>
      <c r="V275" s="4">
        <v>130772</v>
      </c>
      <c r="W275" s="4">
        <v>22922</v>
      </c>
      <c r="X275" s="4">
        <v>5494</v>
      </c>
      <c r="Y275" s="4" t="s">
        <v>41</v>
      </c>
      <c r="Z275" s="4">
        <v>87</v>
      </c>
      <c r="AA275" s="4">
        <v>3.8</v>
      </c>
      <c r="AB275" s="4" t="s">
        <v>137</v>
      </c>
    </row>
    <row r="276" spans="1:28" x14ac:dyDescent="0.25">
      <c r="A276" s="2" t="s">
        <v>715</v>
      </c>
      <c r="B276" s="2" t="s">
        <v>716</v>
      </c>
      <c r="C276" s="2">
        <v>56</v>
      </c>
      <c r="D276" s="2" t="s">
        <v>55</v>
      </c>
      <c r="E276" s="2" t="s">
        <v>45</v>
      </c>
      <c r="F276" s="2" t="s">
        <v>150</v>
      </c>
      <c r="G276" s="3">
        <v>44564</v>
      </c>
      <c r="H276" s="3">
        <v>44592</v>
      </c>
      <c r="I276" s="2">
        <v>28</v>
      </c>
      <c r="J276" s="2" t="s">
        <v>202</v>
      </c>
      <c r="K276" s="2" t="s">
        <v>203</v>
      </c>
      <c r="L276" s="2" t="s">
        <v>204</v>
      </c>
      <c r="M276" s="2" t="s">
        <v>95</v>
      </c>
      <c r="N276" s="2" t="s">
        <v>62</v>
      </c>
      <c r="O276" s="2" t="s">
        <v>538</v>
      </c>
      <c r="P276" s="2">
        <v>386</v>
      </c>
      <c r="Q276" s="2" t="s">
        <v>50</v>
      </c>
      <c r="R276" s="2" t="s">
        <v>51</v>
      </c>
      <c r="S276" s="2">
        <v>182757</v>
      </c>
      <c r="T276" s="2">
        <v>116290</v>
      </c>
      <c r="U276" s="2">
        <v>66467</v>
      </c>
      <c r="V276" s="2">
        <v>147196</v>
      </c>
      <c r="W276" s="2">
        <v>19849</v>
      </c>
      <c r="X276" s="2">
        <v>13516</v>
      </c>
      <c r="Y276" s="2" t="s">
        <v>91</v>
      </c>
      <c r="Z276" s="2">
        <v>96</v>
      </c>
      <c r="AA276" s="2">
        <v>3</v>
      </c>
      <c r="AB276" s="2" t="s">
        <v>104</v>
      </c>
    </row>
    <row r="277" spans="1:28" x14ac:dyDescent="0.25">
      <c r="A277" s="4" t="s">
        <v>717</v>
      </c>
      <c r="B277" s="4" t="s">
        <v>297</v>
      </c>
      <c r="C277" s="4">
        <v>11</v>
      </c>
      <c r="D277" s="4" t="s">
        <v>55</v>
      </c>
      <c r="E277" s="4" t="s">
        <v>67</v>
      </c>
      <c r="F277" s="4" t="s">
        <v>80</v>
      </c>
      <c r="G277" s="5">
        <v>45515</v>
      </c>
      <c r="H277" s="5">
        <v>45535</v>
      </c>
      <c r="I277" s="4">
        <v>20</v>
      </c>
      <c r="J277" s="4" t="s">
        <v>33</v>
      </c>
      <c r="K277" s="4" t="s">
        <v>197</v>
      </c>
      <c r="L277" s="4" t="s">
        <v>198</v>
      </c>
      <c r="M277" s="4" t="s">
        <v>95</v>
      </c>
      <c r="N277" s="4" t="s">
        <v>109</v>
      </c>
      <c r="O277" s="4" t="s">
        <v>205</v>
      </c>
      <c r="P277" s="4">
        <v>288</v>
      </c>
      <c r="Q277" s="4" t="s">
        <v>39</v>
      </c>
      <c r="R277" s="4" t="s">
        <v>40</v>
      </c>
      <c r="S277" s="4">
        <v>112389</v>
      </c>
      <c r="T277" s="4">
        <v>66839</v>
      </c>
      <c r="U277" s="4">
        <v>45550</v>
      </c>
      <c r="V277" s="4">
        <v>92799</v>
      </c>
      <c r="W277" s="4">
        <v>8819</v>
      </c>
      <c r="X277" s="4">
        <v>9341</v>
      </c>
      <c r="Y277" s="4" t="s">
        <v>41</v>
      </c>
      <c r="Z277" s="4">
        <v>88</v>
      </c>
      <c r="AA277" s="4">
        <v>3.7</v>
      </c>
      <c r="AB277" s="4" t="s">
        <v>64</v>
      </c>
    </row>
    <row r="278" spans="1:28" x14ac:dyDescent="0.25">
      <c r="A278" s="2" t="s">
        <v>718</v>
      </c>
      <c r="B278" s="2" t="s">
        <v>719</v>
      </c>
      <c r="C278" s="2">
        <v>46</v>
      </c>
      <c r="D278" s="2" t="s">
        <v>30</v>
      </c>
      <c r="E278" s="2" t="s">
        <v>79</v>
      </c>
      <c r="F278" s="2" t="s">
        <v>94</v>
      </c>
      <c r="G278" s="3">
        <v>45428</v>
      </c>
      <c r="H278" s="3">
        <v>45437</v>
      </c>
      <c r="I278" s="2">
        <v>9</v>
      </c>
      <c r="J278" s="2" t="s">
        <v>33</v>
      </c>
      <c r="K278" s="2" t="s">
        <v>197</v>
      </c>
      <c r="L278" s="2" t="s">
        <v>198</v>
      </c>
      <c r="M278" s="2" t="s">
        <v>95</v>
      </c>
      <c r="N278" s="2" t="s">
        <v>118</v>
      </c>
      <c r="O278" s="2" t="s">
        <v>189</v>
      </c>
      <c r="P278" s="2">
        <v>257</v>
      </c>
      <c r="Q278" s="2" t="s">
        <v>69</v>
      </c>
      <c r="R278" s="2" t="s">
        <v>111</v>
      </c>
      <c r="S278" s="2">
        <v>186549</v>
      </c>
      <c r="T278" s="2">
        <v>162267</v>
      </c>
      <c r="U278" s="2">
        <v>24282</v>
      </c>
      <c r="V278" s="2">
        <v>144435</v>
      </c>
      <c r="W278" s="2">
        <v>23226</v>
      </c>
      <c r="X278" s="2">
        <v>14023</v>
      </c>
      <c r="Y278" s="2" t="s">
        <v>41</v>
      </c>
      <c r="Z278" s="2">
        <v>63</v>
      </c>
      <c r="AA278" s="2">
        <v>4.4000000000000004</v>
      </c>
      <c r="AB278" s="2" t="s">
        <v>104</v>
      </c>
    </row>
    <row r="279" spans="1:28" x14ac:dyDescent="0.25">
      <c r="A279" s="4" t="s">
        <v>720</v>
      </c>
      <c r="B279" s="4" t="s">
        <v>721</v>
      </c>
      <c r="C279" s="4">
        <v>16</v>
      </c>
      <c r="D279" s="4" t="s">
        <v>55</v>
      </c>
      <c r="E279" s="4" t="s">
        <v>67</v>
      </c>
      <c r="F279" s="4" t="s">
        <v>129</v>
      </c>
      <c r="G279" s="5">
        <v>45152</v>
      </c>
      <c r="H279" s="5">
        <v>45155</v>
      </c>
      <c r="I279" s="4">
        <v>3</v>
      </c>
      <c r="J279" s="4" t="s">
        <v>33</v>
      </c>
      <c r="K279" s="4" t="s">
        <v>34</v>
      </c>
      <c r="L279" s="4" t="s">
        <v>35</v>
      </c>
      <c r="M279" s="4" t="s">
        <v>134</v>
      </c>
      <c r="N279" s="4" t="s">
        <v>62</v>
      </c>
      <c r="O279" s="4" t="s">
        <v>331</v>
      </c>
      <c r="P279" s="4">
        <v>78</v>
      </c>
      <c r="Q279" s="4" t="s">
        <v>39</v>
      </c>
      <c r="R279" s="4" t="s">
        <v>51</v>
      </c>
      <c r="S279" s="4">
        <v>33813</v>
      </c>
      <c r="T279" s="4">
        <v>22976</v>
      </c>
      <c r="U279" s="4">
        <v>10837</v>
      </c>
      <c r="V279" s="4">
        <v>10948</v>
      </c>
      <c r="W279" s="4">
        <v>10606</v>
      </c>
      <c r="X279" s="4">
        <v>7324</v>
      </c>
      <c r="Y279" s="4" t="s">
        <v>41</v>
      </c>
      <c r="Z279" s="4">
        <v>66</v>
      </c>
      <c r="AA279" s="4">
        <v>3.3</v>
      </c>
      <c r="AB279" s="4" t="s">
        <v>104</v>
      </c>
    </row>
    <row r="280" spans="1:28" x14ac:dyDescent="0.25">
      <c r="A280" s="2" t="s">
        <v>722</v>
      </c>
      <c r="B280" s="2" t="s">
        <v>159</v>
      </c>
      <c r="C280" s="2">
        <v>13</v>
      </c>
      <c r="D280" s="2" t="s">
        <v>55</v>
      </c>
      <c r="E280" s="2" t="s">
        <v>31</v>
      </c>
      <c r="F280" s="2" t="s">
        <v>94</v>
      </c>
      <c r="G280" s="3">
        <v>45249</v>
      </c>
      <c r="H280" s="3">
        <v>45263</v>
      </c>
      <c r="I280" s="2">
        <v>14</v>
      </c>
      <c r="J280" s="2" t="s">
        <v>33</v>
      </c>
      <c r="K280" s="2" t="s">
        <v>278</v>
      </c>
      <c r="L280" s="2" t="s">
        <v>279</v>
      </c>
      <c r="M280" s="2" t="s">
        <v>95</v>
      </c>
      <c r="N280" s="2" t="s">
        <v>37</v>
      </c>
      <c r="O280" s="2" t="s">
        <v>259</v>
      </c>
      <c r="P280" s="2">
        <v>432</v>
      </c>
      <c r="Q280" s="2" t="s">
        <v>103</v>
      </c>
      <c r="R280" s="2" t="s">
        <v>111</v>
      </c>
      <c r="S280" s="2">
        <v>109971</v>
      </c>
      <c r="T280" s="2">
        <v>71648</v>
      </c>
      <c r="U280" s="2">
        <v>38323</v>
      </c>
      <c r="V280" s="2">
        <v>84713</v>
      </c>
      <c r="W280" s="2">
        <v>19587</v>
      </c>
      <c r="X280" s="2">
        <v>2661</v>
      </c>
      <c r="Y280" s="2" t="s">
        <v>41</v>
      </c>
      <c r="Z280" s="2">
        <v>70</v>
      </c>
      <c r="AA280" s="2">
        <v>3.1</v>
      </c>
      <c r="AB280" s="2" t="s">
        <v>52</v>
      </c>
    </row>
    <row r="281" spans="1:28" x14ac:dyDescent="0.25">
      <c r="A281" s="4" t="s">
        <v>723</v>
      </c>
      <c r="B281" s="4" t="s">
        <v>724</v>
      </c>
      <c r="C281" s="4">
        <v>23</v>
      </c>
      <c r="D281" s="4" t="s">
        <v>30</v>
      </c>
      <c r="E281" s="4" t="s">
        <v>79</v>
      </c>
      <c r="F281" s="4" t="s">
        <v>150</v>
      </c>
      <c r="G281" s="5">
        <v>44902</v>
      </c>
      <c r="H281" s="5">
        <v>44922</v>
      </c>
      <c r="I281" s="4">
        <v>20</v>
      </c>
      <c r="J281" s="4" t="s">
        <v>123</v>
      </c>
      <c r="K281" s="4" t="s">
        <v>124</v>
      </c>
      <c r="L281" s="4" t="s">
        <v>125</v>
      </c>
      <c r="M281" s="4" t="s">
        <v>134</v>
      </c>
      <c r="N281" s="4" t="s">
        <v>109</v>
      </c>
      <c r="O281" s="4" t="s">
        <v>560</v>
      </c>
      <c r="P281" s="4">
        <v>83</v>
      </c>
      <c r="Q281" s="4" t="s">
        <v>39</v>
      </c>
      <c r="R281" s="4" t="s">
        <v>90</v>
      </c>
      <c r="S281" s="4">
        <v>38611</v>
      </c>
      <c r="T281" s="4">
        <v>28274</v>
      </c>
      <c r="U281" s="4">
        <v>10337</v>
      </c>
      <c r="V281" s="4">
        <v>15787</v>
      </c>
      <c r="W281" s="4">
        <v>11375</v>
      </c>
      <c r="X281" s="4">
        <v>9913</v>
      </c>
      <c r="Y281" s="4" t="s">
        <v>41</v>
      </c>
      <c r="Z281" s="4">
        <v>53</v>
      </c>
      <c r="AA281" s="4">
        <v>3.7</v>
      </c>
      <c r="AB281" s="4" t="s">
        <v>104</v>
      </c>
    </row>
    <row r="282" spans="1:28" x14ac:dyDescent="0.25">
      <c r="A282" s="2" t="s">
        <v>725</v>
      </c>
      <c r="B282" s="2" t="s">
        <v>128</v>
      </c>
      <c r="C282" s="2">
        <v>49</v>
      </c>
      <c r="D282" s="2" t="s">
        <v>55</v>
      </c>
      <c r="E282" s="2" t="s">
        <v>45</v>
      </c>
      <c r="F282" s="2" t="s">
        <v>150</v>
      </c>
      <c r="G282" s="3">
        <v>44894</v>
      </c>
      <c r="H282" s="3">
        <v>44912</v>
      </c>
      <c r="I282" s="2">
        <v>18</v>
      </c>
      <c r="J282" s="2" t="s">
        <v>58</v>
      </c>
      <c r="K282" s="2" t="s">
        <v>59</v>
      </c>
      <c r="L282" s="2" t="s">
        <v>60</v>
      </c>
      <c r="M282" s="2" t="s">
        <v>130</v>
      </c>
      <c r="N282" s="2" t="s">
        <v>37</v>
      </c>
      <c r="O282" s="2" t="s">
        <v>591</v>
      </c>
      <c r="P282" s="2">
        <v>486</v>
      </c>
      <c r="Q282" s="2" t="s">
        <v>103</v>
      </c>
      <c r="R282" s="2" t="s">
        <v>136</v>
      </c>
      <c r="S282" s="2">
        <v>64621</v>
      </c>
      <c r="T282" s="2">
        <v>0</v>
      </c>
      <c r="U282" s="2">
        <v>64621</v>
      </c>
      <c r="V282" s="2">
        <v>45908</v>
      </c>
      <c r="W282" s="2">
        <v>1140</v>
      </c>
      <c r="X282" s="2">
        <v>12599</v>
      </c>
      <c r="Y282" s="2" t="s">
        <v>41</v>
      </c>
      <c r="Z282" s="2">
        <v>61</v>
      </c>
      <c r="AA282" s="2">
        <v>3.9</v>
      </c>
      <c r="AB282" s="2" t="s">
        <v>52</v>
      </c>
    </row>
    <row r="283" spans="1:28" x14ac:dyDescent="0.25">
      <c r="A283" s="4" t="s">
        <v>726</v>
      </c>
      <c r="B283" s="4" t="s">
        <v>727</v>
      </c>
      <c r="C283" s="4">
        <v>78</v>
      </c>
      <c r="D283" s="4" t="s">
        <v>55</v>
      </c>
      <c r="E283" s="4" t="s">
        <v>87</v>
      </c>
      <c r="F283" s="4" t="s">
        <v>80</v>
      </c>
      <c r="G283" s="5">
        <v>44792</v>
      </c>
      <c r="H283" s="5">
        <v>44816</v>
      </c>
      <c r="I283" s="4">
        <v>24</v>
      </c>
      <c r="J283" s="4" t="s">
        <v>33</v>
      </c>
      <c r="K283" s="4" t="s">
        <v>174</v>
      </c>
      <c r="L283" s="4" t="s">
        <v>48</v>
      </c>
      <c r="M283" s="4" t="s">
        <v>143</v>
      </c>
      <c r="N283" s="4" t="s">
        <v>62</v>
      </c>
      <c r="O283" s="4" t="s">
        <v>246</v>
      </c>
      <c r="P283" s="4">
        <v>206</v>
      </c>
      <c r="Q283" s="4" t="s">
        <v>39</v>
      </c>
      <c r="R283" s="4" t="s">
        <v>111</v>
      </c>
      <c r="S283" s="4">
        <v>109515</v>
      </c>
      <c r="T283" s="4">
        <v>85690</v>
      </c>
      <c r="U283" s="4">
        <v>23825</v>
      </c>
      <c r="V283" s="4">
        <v>98688</v>
      </c>
      <c r="W283" s="4">
        <v>4030</v>
      </c>
      <c r="X283" s="4">
        <v>5847</v>
      </c>
      <c r="Y283" s="4" t="s">
        <v>41</v>
      </c>
      <c r="Z283" s="4">
        <v>73</v>
      </c>
      <c r="AA283" s="4">
        <v>2.7</v>
      </c>
      <c r="AB283" s="4" t="s">
        <v>52</v>
      </c>
    </row>
    <row r="284" spans="1:28" x14ac:dyDescent="0.25">
      <c r="A284" s="2" t="s">
        <v>728</v>
      </c>
      <c r="B284" s="2" t="s">
        <v>501</v>
      </c>
      <c r="C284" s="2">
        <v>15</v>
      </c>
      <c r="D284" s="2" t="s">
        <v>30</v>
      </c>
      <c r="E284" s="2" t="s">
        <v>56</v>
      </c>
      <c r="F284" s="2" t="s">
        <v>94</v>
      </c>
      <c r="G284" s="3">
        <v>45369</v>
      </c>
      <c r="H284" s="3">
        <v>45376</v>
      </c>
      <c r="I284" s="2">
        <v>7</v>
      </c>
      <c r="J284" s="2" t="s">
        <v>33</v>
      </c>
      <c r="K284" s="2" t="s">
        <v>174</v>
      </c>
      <c r="L284" s="2" t="s">
        <v>48</v>
      </c>
      <c r="M284" s="2" t="s">
        <v>101</v>
      </c>
      <c r="N284" s="2" t="s">
        <v>62</v>
      </c>
      <c r="O284" s="2" t="s">
        <v>68</v>
      </c>
      <c r="P284" s="2">
        <v>76</v>
      </c>
      <c r="Q284" s="2" t="s">
        <v>103</v>
      </c>
      <c r="R284" s="2" t="s">
        <v>136</v>
      </c>
      <c r="S284" s="2">
        <v>122963</v>
      </c>
      <c r="T284" s="2">
        <v>0</v>
      </c>
      <c r="U284" s="2">
        <v>122963</v>
      </c>
      <c r="V284" s="2">
        <v>106217</v>
      </c>
      <c r="W284" s="2">
        <v>13216</v>
      </c>
      <c r="X284" s="2">
        <v>699</v>
      </c>
      <c r="Y284" s="2" t="s">
        <v>41</v>
      </c>
      <c r="Z284" s="2">
        <v>59</v>
      </c>
      <c r="AA284" s="2">
        <v>4.9000000000000004</v>
      </c>
      <c r="AB284" s="2" t="s">
        <v>42</v>
      </c>
    </row>
    <row r="285" spans="1:28" x14ac:dyDescent="0.25">
      <c r="A285" s="4" t="s">
        <v>729</v>
      </c>
      <c r="B285" s="4" t="s">
        <v>617</v>
      </c>
      <c r="C285" s="4">
        <v>61</v>
      </c>
      <c r="D285" s="4" t="s">
        <v>30</v>
      </c>
      <c r="E285" s="4" t="s">
        <v>87</v>
      </c>
      <c r="F285" s="4" t="s">
        <v>46</v>
      </c>
      <c r="G285" s="5">
        <v>44897</v>
      </c>
      <c r="H285" s="5">
        <v>44923</v>
      </c>
      <c r="I285" s="4">
        <v>26</v>
      </c>
      <c r="J285" s="4" t="s">
        <v>33</v>
      </c>
      <c r="K285" s="4" t="s">
        <v>81</v>
      </c>
      <c r="L285" s="4" t="s">
        <v>82</v>
      </c>
      <c r="M285" s="4" t="s">
        <v>143</v>
      </c>
      <c r="N285" s="4" t="s">
        <v>62</v>
      </c>
      <c r="O285" s="4" t="s">
        <v>647</v>
      </c>
      <c r="P285" s="4">
        <v>156</v>
      </c>
      <c r="Q285" s="4" t="s">
        <v>103</v>
      </c>
      <c r="R285" s="4" t="s">
        <v>51</v>
      </c>
      <c r="S285" s="4">
        <v>109848</v>
      </c>
      <c r="T285" s="4">
        <v>46854</v>
      </c>
      <c r="U285" s="4">
        <v>62994</v>
      </c>
      <c r="V285" s="4">
        <v>92927</v>
      </c>
      <c r="W285" s="4">
        <v>3166</v>
      </c>
      <c r="X285" s="4">
        <v>10177</v>
      </c>
      <c r="Y285" s="4" t="s">
        <v>41</v>
      </c>
      <c r="Z285" s="4">
        <v>98</v>
      </c>
      <c r="AA285" s="4">
        <v>2.8</v>
      </c>
      <c r="AB285" s="4" t="s">
        <v>64</v>
      </c>
    </row>
    <row r="286" spans="1:28" x14ac:dyDescent="0.25">
      <c r="A286" s="2" t="s">
        <v>730</v>
      </c>
      <c r="B286" s="2" t="s">
        <v>699</v>
      </c>
      <c r="C286" s="2">
        <v>77</v>
      </c>
      <c r="D286" s="2" t="s">
        <v>55</v>
      </c>
      <c r="E286" s="2" t="s">
        <v>31</v>
      </c>
      <c r="F286" s="2" t="s">
        <v>129</v>
      </c>
      <c r="G286" s="3">
        <v>45343</v>
      </c>
      <c r="H286" s="3">
        <v>45353</v>
      </c>
      <c r="I286" s="2">
        <v>10</v>
      </c>
      <c r="J286" s="2" t="s">
        <v>33</v>
      </c>
      <c r="K286" s="2" t="s">
        <v>99</v>
      </c>
      <c r="L286" s="2" t="s">
        <v>100</v>
      </c>
      <c r="M286" s="2" t="s">
        <v>130</v>
      </c>
      <c r="N286" s="2" t="s">
        <v>118</v>
      </c>
      <c r="O286" s="2" t="s">
        <v>326</v>
      </c>
      <c r="P286" s="2">
        <v>253</v>
      </c>
      <c r="Q286" s="2" t="s">
        <v>103</v>
      </c>
      <c r="R286" s="2" t="s">
        <v>40</v>
      </c>
      <c r="S286" s="2">
        <v>41262</v>
      </c>
      <c r="T286" s="2">
        <v>19756</v>
      </c>
      <c r="U286" s="2">
        <v>21506</v>
      </c>
      <c r="V286" s="2">
        <v>12035</v>
      </c>
      <c r="W286" s="2">
        <v>26926</v>
      </c>
      <c r="X286" s="2">
        <v>540</v>
      </c>
      <c r="Y286" s="2" t="s">
        <v>41</v>
      </c>
      <c r="Z286" s="2">
        <v>93</v>
      </c>
      <c r="AA286" s="2">
        <v>3.9</v>
      </c>
      <c r="AB286" s="2" t="s">
        <v>104</v>
      </c>
    </row>
    <row r="287" spans="1:28" x14ac:dyDescent="0.25">
      <c r="A287" s="4" t="s">
        <v>731</v>
      </c>
      <c r="B287" s="4" t="s">
        <v>732</v>
      </c>
      <c r="C287" s="4">
        <v>58</v>
      </c>
      <c r="D287" s="4" t="s">
        <v>55</v>
      </c>
      <c r="E287" s="4" t="s">
        <v>87</v>
      </c>
      <c r="F287" s="4" t="s">
        <v>32</v>
      </c>
      <c r="G287" s="5">
        <v>44620</v>
      </c>
      <c r="H287" s="5">
        <v>44624</v>
      </c>
      <c r="I287" s="4">
        <v>4</v>
      </c>
      <c r="J287" s="4" t="s">
        <v>140</v>
      </c>
      <c r="K287" s="4" t="s">
        <v>167</v>
      </c>
      <c r="L287" s="4" t="s">
        <v>142</v>
      </c>
      <c r="M287" s="4" t="s">
        <v>36</v>
      </c>
      <c r="N287" s="4" t="s">
        <v>118</v>
      </c>
      <c r="O287" s="4" t="s">
        <v>271</v>
      </c>
      <c r="P287" s="4">
        <v>290</v>
      </c>
      <c r="Q287" s="4" t="s">
        <v>103</v>
      </c>
      <c r="R287" s="4" t="s">
        <v>136</v>
      </c>
      <c r="S287" s="4">
        <v>168925</v>
      </c>
      <c r="T287" s="4">
        <v>0</v>
      </c>
      <c r="U287" s="4">
        <v>168925</v>
      </c>
      <c r="V287" s="4">
        <v>129791</v>
      </c>
      <c r="W287" s="4">
        <v>23749</v>
      </c>
      <c r="X287" s="4">
        <v>13906</v>
      </c>
      <c r="Y287" s="4" t="s">
        <v>41</v>
      </c>
      <c r="Z287" s="4">
        <v>86</v>
      </c>
      <c r="AA287" s="4">
        <v>3.7</v>
      </c>
      <c r="AB287" s="4" t="s">
        <v>52</v>
      </c>
    </row>
    <row r="288" spans="1:28" x14ac:dyDescent="0.25">
      <c r="A288" s="2" t="s">
        <v>733</v>
      </c>
      <c r="B288" s="2" t="s">
        <v>586</v>
      </c>
      <c r="C288" s="2">
        <v>12</v>
      </c>
      <c r="D288" s="2" t="s">
        <v>55</v>
      </c>
      <c r="E288" s="2" t="s">
        <v>45</v>
      </c>
      <c r="F288" s="2" t="s">
        <v>150</v>
      </c>
      <c r="G288" s="3">
        <v>44839</v>
      </c>
      <c r="H288" s="3">
        <v>44851</v>
      </c>
      <c r="I288" s="2">
        <v>12</v>
      </c>
      <c r="J288" s="2" t="s">
        <v>123</v>
      </c>
      <c r="K288" s="2" t="s">
        <v>124</v>
      </c>
      <c r="L288" s="2" t="s">
        <v>125</v>
      </c>
      <c r="M288" s="2" t="s">
        <v>134</v>
      </c>
      <c r="N288" s="2" t="s">
        <v>118</v>
      </c>
      <c r="O288" s="2" t="s">
        <v>390</v>
      </c>
      <c r="P288" s="2">
        <v>25</v>
      </c>
      <c r="Q288" s="2" t="s">
        <v>50</v>
      </c>
      <c r="R288" s="2" t="s">
        <v>136</v>
      </c>
      <c r="S288" s="2">
        <v>172237</v>
      </c>
      <c r="T288" s="2">
        <v>0</v>
      </c>
      <c r="U288" s="2">
        <v>172237</v>
      </c>
      <c r="V288" s="2">
        <v>143834</v>
      </c>
      <c r="W288" s="2">
        <v>21936</v>
      </c>
      <c r="X288" s="2">
        <v>1758</v>
      </c>
      <c r="Y288" s="2" t="s">
        <v>41</v>
      </c>
      <c r="Z288" s="2">
        <v>80</v>
      </c>
      <c r="AA288" s="2">
        <v>2.5</v>
      </c>
      <c r="AB288" s="2" t="s">
        <v>104</v>
      </c>
    </row>
    <row r="289" spans="1:28" x14ac:dyDescent="0.25">
      <c r="A289" s="4" t="s">
        <v>734</v>
      </c>
      <c r="B289" s="4" t="s">
        <v>735</v>
      </c>
      <c r="C289" s="4">
        <v>74</v>
      </c>
      <c r="D289" s="4" t="s">
        <v>30</v>
      </c>
      <c r="E289" s="4" t="s">
        <v>45</v>
      </c>
      <c r="F289" s="4" t="s">
        <v>46</v>
      </c>
      <c r="G289" s="5">
        <v>45117</v>
      </c>
      <c r="H289" s="5">
        <v>45139</v>
      </c>
      <c r="I289" s="4">
        <v>22</v>
      </c>
      <c r="J289" s="4" t="s">
        <v>58</v>
      </c>
      <c r="K289" s="4" t="s">
        <v>88</v>
      </c>
      <c r="L289" s="4" t="s">
        <v>60</v>
      </c>
      <c r="M289" s="4" t="s">
        <v>75</v>
      </c>
      <c r="N289" s="4" t="s">
        <v>118</v>
      </c>
      <c r="O289" s="4" t="s">
        <v>548</v>
      </c>
      <c r="P289" s="4">
        <v>71</v>
      </c>
      <c r="Q289" s="4" t="s">
        <v>50</v>
      </c>
      <c r="R289" s="4" t="s">
        <v>136</v>
      </c>
      <c r="S289" s="4">
        <v>154523</v>
      </c>
      <c r="T289" s="4">
        <v>0</v>
      </c>
      <c r="U289" s="4">
        <v>154523</v>
      </c>
      <c r="V289" s="4">
        <v>132113</v>
      </c>
      <c r="W289" s="4">
        <v>14500</v>
      </c>
      <c r="X289" s="4">
        <v>6075</v>
      </c>
      <c r="Y289" s="4" t="s">
        <v>91</v>
      </c>
      <c r="Z289" s="4">
        <v>49</v>
      </c>
      <c r="AA289" s="4">
        <v>3.5</v>
      </c>
      <c r="AB289" s="4" t="s">
        <v>64</v>
      </c>
    </row>
    <row r="290" spans="1:28" x14ac:dyDescent="0.25">
      <c r="A290" s="2" t="s">
        <v>736</v>
      </c>
      <c r="B290" s="2" t="s">
        <v>240</v>
      </c>
      <c r="C290" s="2">
        <v>83</v>
      </c>
      <c r="D290" s="2" t="s">
        <v>55</v>
      </c>
      <c r="E290" s="2" t="s">
        <v>67</v>
      </c>
      <c r="F290" s="2" t="s">
        <v>150</v>
      </c>
      <c r="G290" s="3">
        <v>44718</v>
      </c>
      <c r="H290" s="3">
        <v>44722</v>
      </c>
      <c r="I290" s="2">
        <v>4</v>
      </c>
      <c r="J290" s="2" t="s">
        <v>140</v>
      </c>
      <c r="K290" s="2" t="s">
        <v>141</v>
      </c>
      <c r="L290" s="2" t="s">
        <v>142</v>
      </c>
      <c r="M290" s="2" t="s">
        <v>83</v>
      </c>
      <c r="N290" s="2" t="s">
        <v>118</v>
      </c>
      <c r="O290" s="2" t="s">
        <v>399</v>
      </c>
      <c r="P290" s="2">
        <v>72</v>
      </c>
      <c r="Q290" s="2" t="s">
        <v>103</v>
      </c>
      <c r="R290" s="2" t="s">
        <v>51</v>
      </c>
      <c r="S290" s="2">
        <v>176168</v>
      </c>
      <c r="T290" s="2">
        <v>107985</v>
      </c>
      <c r="U290" s="2">
        <v>68183</v>
      </c>
      <c r="V290" s="2">
        <v>142133</v>
      </c>
      <c r="W290" s="2">
        <v>26021</v>
      </c>
      <c r="X290" s="2">
        <v>6104</v>
      </c>
      <c r="Y290" s="2" t="s">
        <v>91</v>
      </c>
      <c r="Z290" s="2">
        <v>92</v>
      </c>
      <c r="AA290" s="2">
        <v>2.4</v>
      </c>
      <c r="AB290" s="2" t="s">
        <v>64</v>
      </c>
    </row>
    <row r="291" spans="1:28" x14ac:dyDescent="0.25">
      <c r="A291" s="4" t="s">
        <v>737</v>
      </c>
      <c r="B291" s="4" t="s">
        <v>250</v>
      </c>
      <c r="C291" s="4">
        <v>34</v>
      </c>
      <c r="D291" s="4" t="s">
        <v>30</v>
      </c>
      <c r="E291" s="4" t="s">
        <v>154</v>
      </c>
      <c r="F291" s="4" t="s">
        <v>32</v>
      </c>
      <c r="G291" s="5">
        <v>44828</v>
      </c>
      <c r="H291" s="5">
        <v>44831</v>
      </c>
      <c r="I291" s="4">
        <v>3</v>
      </c>
      <c r="J291" s="4" t="s">
        <v>33</v>
      </c>
      <c r="K291" s="4" t="s">
        <v>81</v>
      </c>
      <c r="L291" s="4" t="s">
        <v>82</v>
      </c>
      <c r="M291" s="4" t="s">
        <v>36</v>
      </c>
      <c r="N291" s="4" t="s">
        <v>62</v>
      </c>
      <c r="O291" s="4" t="s">
        <v>352</v>
      </c>
      <c r="P291" s="4">
        <v>22</v>
      </c>
      <c r="Q291" s="4" t="s">
        <v>39</v>
      </c>
      <c r="R291" s="4" t="s">
        <v>90</v>
      </c>
      <c r="S291" s="4">
        <v>56597</v>
      </c>
      <c r="T291" s="4">
        <v>44030</v>
      </c>
      <c r="U291" s="4">
        <v>12567</v>
      </c>
      <c r="V291" s="4">
        <v>13596</v>
      </c>
      <c r="W291" s="4">
        <v>26986</v>
      </c>
      <c r="X291" s="4">
        <v>11309</v>
      </c>
      <c r="Y291" s="4" t="s">
        <v>41</v>
      </c>
      <c r="Z291" s="4">
        <v>98</v>
      </c>
      <c r="AA291" s="4">
        <v>2.8</v>
      </c>
      <c r="AB291" s="4" t="s">
        <v>104</v>
      </c>
    </row>
    <row r="292" spans="1:28" x14ac:dyDescent="0.25">
      <c r="A292" s="2" t="s">
        <v>738</v>
      </c>
      <c r="B292" s="2" t="s">
        <v>739</v>
      </c>
      <c r="C292" s="2">
        <v>17</v>
      </c>
      <c r="D292" s="2" t="s">
        <v>55</v>
      </c>
      <c r="E292" s="2" t="s">
        <v>31</v>
      </c>
      <c r="F292" s="2" t="s">
        <v>72</v>
      </c>
      <c r="G292" s="3">
        <v>44971</v>
      </c>
      <c r="H292" s="3">
        <v>44977</v>
      </c>
      <c r="I292" s="2">
        <v>6</v>
      </c>
      <c r="J292" s="2" t="s">
        <v>58</v>
      </c>
      <c r="K292" s="2" t="s">
        <v>88</v>
      </c>
      <c r="L292" s="2" t="s">
        <v>60</v>
      </c>
      <c r="M292" s="2" t="s">
        <v>36</v>
      </c>
      <c r="N292" s="2" t="s">
        <v>109</v>
      </c>
      <c r="O292" s="2" t="s">
        <v>211</v>
      </c>
      <c r="P292" s="2">
        <v>179</v>
      </c>
      <c r="Q292" s="2" t="s">
        <v>50</v>
      </c>
      <c r="R292" s="2" t="s">
        <v>40</v>
      </c>
      <c r="S292" s="2">
        <v>177740</v>
      </c>
      <c r="T292" s="2">
        <v>98019</v>
      </c>
      <c r="U292" s="2">
        <v>79721</v>
      </c>
      <c r="V292" s="2">
        <v>136238</v>
      </c>
      <c r="W292" s="2">
        <v>26585</v>
      </c>
      <c r="X292" s="2">
        <v>12436</v>
      </c>
      <c r="Y292" s="2" t="s">
        <v>91</v>
      </c>
      <c r="Z292" s="2">
        <v>92</v>
      </c>
      <c r="AA292" s="2">
        <v>3.7</v>
      </c>
      <c r="AB292" s="2" t="s">
        <v>104</v>
      </c>
    </row>
    <row r="293" spans="1:28" x14ac:dyDescent="0.25">
      <c r="A293" s="4" t="s">
        <v>740</v>
      </c>
      <c r="B293" s="4" t="s">
        <v>741</v>
      </c>
      <c r="C293" s="4">
        <v>29</v>
      </c>
      <c r="D293" s="4" t="s">
        <v>30</v>
      </c>
      <c r="E293" s="4" t="s">
        <v>154</v>
      </c>
      <c r="F293" s="4" t="s">
        <v>94</v>
      </c>
      <c r="G293" s="5">
        <v>44570</v>
      </c>
      <c r="H293" s="5">
        <v>44594</v>
      </c>
      <c r="I293" s="4">
        <v>24</v>
      </c>
      <c r="J293" s="4" t="s">
        <v>33</v>
      </c>
      <c r="K293" s="4" t="s">
        <v>34</v>
      </c>
      <c r="L293" s="4" t="s">
        <v>35</v>
      </c>
      <c r="M293" s="4" t="s">
        <v>75</v>
      </c>
      <c r="N293" s="4" t="s">
        <v>37</v>
      </c>
      <c r="O293" s="4" t="s">
        <v>379</v>
      </c>
      <c r="P293" s="4">
        <v>95</v>
      </c>
      <c r="Q293" s="4" t="s">
        <v>103</v>
      </c>
      <c r="R293" s="4" t="s">
        <v>90</v>
      </c>
      <c r="S293" s="4">
        <v>90682</v>
      </c>
      <c r="T293" s="4">
        <v>65946</v>
      </c>
      <c r="U293" s="4">
        <v>24736</v>
      </c>
      <c r="V293" s="4">
        <v>52408</v>
      </c>
      <c r="W293" s="4">
        <v>28352</v>
      </c>
      <c r="X293" s="4">
        <v>6313</v>
      </c>
      <c r="Y293" s="4" t="s">
        <v>41</v>
      </c>
      <c r="Z293" s="4">
        <v>66</v>
      </c>
      <c r="AA293" s="4">
        <v>2.2999999999999998</v>
      </c>
      <c r="AB293" s="4" t="s">
        <v>52</v>
      </c>
    </row>
    <row r="294" spans="1:28" x14ac:dyDescent="0.25">
      <c r="A294" s="2" t="s">
        <v>742</v>
      </c>
      <c r="B294" s="2" t="s">
        <v>665</v>
      </c>
      <c r="C294" s="2">
        <v>19</v>
      </c>
      <c r="D294" s="2" t="s">
        <v>55</v>
      </c>
      <c r="E294" s="2" t="s">
        <v>87</v>
      </c>
      <c r="F294" s="2" t="s">
        <v>80</v>
      </c>
      <c r="G294" s="3">
        <v>45152</v>
      </c>
      <c r="H294" s="3">
        <v>45170</v>
      </c>
      <c r="I294" s="2">
        <v>18</v>
      </c>
      <c r="J294" s="2" t="s">
        <v>33</v>
      </c>
      <c r="K294" s="2" t="s">
        <v>197</v>
      </c>
      <c r="L294" s="2" t="s">
        <v>198</v>
      </c>
      <c r="M294" s="2" t="s">
        <v>95</v>
      </c>
      <c r="N294" s="2" t="s">
        <v>37</v>
      </c>
      <c r="O294" s="2" t="s">
        <v>230</v>
      </c>
      <c r="P294" s="2">
        <v>146</v>
      </c>
      <c r="Q294" s="2" t="s">
        <v>103</v>
      </c>
      <c r="R294" s="2" t="s">
        <v>51</v>
      </c>
      <c r="S294" s="2">
        <v>128719</v>
      </c>
      <c r="T294" s="2">
        <v>60210</v>
      </c>
      <c r="U294" s="2">
        <v>68509</v>
      </c>
      <c r="V294" s="2">
        <v>86790</v>
      </c>
      <c r="W294" s="2">
        <v>23513</v>
      </c>
      <c r="X294" s="2">
        <v>14280</v>
      </c>
      <c r="Y294" s="2" t="s">
        <v>41</v>
      </c>
      <c r="Z294" s="2">
        <v>94</v>
      </c>
      <c r="AA294" s="2">
        <v>3.3</v>
      </c>
      <c r="AB294" s="2" t="s">
        <v>104</v>
      </c>
    </row>
    <row r="295" spans="1:28" x14ac:dyDescent="0.25">
      <c r="A295" s="4" t="s">
        <v>743</v>
      </c>
      <c r="B295" s="4" t="s">
        <v>744</v>
      </c>
      <c r="C295" s="4">
        <v>52</v>
      </c>
      <c r="D295" s="4" t="s">
        <v>55</v>
      </c>
      <c r="E295" s="4" t="s">
        <v>122</v>
      </c>
      <c r="F295" s="4" t="s">
        <v>150</v>
      </c>
      <c r="G295" s="5">
        <v>44777</v>
      </c>
      <c r="H295" s="5">
        <v>44790</v>
      </c>
      <c r="I295" s="4">
        <v>13</v>
      </c>
      <c r="J295" s="4" t="s">
        <v>33</v>
      </c>
      <c r="K295" s="4" t="s">
        <v>107</v>
      </c>
      <c r="L295" s="4" t="s">
        <v>48</v>
      </c>
      <c r="M295" s="4" t="s">
        <v>36</v>
      </c>
      <c r="N295" s="4" t="s">
        <v>62</v>
      </c>
      <c r="O295" s="4" t="s">
        <v>571</v>
      </c>
      <c r="P295" s="4">
        <v>206</v>
      </c>
      <c r="Q295" s="4" t="s">
        <v>69</v>
      </c>
      <c r="R295" s="4" t="s">
        <v>40</v>
      </c>
      <c r="S295" s="4">
        <v>41916</v>
      </c>
      <c r="T295" s="4">
        <v>19285</v>
      </c>
      <c r="U295" s="4">
        <v>22631</v>
      </c>
      <c r="V295" s="4">
        <v>21963</v>
      </c>
      <c r="W295" s="4">
        <v>12918</v>
      </c>
      <c r="X295" s="4">
        <v>3761</v>
      </c>
      <c r="Y295" s="4" t="s">
        <v>41</v>
      </c>
      <c r="Z295" s="4">
        <v>65</v>
      </c>
      <c r="AA295" s="4">
        <v>2.4</v>
      </c>
      <c r="AB295" s="4" t="s">
        <v>137</v>
      </c>
    </row>
    <row r="296" spans="1:28" x14ac:dyDescent="0.25">
      <c r="A296" s="2" t="s">
        <v>745</v>
      </c>
      <c r="B296" s="2" t="s">
        <v>224</v>
      </c>
      <c r="C296" s="2">
        <v>40</v>
      </c>
      <c r="D296" s="2" t="s">
        <v>30</v>
      </c>
      <c r="E296" s="2" t="s">
        <v>67</v>
      </c>
      <c r="F296" s="2" t="s">
        <v>80</v>
      </c>
      <c r="G296" s="3">
        <v>45536</v>
      </c>
      <c r="H296" s="3">
        <v>45558</v>
      </c>
      <c r="I296" s="2">
        <v>22</v>
      </c>
      <c r="J296" s="2" t="s">
        <v>33</v>
      </c>
      <c r="K296" s="2" t="s">
        <v>233</v>
      </c>
      <c r="L296" s="2" t="s">
        <v>35</v>
      </c>
      <c r="M296" s="2" t="s">
        <v>83</v>
      </c>
      <c r="N296" s="2" t="s">
        <v>118</v>
      </c>
      <c r="O296" s="2" t="s">
        <v>331</v>
      </c>
      <c r="P296" s="2">
        <v>56</v>
      </c>
      <c r="Q296" s="2" t="s">
        <v>69</v>
      </c>
      <c r="R296" s="2" t="s">
        <v>136</v>
      </c>
      <c r="S296" s="2">
        <v>156454</v>
      </c>
      <c r="T296" s="2">
        <v>0</v>
      </c>
      <c r="U296" s="2">
        <v>156454</v>
      </c>
      <c r="V296" s="2">
        <v>133277</v>
      </c>
      <c r="W296" s="2">
        <v>17294</v>
      </c>
      <c r="X296" s="2">
        <v>4281</v>
      </c>
      <c r="Y296" s="2" t="s">
        <v>91</v>
      </c>
      <c r="Z296" s="2">
        <v>87</v>
      </c>
      <c r="AA296" s="2">
        <v>2.2000000000000002</v>
      </c>
      <c r="AB296" s="2" t="s">
        <v>104</v>
      </c>
    </row>
    <row r="297" spans="1:28" x14ac:dyDescent="0.25">
      <c r="A297" s="4" t="s">
        <v>746</v>
      </c>
      <c r="B297" s="4" t="s">
        <v>747</v>
      </c>
      <c r="C297" s="4">
        <v>27</v>
      </c>
      <c r="D297" s="4" t="s">
        <v>30</v>
      </c>
      <c r="E297" s="4" t="s">
        <v>45</v>
      </c>
      <c r="F297" s="4" t="s">
        <v>129</v>
      </c>
      <c r="G297" s="5">
        <v>45182</v>
      </c>
      <c r="H297" s="5">
        <v>45202</v>
      </c>
      <c r="I297" s="4">
        <v>20</v>
      </c>
      <c r="J297" s="4" t="s">
        <v>33</v>
      </c>
      <c r="K297" s="4" t="s">
        <v>233</v>
      </c>
      <c r="L297" s="4" t="s">
        <v>35</v>
      </c>
      <c r="M297" s="4" t="s">
        <v>36</v>
      </c>
      <c r="N297" s="4" t="s">
        <v>37</v>
      </c>
      <c r="O297" s="4" t="s">
        <v>256</v>
      </c>
      <c r="P297" s="4">
        <v>151</v>
      </c>
      <c r="Q297" s="4" t="s">
        <v>103</v>
      </c>
      <c r="R297" s="4" t="s">
        <v>111</v>
      </c>
      <c r="S297" s="4">
        <v>159603</v>
      </c>
      <c r="T297" s="4">
        <v>134521</v>
      </c>
      <c r="U297" s="4">
        <v>25082</v>
      </c>
      <c r="V297" s="4">
        <v>137328</v>
      </c>
      <c r="W297" s="4">
        <v>9574</v>
      </c>
      <c r="X297" s="4">
        <v>9387</v>
      </c>
      <c r="Y297" s="4" t="s">
        <v>41</v>
      </c>
      <c r="Z297" s="4">
        <v>41</v>
      </c>
      <c r="AA297" s="4">
        <v>4.9000000000000004</v>
      </c>
      <c r="AB297" s="4" t="s">
        <v>104</v>
      </c>
    </row>
    <row r="298" spans="1:28" x14ac:dyDescent="0.25">
      <c r="A298" s="2" t="s">
        <v>748</v>
      </c>
      <c r="B298" s="2" t="s">
        <v>749</v>
      </c>
      <c r="C298" s="2">
        <v>54</v>
      </c>
      <c r="D298" s="2" t="s">
        <v>30</v>
      </c>
      <c r="E298" s="2" t="s">
        <v>45</v>
      </c>
      <c r="F298" s="2" t="s">
        <v>114</v>
      </c>
      <c r="G298" s="3">
        <v>45468</v>
      </c>
      <c r="H298" s="3">
        <v>45483</v>
      </c>
      <c r="I298" s="2">
        <v>15</v>
      </c>
      <c r="J298" s="2" t="s">
        <v>33</v>
      </c>
      <c r="K298" s="2" t="s">
        <v>197</v>
      </c>
      <c r="L298" s="2" t="s">
        <v>198</v>
      </c>
      <c r="M298" s="2" t="s">
        <v>143</v>
      </c>
      <c r="N298" s="2" t="s">
        <v>118</v>
      </c>
      <c r="O298" s="2" t="s">
        <v>331</v>
      </c>
      <c r="P298" s="2">
        <v>221</v>
      </c>
      <c r="Q298" s="2" t="s">
        <v>39</v>
      </c>
      <c r="R298" s="2" t="s">
        <v>136</v>
      </c>
      <c r="S298" s="2">
        <v>138380</v>
      </c>
      <c r="T298" s="2">
        <v>0</v>
      </c>
      <c r="U298" s="2">
        <v>138380</v>
      </c>
      <c r="V298" s="2">
        <v>106995</v>
      </c>
      <c r="W298" s="2">
        <v>16972</v>
      </c>
      <c r="X298" s="2">
        <v>13017</v>
      </c>
      <c r="Y298" s="2" t="s">
        <v>41</v>
      </c>
      <c r="Z298" s="2">
        <v>71</v>
      </c>
      <c r="AA298" s="2">
        <v>4</v>
      </c>
      <c r="AB298" s="2" t="s">
        <v>42</v>
      </c>
    </row>
    <row r="299" spans="1:28" x14ac:dyDescent="0.25">
      <c r="A299" s="4" t="s">
        <v>750</v>
      </c>
      <c r="B299" s="4" t="s">
        <v>121</v>
      </c>
      <c r="C299" s="4">
        <v>65</v>
      </c>
      <c r="D299" s="4" t="s">
        <v>55</v>
      </c>
      <c r="E299" s="4" t="s">
        <v>122</v>
      </c>
      <c r="F299" s="4" t="s">
        <v>114</v>
      </c>
      <c r="G299" s="5">
        <v>45101</v>
      </c>
      <c r="H299" s="5">
        <v>45117</v>
      </c>
      <c r="I299" s="4">
        <v>16</v>
      </c>
      <c r="J299" s="4" t="s">
        <v>33</v>
      </c>
      <c r="K299" s="4" t="s">
        <v>278</v>
      </c>
      <c r="L299" s="4" t="s">
        <v>279</v>
      </c>
      <c r="M299" s="4" t="s">
        <v>101</v>
      </c>
      <c r="N299" s="4" t="s">
        <v>118</v>
      </c>
      <c r="O299" s="4" t="s">
        <v>399</v>
      </c>
      <c r="P299" s="4">
        <v>32</v>
      </c>
      <c r="Q299" s="4" t="s">
        <v>69</v>
      </c>
      <c r="R299" s="4" t="s">
        <v>51</v>
      </c>
      <c r="S299" s="4">
        <v>39740</v>
      </c>
      <c r="T299" s="4">
        <v>20055</v>
      </c>
      <c r="U299" s="4">
        <v>19685</v>
      </c>
      <c r="V299" s="4">
        <v>16827</v>
      </c>
      <c r="W299" s="4">
        <v>5200</v>
      </c>
      <c r="X299" s="4">
        <v>14212</v>
      </c>
      <c r="Y299" s="4" t="s">
        <v>41</v>
      </c>
      <c r="Z299" s="4">
        <v>41</v>
      </c>
      <c r="AA299" s="4">
        <v>4.3</v>
      </c>
      <c r="AB299" s="4" t="s">
        <v>52</v>
      </c>
    </row>
    <row r="300" spans="1:28" x14ac:dyDescent="0.25">
      <c r="A300" s="2" t="s">
        <v>751</v>
      </c>
      <c r="B300" s="2" t="s">
        <v>752</v>
      </c>
      <c r="C300" s="2">
        <v>59</v>
      </c>
      <c r="D300" s="2" t="s">
        <v>30</v>
      </c>
      <c r="E300" s="2" t="s">
        <v>45</v>
      </c>
      <c r="F300" s="2" t="s">
        <v>114</v>
      </c>
      <c r="G300" s="3">
        <v>45281</v>
      </c>
      <c r="H300" s="3">
        <v>45283</v>
      </c>
      <c r="I300" s="2">
        <v>2</v>
      </c>
      <c r="J300" s="2" t="s">
        <v>73</v>
      </c>
      <c r="K300" s="2" t="s">
        <v>74</v>
      </c>
      <c r="L300" s="2" t="s">
        <v>73</v>
      </c>
      <c r="M300" s="2" t="s">
        <v>61</v>
      </c>
      <c r="N300" s="2" t="s">
        <v>118</v>
      </c>
      <c r="O300" s="2" t="s">
        <v>520</v>
      </c>
      <c r="P300" s="2">
        <v>467</v>
      </c>
      <c r="Q300" s="2" t="s">
        <v>69</v>
      </c>
      <c r="R300" s="2" t="s">
        <v>136</v>
      </c>
      <c r="S300" s="2">
        <v>51011</v>
      </c>
      <c r="T300" s="2">
        <v>0</v>
      </c>
      <c r="U300" s="2">
        <v>51011</v>
      </c>
      <c r="V300" s="2">
        <v>35007</v>
      </c>
      <c r="W300" s="2">
        <v>12062</v>
      </c>
      <c r="X300" s="2">
        <v>3281</v>
      </c>
      <c r="Y300" s="2" t="s">
        <v>41</v>
      </c>
      <c r="Z300" s="2">
        <v>42</v>
      </c>
      <c r="AA300" s="2">
        <v>3.4</v>
      </c>
      <c r="AB300" s="2" t="s">
        <v>137</v>
      </c>
    </row>
    <row r="301" spans="1:28" x14ac:dyDescent="0.25">
      <c r="A301" s="4" t="s">
        <v>753</v>
      </c>
      <c r="B301" s="4" t="s">
        <v>754</v>
      </c>
      <c r="C301" s="4">
        <v>58</v>
      </c>
      <c r="D301" s="4" t="s">
        <v>30</v>
      </c>
      <c r="E301" s="4" t="s">
        <v>122</v>
      </c>
      <c r="F301" s="4" t="s">
        <v>150</v>
      </c>
      <c r="G301" s="5">
        <v>44607</v>
      </c>
      <c r="H301" s="5">
        <v>44618</v>
      </c>
      <c r="I301" s="4">
        <v>11</v>
      </c>
      <c r="J301" s="4" t="s">
        <v>115</v>
      </c>
      <c r="K301" s="4" t="s">
        <v>116</v>
      </c>
      <c r="L301" s="4" t="s">
        <v>117</v>
      </c>
      <c r="M301" s="4" t="s">
        <v>108</v>
      </c>
      <c r="N301" s="4" t="s">
        <v>118</v>
      </c>
      <c r="O301" s="4" t="s">
        <v>520</v>
      </c>
      <c r="P301" s="4">
        <v>414</v>
      </c>
      <c r="Q301" s="4" t="s">
        <v>103</v>
      </c>
      <c r="R301" s="4" t="s">
        <v>90</v>
      </c>
      <c r="S301" s="4">
        <v>84241</v>
      </c>
      <c r="T301" s="4">
        <v>71052</v>
      </c>
      <c r="U301" s="4">
        <v>13189</v>
      </c>
      <c r="V301" s="4">
        <v>58977</v>
      </c>
      <c r="W301" s="4">
        <v>12008</v>
      </c>
      <c r="X301" s="4">
        <v>8638</v>
      </c>
      <c r="Y301" s="4" t="s">
        <v>41</v>
      </c>
      <c r="Z301" s="4">
        <v>50</v>
      </c>
      <c r="AA301" s="4">
        <v>3.8</v>
      </c>
      <c r="AB301" s="4" t="s">
        <v>52</v>
      </c>
    </row>
    <row r="302" spans="1:28" x14ac:dyDescent="0.25">
      <c r="A302" s="2" t="s">
        <v>755</v>
      </c>
      <c r="B302" s="2" t="s">
        <v>756</v>
      </c>
      <c r="C302" s="2">
        <v>68</v>
      </c>
      <c r="D302" s="2" t="s">
        <v>55</v>
      </c>
      <c r="E302" s="2" t="s">
        <v>31</v>
      </c>
      <c r="F302" s="2" t="s">
        <v>46</v>
      </c>
      <c r="G302" s="3">
        <v>45105</v>
      </c>
      <c r="H302" s="3">
        <v>45107</v>
      </c>
      <c r="I302" s="2">
        <v>2</v>
      </c>
      <c r="J302" s="2" t="s">
        <v>58</v>
      </c>
      <c r="K302" s="2" t="s">
        <v>59</v>
      </c>
      <c r="L302" s="2" t="s">
        <v>60</v>
      </c>
      <c r="M302" s="2" t="s">
        <v>108</v>
      </c>
      <c r="N302" s="2" t="s">
        <v>109</v>
      </c>
      <c r="O302" s="2" t="s">
        <v>520</v>
      </c>
      <c r="P302" s="2">
        <v>368</v>
      </c>
      <c r="Q302" s="2" t="s">
        <v>69</v>
      </c>
      <c r="R302" s="2" t="s">
        <v>51</v>
      </c>
      <c r="S302" s="2">
        <v>109709</v>
      </c>
      <c r="T302" s="2">
        <v>59526</v>
      </c>
      <c r="U302" s="2">
        <v>50183</v>
      </c>
      <c r="V302" s="2">
        <v>93300</v>
      </c>
      <c r="W302" s="2">
        <v>9957</v>
      </c>
      <c r="X302" s="2">
        <v>1602</v>
      </c>
      <c r="Y302" s="2" t="s">
        <v>41</v>
      </c>
      <c r="Z302" s="2">
        <v>90</v>
      </c>
      <c r="AA302" s="2">
        <v>2.2000000000000002</v>
      </c>
      <c r="AB302" s="2" t="s">
        <v>52</v>
      </c>
    </row>
    <row r="303" spans="1:28" x14ac:dyDescent="0.25">
      <c r="A303" s="4" t="s">
        <v>757</v>
      </c>
      <c r="B303" s="4" t="s">
        <v>758</v>
      </c>
      <c r="C303" s="4">
        <v>60</v>
      </c>
      <c r="D303" s="4" t="s">
        <v>30</v>
      </c>
      <c r="E303" s="4" t="s">
        <v>31</v>
      </c>
      <c r="F303" s="4" t="s">
        <v>114</v>
      </c>
      <c r="G303" s="5">
        <v>45385</v>
      </c>
      <c r="H303" s="5">
        <v>45394</v>
      </c>
      <c r="I303" s="4">
        <v>9</v>
      </c>
      <c r="J303" s="4" t="s">
        <v>33</v>
      </c>
      <c r="K303" s="4" t="s">
        <v>233</v>
      </c>
      <c r="L303" s="4" t="s">
        <v>35</v>
      </c>
      <c r="M303" s="4" t="s">
        <v>83</v>
      </c>
      <c r="N303" s="4" t="s">
        <v>109</v>
      </c>
      <c r="O303" s="4" t="s">
        <v>194</v>
      </c>
      <c r="P303" s="4">
        <v>442</v>
      </c>
      <c r="Q303" s="4" t="s">
        <v>39</v>
      </c>
      <c r="R303" s="4" t="s">
        <v>51</v>
      </c>
      <c r="S303" s="4">
        <v>159495</v>
      </c>
      <c r="T303" s="4">
        <v>76618</v>
      </c>
      <c r="U303" s="4">
        <v>82877</v>
      </c>
      <c r="V303" s="4">
        <v>135863</v>
      </c>
      <c r="W303" s="4">
        <v>7978</v>
      </c>
      <c r="X303" s="4">
        <v>11326</v>
      </c>
      <c r="Y303" s="4" t="s">
        <v>41</v>
      </c>
      <c r="Z303" s="4">
        <v>91</v>
      </c>
      <c r="AA303" s="4">
        <v>3.8</v>
      </c>
      <c r="AB303" s="4" t="s">
        <v>137</v>
      </c>
    </row>
    <row r="304" spans="1:28" x14ac:dyDescent="0.25">
      <c r="A304" s="2" t="s">
        <v>759</v>
      </c>
      <c r="B304" s="2" t="s">
        <v>760</v>
      </c>
      <c r="C304" s="2">
        <v>85</v>
      </c>
      <c r="D304" s="2" t="s">
        <v>55</v>
      </c>
      <c r="E304" s="2" t="s">
        <v>31</v>
      </c>
      <c r="F304" s="2" t="s">
        <v>80</v>
      </c>
      <c r="G304" s="3">
        <v>45509</v>
      </c>
      <c r="H304" s="3">
        <v>45514</v>
      </c>
      <c r="I304" s="2">
        <v>5</v>
      </c>
      <c r="J304" s="2" t="s">
        <v>73</v>
      </c>
      <c r="K304" s="2" t="s">
        <v>74</v>
      </c>
      <c r="L304" s="2" t="s">
        <v>73</v>
      </c>
      <c r="M304" s="2" t="s">
        <v>134</v>
      </c>
      <c r="N304" s="2" t="s">
        <v>37</v>
      </c>
      <c r="O304" s="2" t="s">
        <v>390</v>
      </c>
      <c r="P304" s="2">
        <v>441</v>
      </c>
      <c r="Q304" s="2" t="s">
        <v>69</v>
      </c>
      <c r="R304" s="2" t="s">
        <v>40</v>
      </c>
      <c r="S304" s="2">
        <v>139710</v>
      </c>
      <c r="T304" s="2">
        <v>82962</v>
      </c>
      <c r="U304" s="2">
        <v>56748</v>
      </c>
      <c r="V304" s="2">
        <v>113118</v>
      </c>
      <c r="W304" s="2">
        <v>9746</v>
      </c>
      <c r="X304" s="2">
        <v>13995</v>
      </c>
      <c r="Y304" s="2" t="s">
        <v>41</v>
      </c>
      <c r="Z304" s="2">
        <v>78</v>
      </c>
      <c r="AA304" s="2">
        <v>2.7</v>
      </c>
      <c r="AB304" s="2" t="s">
        <v>64</v>
      </c>
    </row>
    <row r="305" spans="1:28" x14ac:dyDescent="0.25">
      <c r="A305" s="4" t="s">
        <v>761</v>
      </c>
      <c r="B305" s="4" t="s">
        <v>446</v>
      </c>
      <c r="C305" s="4">
        <v>29</v>
      </c>
      <c r="D305" s="4" t="s">
        <v>55</v>
      </c>
      <c r="E305" s="4" t="s">
        <v>31</v>
      </c>
      <c r="F305" s="4" t="s">
        <v>46</v>
      </c>
      <c r="G305" s="5">
        <v>45512</v>
      </c>
      <c r="H305" s="5">
        <v>45528</v>
      </c>
      <c r="I305" s="4">
        <v>16</v>
      </c>
      <c r="J305" s="4" t="s">
        <v>33</v>
      </c>
      <c r="K305" s="4" t="s">
        <v>99</v>
      </c>
      <c r="L305" s="4" t="s">
        <v>100</v>
      </c>
      <c r="M305" s="4" t="s">
        <v>108</v>
      </c>
      <c r="N305" s="4" t="s">
        <v>62</v>
      </c>
      <c r="O305" s="4" t="s">
        <v>678</v>
      </c>
      <c r="P305" s="4">
        <v>140</v>
      </c>
      <c r="Q305" s="4" t="s">
        <v>39</v>
      </c>
      <c r="R305" s="4" t="s">
        <v>90</v>
      </c>
      <c r="S305" s="4">
        <v>116052</v>
      </c>
      <c r="T305" s="4">
        <v>92563</v>
      </c>
      <c r="U305" s="4">
        <v>23489</v>
      </c>
      <c r="V305" s="4">
        <v>72737</v>
      </c>
      <c r="W305" s="4">
        <v>26875</v>
      </c>
      <c r="X305" s="4">
        <v>13665</v>
      </c>
      <c r="Y305" s="4" t="s">
        <v>41</v>
      </c>
      <c r="Z305" s="4">
        <v>94</v>
      </c>
      <c r="AA305" s="4">
        <v>2.1</v>
      </c>
      <c r="AB305" s="4" t="s">
        <v>137</v>
      </c>
    </row>
    <row r="306" spans="1:28" x14ac:dyDescent="0.25">
      <c r="A306" s="2" t="s">
        <v>762</v>
      </c>
      <c r="B306" s="2" t="s">
        <v>454</v>
      </c>
      <c r="C306" s="2">
        <v>12</v>
      </c>
      <c r="D306" s="2" t="s">
        <v>55</v>
      </c>
      <c r="E306" s="2" t="s">
        <v>45</v>
      </c>
      <c r="F306" s="2" t="s">
        <v>72</v>
      </c>
      <c r="G306" s="3">
        <v>45172</v>
      </c>
      <c r="H306" s="3">
        <v>45200</v>
      </c>
      <c r="I306" s="2">
        <v>28</v>
      </c>
      <c r="J306" s="2" t="s">
        <v>202</v>
      </c>
      <c r="K306" s="2" t="s">
        <v>203</v>
      </c>
      <c r="L306" s="2" t="s">
        <v>204</v>
      </c>
      <c r="M306" s="2" t="s">
        <v>95</v>
      </c>
      <c r="N306" s="2" t="s">
        <v>62</v>
      </c>
      <c r="O306" s="2" t="s">
        <v>175</v>
      </c>
      <c r="P306" s="2">
        <v>121</v>
      </c>
      <c r="Q306" s="2" t="s">
        <v>69</v>
      </c>
      <c r="R306" s="2" t="s">
        <v>51</v>
      </c>
      <c r="S306" s="2">
        <v>154943</v>
      </c>
      <c r="T306" s="2">
        <v>73682</v>
      </c>
      <c r="U306" s="2">
        <v>81261</v>
      </c>
      <c r="V306" s="2">
        <v>136137</v>
      </c>
      <c r="W306" s="2">
        <v>4953</v>
      </c>
      <c r="X306" s="2">
        <v>9051</v>
      </c>
      <c r="Y306" s="2" t="s">
        <v>41</v>
      </c>
      <c r="Z306" s="2">
        <v>55</v>
      </c>
      <c r="AA306" s="2">
        <v>3.8</v>
      </c>
      <c r="AB306" s="2" t="s">
        <v>52</v>
      </c>
    </row>
    <row r="307" spans="1:28" x14ac:dyDescent="0.25">
      <c r="A307" s="4" t="s">
        <v>763</v>
      </c>
      <c r="B307" s="4" t="s">
        <v>764</v>
      </c>
      <c r="C307" s="4">
        <v>54</v>
      </c>
      <c r="D307" s="4" t="s">
        <v>55</v>
      </c>
      <c r="E307" s="4" t="s">
        <v>67</v>
      </c>
      <c r="F307" s="4" t="s">
        <v>32</v>
      </c>
      <c r="G307" s="5">
        <v>44857</v>
      </c>
      <c r="H307" s="5">
        <v>44861</v>
      </c>
      <c r="I307" s="4">
        <v>4</v>
      </c>
      <c r="J307" s="4" t="s">
        <v>123</v>
      </c>
      <c r="K307" s="4" t="s">
        <v>124</v>
      </c>
      <c r="L307" s="4" t="s">
        <v>125</v>
      </c>
      <c r="M307" s="4" t="s">
        <v>134</v>
      </c>
      <c r="N307" s="4" t="s">
        <v>37</v>
      </c>
      <c r="O307" s="4" t="s">
        <v>63</v>
      </c>
      <c r="P307" s="4">
        <v>442</v>
      </c>
      <c r="Q307" s="4" t="s">
        <v>69</v>
      </c>
      <c r="R307" s="4" t="s">
        <v>111</v>
      </c>
      <c r="S307" s="4">
        <v>171510</v>
      </c>
      <c r="T307" s="4">
        <v>119190</v>
      </c>
      <c r="U307" s="4">
        <v>52320</v>
      </c>
      <c r="V307" s="4">
        <v>144845</v>
      </c>
      <c r="W307" s="4">
        <v>13278</v>
      </c>
      <c r="X307" s="4">
        <v>11962</v>
      </c>
      <c r="Y307" s="4" t="s">
        <v>41</v>
      </c>
      <c r="Z307" s="4">
        <v>83</v>
      </c>
      <c r="AA307" s="4">
        <v>2.7</v>
      </c>
      <c r="AB307" s="4" t="s">
        <v>52</v>
      </c>
    </row>
    <row r="308" spans="1:28" x14ac:dyDescent="0.25">
      <c r="A308" s="2" t="s">
        <v>765</v>
      </c>
      <c r="B308" s="2" t="s">
        <v>360</v>
      </c>
      <c r="C308" s="2">
        <v>51</v>
      </c>
      <c r="D308" s="2" t="s">
        <v>30</v>
      </c>
      <c r="E308" s="2" t="s">
        <v>45</v>
      </c>
      <c r="F308" s="2" t="s">
        <v>46</v>
      </c>
      <c r="G308" s="3">
        <v>44605</v>
      </c>
      <c r="H308" s="3">
        <v>44626</v>
      </c>
      <c r="I308" s="2">
        <v>21</v>
      </c>
      <c r="J308" s="2" t="s">
        <v>33</v>
      </c>
      <c r="K308" s="2" t="s">
        <v>233</v>
      </c>
      <c r="L308" s="2" t="s">
        <v>35</v>
      </c>
      <c r="M308" s="2" t="s">
        <v>130</v>
      </c>
      <c r="N308" s="2" t="s">
        <v>109</v>
      </c>
      <c r="O308" s="2" t="s">
        <v>84</v>
      </c>
      <c r="P308" s="2">
        <v>197</v>
      </c>
      <c r="Q308" s="2" t="s">
        <v>50</v>
      </c>
      <c r="R308" s="2" t="s">
        <v>136</v>
      </c>
      <c r="S308" s="2">
        <v>72662</v>
      </c>
      <c r="T308" s="2">
        <v>0</v>
      </c>
      <c r="U308" s="2">
        <v>72662</v>
      </c>
      <c r="V308" s="2">
        <v>36995</v>
      </c>
      <c r="W308" s="2">
        <v>18527</v>
      </c>
      <c r="X308" s="2">
        <v>14704</v>
      </c>
      <c r="Y308" s="2" t="s">
        <v>41</v>
      </c>
      <c r="Z308" s="2">
        <v>64</v>
      </c>
      <c r="AA308" s="2">
        <v>2</v>
      </c>
      <c r="AB308" s="2" t="s">
        <v>137</v>
      </c>
    </row>
    <row r="309" spans="1:28" x14ac:dyDescent="0.25">
      <c r="A309" s="4" t="s">
        <v>766</v>
      </c>
      <c r="B309" s="4" t="s">
        <v>767</v>
      </c>
      <c r="C309" s="4">
        <v>43</v>
      </c>
      <c r="D309" s="4" t="s">
        <v>55</v>
      </c>
      <c r="E309" s="4" t="s">
        <v>31</v>
      </c>
      <c r="F309" s="4" t="s">
        <v>46</v>
      </c>
      <c r="G309" s="5">
        <v>44992</v>
      </c>
      <c r="H309" s="5">
        <v>45020</v>
      </c>
      <c r="I309" s="4">
        <v>28</v>
      </c>
      <c r="J309" s="4" t="s">
        <v>123</v>
      </c>
      <c r="K309" s="4" t="s">
        <v>124</v>
      </c>
      <c r="L309" s="4" t="s">
        <v>125</v>
      </c>
      <c r="M309" s="4" t="s">
        <v>95</v>
      </c>
      <c r="N309" s="4" t="s">
        <v>37</v>
      </c>
      <c r="O309" s="4" t="s">
        <v>428</v>
      </c>
      <c r="P309" s="4">
        <v>444</v>
      </c>
      <c r="Q309" s="4" t="s">
        <v>69</v>
      </c>
      <c r="R309" s="4" t="s">
        <v>111</v>
      </c>
      <c r="S309" s="4">
        <v>164131</v>
      </c>
      <c r="T309" s="4">
        <v>133802</v>
      </c>
      <c r="U309" s="4">
        <v>30329</v>
      </c>
      <c r="V309" s="4">
        <v>128493</v>
      </c>
      <c r="W309" s="4">
        <v>25148</v>
      </c>
      <c r="X309" s="4">
        <v>7265</v>
      </c>
      <c r="Y309" s="4" t="s">
        <v>41</v>
      </c>
      <c r="Z309" s="4">
        <v>92</v>
      </c>
      <c r="AA309" s="4">
        <v>2.2999999999999998</v>
      </c>
      <c r="AB309" s="4" t="s">
        <v>64</v>
      </c>
    </row>
    <row r="310" spans="1:28" x14ac:dyDescent="0.25">
      <c r="A310" s="2" t="s">
        <v>768</v>
      </c>
      <c r="B310" s="2" t="s">
        <v>769</v>
      </c>
      <c r="C310" s="2">
        <v>69</v>
      </c>
      <c r="D310" s="2" t="s">
        <v>55</v>
      </c>
      <c r="E310" s="2" t="s">
        <v>45</v>
      </c>
      <c r="F310" s="2" t="s">
        <v>114</v>
      </c>
      <c r="G310" s="3">
        <v>45231</v>
      </c>
      <c r="H310" s="3">
        <v>45246</v>
      </c>
      <c r="I310" s="2">
        <v>15</v>
      </c>
      <c r="J310" s="2" t="s">
        <v>123</v>
      </c>
      <c r="K310" s="2" t="s">
        <v>251</v>
      </c>
      <c r="L310" s="2" t="s">
        <v>125</v>
      </c>
      <c r="M310" s="2" t="s">
        <v>143</v>
      </c>
      <c r="N310" s="2" t="s">
        <v>37</v>
      </c>
      <c r="O310" s="2" t="s">
        <v>548</v>
      </c>
      <c r="P310" s="2">
        <v>206</v>
      </c>
      <c r="Q310" s="2" t="s">
        <v>39</v>
      </c>
      <c r="R310" s="2" t="s">
        <v>136</v>
      </c>
      <c r="S310" s="2">
        <v>110362</v>
      </c>
      <c r="T310" s="2">
        <v>0</v>
      </c>
      <c r="U310" s="2">
        <v>110362</v>
      </c>
      <c r="V310" s="2">
        <v>87240</v>
      </c>
      <c r="W310" s="2">
        <v>19868</v>
      </c>
      <c r="X310" s="2">
        <v>1847</v>
      </c>
      <c r="Y310" s="2" t="s">
        <v>41</v>
      </c>
      <c r="Z310" s="2">
        <v>73</v>
      </c>
      <c r="AA310" s="2">
        <v>4.0999999999999996</v>
      </c>
      <c r="AB310" s="2" t="s">
        <v>64</v>
      </c>
    </row>
    <row r="311" spans="1:28" x14ac:dyDescent="0.25">
      <c r="A311" s="4" t="s">
        <v>770</v>
      </c>
      <c r="B311" s="4" t="s">
        <v>771</v>
      </c>
      <c r="C311" s="4">
        <v>57</v>
      </c>
      <c r="D311" s="4" t="s">
        <v>30</v>
      </c>
      <c r="E311" s="4" t="s">
        <v>87</v>
      </c>
      <c r="F311" s="4" t="s">
        <v>150</v>
      </c>
      <c r="G311" s="5">
        <v>44835</v>
      </c>
      <c r="H311" s="5">
        <v>44844</v>
      </c>
      <c r="I311" s="4">
        <v>9</v>
      </c>
      <c r="J311" s="4" t="s">
        <v>123</v>
      </c>
      <c r="K311" s="4" t="s">
        <v>124</v>
      </c>
      <c r="L311" s="4" t="s">
        <v>125</v>
      </c>
      <c r="M311" s="4" t="s">
        <v>95</v>
      </c>
      <c r="N311" s="4" t="s">
        <v>118</v>
      </c>
      <c r="O311" s="4" t="s">
        <v>365</v>
      </c>
      <c r="P311" s="4">
        <v>213</v>
      </c>
      <c r="Q311" s="4" t="s">
        <v>50</v>
      </c>
      <c r="R311" s="4" t="s">
        <v>40</v>
      </c>
      <c r="S311" s="4">
        <v>146889</v>
      </c>
      <c r="T311" s="4">
        <v>59669</v>
      </c>
      <c r="U311" s="4">
        <v>87220</v>
      </c>
      <c r="V311" s="4">
        <v>108152</v>
      </c>
      <c r="W311" s="4">
        <v>29717</v>
      </c>
      <c r="X311" s="4">
        <v>6682</v>
      </c>
      <c r="Y311" s="4" t="s">
        <v>91</v>
      </c>
      <c r="Z311" s="4">
        <v>75</v>
      </c>
      <c r="AA311" s="4">
        <v>3.9</v>
      </c>
      <c r="AB311" s="4" t="s">
        <v>64</v>
      </c>
    </row>
    <row r="312" spans="1:28" x14ac:dyDescent="0.25">
      <c r="A312" s="2" t="s">
        <v>772</v>
      </c>
      <c r="B312" s="2" t="s">
        <v>270</v>
      </c>
      <c r="C312" s="2">
        <v>64</v>
      </c>
      <c r="D312" s="2" t="s">
        <v>55</v>
      </c>
      <c r="E312" s="2" t="s">
        <v>79</v>
      </c>
      <c r="F312" s="2" t="s">
        <v>129</v>
      </c>
      <c r="G312" s="3">
        <v>44663</v>
      </c>
      <c r="H312" s="3">
        <v>44676</v>
      </c>
      <c r="I312" s="2">
        <v>13</v>
      </c>
      <c r="J312" s="2" t="s">
        <v>33</v>
      </c>
      <c r="K312" s="2" t="s">
        <v>233</v>
      </c>
      <c r="L312" s="2" t="s">
        <v>35</v>
      </c>
      <c r="M312" s="2" t="s">
        <v>101</v>
      </c>
      <c r="N312" s="2" t="s">
        <v>118</v>
      </c>
      <c r="O312" s="2" t="s">
        <v>509</v>
      </c>
      <c r="P312" s="2">
        <v>491</v>
      </c>
      <c r="Q312" s="2" t="s">
        <v>50</v>
      </c>
      <c r="R312" s="2" t="s">
        <v>40</v>
      </c>
      <c r="S312" s="2">
        <v>54304</v>
      </c>
      <c r="T312" s="2">
        <v>28811</v>
      </c>
      <c r="U312" s="2">
        <v>25493</v>
      </c>
      <c r="V312" s="2">
        <v>35762</v>
      </c>
      <c r="W312" s="2">
        <v>1462</v>
      </c>
      <c r="X312" s="2">
        <v>12273</v>
      </c>
      <c r="Y312" s="2" t="s">
        <v>41</v>
      </c>
      <c r="Z312" s="2">
        <v>69</v>
      </c>
      <c r="AA312" s="2">
        <v>4.5</v>
      </c>
      <c r="AB312" s="2" t="s">
        <v>137</v>
      </c>
    </row>
    <row r="313" spans="1:28" x14ac:dyDescent="0.25">
      <c r="A313" s="4" t="s">
        <v>773</v>
      </c>
      <c r="B313" s="4" t="s">
        <v>774</v>
      </c>
      <c r="C313" s="4">
        <v>31</v>
      </c>
      <c r="D313" s="4" t="s">
        <v>55</v>
      </c>
      <c r="E313" s="4" t="s">
        <v>79</v>
      </c>
      <c r="F313" s="4" t="s">
        <v>46</v>
      </c>
      <c r="G313" s="5">
        <v>45574</v>
      </c>
      <c r="H313" s="5">
        <v>45587</v>
      </c>
      <c r="I313" s="4">
        <v>13</v>
      </c>
      <c r="J313" s="4" t="s">
        <v>140</v>
      </c>
      <c r="K313" s="4" t="s">
        <v>141</v>
      </c>
      <c r="L313" s="4" t="s">
        <v>142</v>
      </c>
      <c r="M313" s="4" t="s">
        <v>61</v>
      </c>
      <c r="N313" s="4" t="s">
        <v>109</v>
      </c>
      <c r="O313" s="4" t="s">
        <v>543</v>
      </c>
      <c r="P313" s="4">
        <v>215</v>
      </c>
      <c r="Q313" s="4" t="s">
        <v>39</v>
      </c>
      <c r="R313" s="4" t="s">
        <v>111</v>
      </c>
      <c r="S313" s="4">
        <v>53098</v>
      </c>
      <c r="T313" s="4">
        <v>35610</v>
      </c>
      <c r="U313" s="4">
        <v>17488</v>
      </c>
      <c r="V313" s="4">
        <v>43258</v>
      </c>
      <c r="W313" s="4">
        <v>1942</v>
      </c>
      <c r="X313" s="4">
        <v>5254</v>
      </c>
      <c r="Y313" s="4" t="s">
        <v>41</v>
      </c>
      <c r="Z313" s="4">
        <v>55</v>
      </c>
      <c r="AA313" s="4">
        <v>3.1</v>
      </c>
      <c r="AB313" s="4" t="s">
        <v>137</v>
      </c>
    </row>
    <row r="314" spans="1:28" x14ac:dyDescent="0.25">
      <c r="A314" s="2" t="s">
        <v>775</v>
      </c>
      <c r="B314" s="2" t="s">
        <v>776</v>
      </c>
      <c r="C314" s="2">
        <v>65</v>
      </c>
      <c r="D314" s="2" t="s">
        <v>55</v>
      </c>
      <c r="E314" s="2" t="s">
        <v>45</v>
      </c>
      <c r="F314" s="2" t="s">
        <v>114</v>
      </c>
      <c r="G314" s="3">
        <v>44996</v>
      </c>
      <c r="H314" s="3">
        <v>45019</v>
      </c>
      <c r="I314" s="2">
        <v>23</v>
      </c>
      <c r="J314" s="2" t="s">
        <v>115</v>
      </c>
      <c r="K314" s="2" t="s">
        <v>116</v>
      </c>
      <c r="L314" s="2" t="s">
        <v>117</v>
      </c>
      <c r="M314" s="2" t="s">
        <v>101</v>
      </c>
      <c r="N314" s="2" t="s">
        <v>118</v>
      </c>
      <c r="O314" s="2" t="s">
        <v>580</v>
      </c>
      <c r="P314" s="2">
        <v>286</v>
      </c>
      <c r="Q314" s="2" t="s">
        <v>69</v>
      </c>
      <c r="R314" s="2" t="s">
        <v>90</v>
      </c>
      <c r="S314" s="2">
        <v>112569</v>
      </c>
      <c r="T314" s="2">
        <v>101202</v>
      </c>
      <c r="U314" s="2">
        <v>11367</v>
      </c>
      <c r="V314" s="2">
        <v>92257</v>
      </c>
      <c r="W314" s="2">
        <v>8695</v>
      </c>
      <c r="X314" s="2">
        <v>8215</v>
      </c>
      <c r="Y314" s="2" t="s">
        <v>41</v>
      </c>
      <c r="Z314" s="2">
        <v>91</v>
      </c>
      <c r="AA314" s="2">
        <v>3.8</v>
      </c>
      <c r="AB314" s="2" t="s">
        <v>104</v>
      </c>
    </row>
    <row r="315" spans="1:28" x14ac:dyDescent="0.25">
      <c r="A315" s="4" t="s">
        <v>777</v>
      </c>
      <c r="B315" s="4" t="s">
        <v>345</v>
      </c>
      <c r="C315" s="4">
        <v>69</v>
      </c>
      <c r="D315" s="4" t="s">
        <v>30</v>
      </c>
      <c r="E315" s="4" t="s">
        <v>79</v>
      </c>
      <c r="F315" s="4" t="s">
        <v>114</v>
      </c>
      <c r="G315" s="5">
        <v>45321</v>
      </c>
      <c r="H315" s="5">
        <v>45326</v>
      </c>
      <c r="I315" s="4">
        <v>5</v>
      </c>
      <c r="J315" s="4" t="s">
        <v>33</v>
      </c>
      <c r="K315" s="4" t="s">
        <v>99</v>
      </c>
      <c r="L315" s="4" t="s">
        <v>100</v>
      </c>
      <c r="M315" s="4" t="s">
        <v>101</v>
      </c>
      <c r="N315" s="4" t="s">
        <v>109</v>
      </c>
      <c r="O315" s="4" t="s">
        <v>455</v>
      </c>
      <c r="P315" s="4">
        <v>258</v>
      </c>
      <c r="Q315" s="4" t="s">
        <v>103</v>
      </c>
      <c r="R315" s="4" t="s">
        <v>136</v>
      </c>
      <c r="S315" s="4">
        <v>138094</v>
      </c>
      <c r="T315" s="4">
        <v>0</v>
      </c>
      <c r="U315" s="4">
        <v>138094</v>
      </c>
      <c r="V315" s="4">
        <v>127705</v>
      </c>
      <c r="W315" s="4">
        <v>5322</v>
      </c>
      <c r="X315" s="4">
        <v>1968</v>
      </c>
      <c r="Y315" s="4" t="s">
        <v>41</v>
      </c>
      <c r="Z315" s="4">
        <v>67</v>
      </c>
      <c r="AA315" s="4">
        <v>2.4</v>
      </c>
      <c r="AB315" s="4" t="s">
        <v>104</v>
      </c>
    </row>
    <row r="316" spans="1:28" x14ac:dyDescent="0.25">
      <c r="A316" s="2" t="s">
        <v>778</v>
      </c>
      <c r="B316" s="2" t="s">
        <v>779</v>
      </c>
      <c r="C316" s="2">
        <v>21</v>
      </c>
      <c r="D316" s="2" t="s">
        <v>30</v>
      </c>
      <c r="E316" s="2" t="s">
        <v>79</v>
      </c>
      <c r="F316" s="2" t="s">
        <v>80</v>
      </c>
      <c r="G316" s="3">
        <v>45442</v>
      </c>
      <c r="H316" s="3">
        <v>45452</v>
      </c>
      <c r="I316" s="2">
        <v>10</v>
      </c>
      <c r="J316" s="2" t="s">
        <v>140</v>
      </c>
      <c r="K316" s="2" t="s">
        <v>167</v>
      </c>
      <c r="L316" s="2" t="s">
        <v>142</v>
      </c>
      <c r="M316" s="2" t="s">
        <v>134</v>
      </c>
      <c r="N316" s="2" t="s">
        <v>118</v>
      </c>
      <c r="O316" s="2" t="s">
        <v>175</v>
      </c>
      <c r="P316" s="2">
        <v>162</v>
      </c>
      <c r="Q316" s="2" t="s">
        <v>103</v>
      </c>
      <c r="R316" s="2" t="s">
        <v>40</v>
      </c>
      <c r="S316" s="2">
        <v>128395</v>
      </c>
      <c r="T316" s="2">
        <v>53460</v>
      </c>
      <c r="U316" s="2">
        <v>74935</v>
      </c>
      <c r="V316" s="2">
        <v>120340</v>
      </c>
      <c r="W316" s="2">
        <v>2743</v>
      </c>
      <c r="X316" s="2">
        <v>3595</v>
      </c>
      <c r="Y316" s="2" t="s">
        <v>41</v>
      </c>
      <c r="Z316" s="2">
        <v>70</v>
      </c>
      <c r="AA316" s="2">
        <v>2.8</v>
      </c>
      <c r="AB316" s="2" t="s">
        <v>137</v>
      </c>
    </row>
    <row r="317" spans="1:28" x14ac:dyDescent="0.25">
      <c r="A317" s="4" t="s">
        <v>780</v>
      </c>
      <c r="B317" s="4" t="s">
        <v>749</v>
      </c>
      <c r="C317" s="4">
        <v>68</v>
      </c>
      <c r="D317" s="4" t="s">
        <v>55</v>
      </c>
      <c r="E317" s="4" t="s">
        <v>87</v>
      </c>
      <c r="F317" s="4" t="s">
        <v>80</v>
      </c>
      <c r="G317" s="5">
        <v>45555</v>
      </c>
      <c r="H317" s="5">
        <v>45570</v>
      </c>
      <c r="I317" s="4">
        <v>15</v>
      </c>
      <c r="J317" s="4" t="s">
        <v>33</v>
      </c>
      <c r="K317" s="4" t="s">
        <v>174</v>
      </c>
      <c r="L317" s="4" t="s">
        <v>48</v>
      </c>
      <c r="M317" s="4" t="s">
        <v>143</v>
      </c>
      <c r="N317" s="4" t="s">
        <v>62</v>
      </c>
      <c r="O317" s="4" t="s">
        <v>282</v>
      </c>
      <c r="P317" s="4">
        <v>105</v>
      </c>
      <c r="Q317" s="4" t="s">
        <v>50</v>
      </c>
      <c r="R317" s="4" t="s">
        <v>40</v>
      </c>
      <c r="S317" s="4">
        <v>86259</v>
      </c>
      <c r="T317" s="4">
        <v>49079</v>
      </c>
      <c r="U317" s="4">
        <v>37180</v>
      </c>
      <c r="V317" s="4">
        <v>49117</v>
      </c>
      <c r="W317" s="4">
        <v>25573</v>
      </c>
      <c r="X317" s="4">
        <v>8835</v>
      </c>
      <c r="Y317" s="4" t="s">
        <v>41</v>
      </c>
      <c r="Z317" s="4">
        <v>53</v>
      </c>
      <c r="AA317" s="4">
        <v>3.8</v>
      </c>
      <c r="AB317" s="4" t="s">
        <v>104</v>
      </c>
    </row>
    <row r="318" spans="1:28" x14ac:dyDescent="0.25">
      <c r="A318" s="2" t="s">
        <v>781</v>
      </c>
      <c r="B318" s="2" t="s">
        <v>477</v>
      </c>
      <c r="C318" s="2">
        <v>28</v>
      </c>
      <c r="D318" s="2" t="s">
        <v>30</v>
      </c>
      <c r="E318" s="2" t="s">
        <v>56</v>
      </c>
      <c r="F318" s="2" t="s">
        <v>32</v>
      </c>
      <c r="G318" s="3">
        <v>45582</v>
      </c>
      <c r="H318" s="3">
        <v>45604</v>
      </c>
      <c r="I318" s="2">
        <v>22</v>
      </c>
      <c r="J318" s="2" t="s">
        <v>33</v>
      </c>
      <c r="K318" s="2" t="s">
        <v>34</v>
      </c>
      <c r="L318" s="2" t="s">
        <v>35</v>
      </c>
      <c r="M318" s="2" t="s">
        <v>130</v>
      </c>
      <c r="N318" s="2" t="s">
        <v>118</v>
      </c>
      <c r="O318" s="2" t="s">
        <v>230</v>
      </c>
      <c r="P318" s="2">
        <v>192</v>
      </c>
      <c r="Q318" s="2" t="s">
        <v>69</v>
      </c>
      <c r="R318" s="2" t="s">
        <v>136</v>
      </c>
      <c r="S318" s="2">
        <v>53355</v>
      </c>
      <c r="T318" s="2">
        <v>0</v>
      </c>
      <c r="U318" s="2">
        <v>53355</v>
      </c>
      <c r="V318" s="2">
        <v>45311</v>
      </c>
      <c r="W318" s="2">
        <v>1946</v>
      </c>
      <c r="X318" s="2">
        <v>1828</v>
      </c>
      <c r="Y318" s="2" t="s">
        <v>41</v>
      </c>
      <c r="Z318" s="2">
        <v>82</v>
      </c>
      <c r="AA318" s="2">
        <v>3.4</v>
      </c>
      <c r="AB318" s="2" t="s">
        <v>52</v>
      </c>
    </row>
    <row r="319" spans="1:28" x14ac:dyDescent="0.25">
      <c r="A319" s="4" t="s">
        <v>782</v>
      </c>
      <c r="B319" s="4" t="s">
        <v>783</v>
      </c>
      <c r="C319" s="4">
        <v>47</v>
      </c>
      <c r="D319" s="4" t="s">
        <v>55</v>
      </c>
      <c r="E319" s="4" t="s">
        <v>87</v>
      </c>
      <c r="F319" s="4" t="s">
        <v>80</v>
      </c>
      <c r="G319" s="5">
        <v>44826</v>
      </c>
      <c r="H319" s="5">
        <v>44833</v>
      </c>
      <c r="I319" s="4">
        <v>7</v>
      </c>
      <c r="J319" s="4" t="s">
        <v>33</v>
      </c>
      <c r="K319" s="4" t="s">
        <v>197</v>
      </c>
      <c r="L319" s="4" t="s">
        <v>198</v>
      </c>
      <c r="M319" s="4" t="s">
        <v>95</v>
      </c>
      <c r="N319" s="4" t="s">
        <v>62</v>
      </c>
      <c r="O319" s="4" t="s">
        <v>135</v>
      </c>
      <c r="P319" s="4">
        <v>488</v>
      </c>
      <c r="Q319" s="4" t="s">
        <v>103</v>
      </c>
      <c r="R319" s="4" t="s">
        <v>90</v>
      </c>
      <c r="S319" s="4">
        <v>124801</v>
      </c>
      <c r="T319" s="4">
        <v>111012</v>
      </c>
      <c r="U319" s="4">
        <v>13789</v>
      </c>
      <c r="V319" s="4">
        <v>109558</v>
      </c>
      <c r="W319" s="4">
        <v>9361</v>
      </c>
      <c r="X319" s="4">
        <v>3416</v>
      </c>
      <c r="Y319" s="4" t="s">
        <v>41</v>
      </c>
      <c r="Z319" s="4">
        <v>45</v>
      </c>
      <c r="AA319" s="4">
        <v>2.1</v>
      </c>
      <c r="AB319" s="4" t="s">
        <v>64</v>
      </c>
    </row>
    <row r="320" spans="1:28" x14ac:dyDescent="0.25">
      <c r="A320" s="2" t="s">
        <v>784</v>
      </c>
      <c r="B320" s="2" t="s">
        <v>785</v>
      </c>
      <c r="C320" s="2">
        <v>56</v>
      </c>
      <c r="D320" s="2" t="s">
        <v>30</v>
      </c>
      <c r="E320" s="2" t="s">
        <v>154</v>
      </c>
      <c r="F320" s="2" t="s">
        <v>157</v>
      </c>
      <c r="G320" s="3">
        <v>45173</v>
      </c>
      <c r="H320" s="3">
        <v>45189</v>
      </c>
      <c r="I320" s="2">
        <v>16</v>
      </c>
      <c r="J320" s="2" t="s">
        <v>33</v>
      </c>
      <c r="K320" s="2" t="s">
        <v>81</v>
      </c>
      <c r="L320" s="2" t="s">
        <v>82</v>
      </c>
      <c r="M320" s="2" t="s">
        <v>101</v>
      </c>
      <c r="N320" s="2" t="s">
        <v>109</v>
      </c>
      <c r="O320" s="2" t="s">
        <v>282</v>
      </c>
      <c r="P320" s="2">
        <v>427</v>
      </c>
      <c r="Q320" s="2" t="s">
        <v>50</v>
      </c>
      <c r="R320" s="2" t="s">
        <v>51</v>
      </c>
      <c r="S320" s="2">
        <v>85915</v>
      </c>
      <c r="T320" s="2">
        <v>46646</v>
      </c>
      <c r="U320" s="2">
        <v>39269</v>
      </c>
      <c r="V320" s="2">
        <v>57395</v>
      </c>
      <c r="W320" s="2">
        <v>17043</v>
      </c>
      <c r="X320" s="2">
        <v>7798</v>
      </c>
      <c r="Y320" s="2" t="s">
        <v>41</v>
      </c>
      <c r="Z320" s="2">
        <v>67</v>
      </c>
      <c r="AA320" s="2">
        <v>2.2999999999999998</v>
      </c>
      <c r="AB320" s="2" t="s">
        <v>137</v>
      </c>
    </row>
    <row r="321" spans="1:28" x14ac:dyDescent="0.25">
      <c r="A321" s="4" t="s">
        <v>786</v>
      </c>
      <c r="B321" s="4" t="s">
        <v>463</v>
      </c>
      <c r="C321" s="4">
        <v>83</v>
      </c>
      <c r="D321" s="4" t="s">
        <v>55</v>
      </c>
      <c r="E321" s="4" t="s">
        <v>67</v>
      </c>
      <c r="F321" s="4" t="s">
        <v>114</v>
      </c>
      <c r="G321" s="5">
        <v>44752</v>
      </c>
      <c r="H321" s="5">
        <v>44754</v>
      </c>
      <c r="I321" s="4">
        <v>2</v>
      </c>
      <c r="J321" s="4" t="s">
        <v>202</v>
      </c>
      <c r="K321" s="4" t="s">
        <v>225</v>
      </c>
      <c r="L321" s="4" t="s">
        <v>226</v>
      </c>
      <c r="M321" s="4" t="s">
        <v>83</v>
      </c>
      <c r="N321" s="4" t="s">
        <v>109</v>
      </c>
      <c r="O321" s="4" t="s">
        <v>331</v>
      </c>
      <c r="P321" s="4">
        <v>270</v>
      </c>
      <c r="Q321" s="4" t="s">
        <v>69</v>
      </c>
      <c r="R321" s="4" t="s">
        <v>136</v>
      </c>
      <c r="S321" s="4">
        <v>149280</v>
      </c>
      <c r="T321" s="4">
        <v>0</v>
      </c>
      <c r="U321" s="4">
        <v>149280</v>
      </c>
      <c r="V321" s="4">
        <v>127740</v>
      </c>
      <c r="W321" s="4">
        <v>15331</v>
      </c>
      <c r="X321" s="4">
        <v>1797</v>
      </c>
      <c r="Y321" s="4" t="s">
        <v>41</v>
      </c>
      <c r="Z321" s="4">
        <v>48</v>
      </c>
      <c r="AA321" s="4">
        <v>4.0999999999999996</v>
      </c>
      <c r="AB321" s="4" t="s">
        <v>52</v>
      </c>
    </row>
    <row r="322" spans="1:28" x14ac:dyDescent="0.25">
      <c r="A322" s="2" t="s">
        <v>787</v>
      </c>
      <c r="B322" s="2" t="s">
        <v>372</v>
      </c>
      <c r="C322" s="2">
        <v>71</v>
      </c>
      <c r="D322" s="2" t="s">
        <v>30</v>
      </c>
      <c r="E322" s="2" t="s">
        <v>79</v>
      </c>
      <c r="F322" s="2" t="s">
        <v>72</v>
      </c>
      <c r="G322" s="3">
        <v>44659</v>
      </c>
      <c r="H322" s="3">
        <v>44677</v>
      </c>
      <c r="I322" s="2">
        <v>18</v>
      </c>
      <c r="J322" s="2" t="s">
        <v>202</v>
      </c>
      <c r="K322" s="2" t="s">
        <v>203</v>
      </c>
      <c r="L322" s="2" t="s">
        <v>204</v>
      </c>
      <c r="M322" s="2" t="s">
        <v>75</v>
      </c>
      <c r="N322" s="2" t="s">
        <v>62</v>
      </c>
      <c r="O322" s="2" t="s">
        <v>144</v>
      </c>
      <c r="P322" s="2">
        <v>212</v>
      </c>
      <c r="Q322" s="2" t="s">
        <v>69</v>
      </c>
      <c r="R322" s="2" t="s">
        <v>111</v>
      </c>
      <c r="S322" s="2">
        <v>89913</v>
      </c>
      <c r="T322" s="2">
        <v>74681</v>
      </c>
      <c r="U322" s="2">
        <v>15232</v>
      </c>
      <c r="V322" s="2">
        <v>71422</v>
      </c>
      <c r="W322" s="2">
        <v>12647</v>
      </c>
      <c r="X322" s="2">
        <v>4675</v>
      </c>
      <c r="Y322" s="2" t="s">
        <v>91</v>
      </c>
      <c r="Z322" s="2">
        <v>87</v>
      </c>
      <c r="AA322" s="2">
        <v>4</v>
      </c>
      <c r="AB322" s="2" t="s">
        <v>64</v>
      </c>
    </row>
    <row r="323" spans="1:28" x14ac:dyDescent="0.25">
      <c r="A323" s="4" t="s">
        <v>788</v>
      </c>
      <c r="B323" s="4" t="s">
        <v>375</v>
      </c>
      <c r="C323" s="4">
        <v>55</v>
      </c>
      <c r="D323" s="4" t="s">
        <v>55</v>
      </c>
      <c r="E323" s="4" t="s">
        <v>56</v>
      </c>
      <c r="F323" s="4" t="s">
        <v>114</v>
      </c>
      <c r="G323" s="5">
        <v>45171</v>
      </c>
      <c r="H323" s="5">
        <v>45182</v>
      </c>
      <c r="I323" s="4">
        <v>11</v>
      </c>
      <c r="J323" s="4" t="s">
        <v>33</v>
      </c>
      <c r="K323" s="4" t="s">
        <v>278</v>
      </c>
      <c r="L323" s="4" t="s">
        <v>279</v>
      </c>
      <c r="M323" s="4" t="s">
        <v>83</v>
      </c>
      <c r="N323" s="4" t="s">
        <v>118</v>
      </c>
      <c r="O323" s="4" t="s">
        <v>355</v>
      </c>
      <c r="P323" s="4">
        <v>109</v>
      </c>
      <c r="Q323" s="4" t="s">
        <v>39</v>
      </c>
      <c r="R323" s="4" t="s">
        <v>90</v>
      </c>
      <c r="S323" s="4">
        <v>115443</v>
      </c>
      <c r="T323" s="4">
        <v>84290</v>
      </c>
      <c r="U323" s="4">
        <v>31153</v>
      </c>
      <c r="V323" s="4">
        <v>72978</v>
      </c>
      <c r="W323" s="4">
        <v>29561</v>
      </c>
      <c r="X323" s="4">
        <v>11533</v>
      </c>
      <c r="Y323" s="4" t="s">
        <v>91</v>
      </c>
      <c r="Z323" s="4">
        <v>65</v>
      </c>
      <c r="AA323" s="4">
        <v>2.4</v>
      </c>
      <c r="AB323" s="4" t="s">
        <v>64</v>
      </c>
    </row>
    <row r="324" spans="1:28" x14ac:dyDescent="0.25">
      <c r="A324" s="2" t="s">
        <v>789</v>
      </c>
      <c r="B324" s="2" t="s">
        <v>790</v>
      </c>
      <c r="C324" s="2">
        <v>63</v>
      </c>
      <c r="D324" s="2" t="s">
        <v>30</v>
      </c>
      <c r="E324" s="2" t="s">
        <v>87</v>
      </c>
      <c r="F324" s="2" t="s">
        <v>46</v>
      </c>
      <c r="G324" s="3">
        <v>45300</v>
      </c>
      <c r="H324" s="3">
        <v>45323</v>
      </c>
      <c r="I324" s="2">
        <v>23</v>
      </c>
      <c r="J324" s="2" t="s">
        <v>115</v>
      </c>
      <c r="K324" s="2" t="s">
        <v>116</v>
      </c>
      <c r="L324" s="2" t="s">
        <v>117</v>
      </c>
      <c r="M324" s="2" t="s">
        <v>36</v>
      </c>
      <c r="N324" s="2" t="s">
        <v>109</v>
      </c>
      <c r="O324" s="2" t="s">
        <v>548</v>
      </c>
      <c r="P324" s="2">
        <v>98</v>
      </c>
      <c r="Q324" s="2" t="s">
        <v>69</v>
      </c>
      <c r="R324" s="2" t="s">
        <v>90</v>
      </c>
      <c r="S324" s="2">
        <v>86642</v>
      </c>
      <c r="T324" s="2">
        <v>64491</v>
      </c>
      <c r="U324" s="2">
        <v>22151</v>
      </c>
      <c r="V324" s="2">
        <v>54341</v>
      </c>
      <c r="W324" s="2">
        <v>29148</v>
      </c>
      <c r="X324" s="2">
        <v>939</v>
      </c>
      <c r="Y324" s="2" t="s">
        <v>91</v>
      </c>
      <c r="Z324" s="2">
        <v>55</v>
      </c>
      <c r="AA324" s="2">
        <v>3.3</v>
      </c>
      <c r="AB324" s="2" t="s">
        <v>42</v>
      </c>
    </row>
    <row r="325" spans="1:28" x14ac:dyDescent="0.25">
      <c r="A325" s="4" t="s">
        <v>791</v>
      </c>
      <c r="B325" s="4" t="s">
        <v>792</v>
      </c>
      <c r="C325" s="4">
        <v>43</v>
      </c>
      <c r="D325" s="4" t="s">
        <v>30</v>
      </c>
      <c r="E325" s="4" t="s">
        <v>154</v>
      </c>
      <c r="F325" s="4" t="s">
        <v>150</v>
      </c>
      <c r="G325" s="5">
        <v>45426</v>
      </c>
      <c r="H325" s="5">
        <v>45427</v>
      </c>
      <c r="I325" s="4">
        <v>1</v>
      </c>
      <c r="J325" s="4" t="s">
        <v>33</v>
      </c>
      <c r="K325" s="4" t="s">
        <v>34</v>
      </c>
      <c r="L325" s="4" t="s">
        <v>35</v>
      </c>
      <c r="M325" s="4" t="s">
        <v>143</v>
      </c>
      <c r="N325" s="4" t="s">
        <v>37</v>
      </c>
      <c r="O325" s="4" t="s">
        <v>189</v>
      </c>
      <c r="P325" s="4">
        <v>11</v>
      </c>
      <c r="Q325" s="4" t="s">
        <v>103</v>
      </c>
      <c r="R325" s="4" t="s">
        <v>51</v>
      </c>
      <c r="S325" s="4">
        <v>85239</v>
      </c>
      <c r="T325" s="4">
        <v>35398</v>
      </c>
      <c r="U325" s="4">
        <v>49841</v>
      </c>
      <c r="V325" s="4">
        <v>68603</v>
      </c>
      <c r="W325" s="4">
        <v>7597</v>
      </c>
      <c r="X325" s="4">
        <v>5330</v>
      </c>
      <c r="Y325" s="4" t="s">
        <v>91</v>
      </c>
      <c r="Z325" s="4">
        <v>80</v>
      </c>
      <c r="AA325" s="4">
        <v>4.5</v>
      </c>
      <c r="AB325" s="4" t="s">
        <v>137</v>
      </c>
    </row>
    <row r="326" spans="1:28" x14ac:dyDescent="0.25">
      <c r="A326" s="2" t="s">
        <v>793</v>
      </c>
      <c r="B326" s="2" t="s">
        <v>794</v>
      </c>
      <c r="C326" s="2">
        <v>79</v>
      </c>
      <c r="D326" s="2" t="s">
        <v>30</v>
      </c>
      <c r="E326" s="2" t="s">
        <v>122</v>
      </c>
      <c r="F326" s="2" t="s">
        <v>150</v>
      </c>
      <c r="G326" s="3">
        <v>45380</v>
      </c>
      <c r="H326" s="3">
        <v>45396</v>
      </c>
      <c r="I326" s="2">
        <v>16</v>
      </c>
      <c r="J326" s="2" t="s">
        <v>202</v>
      </c>
      <c r="K326" s="2" t="s">
        <v>225</v>
      </c>
      <c r="L326" s="2" t="s">
        <v>226</v>
      </c>
      <c r="M326" s="2" t="s">
        <v>101</v>
      </c>
      <c r="N326" s="2" t="s">
        <v>37</v>
      </c>
      <c r="O326" s="2" t="s">
        <v>151</v>
      </c>
      <c r="P326" s="2">
        <v>271</v>
      </c>
      <c r="Q326" s="2" t="s">
        <v>69</v>
      </c>
      <c r="R326" s="2" t="s">
        <v>111</v>
      </c>
      <c r="S326" s="2">
        <v>111161</v>
      </c>
      <c r="T326" s="2">
        <v>96473</v>
      </c>
      <c r="U326" s="2">
        <v>14688</v>
      </c>
      <c r="V326" s="2">
        <v>87798</v>
      </c>
      <c r="W326" s="2">
        <v>19129</v>
      </c>
      <c r="X326" s="2">
        <v>1540</v>
      </c>
      <c r="Y326" s="2" t="s">
        <v>41</v>
      </c>
      <c r="Z326" s="2">
        <v>70</v>
      </c>
      <c r="AA326" s="2">
        <v>2.4</v>
      </c>
      <c r="AB326" s="2" t="s">
        <v>42</v>
      </c>
    </row>
    <row r="327" spans="1:28" x14ac:dyDescent="0.25">
      <c r="A327" s="4" t="s">
        <v>795</v>
      </c>
      <c r="B327" s="4" t="s">
        <v>796</v>
      </c>
      <c r="C327" s="4">
        <v>62</v>
      </c>
      <c r="D327" s="4" t="s">
        <v>30</v>
      </c>
      <c r="E327" s="4" t="s">
        <v>122</v>
      </c>
      <c r="F327" s="4" t="s">
        <v>129</v>
      </c>
      <c r="G327" s="5">
        <v>45151</v>
      </c>
      <c r="H327" s="5">
        <v>45175</v>
      </c>
      <c r="I327" s="4">
        <v>24</v>
      </c>
      <c r="J327" s="4" t="s">
        <v>115</v>
      </c>
      <c r="K327" s="4" t="s">
        <v>160</v>
      </c>
      <c r="L327" s="4" t="s">
        <v>117</v>
      </c>
      <c r="M327" s="4" t="s">
        <v>95</v>
      </c>
      <c r="N327" s="4" t="s">
        <v>37</v>
      </c>
      <c r="O327" s="4" t="s">
        <v>266</v>
      </c>
      <c r="P327" s="4">
        <v>113</v>
      </c>
      <c r="Q327" s="4" t="s">
        <v>50</v>
      </c>
      <c r="R327" s="4" t="s">
        <v>51</v>
      </c>
      <c r="S327" s="4">
        <v>150974</v>
      </c>
      <c r="T327" s="4">
        <v>93136</v>
      </c>
      <c r="U327" s="4">
        <v>57838</v>
      </c>
      <c r="V327" s="4">
        <v>127805</v>
      </c>
      <c r="W327" s="4">
        <v>5297</v>
      </c>
      <c r="X327" s="4">
        <v>14969</v>
      </c>
      <c r="Y327" s="4" t="s">
        <v>41</v>
      </c>
      <c r="Z327" s="4">
        <v>66</v>
      </c>
      <c r="AA327" s="4">
        <v>4.5</v>
      </c>
      <c r="AB327" s="4" t="s">
        <v>52</v>
      </c>
    </row>
    <row r="328" spans="1:28" x14ac:dyDescent="0.25">
      <c r="A328" s="2" t="s">
        <v>797</v>
      </c>
      <c r="B328" s="2" t="s">
        <v>798</v>
      </c>
      <c r="C328" s="2">
        <v>25</v>
      </c>
      <c r="D328" s="2" t="s">
        <v>55</v>
      </c>
      <c r="E328" s="2" t="s">
        <v>79</v>
      </c>
      <c r="F328" s="2" t="s">
        <v>157</v>
      </c>
      <c r="G328" s="3">
        <v>45550</v>
      </c>
      <c r="H328" s="3">
        <v>45555</v>
      </c>
      <c r="I328" s="2">
        <v>5</v>
      </c>
      <c r="J328" s="2" t="s">
        <v>123</v>
      </c>
      <c r="K328" s="2" t="s">
        <v>124</v>
      </c>
      <c r="L328" s="2" t="s">
        <v>125</v>
      </c>
      <c r="M328" s="2" t="s">
        <v>143</v>
      </c>
      <c r="N328" s="2" t="s">
        <v>37</v>
      </c>
      <c r="O328" s="2" t="s">
        <v>230</v>
      </c>
      <c r="P328" s="2">
        <v>483</v>
      </c>
      <c r="Q328" s="2" t="s">
        <v>103</v>
      </c>
      <c r="R328" s="2" t="s">
        <v>136</v>
      </c>
      <c r="S328" s="2">
        <v>84900</v>
      </c>
      <c r="T328" s="2">
        <v>0</v>
      </c>
      <c r="U328" s="2">
        <v>84900</v>
      </c>
      <c r="V328" s="2">
        <v>66530</v>
      </c>
      <c r="W328" s="2">
        <v>7862</v>
      </c>
      <c r="X328" s="2">
        <v>9623</v>
      </c>
      <c r="Y328" s="2" t="s">
        <v>41</v>
      </c>
      <c r="Z328" s="2">
        <v>62</v>
      </c>
      <c r="AA328" s="2">
        <v>4.5999999999999996</v>
      </c>
      <c r="AB328" s="2" t="s">
        <v>52</v>
      </c>
    </row>
    <row r="329" spans="1:28" x14ac:dyDescent="0.25">
      <c r="A329" s="4" t="s">
        <v>799</v>
      </c>
      <c r="B329" s="4" t="s">
        <v>800</v>
      </c>
      <c r="C329" s="4">
        <v>27</v>
      </c>
      <c r="D329" s="4" t="s">
        <v>55</v>
      </c>
      <c r="E329" s="4" t="s">
        <v>56</v>
      </c>
      <c r="F329" s="4" t="s">
        <v>80</v>
      </c>
      <c r="G329" s="5">
        <v>45443</v>
      </c>
      <c r="H329" s="5">
        <v>45447</v>
      </c>
      <c r="I329" s="4">
        <v>4</v>
      </c>
      <c r="J329" s="4" t="s">
        <v>33</v>
      </c>
      <c r="K329" s="4" t="s">
        <v>233</v>
      </c>
      <c r="L329" s="4" t="s">
        <v>35</v>
      </c>
      <c r="M329" s="4" t="s">
        <v>36</v>
      </c>
      <c r="N329" s="4" t="s">
        <v>109</v>
      </c>
      <c r="O329" s="4" t="s">
        <v>119</v>
      </c>
      <c r="P329" s="4">
        <v>175</v>
      </c>
      <c r="Q329" s="4" t="s">
        <v>50</v>
      </c>
      <c r="R329" s="4" t="s">
        <v>90</v>
      </c>
      <c r="S329" s="4">
        <v>100278</v>
      </c>
      <c r="T329" s="4">
        <v>78346</v>
      </c>
      <c r="U329" s="4">
        <v>21932</v>
      </c>
      <c r="V329" s="4">
        <v>75121</v>
      </c>
      <c r="W329" s="4">
        <v>5953</v>
      </c>
      <c r="X329" s="4">
        <v>14482</v>
      </c>
      <c r="Y329" s="4" t="s">
        <v>91</v>
      </c>
      <c r="Z329" s="4">
        <v>43</v>
      </c>
      <c r="AA329" s="4">
        <v>4.8</v>
      </c>
      <c r="AB329" s="4" t="s">
        <v>137</v>
      </c>
    </row>
    <row r="330" spans="1:28" x14ac:dyDescent="0.25">
      <c r="A330" s="2" t="s">
        <v>801</v>
      </c>
      <c r="B330" s="2" t="s">
        <v>802</v>
      </c>
      <c r="C330" s="2">
        <v>19</v>
      </c>
      <c r="D330" s="2" t="s">
        <v>55</v>
      </c>
      <c r="E330" s="2" t="s">
        <v>56</v>
      </c>
      <c r="F330" s="2" t="s">
        <v>94</v>
      </c>
      <c r="G330" s="3">
        <v>44647</v>
      </c>
      <c r="H330" s="3">
        <v>44664</v>
      </c>
      <c r="I330" s="2">
        <v>17</v>
      </c>
      <c r="J330" s="2" t="s">
        <v>33</v>
      </c>
      <c r="K330" s="2" t="s">
        <v>34</v>
      </c>
      <c r="L330" s="2" t="s">
        <v>35</v>
      </c>
      <c r="M330" s="2" t="s">
        <v>36</v>
      </c>
      <c r="N330" s="2" t="s">
        <v>109</v>
      </c>
      <c r="O330" s="2" t="s">
        <v>355</v>
      </c>
      <c r="P330" s="2">
        <v>373</v>
      </c>
      <c r="Q330" s="2" t="s">
        <v>50</v>
      </c>
      <c r="R330" s="2" t="s">
        <v>111</v>
      </c>
      <c r="S330" s="2">
        <v>168763</v>
      </c>
      <c r="T330" s="2">
        <v>109070</v>
      </c>
      <c r="U330" s="2">
        <v>59693</v>
      </c>
      <c r="V330" s="2">
        <v>137617</v>
      </c>
      <c r="W330" s="2">
        <v>17331</v>
      </c>
      <c r="X330" s="2">
        <v>12502</v>
      </c>
      <c r="Y330" s="2" t="s">
        <v>41</v>
      </c>
      <c r="Z330" s="2">
        <v>92</v>
      </c>
      <c r="AA330" s="2">
        <v>2.4</v>
      </c>
      <c r="AB330" s="2" t="s">
        <v>64</v>
      </c>
    </row>
    <row r="331" spans="1:28" x14ac:dyDescent="0.25">
      <c r="A331" s="4" t="s">
        <v>803</v>
      </c>
      <c r="B331" s="4" t="s">
        <v>216</v>
      </c>
      <c r="C331" s="4">
        <v>5</v>
      </c>
      <c r="D331" s="4" t="s">
        <v>55</v>
      </c>
      <c r="E331" s="4" t="s">
        <v>87</v>
      </c>
      <c r="F331" s="4" t="s">
        <v>80</v>
      </c>
      <c r="G331" s="5">
        <v>45149</v>
      </c>
      <c r="H331" s="5">
        <v>45166</v>
      </c>
      <c r="I331" s="4">
        <v>17</v>
      </c>
      <c r="J331" s="4" t="s">
        <v>123</v>
      </c>
      <c r="K331" s="4" t="s">
        <v>124</v>
      </c>
      <c r="L331" s="4" t="s">
        <v>125</v>
      </c>
      <c r="M331" s="4" t="s">
        <v>134</v>
      </c>
      <c r="N331" s="4" t="s">
        <v>118</v>
      </c>
      <c r="O331" s="4" t="s">
        <v>390</v>
      </c>
      <c r="P331" s="4">
        <v>323</v>
      </c>
      <c r="Q331" s="4" t="s">
        <v>39</v>
      </c>
      <c r="R331" s="4" t="s">
        <v>40</v>
      </c>
      <c r="S331" s="4">
        <v>174428</v>
      </c>
      <c r="T331" s="4">
        <v>76992</v>
      </c>
      <c r="U331" s="4">
        <v>97436</v>
      </c>
      <c r="V331" s="4">
        <v>143844</v>
      </c>
      <c r="W331" s="4">
        <v>14818</v>
      </c>
      <c r="X331" s="4">
        <v>13397</v>
      </c>
      <c r="Y331" s="4" t="s">
        <v>41</v>
      </c>
      <c r="Z331" s="4">
        <v>98</v>
      </c>
      <c r="AA331" s="4">
        <v>3.2</v>
      </c>
      <c r="AB331" s="4" t="s">
        <v>137</v>
      </c>
    </row>
    <row r="332" spans="1:28" x14ac:dyDescent="0.25">
      <c r="A332" s="2" t="s">
        <v>804</v>
      </c>
      <c r="B332" s="2" t="s">
        <v>805</v>
      </c>
      <c r="C332" s="2">
        <v>51</v>
      </c>
      <c r="D332" s="2" t="s">
        <v>55</v>
      </c>
      <c r="E332" s="2" t="s">
        <v>87</v>
      </c>
      <c r="F332" s="2" t="s">
        <v>129</v>
      </c>
      <c r="G332" s="3">
        <v>44582</v>
      </c>
      <c r="H332" s="3">
        <v>44605</v>
      </c>
      <c r="I332" s="2">
        <v>23</v>
      </c>
      <c r="J332" s="2" t="s">
        <v>202</v>
      </c>
      <c r="K332" s="2" t="s">
        <v>225</v>
      </c>
      <c r="L332" s="2" t="s">
        <v>226</v>
      </c>
      <c r="M332" s="2" t="s">
        <v>36</v>
      </c>
      <c r="N332" s="2" t="s">
        <v>118</v>
      </c>
      <c r="O332" s="2" t="s">
        <v>68</v>
      </c>
      <c r="P332" s="2">
        <v>396</v>
      </c>
      <c r="Q332" s="2" t="s">
        <v>39</v>
      </c>
      <c r="R332" s="2" t="s">
        <v>111</v>
      </c>
      <c r="S332" s="2">
        <v>48740</v>
      </c>
      <c r="T332" s="2">
        <v>38897</v>
      </c>
      <c r="U332" s="2">
        <v>9843</v>
      </c>
      <c r="V332" s="2">
        <v>21113</v>
      </c>
      <c r="W332" s="2">
        <v>13886</v>
      </c>
      <c r="X332" s="2">
        <v>12938</v>
      </c>
      <c r="Y332" s="2" t="s">
        <v>41</v>
      </c>
      <c r="Z332" s="2">
        <v>97</v>
      </c>
      <c r="AA332" s="2">
        <v>3.7</v>
      </c>
      <c r="AB332" s="2" t="s">
        <v>42</v>
      </c>
    </row>
    <row r="333" spans="1:28" x14ac:dyDescent="0.25">
      <c r="A333" s="4" t="s">
        <v>806</v>
      </c>
      <c r="B333" s="4" t="s">
        <v>807</v>
      </c>
      <c r="C333" s="4">
        <v>56</v>
      </c>
      <c r="D333" s="4" t="s">
        <v>30</v>
      </c>
      <c r="E333" s="4" t="s">
        <v>45</v>
      </c>
      <c r="F333" s="4" t="s">
        <v>80</v>
      </c>
      <c r="G333" s="5">
        <v>44578</v>
      </c>
      <c r="H333" s="5">
        <v>44605</v>
      </c>
      <c r="I333" s="4">
        <v>27</v>
      </c>
      <c r="J333" s="4" t="s">
        <v>140</v>
      </c>
      <c r="K333" s="4" t="s">
        <v>167</v>
      </c>
      <c r="L333" s="4" t="s">
        <v>142</v>
      </c>
      <c r="M333" s="4" t="s">
        <v>101</v>
      </c>
      <c r="N333" s="4" t="s">
        <v>109</v>
      </c>
      <c r="O333" s="4" t="s">
        <v>448</v>
      </c>
      <c r="P333" s="4">
        <v>330</v>
      </c>
      <c r="Q333" s="4" t="s">
        <v>39</v>
      </c>
      <c r="R333" s="4" t="s">
        <v>51</v>
      </c>
      <c r="S333" s="4">
        <v>154728</v>
      </c>
      <c r="T333" s="4">
        <v>97884</v>
      </c>
      <c r="U333" s="4">
        <v>56844</v>
      </c>
      <c r="V333" s="4">
        <v>120905</v>
      </c>
      <c r="W333" s="4">
        <v>23854</v>
      </c>
      <c r="X333" s="4">
        <v>6156</v>
      </c>
      <c r="Y333" s="4" t="s">
        <v>41</v>
      </c>
      <c r="Z333" s="4">
        <v>45</v>
      </c>
      <c r="AA333" s="4">
        <v>2.1</v>
      </c>
      <c r="AB333" s="4" t="s">
        <v>52</v>
      </c>
    </row>
    <row r="334" spans="1:28" x14ac:dyDescent="0.25">
      <c r="A334" s="2" t="s">
        <v>808</v>
      </c>
      <c r="B334" s="2" t="s">
        <v>170</v>
      </c>
      <c r="C334" s="2">
        <v>71</v>
      </c>
      <c r="D334" s="2" t="s">
        <v>30</v>
      </c>
      <c r="E334" s="2" t="s">
        <v>31</v>
      </c>
      <c r="F334" s="2" t="s">
        <v>157</v>
      </c>
      <c r="G334" s="3">
        <v>45609</v>
      </c>
      <c r="H334" s="3">
        <v>45627</v>
      </c>
      <c r="I334" s="2">
        <v>18</v>
      </c>
      <c r="J334" s="2" t="s">
        <v>58</v>
      </c>
      <c r="K334" s="2" t="s">
        <v>59</v>
      </c>
      <c r="L334" s="2" t="s">
        <v>60</v>
      </c>
      <c r="M334" s="2" t="s">
        <v>95</v>
      </c>
      <c r="N334" s="2" t="s">
        <v>109</v>
      </c>
      <c r="O334" s="2" t="s">
        <v>38</v>
      </c>
      <c r="P334" s="2">
        <v>456</v>
      </c>
      <c r="Q334" s="2" t="s">
        <v>50</v>
      </c>
      <c r="R334" s="2" t="s">
        <v>40</v>
      </c>
      <c r="S334" s="2">
        <v>121547</v>
      </c>
      <c r="T334" s="2">
        <v>52646</v>
      </c>
      <c r="U334" s="2">
        <v>68901</v>
      </c>
      <c r="V334" s="2">
        <v>84676</v>
      </c>
      <c r="W334" s="2">
        <v>24806</v>
      </c>
      <c r="X334" s="2">
        <v>7426</v>
      </c>
      <c r="Y334" s="2" t="s">
        <v>91</v>
      </c>
      <c r="Z334" s="2">
        <v>63</v>
      </c>
      <c r="AA334" s="2">
        <v>2.8</v>
      </c>
      <c r="AB334" s="2" t="s">
        <v>42</v>
      </c>
    </row>
    <row r="335" spans="1:28" x14ac:dyDescent="0.25">
      <c r="A335" s="4" t="s">
        <v>809</v>
      </c>
      <c r="B335" s="4" t="s">
        <v>810</v>
      </c>
      <c r="C335" s="4">
        <v>11</v>
      </c>
      <c r="D335" s="4" t="s">
        <v>55</v>
      </c>
      <c r="E335" s="4" t="s">
        <v>87</v>
      </c>
      <c r="F335" s="4" t="s">
        <v>46</v>
      </c>
      <c r="G335" s="5">
        <v>44572</v>
      </c>
      <c r="H335" s="5">
        <v>44587</v>
      </c>
      <c r="I335" s="4">
        <v>15</v>
      </c>
      <c r="J335" s="4" t="s">
        <v>33</v>
      </c>
      <c r="K335" s="4" t="s">
        <v>47</v>
      </c>
      <c r="L335" s="4" t="s">
        <v>48</v>
      </c>
      <c r="M335" s="4" t="s">
        <v>101</v>
      </c>
      <c r="N335" s="4" t="s">
        <v>109</v>
      </c>
      <c r="O335" s="4" t="s">
        <v>461</v>
      </c>
      <c r="P335" s="4">
        <v>146</v>
      </c>
      <c r="Q335" s="4" t="s">
        <v>39</v>
      </c>
      <c r="R335" s="4" t="s">
        <v>111</v>
      </c>
      <c r="S335" s="4">
        <v>172312</v>
      </c>
      <c r="T335" s="4">
        <v>120335</v>
      </c>
      <c r="U335" s="4">
        <v>51977</v>
      </c>
      <c r="V335" s="4">
        <v>141227</v>
      </c>
      <c r="W335" s="4">
        <v>25166</v>
      </c>
      <c r="X335" s="4">
        <v>4557</v>
      </c>
      <c r="Y335" s="4" t="s">
        <v>41</v>
      </c>
      <c r="Z335" s="4">
        <v>92</v>
      </c>
      <c r="AA335" s="4">
        <v>4.3</v>
      </c>
      <c r="AB335" s="4" t="s">
        <v>137</v>
      </c>
    </row>
    <row r="336" spans="1:28" x14ac:dyDescent="0.25">
      <c r="A336" s="2" t="s">
        <v>811</v>
      </c>
      <c r="B336" s="2" t="s">
        <v>446</v>
      </c>
      <c r="C336" s="2">
        <v>59</v>
      </c>
      <c r="D336" s="2" t="s">
        <v>30</v>
      </c>
      <c r="E336" s="2" t="s">
        <v>56</v>
      </c>
      <c r="F336" s="2" t="s">
        <v>157</v>
      </c>
      <c r="G336" s="3">
        <v>44689</v>
      </c>
      <c r="H336" s="3">
        <v>44703</v>
      </c>
      <c r="I336" s="2">
        <v>14</v>
      </c>
      <c r="J336" s="2" t="s">
        <v>140</v>
      </c>
      <c r="K336" s="2" t="s">
        <v>141</v>
      </c>
      <c r="L336" s="2" t="s">
        <v>142</v>
      </c>
      <c r="M336" s="2" t="s">
        <v>61</v>
      </c>
      <c r="N336" s="2" t="s">
        <v>37</v>
      </c>
      <c r="O336" s="2" t="s">
        <v>49</v>
      </c>
      <c r="P336" s="2">
        <v>347</v>
      </c>
      <c r="Q336" s="2" t="s">
        <v>103</v>
      </c>
      <c r="R336" s="2" t="s">
        <v>51</v>
      </c>
      <c r="S336" s="2">
        <v>177186</v>
      </c>
      <c r="T336" s="2">
        <v>101934</v>
      </c>
      <c r="U336" s="2">
        <v>75252</v>
      </c>
      <c r="V336" s="2">
        <v>141038</v>
      </c>
      <c r="W336" s="2">
        <v>26520</v>
      </c>
      <c r="X336" s="2">
        <v>6968</v>
      </c>
      <c r="Y336" s="2" t="s">
        <v>41</v>
      </c>
      <c r="Z336" s="2">
        <v>68</v>
      </c>
      <c r="AA336" s="2">
        <v>4.0999999999999996</v>
      </c>
      <c r="AB336" s="2" t="s">
        <v>137</v>
      </c>
    </row>
    <row r="337" spans="1:28" x14ac:dyDescent="0.25">
      <c r="A337" s="4" t="s">
        <v>812</v>
      </c>
      <c r="B337" s="4" t="s">
        <v>813</v>
      </c>
      <c r="C337" s="4">
        <v>25</v>
      </c>
      <c r="D337" s="4" t="s">
        <v>55</v>
      </c>
      <c r="E337" s="4" t="s">
        <v>154</v>
      </c>
      <c r="F337" s="4" t="s">
        <v>150</v>
      </c>
      <c r="G337" s="5">
        <v>45499</v>
      </c>
      <c r="H337" s="5">
        <v>45504</v>
      </c>
      <c r="I337" s="4">
        <v>5</v>
      </c>
      <c r="J337" s="4" t="s">
        <v>202</v>
      </c>
      <c r="K337" s="4" t="s">
        <v>225</v>
      </c>
      <c r="L337" s="4" t="s">
        <v>226</v>
      </c>
      <c r="M337" s="4" t="s">
        <v>36</v>
      </c>
      <c r="N337" s="4" t="s">
        <v>109</v>
      </c>
      <c r="O337" s="4" t="s">
        <v>189</v>
      </c>
      <c r="P337" s="4">
        <v>17</v>
      </c>
      <c r="Q337" s="4" t="s">
        <v>39</v>
      </c>
      <c r="R337" s="4" t="s">
        <v>51</v>
      </c>
      <c r="S337" s="4">
        <v>120912</v>
      </c>
      <c r="T337" s="4">
        <v>52367</v>
      </c>
      <c r="U337" s="4">
        <v>68545</v>
      </c>
      <c r="V337" s="4">
        <v>101818</v>
      </c>
      <c r="W337" s="4">
        <v>4891</v>
      </c>
      <c r="X337" s="4">
        <v>10356</v>
      </c>
      <c r="Y337" s="4" t="s">
        <v>41</v>
      </c>
      <c r="Z337" s="4">
        <v>58</v>
      </c>
      <c r="AA337" s="4">
        <v>2.1</v>
      </c>
      <c r="AB337" s="4" t="s">
        <v>64</v>
      </c>
    </row>
    <row r="338" spans="1:28" x14ac:dyDescent="0.25">
      <c r="A338" s="2" t="s">
        <v>814</v>
      </c>
      <c r="B338" s="2" t="s">
        <v>815</v>
      </c>
      <c r="C338" s="2">
        <v>44</v>
      </c>
      <c r="D338" s="2" t="s">
        <v>30</v>
      </c>
      <c r="E338" s="2" t="s">
        <v>79</v>
      </c>
      <c r="F338" s="2" t="s">
        <v>46</v>
      </c>
      <c r="G338" s="3">
        <v>45557</v>
      </c>
      <c r="H338" s="3">
        <v>45558</v>
      </c>
      <c r="I338" s="2">
        <v>1</v>
      </c>
      <c r="J338" s="2" t="s">
        <v>140</v>
      </c>
      <c r="K338" s="2" t="s">
        <v>141</v>
      </c>
      <c r="L338" s="2" t="s">
        <v>142</v>
      </c>
      <c r="M338" s="2" t="s">
        <v>101</v>
      </c>
      <c r="N338" s="2" t="s">
        <v>37</v>
      </c>
      <c r="O338" s="2" t="s">
        <v>428</v>
      </c>
      <c r="P338" s="2">
        <v>456</v>
      </c>
      <c r="Q338" s="2" t="s">
        <v>50</v>
      </c>
      <c r="R338" s="2" t="s">
        <v>40</v>
      </c>
      <c r="S338" s="2">
        <v>97955</v>
      </c>
      <c r="T338" s="2">
        <v>39243</v>
      </c>
      <c r="U338" s="2">
        <v>58712</v>
      </c>
      <c r="V338" s="2">
        <v>52992</v>
      </c>
      <c r="W338" s="2">
        <v>27841</v>
      </c>
      <c r="X338" s="2">
        <v>12618</v>
      </c>
      <c r="Y338" s="2" t="s">
        <v>41</v>
      </c>
      <c r="Z338" s="2">
        <v>44</v>
      </c>
      <c r="AA338" s="2">
        <v>4.5999999999999996</v>
      </c>
      <c r="AB338" s="2" t="s">
        <v>137</v>
      </c>
    </row>
    <row r="339" spans="1:28" x14ac:dyDescent="0.25">
      <c r="A339" s="4" t="s">
        <v>816</v>
      </c>
      <c r="B339" s="4" t="s">
        <v>817</v>
      </c>
      <c r="C339" s="4">
        <v>44</v>
      </c>
      <c r="D339" s="4" t="s">
        <v>30</v>
      </c>
      <c r="E339" s="4" t="s">
        <v>45</v>
      </c>
      <c r="F339" s="4" t="s">
        <v>114</v>
      </c>
      <c r="G339" s="5">
        <v>45535</v>
      </c>
      <c r="H339" s="5">
        <v>45562</v>
      </c>
      <c r="I339" s="4">
        <v>27</v>
      </c>
      <c r="J339" s="4" t="s">
        <v>33</v>
      </c>
      <c r="K339" s="4" t="s">
        <v>233</v>
      </c>
      <c r="L339" s="4" t="s">
        <v>35</v>
      </c>
      <c r="M339" s="4" t="s">
        <v>143</v>
      </c>
      <c r="N339" s="4" t="s">
        <v>37</v>
      </c>
      <c r="O339" s="4" t="s">
        <v>189</v>
      </c>
      <c r="P339" s="4">
        <v>77</v>
      </c>
      <c r="Q339" s="4" t="s">
        <v>50</v>
      </c>
      <c r="R339" s="4" t="s">
        <v>90</v>
      </c>
      <c r="S339" s="4">
        <v>134122</v>
      </c>
      <c r="T339" s="4">
        <v>94113</v>
      </c>
      <c r="U339" s="4">
        <v>40009</v>
      </c>
      <c r="V339" s="4">
        <v>112381</v>
      </c>
      <c r="W339" s="4">
        <v>13688</v>
      </c>
      <c r="X339" s="4">
        <v>4314</v>
      </c>
      <c r="Y339" s="4" t="s">
        <v>91</v>
      </c>
      <c r="Z339" s="4">
        <v>82</v>
      </c>
      <c r="AA339" s="4">
        <v>4.7</v>
      </c>
      <c r="AB339" s="4" t="s">
        <v>52</v>
      </c>
    </row>
    <row r="340" spans="1:28" x14ac:dyDescent="0.25">
      <c r="A340" s="2" t="s">
        <v>818</v>
      </c>
      <c r="B340" s="2" t="s">
        <v>229</v>
      </c>
      <c r="C340" s="2">
        <v>26</v>
      </c>
      <c r="D340" s="2" t="s">
        <v>55</v>
      </c>
      <c r="E340" s="2" t="s">
        <v>79</v>
      </c>
      <c r="F340" s="2" t="s">
        <v>94</v>
      </c>
      <c r="G340" s="3">
        <v>44815</v>
      </c>
      <c r="H340" s="3">
        <v>44836</v>
      </c>
      <c r="I340" s="2">
        <v>21</v>
      </c>
      <c r="J340" s="2" t="s">
        <v>33</v>
      </c>
      <c r="K340" s="2" t="s">
        <v>99</v>
      </c>
      <c r="L340" s="2" t="s">
        <v>100</v>
      </c>
      <c r="M340" s="2" t="s">
        <v>61</v>
      </c>
      <c r="N340" s="2" t="s">
        <v>62</v>
      </c>
      <c r="O340" s="2" t="s">
        <v>259</v>
      </c>
      <c r="P340" s="2">
        <v>97</v>
      </c>
      <c r="Q340" s="2" t="s">
        <v>103</v>
      </c>
      <c r="R340" s="2" t="s">
        <v>51</v>
      </c>
      <c r="S340" s="2">
        <v>30973</v>
      </c>
      <c r="T340" s="2">
        <v>14059</v>
      </c>
      <c r="U340" s="2">
        <v>16914</v>
      </c>
      <c r="V340" s="2">
        <v>9892</v>
      </c>
      <c r="W340" s="2">
        <v>4941</v>
      </c>
      <c r="X340" s="2">
        <v>11284</v>
      </c>
      <c r="Y340" s="2" t="s">
        <v>91</v>
      </c>
      <c r="Z340" s="2">
        <v>90</v>
      </c>
      <c r="AA340" s="2">
        <v>2.6</v>
      </c>
      <c r="AB340" s="2" t="s">
        <v>42</v>
      </c>
    </row>
    <row r="341" spans="1:28" x14ac:dyDescent="0.25">
      <c r="A341" s="4" t="s">
        <v>819</v>
      </c>
      <c r="B341" s="4" t="s">
        <v>444</v>
      </c>
      <c r="C341" s="4">
        <v>73</v>
      </c>
      <c r="D341" s="4" t="s">
        <v>30</v>
      </c>
      <c r="E341" s="4" t="s">
        <v>67</v>
      </c>
      <c r="F341" s="4" t="s">
        <v>72</v>
      </c>
      <c r="G341" s="5">
        <v>44654</v>
      </c>
      <c r="H341" s="5">
        <v>44670</v>
      </c>
      <c r="I341" s="4">
        <v>16</v>
      </c>
      <c r="J341" s="4" t="s">
        <v>123</v>
      </c>
      <c r="K341" s="4" t="s">
        <v>251</v>
      </c>
      <c r="L341" s="4" t="s">
        <v>125</v>
      </c>
      <c r="M341" s="4" t="s">
        <v>108</v>
      </c>
      <c r="N341" s="4" t="s">
        <v>109</v>
      </c>
      <c r="O341" s="4" t="s">
        <v>368</v>
      </c>
      <c r="P341" s="4">
        <v>441</v>
      </c>
      <c r="Q341" s="4" t="s">
        <v>50</v>
      </c>
      <c r="R341" s="4" t="s">
        <v>111</v>
      </c>
      <c r="S341" s="4">
        <v>80090</v>
      </c>
      <c r="T341" s="4">
        <v>61071</v>
      </c>
      <c r="U341" s="4">
        <v>19019</v>
      </c>
      <c r="V341" s="4">
        <v>72417</v>
      </c>
      <c r="W341" s="4">
        <v>3982</v>
      </c>
      <c r="X341" s="4">
        <v>2378</v>
      </c>
      <c r="Y341" s="4" t="s">
        <v>41</v>
      </c>
      <c r="Z341" s="4">
        <v>51</v>
      </c>
      <c r="AA341" s="4">
        <v>2.8</v>
      </c>
      <c r="AB341" s="4" t="s">
        <v>104</v>
      </c>
    </row>
    <row r="342" spans="1:28" x14ac:dyDescent="0.25">
      <c r="A342" s="2" t="s">
        <v>820</v>
      </c>
      <c r="B342" s="2" t="s">
        <v>821</v>
      </c>
      <c r="C342" s="2">
        <v>57</v>
      </c>
      <c r="D342" s="2" t="s">
        <v>55</v>
      </c>
      <c r="E342" s="2" t="s">
        <v>122</v>
      </c>
      <c r="F342" s="2" t="s">
        <v>72</v>
      </c>
      <c r="G342" s="3">
        <v>45228</v>
      </c>
      <c r="H342" s="3">
        <v>45234</v>
      </c>
      <c r="I342" s="2">
        <v>6</v>
      </c>
      <c r="J342" s="2" t="s">
        <v>123</v>
      </c>
      <c r="K342" s="2" t="s">
        <v>251</v>
      </c>
      <c r="L342" s="2" t="s">
        <v>125</v>
      </c>
      <c r="M342" s="2" t="s">
        <v>134</v>
      </c>
      <c r="N342" s="2" t="s">
        <v>37</v>
      </c>
      <c r="O342" s="2" t="s">
        <v>49</v>
      </c>
      <c r="P342" s="2">
        <v>73</v>
      </c>
      <c r="Q342" s="2" t="s">
        <v>103</v>
      </c>
      <c r="R342" s="2" t="s">
        <v>136</v>
      </c>
      <c r="S342" s="2">
        <v>101470</v>
      </c>
      <c r="T342" s="2">
        <v>0</v>
      </c>
      <c r="U342" s="2">
        <v>101470</v>
      </c>
      <c r="V342" s="2">
        <v>72615</v>
      </c>
      <c r="W342" s="2">
        <v>13304</v>
      </c>
      <c r="X342" s="2">
        <v>14061</v>
      </c>
      <c r="Y342" s="2" t="s">
        <v>91</v>
      </c>
      <c r="Z342" s="2">
        <v>55</v>
      </c>
      <c r="AA342" s="2">
        <v>4.3</v>
      </c>
      <c r="AB342" s="2" t="s">
        <v>42</v>
      </c>
    </row>
    <row r="343" spans="1:28" x14ac:dyDescent="0.25">
      <c r="A343" s="4" t="s">
        <v>822</v>
      </c>
      <c r="B343" s="4" t="s">
        <v>823</v>
      </c>
      <c r="C343" s="4">
        <v>70</v>
      </c>
      <c r="D343" s="4" t="s">
        <v>30</v>
      </c>
      <c r="E343" s="4" t="s">
        <v>56</v>
      </c>
      <c r="F343" s="4" t="s">
        <v>46</v>
      </c>
      <c r="G343" s="5">
        <v>44686</v>
      </c>
      <c r="H343" s="5">
        <v>44697</v>
      </c>
      <c r="I343" s="4">
        <v>11</v>
      </c>
      <c r="J343" s="4" t="s">
        <v>33</v>
      </c>
      <c r="K343" s="4" t="s">
        <v>107</v>
      </c>
      <c r="L343" s="4" t="s">
        <v>48</v>
      </c>
      <c r="M343" s="4" t="s">
        <v>108</v>
      </c>
      <c r="N343" s="4" t="s">
        <v>62</v>
      </c>
      <c r="O343" s="4" t="s">
        <v>373</v>
      </c>
      <c r="P343" s="4">
        <v>209</v>
      </c>
      <c r="Q343" s="4" t="s">
        <v>39</v>
      </c>
      <c r="R343" s="4" t="s">
        <v>90</v>
      </c>
      <c r="S343" s="4">
        <v>106147</v>
      </c>
      <c r="T343" s="4">
        <v>71532</v>
      </c>
      <c r="U343" s="4">
        <v>34615</v>
      </c>
      <c r="V343" s="4">
        <v>75558</v>
      </c>
      <c r="W343" s="4">
        <v>19155</v>
      </c>
      <c r="X343" s="4">
        <v>10103</v>
      </c>
      <c r="Y343" s="4" t="s">
        <v>41</v>
      </c>
      <c r="Z343" s="4">
        <v>90</v>
      </c>
      <c r="AA343" s="4">
        <v>2.4</v>
      </c>
      <c r="AB343" s="4" t="s">
        <v>42</v>
      </c>
    </row>
    <row r="344" spans="1:28" x14ac:dyDescent="0.25">
      <c r="A344" s="2" t="s">
        <v>824</v>
      </c>
      <c r="B344" s="2" t="s">
        <v>410</v>
      </c>
      <c r="C344" s="2">
        <v>15</v>
      </c>
      <c r="D344" s="2" t="s">
        <v>55</v>
      </c>
      <c r="E344" s="2" t="s">
        <v>154</v>
      </c>
      <c r="F344" s="2" t="s">
        <v>80</v>
      </c>
      <c r="G344" s="3">
        <v>44906</v>
      </c>
      <c r="H344" s="3">
        <v>44932</v>
      </c>
      <c r="I344" s="2">
        <v>26</v>
      </c>
      <c r="J344" s="2" t="s">
        <v>73</v>
      </c>
      <c r="K344" s="2" t="s">
        <v>74</v>
      </c>
      <c r="L344" s="2" t="s">
        <v>73</v>
      </c>
      <c r="M344" s="2" t="s">
        <v>108</v>
      </c>
      <c r="N344" s="2" t="s">
        <v>37</v>
      </c>
      <c r="O344" s="2" t="s">
        <v>38</v>
      </c>
      <c r="P344" s="2">
        <v>417</v>
      </c>
      <c r="Q344" s="2" t="s">
        <v>103</v>
      </c>
      <c r="R344" s="2" t="s">
        <v>51</v>
      </c>
      <c r="S344" s="2">
        <v>106970</v>
      </c>
      <c r="T344" s="2">
        <v>44719</v>
      </c>
      <c r="U344" s="2">
        <v>62251</v>
      </c>
      <c r="V344" s="2">
        <v>80825</v>
      </c>
      <c r="W344" s="2">
        <v>22399</v>
      </c>
      <c r="X344" s="2">
        <v>3242</v>
      </c>
      <c r="Y344" s="2" t="s">
        <v>41</v>
      </c>
      <c r="Z344" s="2">
        <v>57</v>
      </c>
      <c r="AA344" s="2">
        <v>3.8</v>
      </c>
      <c r="AB344" s="2" t="s">
        <v>137</v>
      </c>
    </row>
    <row r="345" spans="1:28" x14ac:dyDescent="0.25">
      <c r="A345" s="4" t="s">
        <v>825</v>
      </c>
      <c r="B345" s="4" t="s">
        <v>826</v>
      </c>
      <c r="C345" s="4">
        <v>79</v>
      </c>
      <c r="D345" s="4" t="s">
        <v>30</v>
      </c>
      <c r="E345" s="4" t="s">
        <v>122</v>
      </c>
      <c r="F345" s="4" t="s">
        <v>129</v>
      </c>
      <c r="G345" s="5">
        <v>45655</v>
      </c>
      <c r="H345" s="5">
        <v>45657</v>
      </c>
      <c r="I345" s="4">
        <v>2</v>
      </c>
      <c r="J345" s="4" t="s">
        <v>202</v>
      </c>
      <c r="K345" s="4" t="s">
        <v>203</v>
      </c>
      <c r="L345" s="4" t="s">
        <v>204</v>
      </c>
      <c r="M345" s="4" t="s">
        <v>36</v>
      </c>
      <c r="N345" s="4" t="s">
        <v>37</v>
      </c>
      <c r="O345" s="4" t="s">
        <v>241</v>
      </c>
      <c r="P345" s="4">
        <v>372</v>
      </c>
      <c r="Q345" s="4" t="s">
        <v>50</v>
      </c>
      <c r="R345" s="4" t="s">
        <v>111</v>
      </c>
      <c r="S345" s="4">
        <v>93153</v>
      </c>
      <c r="T345" s="4">
        <v>80594</v>
      </c>
      <c r="U345" s="4">
        <v>12559</v>
      </c>
      <c r="V345" s="4">
        <v>60273</v>
      </c>
      <c r="W345" s="4">
        <v>21003</v>
      </c>
      <c r="X345" s="4">
        <v>8770</v>
      </c>
      <c r="Y345" s="4" t="s">
        <v>41</v>
      </c>
      <c r="Z345" s="4">
        <v>80</v>
      </c>
      <c r="AA345" s="4">
        <v>2.8</v>
      </c>
      <c r="AB345" s="4" t="s">
        <v>137</v>
      </c>
    </row>
    <row r="346" spans="1:28" x14ac:dyDescent="0.25">
      <c r="A346" s="2" t="s">
        <v>827</v>
      </c>
      <c r="B346" s="2" t="s">
        <v>828</v>
      </c>
      <c r="C346" s="2">
        <v>46</v>
      </c>
      <c r="D346" s="2" t="s">
        <v>30</v>
      </c>
      <c r="E346" s="2" t="s">
        <v>31</v>
      </c>
      <c r="F346" s="2" t="s">
        <v>150</v>
      </c>
      <c r="G346" s="3">
        <v>45234</v>
      </c>
      <c r="H346" s="3">
        <v>45235</v>
      </c>
      <c r="I346" s="2">
        <v>1</v>
      </c>
      <c r="J346" s="2" t="s">
        <v>140</v>
      </c>
      <c r="K346" s="2" t="s">
        <v>141</v>
      </c>
      <c r="L346" s="2" t="s">
        <v>142</v>
      </c>
      <c r="M346" s="2" t="s">
        <v>101</v>
      </c>
      <c r="N346" s="2" t="s">
        <v>37</v>
      </c>
      <c r="O346" s="2" t="s">
        <v>38</v>
      </c>
      <c r="P346" s="2">
        <v>345</v>
      </c>
      <c r="Q346" s="2" t="s">
        <v>39</v>
      </c>
      <c r="R346" s="2" t="s">
        <v>111</v>
      </c>
      <c r="S346" s="2">
        <v>171009</v>
      </c>
      <c r="T346" s="2">
        <v>106769</v>
      </c>
      <c r="U346" s="2">
        <v>64240</v>
      </c>
      <c r="V346" s="2">
        <v>133182</v>
      </c>
      <c r="W346" s="2">
        <v>25984</v>
      </c>
      <c r="X346" s="2">
        <v>6935</v>
      </c>
      <c r="Y346" s="2" t="s">
        <v>41</v>
      </c>
      <c r="Z346" s="2">
        <v>81</v>
      </c>
      <c r="AA346" s="2">
        <v>2.2000000000000002</v>
      </c>
      <c r="AB346" s="2" t="s">
        <v>104</v>
      </c>
    </row>
    <row r="347" spans="1:28" x14ac:dyDescent="0.25">
      <c r="A347" s="4" t="s">
        <v>829</v>
      </c>
      <c r="B347" s="4" t="s">
        <v>440</v>
      </c>
      <c r="C347" s="4">
        <v>20</v>
      </c>
      <c r="D347" s="4" t="s">
        <v>30</v>
      </c>
      <c r="E347" s="4" t="s">
        <v>67</v>
      </c>
      <c r="F347" s="4" t="s">
        <v>72</v>
      </c>
      <c r="G347" s="5">
        <v>45295</v>
      </c>
      <c r="H347" s="5">
        <v>45308</v>
      </c>
      <c r="I347" s="4">
        <v>13</v>
      </c>
      <c r="J347" s="4" t="s">
        <v>123</v>
      </c>
      <c r="K347" s="4" t="s">
        <v>124</v>
      </c>
      <c r="L347" s="4" t="s">
        <v>125</v>
      </c>
      <c r="M347" s="4" t="s">
        <v>36</v>
      </c>
      <c r="N347" s="4" t="s">
        <v>37</v>
      </c>
      <c r="O347" s="4" t="s">
        <v>248</v>
      </c>
      <c r="P347" s="4">
        <v>228</v>
      </c>
      <c r="Q347" s="4" t="s">
        <v>69</v>
      </c>
      <c r="R347" s="4" t="s">
        <v>40</v>
      </c>
      <c r="S347" s="4">
        <v>44573</v>
      </c>
      <c r="T347" s="4">
        <v>20390</v>
      </c>
      <c r="U347" s="4">
        <v>24183</v>
      </c>
      <c r="V347" s="4">
        <v>10185</v>
      </c>
      <c r="W347" s="4">
        <v>25851</v>
      </c>
      <c r="X347" s="4">
        <v>5106</v>
      </c>
      <c r="Y347" s="4" t="s">
        <v>41</v>
      </c>
      <c r="Z347" s="4">
        <v>80</v>
      </c>
      <c r="AA347" s="4">
        <v>2.9</v>
      </c>
      <c r="AB347" s="4" t="s">
        <v>64</v>
      </c>
    </row>
    <row r="348" spans="1:28" x14ac:dyDescent="0.25">
      <c r="A348" s="2" t="s">
        <v>830</v>
      </c>
      <c r="B348" s="2" t="s">
        <v>823</v>
      </c>
      <c r="C348" s="2">
        <v>51</v>
      </c>
      <c r="D348" s="2" t="s">
        <v>55</v>
      </c>
      <c r="E348" s="2" t="s">
        <v>79</v>
      </c>
      <c r="F348" s="2" t="s">
        <v>150</v>
      </c>
      <c r="G348" s="3">
        <v>44990</v>
      </c>
      <c r="H348" s="3">
        <v>44991</v>
      </c>
      <c r="I348" s="2">
        <v>1</v>
      </c>
      <c r="J348" s="2" t="s">
        <v>115</v>
      </c>
      <c r="K348" s="2" t="s">
        <v>160</v>
      </c>
      <c r="L348" s="2" t="s">
        <v>117</v>
      </c>
      <c r="M348" s="2" t="s">
        <v>36</v>
      </c>
      <c r="N348" s="2" t="s">
        <v>118</v>
      </c>
      <c r="O348" s="2" t="s">
        <v>259</v>
      </c>
      <c r="P348" s="2">
        <v>253</v>
      </c>
      <c r="Q348" s="2" t="s">
        <v>39</v>
      </c>
      <c r="R348" s="2" t="s">
        <v>51</v>
      </c>
      <c r="S348" s="2">
        <v>92957</v>
      </c>
      <c r="T348" s="2">
        <v>39006</v>
      </c>
      <c r="U348" s="2">
        <v>53951</v>
      </c>
      <c r="V348" s="2">
        <v>55795</v>
      </c>
      <c r="W348" s="2">
        <v>22621</v>
      </c>
      <c r="X348" s="2">
        <v>12604</v>
      </c>
      <c r="Y348" s="2" t="s">
        <v>91</v>
      </c>
      <c r="Z348" s="2">
        <v>44</v>
      </c>
      <c r="AA348" s="2">
        <v>2.4</v>
      </c>
      <c r="AB348" s="2" t="s">
        <v>42</v>
      </c>
    </row>
    <row r="349" spans="1:28" x14ac:dyDescent="0.25">
      <c r="A349" s="4" t="s">
        <v>831</v>
      </c>
      <c r="B349" s="4" t="s">
        <v>832</v>
      </c>
      <c r="C349" s="4">
        <v>71</v>
      </c>
      <c r="D349" s="4" t="s">
        <v>30</v>
      </c>
      <c r="E349" s="4" t="s">
        <v>31</v>
      </c>
      <c r="F349" s="4" t="s">
        <v>57</v>
      </c>
      <c r="G349" s="5">
        <v>45653</v>
      </c>
      <c r="H349" s="5">
        <v>45657</v>
      </c>
      <c r="I349" s="4">
        <v>4</v>
      </c>
      <c r="J349" s="4" t="s">
        <v>140</v>
      </c>
      <c r="K349" s="4" t="s">
        <v>167</v>
      </c>
      <c r="L349" s="4" t="s">
        <v>142</v>
      </c>
      <c r="M349" s="4" t="s">
        <v>83</v>
      </c>
      <c r="N349" s="4" t="s">
        <v>62</v>
      </c>
      <c r="O349" s="4" t="s">
        <v>368</v>
      </c>
      <c r="P349" s="4">
        <v>438</v>
      </c>
      <c r="Q349" s="4" t="s">
        <v>50</v>
      </c>
      <c r="R349" s="4" t="s">
        <v>111</v>
      </c>
      <c r="S349" s="4">
        <v>128878</v>
      </c>
      <c r="T349" s="4">
        <v>95367</v>
      </c>
      <c r="U349" s="4">
        <v>33511</v>
      </c>
      <c r="V349" s="4">
        <v>111660</v>
      </c>
      <c r="W349" s="4">
        <v>9979</v>
      </c>
      <c r="X349" s="4">
        <v>2494</v>
      </c>
      <c r="Y349" s="4" t="s">
        <v>41</v>
      </c>
      <c r="Z349" s="4">
        <v>88</v>
      </c>
      <c r="AA349" s="4">
        <v>2.1</v>
      </c>
      <c r="AB349" s="4" t="s">
        <v>64</v>
      </c>
    </row>
    <row r="350" spans="1:28" x14ac:dyDescent="0.25">
      <c r="A350" s="2" t="s">
        <v>833</v>
      </c>
      <c r="B350" s="2" t="s">
        <v>834</v>
      </c>
      <c r="C350" s="2">
        <v>58</v>
      </c>
      <c r="D350" s="2" t="s">
        <v>30</v>
      </c>
      <c r="E350" s="2" t="s">
        <v>45</v>
      </c>
      <c r="F350" s="2" t="s">
        <v>57</v>
      </c>
      <c r="G350" s="3">
        <v>45364</v>
      </c>
      <c r="H350" s="3">
        <v>45371</v>
      </c>
      <c r="I350" s="2">
        <v>7</v>
      </c>
      <c r="J350" s="2" t="s">
        <v>33</v>
      </c>
      <c r="K350" s="2" t="s">
        <v>47</v>
      </c>
      <c r="L350" s="2" t="s">
        <v>48</v>
      </c>
      <c r="M350" s="2" t="s">
        <v>101</v>
      </c>
      <c r="N350" s="2" t="s">
        <v>62</v>
      </c>
      <c r="O350" s="2" t="s">
        <v>126</v>
      </c>
      <c r="P350" s="2">
        <v>491</v>
      </c>
      <c r="Q350" s="2" t="s">
        <v>69</v>
      </c>
      <c r="R350" s="2" t="s">
        <v>40</v>
      </c>
      <c r="S350" s="2">
        <v>71939</v>
      </c>
      <c r="T350" s="2">
        <v>30132</v>
      </c>
      <c r="U350" s="2">
        <v>41807</v>
      </c>
      <c r="V350" s="2">
        <v>56610</v>
      </c>
      <c r="W350" s="2">
        <v>6389</v>
      </c>
      <c r="X350" s="2">
        <v>5894</v>
      </c>
      <c r="Y350" s="2" t="s">
        <v>41</v>
      </c>
      <c r="Z350" s="2">
        <v>41</v>
      </c>
      <c r="AA350" s="2">
        <v>3.4</v>
      </c>
      <c r="AB350" s="2" t="s">
        <v>104</v>
      </c>
    </row>
    <row r="351" spans="1:28" x14ac:dyDescent="0.25">
      <c r="A351" s="4" t="s">
        <v>835</v>
      </c>
      <c r="B351" s="4" t="s">
        <v>836</v>
      </c>
      <c r="C351" s="4">
        <v>37</v>
      </c>
      <c r="D351" s="4" t="s">
        <v>55</v>
      </c>
      <c r="E351" s="4" t="s">
        <v>56</v>
      </c>
      <c r="F351" s="4" t="s">
        <v>150</v>
      </c>
      <c r="G351" s="5">
        <v>45050</v>
      </c>
      <c r="H351" s="5">
        <v>45061</v>
      </c>
      <c r="I351" s="4">
        <v>11</v>
      </c>
      <c r="J351" s="4" t="s">
        <v>33</v>
      </c>
      <c r="K351" s="4" t="s">
        <v>197</v>
      </c>
      <c r="L351" s="4" t="s">
        <v>198</v>
      </c>
      <c r="M351" s="4" t="s">
        <v>75</v>
      </c>
      <c r="N351" s="4" t="s">
        <v>109</v>
      </c>
      <c r="O351" s="4" t="s">
        <v>337</v>
      </c>
      <c r="P351" s="4">
        <v>318</v>
      </c>
      <c r="Q351" s="4" t="s">
        <v>103</v>
      </c>
      <c r="R351" s="4" t="s">
        <v>90</v>
      </c>
      <c r="S351" s="4">
        <v>145750</v>
      </c>
      <c r="T351" s="4">
        <v>130061</v>
      </c>
      <c r="U351" s="4">
        <v>15689</v>
      </c>
      <c r="V351" s="4">
        <v>122035</v>
      </c>
      <c r="W351" s="4">
        <v>19970</v>
      </c>
      <c r="X351" s="4">
        <v>2545</v>
      </c>
      <c r="Y351" s="4" t="s">
        <v>41</v>
      </c>
      <c r="Z351" s="4">
        <v>64</v>
      </c>
      <c r="AA351" s="4">
        <v>2.9</v>
      </c>
      <c r="AB351" s="4" t="s">
        <v>104</v>
      </c>
    </row>
    <row r="352" spans="1:28" x14ac:dyDescent="0.25">
      <c r="A352" s="2" t="s">
        <v>837</v>
      </c>
      <c r="B352" s="2" t="s">
        <v>838</v>
      </c>
      <c r="C352" s="2">
        <v>12</v>
      </c>
      <c r="D352" s="2" t="s">
        <v>30</v>
      </c>
      <c r="E352" s="2" t="s">
        <v>122</v>
      </c>
      <c r="F352" s="2" t="s">
        <v>46</v>
      </c>
      <c r="G352" s="3">
        <v>45446</v>
      </c>
      <c r="H352" s="3">
        <v>45449</v>
      </c>
      <c r="I352" s="2">
        <v>3</v>
      </c>
      <c r="J352" s="2" t="s">
        <v>33</v>
      </c>
      <c r="K352" s="2" t="s">
        <v>34</v>
      </c>
      <c r="L352" s="2" t="s">
        <v>35</v>
      </c>
      <c r="M352" s="2" t="s">
        <v>75</v>
      </c>
      <c r="N352" s="2" t="s">
        <v>62</v>
      </c>
      <c r="O352" s="2" t="s">
        <v>538</v>
      </c>
      <c r="P352" s="2">
        <v>206</v>
      </c>
      <c r="Q352" s="2" t="s">
        <v>69</v>
      </c>
      <c r="R352" s="2" t="s">
        <v>51</v>
      </c>
      <c r="S352" s="2">
        <v>136658</v>
      </c>
      <c r="T352" s="2">
        <v>73252</v>
      </c>
      <c r="U352" s="2">
        <v>63406</v>
      </c>
      <c r="V352" s="2">
        <v>112769</v>
      </c>
      <c r="W352" s="2">
        <v>8638</v>
      </c>
      <c r="X352" s="2">
        <v>14665</v>
      </c>
      <c r="Y352" s="2" t="s">
        <v>41</v>
      </c>
      <c r="Z352" s="2">
        <v>67</v>
      </c>
      <c r="AA352" s="2">
        <v>4.5999999999999996</v>
      </c>
      <c r="AB352" s="2" t="s">
        <v>42</v>
      </c>
    </row>
    <row r="353" spans="1:28" x14ac:dyDescent="0.25">
      <c r="A353" s="4" t="s">
        <v>839</v>
      </c>
      <c r="B353" s="4" t="s">
        <v>840</v>
      </c>
      <c r="C353" s="4">
        <v>8</v>
      </c>
      <c r="D353" s="4" t="s">
        <v>30</v>
      </c>
      <c r="E353" s="4" t="s">
        <v>45</v>
      </c>
      <c r="F353" s="4" t="s">
        <v>72</v>
      </c>
      <c r="G353" s="5">
        <v>44956</v>
      </c>
      <c r="H353" s="5">
        <v>44960</v>
      </c>
      <c r="I353" s="4">
        <v>4</v>
      </c>
      <c r="J353" s="4" t="s">
        <v>33</v>
      </c>
      <c r="K353" s="4" t="s">
        <v>34</v>
      </c>
      <c r="L353" s="4" t="s">
        <v>35</v>
      </c>
      <c r="M353" s="4" t="s">
        <v>101</v>
      </c>
      <c r="N353" s="4" t="s">
        <v>62</v>
      </c>
      <c r="O353" s="4" t="s">
        <v>382</v>
      </c>
      <c r="P353" s="4">
        <v>464</v>
      </c>
      <c r="Q353" s="4" t="s">
        <v>39</v>
      </c>
      <c r="R353" s="4" t="s">
        <v>51</v>
      </c>
      <c r="S353" s="4">
        <v>96668</v>
      </c>
      <c r="T353" s="4">
        <v>59682</v>
      </c>
      <c r="U353" s="4">
        <v>36986</v>
      </c>
      <c r="V353" s="4">
        <v>72183</v>
      </c>
      <c r="W353" s="4">
        <v>12645</v>
      </c>
      <c r="X353" s="4">
        <v>7397</v>
      </c>
      <c r="Y353" s="4" t="s">
        <v>41</v>
      </c>
      <c r="Z353" s="4">
        <v>55</v>
      </c>
      <c r="AA353" s="4">
        <v>2.4</v>
      </c>
      <c r="AB353" s="4" t="s">
        <v>104</v>
      </c>
    </row>
    <row r="354" spans="1:28" x14ac:dyDescent="0.25">
      <c r="A354" s="2" t="s">
        <v>841</v>
      </c>
      <c r="B354" s="2" t="s">
        <v>306</v>
      </c>
      <c r="C354" s="2">
        <v>44</v>
      </c>
      <c r="D354" s="2" t="s">
        <v>30</v>
      </c>
      <c r="E354" s="2" t="s">
        <v>45</v>
      </c>
      <c r="F354" s="2" t="s">
        <v>46</v>
      </c>
      <c r="G354" s="3">
        <v>44860</v>
      </c>
      <c r="H354" s="3">
        <v>44865</v>
      </c>
      <c r="I354" s="2">
        <v>5</v>
      </c>
      <c r="J354" s="2" t="s">
        <v>33</v>
      </c>
      <c r="K354" s="2" t="s">
        <v>174</v>
      </c>
      <c r="L354" s="2" t="s">
        <v>48</v>
      </c>
      <c r="M354" s="2" t="s">
        <v>101</v>
      </c>
      <c r="N354" s="2" t="s">
        <v>118</v>
      </c>
      <c r="O354" s="2" t="s">
        <v>399</v>
      </c>
      <c r="P354" s="2">
        <v>497</v>
      </c>
      <c r="Q354" s="2" t="s">
        <v>69</v>
      </c>
      <c r="R354" s="2" t="s">
        <v>51</v>
      </c>
      <c r="S354" s="2">
        <v>54827</v>
      </c>
      <c r="T354" s="2">
        <v>35405</v>
      </c>
      <c r="U354" s="2">
        <v>19422</v>
      </c>
      <c r="V354" s="2">
        <v>42906</v>
      </c>
      <c r="W354" s="2">
        <v>2878</v>
      </c>
      <c r="X354" s="2">
        <v>4389</v>
      </c>
      <c r="Y354" s="2" t="s">
        <v>41</v>
      </c>
      <c r="Z354" s="2">
        <v>43</v>
      </c>
      <c r="AA354" s="2">
        <v>3.3</v>
      </c>
      <c r="AB354" s="2" t="s">
        <v>64</v>
      </c>
    </row>
    <row r="355" spans="1:28" x14ac:dyDescent="0.25">
      <c r="A355" s="4" t="s">
        <v>842</v>
      </c>
      <c r="B355" s="4" t="s">
        <v>519</v>
      </c>
      <c r="C355" s="4">
        <v>13</v>
      </c>
      <c r="D355" s="4" t="s">
        <v>30</v>
      </c>
      <c r="E355" s="4" t="s">
        <v>31</v>
      </c>
      <c r="F355" s="4" t="s">
        <v>150</v>
      </c>
      <c r="G355" s="5">
        <v>45519</v>
      </c>
      <c r="H355" s="5">
        <v>45539</v>
      </c>
      <c r="I355" s="4">
        <v>20</v>
      </c>
      <c r="J355" s="4" t="s">
        <v>33</v>
      </c>
      <c r="K355" s="4" t="s">
        <v>47</v>
      </c>
      <c r="L355" s="4" t="s">
        <v>48</v>
      </c>
      <c r="M355" s="4" t="s">
        <v>101</v>
      </c>
      <c r="N355" s="4" t="s">
        <v>118</v>
      </c>
      <c r="O355" s="4" t="s">
        <v>326</v>
      </c>
      <c r="P355" s="4">
        <v>215</v>
      </c>
      <c r="Q355" s="4" t="s">
        <v>50</v>
      </c>
      <c r="R355" s="4" t="s">
        <v>40</v>
      </c>
      <c r="S355" s="4">
        <v>64070</v>
      </c>
      <c r="T355" s="4">
        <v>35160</v>
      </c>
      <c r="U355" s="4">
        <v>28910</v>
      </c>
      <c r="V355" s="4">
        <v>32485</v>
      </c>
      <c r="W355" s="4">
        <v>15886</v>
      </c>
      <c r="X355" s="4">
        <v>14854</v>
      </c>
      <c r="Y355" s="4" t="s">
        <v>41</v>
      </c>
      <c r="Z355" s="4">
        <v>80</v>
      </c>
      <c r="AA355" s="4">
        <v>2.7</v>
      </c>
      <c r="AB355" s="4" t="s">
        <v>64</v>
      </c>
    </row>
    <row r="356" spans="1:28" x14ac:dyDescent="0.25">
      <c r="A356" s="2" t="s">
        <v>843</v>
      </c>
      <c r="B356" s="2" t="s">
        <v>433</v>
      </c>
      <c r="C356" s="2">
        <v>32</v>
      </c>
      <c r="D356" s="2" t="s">
        <v>55</v>
      </c>
      <c r="E356" s="2" t="s">
        <v>87</v>
      </c>
      <c r="F356" s="2" t="s">
        <v>80</v>
      </c>
      <c r="G356" s="3">
        <v>45331</v>
      </c>
      <c r="H356" s="3">
        <v>45338</v>
      </c>
      <c r="I356" s="2">
        <v>7</v>
      </c>
      <c r="J356" s="2" t="s">
        <v>115</v>
      </c>
      <c r="K356" s="2" t="s">
        <v>116</v>
      </c>
      <c r="L356" s="2" t="s">
        <v>117</v>
      </c>
      <c r="M356" s="2" t="s">
        <v>130</v>
      </c>
      <c r="N356" s="2" t="s">
        <v>118</v>
      </c>
      <c r="O356" s="2" t="s">
        <v>396</v>
      </c>
      <c r="P356" s="2">
        <v>184</v>
      </c>
      <c r="Q356" s="2" t="s">
        <v>69</v>
      </c>
      <c r="R356" s="2" t="s">
        <v>51</v>
      </c>
      <c r="S356" s="2">
        <v>50229</v>
      </c>
      <c r="T356" s="2">
        <v>23021</v>
      </c>
      <c r="U356" s="2">
        <v>27208</v>
      </c>
      <c r="V356" s="2">
        <v>35196</v>
      </c>
      <c r="W356" s="2">
        <v>5666</v>
      </c>
      <c r="X356" s="2">
        <v>5260</v>
      </c>
      <c r="Y356" s="2" t="s">
        <v>41</v>
      </c>
      <c r="Z356" s="2">
        <v>88</v>
      </c>
      <c r="AA356" s="2">
        <v>3.1</v>
      </c>
      <c r="AB356" s="2" t="s">
        <v>104</v>
      </c>
    </row>
    <row r="357" spans="1:28" x14ac:dyDescent="0.25">
      <c r="A357" s="4" t="s">
        <v>844</v>
      </c>
      <c r="B357" s="4" t="s">
        <v>519</v>
      </c>
      <c r="C357" s="4">
        <v>41</v>
      </c>
      <c r="D357" s="4" t="s">
        <v>55</v>
      </c>
      <c r="E357" s="4" t="s">
        <v>31</v>
      </c>
      <c r="F357" s="4" t="s">
        <v>46</v>
      </c>
      <c r="G357" s="5">
        <v>44918</v>
      </c>
      <c r="H357" s="5">
        <v>44929</v>
      </c>
      <c r="I357" s="4">
        <v>11</v>
      </c>
      <c r="J357" s="4" t="s">
        <v>33</v>
      </c>
      <c r="K357" s="4" t="s">
        <v>99</v>
      </c>
      <c r="L357" s="4" t="s">
        <v>100</v>
      </c>
      <c r="M357" s="4" t="s">
        <v>143</v>
      </c>
      <c r="N357" s="4" t="s">
        <v>109</v>
      </c>
      <c r="O357" s="4" t="s">
        <v>208</v>
      </c>
      <c r="P357" s="4">
        <v>432</v>
      </c>
      <c r="Q357" s="4" t="s">
        <v>50</v>
      </c>
      <c r="R357" s="4" t="s">
        <v>90</v>
      </c>
      <c r="S357" s="4">
        <v>51970</v>
      </c>
      <c r="T357" s="4">
        <v>37090</v>
      </c>
      <c r="U357" s="4">
        <v>14880</v>
      </c>
      <c r="V357" s="4">
        <v>10503</v>
      </c>
      <c r="W357" s="4">
        <v>28244</v>
      </c>
      <c r="X357" s="4">
        <v>11599</v>
      </c>
      <c r="Y357" s="4" t="s">
        <v>41</v>
      </c>
      <c r="Z357" s="4">
        <v>47</v>
      </c>
      <c r="AA357" s="4">
        <v>3</v>
      </c>
      <c r="AB357" s="4" t="s">
        <v>64</v>
      </c>
    </row>
    <row r="358" spans="1:28" x14ac:dyDescent="0.25">
      <c r="A358" s="2" t="s">
        <v>845</v>
      </c>
      <c r="B358" s="2" t="s">
        <v>304</v>
      </c>
      <c r="C358" s="2">
        <v>35</v>
      </c>
      <c r="D358" s="2" t="s">
        <v>30</v>
      </c>
      <c r="E358" s="2" t="s">
        <v>45</v>
      </c>
      <c r="F358" s="2" t="s">
        <v>129</v>
      </c>
      <c r="G358" s="3">
        <v>45641</v>
      </c>
      <c r="H358" s="3">
        <v>45657</v>
      </c>
      <c r="I358" s="2">
        <v>16</v>
      </c>
      <c r="J358" s="2" t="s">
        <v>33</v>
      </c>
      <c r="K358" s="2" t="s">
        <v>233</v>
      </c>
      <c r="L358" s="2" t="s">
        <v>35</v>
      </c>
      <c r="M358" s="2" t="s">
        <v>36</v>
      </c>
      <c r="N358" s="2" t="s">
        <v>62</v>
      </c>
      <c r="O358" s="2" t="s">
        <v>560</v>
      </c>
      <c r="P358" s="2">
        <v>407</v>
      </c>
      <c r="Q358" s="2" t="s">
        <v>39</v>
      </c>
      <c r="R358" s="2" t="s">
        <v>40</v>
      </c>
      <c r="S358" s="2">
        <v>173439</v>
      </c>
      <c r="T358" s="2">
        <v>85919</v>
      </c>
      <c r="U358" s="2">
        <v>87520</v>
      </c>
      <c r="V358" s="2">
        <v>144606</v>
      </c>
      <c r="W358" s="2">
        <v>13392</v>
      </c>
      <c r="X358" s="2">
        <v>11876</v>
      </c>
      <c r="Y358" s="2" t="s">
        <v>41</v>
      </c>
      <c r="Z358" s="2">
        <v>80</v>
      </c>
      <c r="AA358" s="2">
        <v>2.7</v>
      </c>
      <c r="AB358" s="2" t="s">
        <v>104</v>
      </c>
    </row>
    <row r="359" spans="1:28" x14ac:dyDescent="0.25">
      <c r="A359" s="4" t="s">
        <v>846</v>
      </c>
      <c r="B359" s="4" t="s">
        <v>847</v>
      </c>
      <c r="C359" s="4">
        <v>80</v>
      </c>
      <c r="D359" s="4" t="s">
        <v>55</v>
      </c>
      <c r="E359" s="4" t="s">
        <v>79</v>
      </c>
      <c r="F359" s="4" t="s">
        <v>129</v>
      </c>
      <c r="G359" s="5">
        <v>45233</v>
      </c>
      <c r="H359" s="5">
        <v>45241</v>
      </c>
      <c r="I359" s="4">
        <v>8</v>
      </c>
      <c r="J359" s="4" t="s">
        <v>33</v>
      </c>
      <c r="K359" s="4" t="s">
        <v>197</v>
      </c>
      <c r="L359" s="4" t="s">
        <v>198</v>
      </c>
      <c r="M359" s="4" t="s">
        <v>143</v>
      </c>
      <c r="N359" s="4" t="s">
        <v>37</v>
      </c>
      <c r="O359" s="4" t="s">
        <v>365</v>
      </c>
      <c r="P359" s="4">
        <v>402</v>
      </c>
      <c r="Q359" s="4" t="s">
        <v>103</v>
      </c>
      <c r="R359" s="4" t="s">
        <v>51</v>
      </c>
      <c r="S359" s="4">
        <v>41004</v>
      </c>
      <c r="T359" s="4">
        <v>25644</v>
      </c>
      <c r="U359" s="4">
        <v>15360</v>
      </c>
      <c r="V359" s="4">
        <v>22006</v>
      </c>
      <c r="W359" s="4">
        <v>6486</v>
      </c>
      <c r="X359" s="4">
        <v>8833</v>
      </c>
      <c r="Y359" s="4" t="s">
        <v>41</v>
      </c>
      <c r="Z359" s="4">
        <v>72</v>
      </c>
      <c r="AA359" s="4">
        <v>3.1</v>
      </c>
      <c r="AB359" s="4" t="s">
        <v>42</v>
      </c>
    </row>
    <row r="360" spans="1:28" x14ac:dyDescent="0.25">
      <c r="A360" s="2" t="s">
        <v>848</v>
      </c>
      <c r="B360" s="2" t="s">
        <v>849</v>
      </c>
      <c r="C360" s="2">
        <v>46</v>
      </c>
      <c r="D360" s="2" t="s">
        <v>30</v>
      </c>
      <c r="E360" s="2" t="s">
        <v>87</v>
      </c>
      <c r="F360" s="2" t="s">
        <v>150</v>
      </c>
      <c r="G360" s="3">
        <v>45532</v>
      </c>
      <c r="H360" s="3">
        <v>45541</v>
      </c>
      <c r="I360" s="2">
        <v>9</v>
      </c>
      <c r="J360" s="2" t="s">
        <v>33</v>
      </c>
      <c r="K360" s="2" t="s">
        <v>278</v>
      </c>
      <c r="L360" s="2" t="s">
        <v>279</v>
      </c>
      <c r="M360" s="2" t="s">
        <v>101</v>
      </c>
      <c r="N360" s="2" t="s">
        <v>62</v>
      </c>
      <c r="O360" s="2" t="s">
        <v>595</v>
      </c>
      <c r="P360" s="2">
        <v>459</v>
      </c>
      <c r="Q360" s="2" t="s">
        <v>39</v>
      </c>
      <c r="R360" s="2" t="s">
        <v>111</v>
      </c>
      <c r="S360" s="2">
        <v>87501</v>
      </c>
      <c r="T360" s="2">
        <v>63658</v>
      </c>
      <c r="U360" s="2">
        <v>23843</v>
      </c>
      <c r="V360" s="2">
        <v>66442</v>
      </c>
      <c r="W360" s="2">
        <v>13972</v>
      </c>
      <c r="X360" s="2">
        <v>4081</v>
      </c>
      <c r="Y360" s="2" t="s">
        <v>41</v>
      </c>
      <c r="Z360" s="2">
        <v>50</v>
      </c>
      <c r="AA360" s="2">
        <v>4.8</v>
      </c>
      <c r="AB360" s="2" t="s">
        <v>52</v>
      </c>
    </row>
    <row r="361" spans="1:28" x14ac:dyDescent="0.25">
      <c r="A361" s="4" t="s">
        <v>850</v>
      </c>
      <c r="B361" s="4" t="s">
        <v>78</v>
      </c>
      <c r="C361" s="4">
        <v>15</v>
      </c>
      <c r="D361" s="4" t="s">
        <v>55</v>
      </c>
      <c r="E361" s="4" t="s">
        <v>56</v>
      </c>
      <c r="F361" s="4" t="s">
        <v>46</v>
      </c>
      <c r="G361" s="5">
        <v>45472</v>
      </c>
      <c r="H361" s="5">
        <v>45489</v>
      </c>
      <c r="I361" s="4">
        <v>17</v>
      </c>
      <c r="J361" s="4" t="s">
        <v>58</v>
      </c>
      <c r="K361" s="4" t="s">
        <v>88</v>
      </c>
      <c r="L361" s="4" t="s">
        <v>60</v>
      </c>
      <c r="M361" s="4" t="s">
        <v>101</v>
      </c>
      <c r="N361" s="4" t="s">
        <v>62</v>
      </c>
      <c r="O361" s="4" t="s">
        <v>681</v>
      </c>
      <c r="P361" s="4">
        <v>319</v>
      </c>
      <c r="Q361" s="4" t="s">
        <v>50</v>
      </c>
      <c r="R361" s="4" t="s">
        <v>111</v>
      </c>
      <c r="S361" s="4">
        <v>151022</v>
      </c>
      <c r="T361" s="4">
        <v>107264</v>
      </c>
      <c r="U361" s="4">
        <v>43758</v>
      </c>
      <c r="V361" s="4">
        <v>123266</v>
      </c>
      <c r="W361" s="4">
        <v>16320</v>
      </c>
      <c r="X361" s="4">
        <v>7586</v>
      </c>
      <c r="Y361" s="4" t="s">
        <v>41</v>
      </c>
      <c r="Z361" s="4">
        <v>57</v>
      </c>
      <c r="AA361" s="4">
        <v>3.1</v>
      </c>
      <c r="AB361" s="4" t="s">
        <v>64</v>
      </c>
    </row>
    <row r="362" spans="1:28" x14ac:dyDescent="0.25">
      <c r="A362" s="2" t="s">
        <v>851</v>
      </c>
      <c r="B362" s="2" t="s">
        <v>852</v>
      </c>
      <c r="C362" s="2">
        <v>38</v>
      </c>
      <c r="D362" s="2" t="s">
        <v>55</v>
      </c>
      <c r="E362" s="2" t="s">
        <v>45</v>
      </c>
      <c r="F362" s="2" t="s">
        <v>157</v>
      </c>
      <c r="G362" s="3">
        <v>45165</v>
      </c>
      <c r="H362" s="3">
        <v>45192</v>
      </c>
      <c r="I362" s="2">
        <v>27</v>
      </c>
      <c r="J362" s="2" t="s">
        <v>202</v>
      </c>
      <c r="K362" s="2" t="s">
        <v>225</v>
      </c>
      <c r="L362" s="2" t="s">
        <v>226</v>
      </c>
      <c r="M362" s="2" t="s">
        <v>75</v>
      </c>
      <c r="N362" s="2" t="s">
        <v>62</v>
      </c>
      <c r="O362" s="2" t="s">
        <v>543</v>
      </c>
      <c r="P362" s="2">
        <v>51</v>
      </c>
      <c r="Q362" s="2" t="s">
        <v>69</v>
      </c>
      <c r="R362" s="2" t="s">
        <v>90</v>
      </c>
      <c r="S362" s="2">
        <v>113273</v>
      </c>
      <c r="T362" s="2">
        <v>79306</v>
      </c>
      <c r="U362" s="2">
        <v>33967</v>
      </c>
      <c r="V362" s="2">
        <v>99433</v>
      </c>
      <c r="W362" s="2">
        <v>2254</v>
      </c>
      <c r="X362" s="2">
        <v>9446</v>
      </c>
      <c r="Y362" s="2" t="s">
        <v>41</v>
      </c>
      <c r="Z362" s="2">
        <v>56</v>
      </c>
      <c r="AA362" s="2">
        <v>2.9</v>
      </c>
      <c r="AB362" s="2" t="s">
        <v>52</v>
      </c>
    </row>
    <row r="363" spans="1:28" x14ac:dyDescent="0.25">
      <c r="A363" s="4" t="s">
        <v>853</v>
      </c>
      <c r="B363" s="4" t="s">
        <v>854</v>
      </c>
      <c r="C363" s="4">
        <v>22</v>
      </c>
      <c r="D363" s="4" t="s">
        <v>30</v>
      </c>
      <c r="E363" s="4" t="s">
        <v>122</v>
      </c>
      <c r="F363" s="4" t="s">
        <v>46</v>
      </c>
      <c r="G363" s="5">
        <v>45139</v>
      </c>
      <c r="H363" s="5">
        <v>45166</v>
      </c>
      <c r="I363" s="4">
        <v>27</v>
      </c>
      <c r="J363" s="4" t="s">
        <v>58</v>
      </c>
      <c r="K363" s="4" t="s">
        <v>88</v>
      </c>
      <c r="L363" s="4" t="s">
        <v>60</v>
      </c>
      <c r="M363" s="4" t="s">
        <v>108</v>
      </c>
      <c r="N363" s="4" t="s">
        <v>62</v>
      </c>
      <c r="O363" s="4" t="s">
        <v>681</v>
      </c>
      <c r="P363" s="4">
        <v>390</v>
      </c>
      <c r="Q363" s="4" t="s">
        <v>39</v>
      </c>
      <c r="R363" s="4" t="s">
        <v>111</v>
      </c>
      <c r="S363" s="4">
        <v>87663</v>
      </c>
      <c r="T363" s="4">
        <v>65075</v>
      </c>
      <c r="U363" s="4">
        <v>22588</v>
      </c>
      <c r="V363" s="4">
        <v>64658</v>
      </c>
      <c r="W363" s="4">
        <v>8435</v>
      </c>
      <c r="X363" s="4">
        <v>12351</v>
      </c>
      <c r="Y363" s="4" t="s">
        <v>41</v>
      </c>
      <c r="Z363" s="4">
        <v>90</v>
      </c>
      <c r="AA363" s="4">
        <v>3.7</v>
      </c>
      <c r="AB363" s="4" t="s">
        <v>137</v>
      </c>
    </row>
    <row r="364" spans="1:28" x14ac:dyDescent="0.25">
      <c r="A364" s="2" t="s">
        <v>855</v>
      </c>
      <c r="B364" s="2" t="s">
        <v>856</v>
      </c>
      <c r="C364" s="2">
        <v>48</v>
      </c>
      <c r="D364" s="2" t="s">
        <v>55</v>
      </c>
      <c r="E364" s="2" t="s">
        <v>45</v>
      </c>
      <c r="F364" s="2" t="s">
        <v>32</v>
      </c>
      <c r="G364" s="3">
        <v>45440</v>
      </c>
      <c r="H364" s="3">
        <v>45465</v>
      </c>
      <c r="I364" s="2">
        <v>25</v>
      </c>
      <c r="J364" s="2" t="s">
        <v>33</v>
      </c>
      <c r="K364" s="2" t="s">
        <v>81</v>
      </c>
      <c r="L364" s="2" t="s">
        <v>82</v>
      </c>
      <c r="M364" s="2" t="s">
        <v>83</v>
      </c>
      <c r="N364" s="2" t="s">
        <v>37</v>
      </c>
      <c r="O364" s="2" t="s">
        <v>214</v>
      </c>
      <c r="P364" s="2">
        <v>192</v>
      </c>
      <c r="Q364" s="2" t="s">
        <v>39</v>
      </c>
      <c r="R364" s="2" t="s">
        <v>51</v>
      </c>
      <c r="S364" s="2">
        <v>62824</v>
      </c>
      <c r="T364" s="2">
        <v>34549</v>
      </c>
      <c r="U364" s="2">
        <v>28275</v>
      </c>
      <c r="V364" s="2">
        <v>38645</v>
      </c>
      <c r="W364" s="2">
        <v>11012</v>
      </c>
      <c r="X364" s="2">
        <v>12588</v>
      </c>
      <c r="Y364" s="2" t="s">
        <v>41</v>
      </c>
      <c r="Z364" s="2">
        <v>62</v>
      </c>
      <c r="AA364" s="2">
        <v>3</v>
      </c>
      <c r="AB364" s="2" t="s">
        <v>137</v>
      </c>
    </row>
    <row r="365" spans="1:28" x14ac:dyDescent="0.25">
      <c r="A365" s="4" t="s">
        <v>857</v>
      </c>
      <c r="B365" s="4" t="s">
        <v>858</v>
      </c>
      <c r="C365" s="4">
        <v>73</v>
      </c>
      <c r="D365" s="4" t="s">
        <v>30</v>
      </c>
      <c r="E365" s="4" t="s">
        <v>45</v>
      </c>
      <c r="F365" s="4" t="s">
        <v>72</v>
      </c>
      <c r="G365" s="5">
        <v>44609</v>
      </c>
      <c r="H365" s="5">
        <v>44628</v>
      </c>
      <c r="I365" s="4">
        <v>19</v>
      </c>
      <c r="J365" s="4" t="s">
        <v>33</v>
      </c>
      <c r="K365" s="4" t="s">
        <v>197</v>
      </c>
      <c r="L365" s="4" t="s">
        <v>198</v>
      </c>
      <c r="M365" s="4" t="s">
        <v>143</v>
      </c>
      <c r="N365" s="4" t="s">
        <v>118</v>
      </c>
      <c r="O365" s="4" t="s">
        <v>131</v>
      </c>
      <c r="P365" s="4">
        <v>468</v>
      </c>
      <c r="Q365" s="4" t="s">
        <v>103</v>
      </c>
      <c r="R365" s="4" t="s">
        <v>111</v>
      </c>
      <c r="S365" s="4">
        <v>78752</v>
      </c>
      <c r="T365" s="4">
        <v>56381</v>
      </c>
      <c r="U365" s="4">
        <v>22371</v>
      </c>
      <c r="V365" s="4">
        <v>58531</v>
      </c>
      <c r="W365" s="4">
        <v>13800</v>
      </c>
      <c r="X365" s="4">
        <v>1543</v>
      </c>
      <c r="Y365" s="4" t="s">
        <v>41</v>
      </c>
      <c r="Z365" s="4">
        <v>61</v>
      </c>
      <c r="AA365" s="4">
        <v>3.7</v>
      </c>
      <c r="AB365" s="4" t="s">
        <v>137</v>
      </c>
    </row>
    <row r="366" spans="1:28" x14ac:dyDescent="0.25">
      <c r="A366" s="2" t="s">
        <v>859</v>
      </c>
      <c r="B366" s="2" t="s">
        <v>732</v>
      </c>
      <c r="C366" s="2">
        <v>16</v>
      </c>
      <c r="D366" s="2" t="s">
        <v>55</v>
      </c>
      <c r="E366" s="2" t="s">
        <v>56</v>
      </c>
      <c r="F366" s="2" t="s">
        <v>94</v>
      </c>
      <c r="G366" s="3">
        <v>44925</v>
      </c>
      <c r="H366" s="3">
        <v>44927</v>
      </c>
      <c r="I366" s="2">
        <v>2</v>
      </c>
      <c r="J366" s="2" t="s">
        <v>33</v>
      </c>
      <c r="K366" s="2" t="s">
        <v>233</v>
      </c>
      <c r="L366" s="2" t="s">
        <v>35</v>
      </c>
      <c r="M366" s="2" t="s">
        <v>130</v>
      </c>
      <c r="N366" s="2" t="s">
        <v>109</v>
      </c>
      <c r="O366" s="2" t="s">
        <v>365</v>
      </c>
      <c r="P366" s="2">
        <v>467</v>
      </c>
      <c r="Q366" s="2" t="s">
        <v>103</v>
      </c>
      <c r="R366" s="2" t="s">
        <v>136</v>
      </c>
      <c r="S366" s="2">
        <v>77673</v>
      </c>
      <c r="T366" s="2">
        <v>0</v>
      </c>
      <c r="U366" s="2">
        <v>77673</v>
      </c>
      <c r="V366" s="2">
        <v>58973</v>
      </c>
      <c r="W366" s="2">
        <v>8636</v>
      </c>
      <c r="X366" s="2">
        <v>5269</v>
      </c>
      <c r="Y366" s="2" t="s">
        <v>91</v>
      </c>
      <c r="Z366" s="2">
        <v>43</v>
      </c>
      <c r="AA366" s="2">
        <v>3.1</v>
      </c>
      <c r="AB366" s="2" t="s">
        <v>104</v>
      </c>
    </row>
    <row r="367" spans="1:28" x14ac:dyDescent="0.25">
      <c r="A367" s="4" t="s">
        <v>860</v>
      </c>
      <c r="B367" s="4" t="s">
        <v>861</v>
      </c>
      <c r="C367" s="4">
        <v>57</v>
      </c>
      <c r="D367" s="4" t="s">
        <v>30</v>
      </c>
      <c r="E367" s="4" t="s">
        <v>154</v>
      </c>
      <c r="F367" s="4" t="s">
        <v>157</v>
      </c>
      <c r="G367" s="5">
        <v>44826</v>
      </c>
      <c r="H367" s="5">
        <v>44844</v>
      </c>
      <c r="I367" s="4">
        <v>18</v>
      </c>
      <c r="J367" s="4" t="s">
        <v>33</v>
      </c>
      <c r="K367" s="4" t="s">
        <v>81</v>
      </c>
      <c r="L367" s="4" t="s">
        <v>82</v>
      </c>
      <c r="M367" s="4" t="s">
        <v>36</v>
      </c>
      <c r="N367" s="4" t="s">
        <v>37</v>
      </c>
      <c r="O367" s="4" t="s">
        <v>678</v>
      </c>
      <c r="P367" s="4">
        <v>446</v>
      </c>
      <c r="Q367" s="4" t="s">
        <v>39</v>
      </c>
      <c r="R367" s="4" t="s">
        <v>136</v>
      </c>
      <c r="S367" s="4">
        <v>162614</v>
      </c>
      <c r="T367" s="4">
        <v>0</v>
      </c>
      <c r="U367" s="4">
        <v>162614</v>
      </c>
      <c r="V367" s="4">
        <v>118298</v>
      </c>
      <c r="W367" s="4">
        <v>27800</v>
      </c>
      <c r="X367" s="4">
        <v>12127</v>
      </c>
      <c r="Y367" s="4" t="s">
        <v>41</v>
      </c>
      <c r="Z367" s="4">
        <v>76</v>
      </c>
      <c r="AA367" s="4">
        <v>4.8</v>
      </c>
      <c r="AB367" s="4" t="s">
        <v>42</v>
      </c>
    </row>
    <row r="368" spans="1:28" x14ac:dyDescent="0.25">
      <c r="A368" s="2" t="s">
        <v>862</v>
      </c>
      <c r="B368" s="2" t="s">
        <v>863</v>
      </c>
      <c r="C368" s="2">
        <v>63</v>
      </c>
      <c r="D368" s="2" t="s">
        <v>30</v>
      </c>
      <c r="E368" s="2" t="s">
        <v>31</v>
      </c>
      <c r="F368" s="2" t="s">
        <v>57</v>
      </c>
      <c r="G368" s="3">
        <v>44854</v>
      </c>
      <c r="H368" s="3">
        <v>44869</v>
      </c>
      <c r="I368" s="2">
        <v>15</v>
      </c>
      <c r="J368" s="2" t="s">
        <v>202</v>
      </c>
      <c r="K368" s="2" t="s">
        <v>203</v>
      </c>
      <c r="L368" s="2" t="s">
        <v>204</v>
      </c>
      <c r="M368" s="2" t="s">
        <v>101</v>
      </c>
      <c r="N368" s="2" t="s">
        <v>109</v>
      </c>
      <c r="O368" s="2" t="s">
        <v>673</v>
      </c>
      <c r="P368" s="2">
        <v>467</v>
      </c>
      <c r="Q368" s="2" t="s">
        <v>103</v>
      </c>
      <c r="R368" s="2" t="s">
        <v>111</v>
      </c>
      <c r="S368" s="2">
        <v>148556</v>
      </c>
      <c r="T368" s="2">
        <v>101965</v>
      </c>
      <c r="U368" s="2">
        <v>46591</v>
      </c>
      <c r="V368" s="2">
        <v>126292</v>
      </c>
      <c r="W368" s="2">
        <v>19878</v>
      </c>
      <c r="X368" s="2">
        <v>1140</v>
      </c>
      <c r="Y368" s="2" t="s">
        <v>41</v>
      </c>
      <c r="Z368" s="2">
        <v>69</v>
      </c>
      <c r="AA368" s="2">
        <v>3</v>
      </c>
      <c r="AB368" s="2" t="s">
        <v>52</v>
      </c>
    </row>
    <row r="369" spans="1:28" x14ac:dyDescent="0.25">
      <c r="A369" s="4" t="s">
        <v>864</v>
      </c>
      <c r="B369" s="4" t="s">
        <v>255</v>
      </c>
      <c r="C369" s="4">
        <v>27</v>
      </c>
      <c r="D369" s="4" t="s">
        <v>30</v>
      </c>
      <c r="E369" s="4" t="s">
        <v>31</v>
      </c>
      <c r="F369" s="4" t="s">
        <v>129</v>
      </c>
      <c r="G369" s="5">
        <v>45446</v>
      </c>
      <c r="H369" s="5">
        <v>45461</v>
      </c>
      <c r="I369" s="4">
        <v>15</v>
      </c>
      <c r="J369" s="4" t="s">
        <v>115</v>
      </c>
      <c r="K369" s="4" t="s">
        <v>116</v>
      </c>
      <c r="L369" s="4" t="s">
        <v>117</v>
      </c>
      <c r="M369" s="4" t="s">
        <v>101</v>
      </c>
      <c r="N369" s="4" t="s">
        <v>62</v>
      </c>
      <c r="O369" s="4" t="s">
        <v>368</v>
      </c>
      <c r="P369" s="4">
        <v>123</v>
      </c>
      <c r="Q369" s="4" t="s">
        <v>39</v>
      </c>
      <c r="R369" s="4" t="s">
        <v>136</v>
      </c>
      <c r="S369" s="4">
        <v>168996</v>
      </c>
      <c r="T369" s="4">
        <v>0</v>
      </c>
      <c r="U369" s="4">
        <v>168996</v>
      </c>
      <c r="V369" s="4">
        <v>145964</v>
      </c>
      <c r="W369" s="4">
        <v>10564</v>
      </c>
      <c r="X369" s="4">
        <v>11422</v>
      </c>
      <c r="Y369" s="4" t="s">
        <v>41</v>
      </c>
      <c r="Z369" s="4">
        <v>86</v>
      </c>
      <c r="AA369" s="4">
        <v>4.7</v>
      </c>
      <c r="AB369" s="4" t="s">
        <v>137</v>
      </c>
    </row>
    <row r="370" spans="1:28" x14ac:dyDescent="0.25">
      <c r="A370" s="2" t="s">
        <v>865</v>
      </c>
      <c r="B370" s="2" t="s">
        <v>191</v>
      </c>
      <c r="C370" s="2">
        <v>20</v>
      </c>
      <c r="D370" s="2" t="s">
        <v>30</v>
      </c>
      <c r="E370" s="2" t="s">
        <v>56</v>
      </c>
      <c r="F370" s="2" t="s">
        <v>157</v>
      </c>
      <c r="G370" s="3">
        <v>45595</v>
      </c>
      <c r="H370" s="3">
        <v>45620</v>
      </c>
      <c r="I370" s="2">
        <v>25</v>
      </c>
      <c r="J370" s="2" t="s">
        <v>33</v>
      </c>
      <c r="K370" s="2" t="s">
        <v>47</v>
      </c>
      <c r="L370" s="2" t="s">
        <v>48</v>
      </c>
      <c r="M370" s="2" t="s">
        <v>83</v>
      </c>
      <c r="N370" s="2" t="s">
        <v>109</v>
      </c>
      <c r="O370" s="2" t="s">
        <v>543</v>
      </c>
      <c r="P370" s="2">
        <v>260</v>
      </c>
      <c r="Q370" s="2" t="s">
        <v>69</v>
      </c>
      <c r="R370" s="2" t="s">
        <v>111</v>
      </c>
      <c r="S370" s="2">
        <v>30651</v>
      </c>
      <c r="T370" s="2">
        <v>21895</v>
      </c>
      <c r="U370" s="2">
        <v>8756</v>
      </c>
      <c r="V370" s="2">
        <v>12003</v>
      </c>
      <c r="W370" s="2">
        <v>3398</v>
      </c>
      <c r="X370" s="2">
        <v>10967</v>
      </c>
      <c r="Y370" s="2" t="s">
        <v>41</v>
      </c>
      <c r="Z370" s="2">
        <v>94</v>
      </c>
      <c r="AA370" s="2">
        <v>2.6</v>
      </c>
      <c r="AB370" s="2" t="s">
        <v>104</v>
      </c>
    </row>
    <row r="371" spans="1:28" x14ac:dyDescent="0.25">
      <c r="A371" s="4" t="s">
        <v>866</v>
      </c>
      <c r="B371" s="4" t="s">
        <v>345</v>
      </c>
      <c r="C371" s="4">
        <v>19</v>
      </c>
      <c r="D371" s="4" t="s">
        <v>55</v>
      </c>
      <c r="E371" s="4" t="s">
        <v>45</v>
      </c>
      <c r="F371" s="4" t="s">
        <v>150</v>
      </c>
      <c r="G371" s="5">
        <v>45554</v>
      </c>
      <c r="H371" s="5">
        <v>45569</v>
      </c>
      <c r="I371" s="4">
        <v>15</v>
      </c>
      <c r="J371" s="4" t="s">
        <v>202</v>
      </c>
      <c r="K371" s="4" t="s">
        <v>203</v>
      </c>
      <c r="L371" s="4" t="s">
        <v>204</v>
      </c>
      <c r="M371" s="4" t="s">
        <v>75</v>
      </c>
      <c r="N371" s="4" t="s">
        <v>109</v>
      </c>
      <c r="O371" s="4" t="s">
        <v>591</v>
      </c>
      <c r="P371" s="4">
        <v>242</v>
      </c>
      <c r="Q371" s="4" t="s">
        <v>50</v>
      </c>
      <c r="R371" s="4" t="s">
        <v>40</v>
      </c>
      <c r="S371" s="4">
        <v>80311</v>
      </c>
      <c r="T371" s="4">
        <v>36395</v>
      </c>
      <c r="U371" s="4">
        <v>43916</v>
      </c>
      <c r="V371" s="4">
        <v>49718</v>
      </c>
      <c r="W371" s="4">
        <v>28475</v>
      </c>
      <c r="X371" s="4">
        <v>795</v>
      </c>
      <c r="Y371" s="4" t="s">
        <v>91</v>
      </c>
      <c r="Z371" s="4">
        <v>87</v>
      </c>
      <c r="AA371" s="4">
        <v>3.2</v>
      </c>
      <c r="AB371" s="4" t="s">
        <v>104</v>
      </c>
    </row>
    <row r="372" spans="1:28" x14ac:dyDescent="0.25">
      <c r="A372" s="2" t="s">
        <v>867</v>
      </c>
      <c r="B372" s="2" t="s">
        <v>868</v>
      </c>
      <c r="C372" s="2">
        <v>39</v>
      </c>
      <c r="D372" s="2" t="s">
        <v>55</v>
      </c>
      <c r="E372" s="2" t="s">
        <v>87</v>
      </c>
      <c r="F372" s="2" t="s">
        <v>80</v>
      </c>
      <c r="G372" s="3">
        <v>44926</v>
      </c>
      <c r="H372" s="3">
        <v>44933</v>
      </c>
      <c r="I372" s="2">
        <v>7</v>
      </c>
      <c r="J372" s="2" t="s">
        <v>33</v>
      </c>
      <c r="K372" s="2" t="s">
        <v>197</v>
      </c>
      <c r="L372" s="2" t="s">
        <v>198</v>
      </c>
      <c r="M372" s="2" t="s">
        <v>61</v>
      </c>
      <c r="N372" s="2" t="s">
        <v>37</v>
      </c>
      <c r="O372" s="2" t="s">
        <v>194</v>
      </c>
      <c r="P372" s="2">
        <v>329</v>
      </c>
      <c r="Q372" s="2" t="s">
        <v>69</v>
      </c>
      <c r="R372" s="2" t="s">
        <v>111</v>
      </c>
      <c r="S372" s="2">
        <v>103269</v>
      </c>
      <c r="T372" s="2">
        <v>63469</v>
      </c>
      <c r="U372" s="2">
        <v>39800</v>
      </c>
      <c r="V372" s="2">
        <v>85825</v>
      </c>
      <c r="W372" s="2">
        <v>15548</v>
      </c>
      <c r="X372" s="2">
        <v>1358</v>
      </c>
      <c r="Y372" s="2" t="s">
        <v>41</v>
      </c>
      <c r="Z372" s="2">
        <v>52</v>
      </c>
      <c r="AA372" s="2">
        <v>4.8</v>
      </c>
      <c r="AB372" s="2" t="s">
        <v>52</v>
      </c>
    </row>
    <row r="373" spans="1:28" x14ac:dyDescent="0.25">
      <c r="A373" s="4" t="s">
        <v>869</v>
      </c>
      <c r="B373" s="4" t="s">
        <v>870</v>
      </c>
      <c r="C373" s="4">
        <v>30</v>
      </c>
      <c r="D373" s="4" t="s">
        <v>55</v>
      </c>
      <c r="E373" s="4" t="s">
        <v>122</v>
      </c>
      <c r="F373" s="4" t="s">
        <v>114</v>
      </c>
      <c r="G373" s="5">
        <v>44619</v>
      </c>
      <c r="H373" s="5">
        <v>44620</v>
      </c>
      <c r="I373" s="4">
        <v>1</v>
      </c>
      <c r="J373" s="4" t="s">
        <v>33</v>
      </c>
      <c r="K373" s="4" t="s">
        <v>47</v>
      </c>
      <c r="L373" s="4" t="s">
        <v>48</v>
      </c>
      <c r="M373" s="4" t="s">
        <v>36</v>
      </c>
      <c r="N373" s="4" t="s">
        <v>109</v>
      </c>
      <c r="O373" s="4" t="s">
        <v>241</v>
      </c>
      <c r="P373" s="4">
        <v>371</v>
      </c>
      <c r="Q373" s="4" t="s">
        <v>39</v>
      </c>
      <c r="R373" s="4" t="s">
        <v>90</v>
      </c>
      <c r="S373" s="4">
        <v>137204</v>
      </c>
      <c r="T373" s="4">
        <v>95604</v>
      </c>
      <c r="U373" s="4">
        <v>41600</v>
      </c>
      <c r="V373" s="4">
        <v>113968</v>
      </c>
      <c r="W373" s="4">
        <v>17793</v>
      </c>
      <c r="X373" s="4">
        <v>2264</v>
      </c>
      <c r="Y373" s="4" t="s">
        <v>41</v>
      </c>
      <c r="Z373" s="4">
        <v>79</v>
      </c>
      <c r="AA373" s="4">
        <v>2.6</v>
      </c>
      <c r="AB373" s="4" t="s">
        <v>42</v>
      </c>
    </row>
    <row r="374" spans="1:28" x14ac:dyDescent="0.25">
      <c r="A374" s="2" t="s">
        <v>871</v>
      </c>
      <c r="B374" s="2" t="s">
        <v>408</v>
      </c>
      <c r="C374" s="2">
        <v>20</v>
      </c>
      <c r="D374" s="2" t="s">
        <v>55</v>
      </c>
      <c r="E374" s="2" t="s">
        <v>31</v>
      </c>
      <c r="F374" s="2" t="s">
        <v>157</v>
      </c>
      <c r="G374" s="3">
        <v>45292</v>
      </c>
      <c r="H374" s="3">
        <v>45303</v>
      </c>
      <c r="I374" s="2">
        <v>11</v>
      </c>
      <c r="J374" s="2" t="s">
        <v>123</v>
      </c>
      <c r="K374" s="2" t="s">
        <v>124</v>
      </c>
      <c r="L374" s="2" t="s">
        <v>125</v>
      </c>
      <c r="M374" s="2" t="s">
        <v>108</v>
      </c>
      <c r="N374" s="2" t="s">
        <v>118</v>
      </c>
      <c r="O374" s="2" t="s">
        <v>184</v>
      </c>
      <c r="P374" s="2">
        <v>109</v>
      </c>
      <c r="Q374" s="2" t="s">
        <v>103</v>
      </c>
      <c r="R374" s="2" t="s">
        <v>40</v>
      </c>
      <c r="S374" s="2">
        <v>61500</v>
      </c>
      <c r="T374" s="2">
        <v>36591</v>
      </c>
      <c r="U374" s="2">
        <v>24909</v>
      </c>
      <c r="V374" s="2">
        <v>22305</v>
      </c>
      <c r="W374" s="2">
        <v>22560</v>
      </c>
      <c r="X374" s="2">
        <v>13854</v>
      </c>
      <c r="Y374" s="2" t="s">
        <v>41</v>
      </c>
      <c r="Z374" s="2">
        <v>44</v>
      </c>
      <c r="AA374" s="2">
        <v>4.7</v>
      </c>
      <c r="AB374" s="2" t="s">
        <v>137</v>
      </c>
    </row>
    <row r="375" spans="1:28" x14ac:dyDescent="0.25">
      <c r="A375" s="4" t="s">
        <v>872</v>
      </c>
      <c r="B375" s="4" t="s">
        <v>620</v>
      </c>
      <c r="C375" s="4">
        <v>68</v>
      </c>
      <c r="D375" s="4" t="s">
        <v>55</v>
      </c>
      <c r="E375" s="4" t="s">
        <v>154</v>
      </c>
      <c r="F375" s="4" t="s">
        <v>46</v>
      </c>
      <c r="G375" s="5">
        <v>44756</v>
      </c>
      <c r="H375" s="5">
        <v>44776</v>
      </c>
      <c r="I375" s="4">
        <v>20</v>
      </c>
      <c r="J375" s="4" t="s">
        <v>33</v>
      </c>
      <c r="K375" s="4" t="s">
        <v>47</v>
      </c>
      <c r="L375" s="4" t="s">
        <v>48</v>
      </c>
      <c r="M375" s="4" t="s">
        <v>143</v>
      </c>
      <c r="N375" s="4" t="s">
        <v>118</v>
      </c>
      <c r="O375" s="4" t="s">
        <v>406</v>
      </c>
      <c r="P375" s="4">
        <v>436</v>
      </c>
      <c r="Q375" s="4" t="s">
        <v>103</v>
      </c>
      <c r="R375" s="4" t="s">
        <v>90</v>
      </c>
      <c r="S375" s="4">
        <v>109070</v>
      </c>
      <c r="T375" s="4">
        <v>77954</v>
      </c>
      <c r="U375" s="4">
        <v>31116</v>
      </c>
      <c r="V375" s="4">
        <v>92845</v>
      </c>
      <c r="W375" s="4">
        <v>1578</v>
      </c>
      <c r="X375" s="4">
        <v>10470</v>
      </c>
      <c r="Y375" s="4" t="s">
        <v>41</v>
      </c>
      <c r="Z375" s="4">
        <v>54</v>
      </c>
      <c r="AA375" s="4">
        <v>3.5</v>
      </c>
      <c r="AB375" s="4" t="s">
        <v>104</v>
      </c>
    </row>
    <row r="376" spans="1:28" x14ac:dyDescent="0.25">
      <c r="A376" s="2" t="s">
        <v>873</v>
      </c>
      <c r="B376" s="2" t="s">
        <v>874</v>
      </c>
      <c r="C376" s="2">
        <v>83</v>
      </c>
      <c r="D376" s="2" t="s">
        <v>55</v>
      </c>
      <c r="E376" s="2" t="s">
        <v>79</v>
      </c>
      <c r="F376" s="2" t="s">
        <v>32</v>
      </c>
      <c r="G376" s="3">
        <v>45439</v>
      </c>
      <c r="H376" s="3">
        <v>45464</v>
      </c>
      <c r="I376" s="2">
        <v>25</v>
      </c>
      <c r="J376" s="2" t="s">
        <v>73</v>
      </c>
      <c r="K376" s="2" t="s">
        <v>74</v>
      </c>
      <c r="L376" s="2" t="s">
        <v>73</v>
      </c>
      <c r="M376" s="2" t="s">
        <v>36</v>
      </c>
      <c r="N376" s="2" t="s">
        <v>62</v>
      </c>
      <c r="O376" s="2" t="s">
        <v>406</v>
      </c>
      <c r="P376" s="2">
        <v>256</v>
      </c>
      <c r="Q376" s="2" t="s">
        <v>50</v>
      </c>
      <c r="R376" s="2" t="s">
        <v>40</v>
      </c>
      <c r="S376" s="2">
        <v>62729</v>
      </c>
      <c r="T376" s="2">
        <v>29572</v>
      </c>
      <c r="U376" s="2">
        <v>33157</v>
      </c>
      <c r="V376" s="2">
        <v>44759</v>
      </c>
      <c r="W376" s="2">
        <v>13312</v>
      </c>
      <c r="X376" s="2">
        <v>3848</v>
      </c>
      <c r="Y376" s="2" t="s">
        <v>41</v>
      </c>
      <c r="Z376" s="2">
        <v>100</v>
      </c>
      <c r="AA376" s="2">
        <v>3.3</v>
      </c>
      <c r="AB376" s="2" t="s">
        <v>52</v>
      </c>
    </row>
    <row r="377" spans="1:28" x14ac:dyDescent="0.25">
      <c r="A377" s="4" t="s">
        <v>875</v>
      </c>
      <c r="B377" s="4" t="s">
        <v>876</v>
      </c>
      <c r="C377" s="4">
        <v>45</v>
      </c>
      <c r="D377" s="4" t="s">
        <v>55</v>
      </c>
      <c r="E377" s="4" t="s">
        <v>67</v>
      </c>
      <c r="F377" s="4" t="s">
        <v>46</v>
      </c>
      <c r="G377" s="5">
        <v>44610</v>
      </c>
      <c r="H377" s="5">
        <v>44618</v>
      </c>
      <c r="I377" s="4">
        <v>8</v>
      </c>
      <c r="J377" s="4" t="s">
        <v>33</v>
      </c>
      <c r="K377" s="4" t="s">
        <v>47</v>
      </c>
      <c r="L377" s="4" t="s">
        <v>48</v>
      </c>
      <c r="M377" s="4" t="s">
        <v>61</v>
      </c>
      <c r="N377" s="4" t="s">
        <v>109</v>
      </c>
      <c r="O377" s="4" t="s">
        <v>214</v>
      </c>
      <c r="P377" s="4">
        <v>465</v>
      </c>
      <c r="Q377" s="4" t="s">
        <v>39</v>
      </c>
      <c r="R377" s="4" t="s">
        <v>40</v>
      </c>
      <c r="S377" s="4">
        <v>130863</v>
      </c>
      <c r="T377" s="4">
        <v>69712</v>
      </c>
      <c r="U377" s="4">
        <v>61151</v>
      </c>
      <c r="V377" s="4">
        <v>105004</v>
      </c>
      <c r="W377" s="4">
        <v>18087</v>
      </c>
      <c r="X377" s="4">
        <v>5769</v>
      </c>
      <c r="Y377" s="4" t="s">
        <v>91</v>
      </c>
      <c r="Z377" s="4">
        <v>95</v>
      </c>
      <c r="AA377" s="4">
        <v>3.5</v>
      </c>
      <c r="AB377" s="4" t="s">
        <v>64</v>
      </c>
    </row>
    <row r="378" spans="1:28" x14ac:dyDescent="0.25">
      <c r="A378" s="2" t="s">
        <v>877</v>
      </c>
      <c r="B378" s="2" t="s">
        <v>306</v>
      </c>
      <c r="C378" s="2">
        <v>31</v>
      </c>
      <c r="D378" s="2" t="s">
        <v>55</v>
      </c>
      <c r="E378" s="2" t="s">
        <v>56</v>
      </c>
      <c r="F378" s="2" t="s">
        <v>129</v>
      </c>
      <c r="G378" s="3">
        <v>44980</v>
      </c>
      <c r="H378" s="3">
        <v>44988</v>
      </c>
      <c r="I378" s="2">
        <v>8</v>
      </c>
      <c r="J378" s="2" t="s">
        <v>202</v>
      </c>
      <c r="K378" s="2" t="s">
        <v>225</v>
      </c>
      <c r="L378" s="2" t="s">
        <v>226</v>
      </c>
      <c r="M378" s="2" t="s">
        <v>108</v>
      </c>
      <c r="N378" s="2" t="s">
        <v>37</v>
      </c>
      <c r="O378" s="2" t="s">
        <v>455</v>
      </c>
      <c r="P378" s="2">
        <v>370</v>
      </c>
      <c r="Q378" s="2" t="s">
        <v>39</v>
      </c>
      <c r="R378" s="2" t="s">
        <v>40</v>
      </c>
      <c r="S378" s="2">
        <v>135899</v>
      </c>
      <c r="T378" s="2">
        <v>66717</v>
      </c>
      <c r="U378" s="2">
        <v>69182</v>
      </c>
      <c r="V378" s="2">
        <v>116153</v>
      </c>
      <c r="W378" s="2">
        <v>6781</v>
      </c>
      <c r="X378" s="2">
        <v>10426</v>
      </c>
      <c r="Y378" s="2" t="s">
        <v>41</v>
      </c>
      <c r="Z378" s="2">
        <v>80</v>
      </c>
      <c r="AA378" s="2">
        <v>2.6</v>
      </c>
      <c r="AB378" s="2" t="s">
        <v>137</v>
      </c>
    </row>
    <row r="379" spans="1:28" x14ac:dyDescent="0.25">
      <c r="A379" s="4" t="s">
        <v>878</v>
      </c>
      <c r="B379" s="4" t="s">
        <v>879</v>
      </c>
      <c r="C379" s="4">
        <v>55</v>
      </c>
      <c r="D379" s="4" t="s">
        <v>30</v>
      </c>
      <c r="E379" s="4" t="s">
        <v>154</v>
      </c>
      <c r="F379" s="4" t="s">
        <v>150</v>
      </c>
      <c r="G379" s="5">
        <v>45465</v>
      </c>
      <c r="H379" s="5">
        <v>45479</v>
      </c>
      <c r="I379" s="4">
        <v>14</v>
      </c>
      <c r="J379" s="4" t="s">
        <v>202</v>
      </c>
      <c r="K379" s="4" t="s">
        <v>225</v>
      </c>
      <c r="L379" s="4" t="s">
        <v>226</v>
      </c>
      <c r="M379" s="4" t="s">
        <v>108</v>
      </c>
      <c r="N379" s="4" t="s">
        <v>109</v>
      </c>
      <c r="O379" s="4" t="s">
        <v>373</v>
      </c>
      <c r="P379" s="4">
        <v>391</v>
      </c>
      <c r="Q379" s="4" t="s">
        <v>103</v>
      </c>
      <c r="R379" s="4" t="s">
        <v>111</v>
      </c>
      <c r="S379" s="4">
        <v>63002</v>
      </c>
      <c r="T379" s="4">
        <v>40689</v>
      </c>
      <c r="U379" s="4">
        <v>22313</v>
      </c>
      <c r="V379" s="4">
        <v>26818</v>
      </c>
      <c r="W379" s="4">
        <v>25866</v>
      </c>
      <c r="X379" s="4">
        <v>5418</v>
      </c>
      <c r="Y379" s="4" t="s">
        <v>41</v>
      </c>
      <c r="Z379" s="4">
        <v>56</v>
      </c>
      <c r="AA379" s="4">
        <v>3.1</v>
      </c>
      <c r="AB379" s="4" t="s">
        <v>52</v>
      </c>
    </row>
    <row r="380" spans="1:28" x14ac:dyDescent="0.25">
      <c r="A380" s="2" t="s">
        <v>880</v>
      </c>
      <c r="B380" s="2" t="s">
        <v>881</v>
      </c>
      <c r="C380" s="2">
        <v>53</v>
      </c>
      <c r="D380" s="2" t="s">
        <v>30</v>
      </c>
      <c r="E380" s="2" t="s">
        <v>56</v>
      </c>
      <c r="F380" s="2" t="s">
        <v>80</v>
      </c>
      <c r="G380" s="3">
        <v>44841</v>
      </c>
      <c r="H380" s="3">
        <v>44864</v>
      </c>
      <c r="I380" s="2">
        <v>23</v>
      </c>
      <c r="J380" s="2" t="s">
        <v>33</v>
      </c>
      <c r="K380" s="2" t="s">
        <v>174</v>
      </c>
      <c r="L380" s="2" t="s">
        <v>48</v>
      </c>
      <c r="M380" s="2" t="s">
        <v>143</v>
      </c>
      <c r="N380" s="2" t="s">
        <v>109</v>
      </c>
      <c r="O380" s="2" t="s">
        <v>38</v>
      </c>
      <c r="P380" s="2">
        <v>442</v>
      </c>
      <c r="Q380" s="2" t="s">
        <v>50</v>
      </c>
      <c r="R380" s="2" t="s">
        <v>111</v>
      </c>
      <c r="S380" s="2">
        <v>136197</v>
      </c>
      <c r="T380" s="2">
        <v>97410</v>
      </c>
      <c r="U380" s="2">
        <v>38787</v>
      </c>
      <c r="V380" s="2">
        <v>111051</v>
      </c>
      <c r="W380" s="2">
        <v>14625</v>
      </c>
      <c r="X380" s="2">
        <v>6965</v>
      </c>
      <c r="Y380" s="2" t="s">
        <v>41</v>
      </c>
      <c r="Z380" s="2">
        <v>77</v>
      </c>
      <c r="AA380" s="2">
        <v>2.2000000000000002</v>
      </c>
      <c r="AB380" s="2" t="s">
        <v>104</v>
      </c>
    </row>
    <row r="381" spans="1:28" x14ac:dyDescent="0.25">
      <c r="A381" s="4" t="s">
        <v>882</v>
      </c>
      <c r="B381" s="4" t="s">
        <v>290</v>
      </c>
      <c r="C381" s="4">
        <v>54</v>
      </c>
      <c r="D381" s="4" t="s">
        <v>55</v>
      </c>
      <c r="E381" s="4" t="s">
        <v>31</v>
      </c>
      <c r="F381" s="4" t="s">
        <v>114</v>
      </c>
      <c r="G381" s="5">
        <v>45084</v>
      </c>
      <c r="H381" s="5">
        <v>45109</v>
      </c>
      <c r="I381" s="4">
        <v>25</v>
      </c>
      <c r="J381" s="4" t="s">
        <v>58</v>
      </c>
      <c r="K381" s="4" t="s">
        <v>88</v>
      </c>
      <c r="L381" s="4" t="s">
        <v>60</v>
      </c>
      <c r="M381" s="4" t="s">
        <v>83</v>
      </c>
      <c r="N381" s="4" t="s">
        <v>118</v>
      </c>
      <c r="O381" s="4" t="s">
        <v>184</v>
      </c>
      <c r="P381" s="4">
        <v>475</v>
      </c>
      <c r="Q381" s="4" t="s">
        <v>103</v>
      </c>
      <c r="R381" s="4" t="s">
        <v>40</v>
      </c>
      <c r="S381" s="4">
        <v>89710</v>
      </c>
      <c r="T381" s="4">
        <v>52865</v>
      </c>
      <c r="U381" s="4">
        <v>36845</v>
      </c>
      <c r="V381" s="4">
        <v>68531</v>
      </c>
      <c r="W381" s="4">
        <v>16654</v>
      </c>
      <c r="X381" s="4">
        <v>1065</v>
      </c>
      <c r="Y381" s="4" t="s">
        <v>41</v>
      </c>
      <c r="Z381" s="4">
        <v>84</v>
      </c>
      <c r="AA381" s="4">
        <v>4</v>
      </c>
      <c r="AB381" s="4" t="s">
        <v>64</v>
      </c>
    </row>
    <row r="382" spans="1:28" x14ac:dyDescent="0.25">
      <c r="A382" s="2" t="s">
        <v>883</v>
      </c>
      <c r="B382" s="2" t="s">
        <v>884</v>
      </c>
      <c r="C382" s="2">
        <v>63</v>
      </c>
      <c r="D382" s="2" t="s">
        <v>55</v>
      </c>
      <c r="E382" s="2" t="s">
        <v>79</v>
      </c>
      <c r="F382" s="2" t="s">
        <v>32</v>
      </c>
      <c r="G382" s="3">
        <v>44892</v>
      </c>
      <c r="H382" s="3">
        <v>44893</v>
      </c>
      <c r="I382" s="2">
        <v>1</v>
      </c>
      <c r="J382" s="2" t="s">
        <v>33</v>
      </c>
      <c r="K382" s="2" t="s">
        <v>34</v>
      </c>
      <c r="L382" s="2" t="s">
        <v>35</v>
      </c>
      <c r="M382" s="2" t="s">
        <v>108</v>
      </c>
      <c r="N382" s="2" t="s">
        <v>37</v>
      </c>
      <c r="O382" s="2" t="s">
        <v>520</v>
      </c>
      <c r="P382" s="2">
        <v>266</v>
      </c>
      <c r="Q382" s="2" t="s">
        <v>39</v>
      </c>
      <c r="R382" s="2" t="s">
        <v>111</v>
      </c>
      <c r="S382" s="2">
        <v>86722</v>
      </c>
      <c r="T382" s="2">
        <v>70032</v>
      </c>
      <c r="U382" s="2">
        <v>16690</v>
      </c>
      <c r="V382" s="2">
        <v>48469</v>
      </c>
      <c r="W382" s="2">
        <v>28189</v>
      </c>
      <c r="X382" s="2">
        <v>7493</v>
      </c>
      <c r="Y382" s="2" t="s">
        <v>41</v>
      </c>
      <c r="Z382" s="2">
        <v>74</v>
      </c>
      <c r="AA382" s="2">
        <v>4</v>
      </c>
      <c r="AB382" s="2" t="s">
        <v>137</v>
      </c>
    </row>
    <row r="383" spans="1:28" x14ac:dyDescent="0.25">
      <c r="A383" s="4" t="s">
        <v>885</v>
      </c>
      <c r="B383" s="4" t="s">
        <v>886</v>
      </c>
      <c r="C383" s="4">
        <v>57</v>
      </c>
      <c r="D383" s="4" t="s">
        <v>55</v>
      </c>
      <c r="E383" s="4" t="s">
        <v>56</v>
      </c>
      <c r="F383" s="4" t="s">
        <v>72</v>
      </c>
      <c r="G383" s="5">
        <v>45267</v>
      </c>
      <c r="H383" s="5">
        <v>45294</v>
      </c>
      <c r="I383" s="4">
        <v>27</v>
      </c>
      <c r="J383" s="4" t="s">
        <v>140</v>
      </c>
      <c r="K383" s="4" t="s">
        <v>141</v>
      </c>
      <c r="L383" s="4" t="s">
        <v>142</v>
      </c>
      <c r="M383" s="4" t="s">
        <v>61</v>
      </c>
      <c r="N383" s="4" t="s">
        <v>37</v>
      </c>
      <c r="O383" s="4" t="s">
        <v>246</v>
      </c>
      <c r="P383" s="4">
        <v>87</v>
      </c>
      <c r="Q383" s="4" t="s">
        <v>103</v>
      </c>
      <c r="R383" s="4" t="s">
        <v>90</v>
      </c>
      <c r="S383" s="4">
        <v>50781</v>
      </c>
      <c r="T383" s="4">
        <v>38466</v>
      </c>
      <c r="U383" s="4">
        <v>12315</v>
      </c>
      <c r="V383" s="4">
        <v>30394</v>
      </c>
      <c r="W383" s="4">
        <v>3288</v>
      </c>
      <c r="X383" s="4">
        <v>13177</v>
      </c>
      <c r="Y383" s="4" t="s">
        <v>41</v>
      </c>
      <c r="Z383" s="4">
        <v>86</v>
      </c>
      <c r="AA383" s="4">
        <v>3.3</v>
      </c>
      <c r="AB383" s="4" t="s">
        <v>64</v>
      </c>
    </row>
    <row r="384" spans="1:28" x14ac:dyDescent="0.25">
      <c r="A384" s="2" t="s">
        <v>887</v>
      </c>
      <c r="B384" s="2" t="s">
        <v>888</v>
      </c>
      <c r="C384" s="2">
        <v>22</v>
      </c>
      <c r="D384" s="2" t="s">
        <v>55</v>
      </c>
      <c r="E384" s="2" t="s">
        <v>87</v>
      </c>
      <c r="F384" s="2" t="s">
        <v>129</v>
      </c>
      <c r="G384" s="3">
        <v>45591</v>
      </c>
      <c r="H384" s="3">
        <v>45595</v>
      </c>
      <c r="I384" s="2">
        <v>4</v>
      </c>
      <c r="J384" s="2" t="s">
        <v>33</v>
      </c>
      <c r="K384" s="2" t="s">
        <v>107</v>
      </c>
      <c r="L384" s="2" t="s">
        <v>48</v>
      </c>
      <c r="M384" s="2" t="s">
        <v>61</v>
      </c>
      <c r="N384" s="2" t="s">
        <v>109</v>
      </c>
      <c r="O384" s="2" t="s">
        <v>151</v>
      </c>
      <c r="P384" s="2">
        <v>384</v>
      </c>
      <c r="Q384" s="2" t="s">
        <v>39</v>
      </c>
      <c r="R384" s="2" t="s">
        <v>40</v>
      </c>
      <c r="S384" s="2">
        <v>113855</v>
      </c>
      <c r="T384" s="2">
        <v>66953</v>
      </c>
      <c r="U384" s="2">
        <v>46902</v>
      </c>
      <c r="V384" s="2">
        <v>72987</v>
      </c>
      <c r="W384" s="2">
        <v>29561</v>
      </c>
      <c r="X384" s="2">
        <v>7197</v>
      </c>
      <c r="Y384" s="2" t="s">
        <v>41</v>
      </c>
      <c r="Z384" s="2">
        <v>95</v>
      </c>
      <c r="AA384" s="2">
        <v>3.9</v>
      </c>
      <c r="AB384" s="2" t="s">
        <v>104</v>
      </c>
    </row>
    <row r="385" spans="1:28" x14ac:dyDescent="0.25">
      <c r="A385" s="4" t="s">
        <v>889</v>
      </c>
      <c r="B385" s="4" t="s">
        <v>890</v>
      </c>
      <c r="C385" s="4">
        <v>53</v>
      </c>
      <c r="D385" s="4" t="s">
        <v>55</v>
      </c>
      <c r="E385" s="4" t="s">
        <v>79</v>
      </c>
      <c r="F385" s="4" t="s">
        <v>157</v>
      </c>
      <c r="G385" s="5">
        <v>45262</v>
      </c>
      <c r="H385" s="5">
        <v>45263</v>
      </c>
      <c r="I385" s="4">
        <v>1</v>
      </c>
      <c r="J385" s="4" t="s">
        <v>33</v>
      </c>
      <c r="K385" s="4" t="s">
        <v>278</v>
      </c>
      <c r="L385" s="4" t="s">
        <v>279</v>
      </c>
      <c r="M385" s="4" t="s">
        <v>83</v>
      </c>
      <c r="N385" s="4" t="s">
        <v>37</v>
      </c>
      <c r="O385" s="4" t="s">
        <v>76</v>
      </c>
      <c r="P385" s="4">
        <v>32</v>
      </c>
      <c r="Q385" s="4" t="s">
        <v>50</v>
      </c>
      <c r="R385" s="4" t="s">
        <v>90</v>
      </c>
      <c r="S385" s="4">
        <v>28882</v>
      </c>
      <c r="T385" s="4">
        <v>24190</v>
      </c>
      <c r="U385" s="4">
        <v>4692</v>
      </c>
      <c r="V385" s="4">
        <v>15973</v>
      </c>
      <c r="W385" s="4">
        <v>4173</v>
      </c>
      <c r="X385" s="4">
        <v>3958</v>
      </c>
      <c r="Y385" s="4" t="s">
        <v>41</v>
      </c>
      <c r="Z385" s="4">
        <v>73</v>
      </c>
      <c r="AA385" s="4">
        <v>5</v>
      </c>
      <c r="AB385" s="4" t="s">
        <v>52</v>
      </c>
    </row>
    <row r="386" spans="1:28" x14ac:dyDescent="0.25">
      <c r="A386" s="2" t="s">
        <v>891</v>
      </c>
      <c r="B386" s="2" t="s">
        <v>330</v>
      </c>
      <c r="C386" s="2">
        <v>65</v>
      </c>
      <c r="D386" s="2" t="s">
        <v>30</v>
      </c>
      <c r="E386" s="2" t="s">
        <v>67</v>
      </c>
      <c r="F386" s="2" t="s">
        <v>80</v>
      </c>
      <c r="G386" s="3">
        <v>45321</v>
      </c>
      <c r="H386" s="3">
        <v>45343</v>
      </c>
      <c r="I386" s="2">
        <v>22</v>
      </c>
      <c r="J386" s="2" t="s">
        <v>33</v>
      </c>
      <c r="K386" s="2" t="s">
        <v>47</v>
      </c>
      <c r="L386" s="2" t="s">
        <v>48</v>
      </c>
      <c r="M386" s="2" t="s">
        <v>61</v>
      </c>
      <c r="N386" s="2" t="s">
        <v>118</v>
      </c>
      <c r="O386" s="2" t="s">
        <v>171</v>
      </c>
      <c r="P386" s="2">
        <v>313</v>
      </c>
      <c r="Q386" s="2" t="s">
        <v>69</v>
      </c>
      <c r="R386" s="2" t="s">
        <v>136</v>
      </c>
      <c r="S386" s="2">
        <v>121659</v>
      </c>
      <c r="T386" s="2">
        <v>0</v>
      </c>
      <c r="U386" s="2">
        <v>121659</v>
      </c>
      <c r="V386" s="2">
        <v>91574</v>
      </c>
      <c r="W386" s="2">
        <v>27419</v>
      </c>
      <c r="X386" s="2">
        <v>2141</v>
      </c>
      <c r="Y386" s="2" t="s">
        <v>41</v>
      </c>
      <c r="Z386" s="2">
        <v>84</v>
      </c>
      <c r="AA386" s="2">
        <v>3.2</v>
      </c>
      <c r="AB386" s="2" t="s">
        <v>64</v>
      </c>
    </row>
    <row r="387" spans="1:28" x14ac:dyDescent="0.25">
      <c r="A387" s="4" t="s">
        <v>892</v>
      </c>
      <c r="B387" s="4" t="s">
        <v>893</v>
      </c>
      <c r="C387" s="4">
        <v>20</v>
      </c>
      <c r="D387" s="4" t="s">
        <v>30</v>
      </c>
      <c r="E387" s="4" t="s">
        <v>31</v>
      </c>
      <c r="F387" s="4" t="s">
        <v>80</v>
      </c>
      <c r="G387" s="5">
        <v>45487</v>
      </c>
      <c r="H387" s="5">
        <v>45507</v>
      </c>
      <c r="I387" s="4">
        <v>20</v>
      </c>
      <c r="J387" s="4" t="s">
        <v>33</v>
      </c>
      <c r="K387" s="4" t="s">
        <v>174</v>
      </c>
      <c r="L387" s="4" t="s">
        <v>48</v>
      </c>
      <c r="M387" s="4" t="s">
        <v>108</v>
      </c>
      <c r="N387" s="4" t="s">
        <v>109</v>
      </c>
      <c r="O387" s="4" t="s">
        <v>300</v>
      </c>
      <c r="P387" s="4">
        <v>9</v>
      </c>
      <c r="Q387" s="4" t="s">
        <v>50</v>
      </c>
      <c r="R387" s="4" t="s">
        <v>90</v>
      </c>
      <c r="S387" s="4">
        <v>123740</v>
      </c>
      <c r="T387" s="4">
        <v>96768</v>
      </c>
      <c r="U387" s="4">
        <v>26972</v>
      </c>
      <c r="V387" s="4">
        <v>90334</v>
      </c>
      <c r="W387" s="4">
        <v>23214</v>
      </c>
      <c r="X387" s="4">
        <v>7779</v>
      </c>
      <c r="Y387" s="4" t="s">
        <v>41</v>
      </c>
      <c r="Z387" s="4">
        <v>79</v>
      </c>
      <c r="AA387" s="4">
        <v>4.4000000000000004</v>
      </c>
      <c r="AB387" s="4" t="s">
        <v>52</v>
      </c>
    </row>
    <row r="388" spans="1:28" x14ac:dyDescent="0.25">
      <c r="A388" s="2" t="s">
        <v>894</v>
      </c>
      <c r="B388" s="2" t="s">
        <v>794</v>
      </c>
      <c r="C388" s="2">
        <v>17</v>
      </c>
      <c r="D388" s="2" t="s">
        <v>30</v>
      </c>
      <c r="E388" s="2" t="s">
        <v>79</v>
      </c>
      <c r="F388" s="2" t="s">
        <v>72</v>
      </c>
      <c r="G388" s="3">
        <v>44961</v>
      </c>
      <c r="H388" s="3">
        <v>44984</v>
      </c>
      <c r="I388" s="2">
        <v>23</v>
      </c>
      <c r="J388" s="2" t="s">
        <v>140</v>
      </c>
      <c r="K388" s="2" t="s">
        <v>141</v>
      </c>
      <c r="L388" s="2" t="s">
        <v>142</v>
      </c>
      <c r="M388" s="2" t="s">
        <v>101</v>
      </c>
      <c r="N388" s="2" t="s">
        <v>62</v>
      </c>
      <c r="O388" s="2" t="s">
        <v>331</v>
      </c>
      <c r="P388" s="2">
        <v>408</v>
      </c>
      <c r="Q388" s="2" t="s">
        <v>69</v>
      </c>
      <c r="R388" s="2" t="s">
        <v>136</v>
      </c>
      <c r="S388" s="2">
        <v>188538</v>
      </c>
      <c r="T388" s="2">
        <v>0</v>
      </c>
      <c r="U388" s="2">
        <v>188538</v>
      </c>
      <c r="V388" s="2">
        <v>148850</v>
      </c>
      <c r="W388" s="2">
        <v>29664</v>
      </c>
      <c r="X388" s="2">
        <v>8148</v>
      </c>
      <c r="Y388" s="2" t="s">
        <v>41</v>
      </c>
      <c r="Z388" s="2">
        <v>47</v>
      </c>
      <c r="AA388" s="2">
        <v>3.4</v>
      </c>
      <c r="AB388" s="2" t="s">
        <v>42</v>
      </c>
    </row>
    <row r="389" spans="1:28" x14ac:dyDescent="0.25">
      <c r="A389" s="4" t="s">
        <v>895</v>
      </c>
      <c r="B389" s="4" t="s">
        <v>362</v>
      </c>
      <c r="C389" s="4">
        <v>32</v>
      </c>
      <c r="D389" s="4" t="s">
        <v>55</v>
      </c>
      <c r="E389" s="4" t="s">
        <v>56</v>
      </c>
      <c r="F389" s="4" t="s">
        <v>157</v>
      </c>
      <c r="G389" s="5">
        <v>45452</v>
      </c>
      <c r="H389" s="5">
        <v>45475</v>
      </c>
      <c r="I389" s="4">
        <v>23</v>
      </c>
      <c r="J389" s="4" t="s">
        <v>123</v>
      </c>
      <c r="K389" s="4" t="s">
        <v>251</v>
      </c>
      <c r="L389" s="4" t="s">
        <v>125</v>
      </c>
      <c r="M389" s="4" t="s">
        <v>95</v>
      </c>
      <c r="N389" s="4" t="s">
        <v>37</v>
      </c>
      <c r="O389" s="4" t="s">
        <v>543</v>
      </c>
      <c r="P389" s="4">
        <v>369</v>
      </c>
      <c r="Q389" s="4" t="s">
        <v>50</v>
      </c>
      <c r="R389" s="4" t="s">
        <v>111</v>
      </c>
      <c r="S389" s="4">
        <v>67677</v>
      </c>
      <c r="T389" s="4">
        <v>53469</v>
      </c>
      <c r="U389" s="4">
        <v>14208</v>
      </c>
      <c r="V389" s="4">
        <v>37269</v>
      </c>
      <c r="W389" s="4">
        <v>22806</v>
      </c>
      <c r="X389" s="4">
        <v>2724</v>
      </c>
      <c r="Y389" s="4" t="s">
        <v>41</v>
      </c>
      <c r="Z389" s="4">
        <v>90</v>
      </c>
      <c r="AA389" s="4">
        <v>4.0999999999999996</v>
      </c>
      <c r="AB389" s="4" t="s">
        <v>64</v>
      </c>
    </row>
    <row r="390" spans="1:28" x14ac:dyDescent="0.25">
      <c r="A390" s="2" t="s">
        <v>896</v>
      </c>
      <c r="B390" s="2" t="s">
        <v>760</v>
      </c>
      <c r="C390" s="2">
        <v>81</v>
      </c>
      <c r="D390" s="2" t="s">
        <v>55</v>
      </c>
      <c r="E390" s="2" t="s">
        <v>45</v>
      </c>
      <c r="F390" s="2" t="s">
        <v>114</v>
      </c>
      <c r="G390" s="3">
        <v>45343</v>
      </c>
      <c r="H390" s="3">
        <v>45364</v>
      </c>
      <c r="I390" s="2">
        <v>21</v>
      </c>
      <c r="J390" s="2" t="s">
        <v>33</v>
      </c>
      <c r="K390" s="2" t="s">
        <v>99</v>
      </c>
      <c r="L390" s="2" t="s">
        <v>100</v>
      </c>
      <c r="M390" s="2" t="s">
        <v>61</v>
      </c>
      <c r="N390" s="2" t="s">
        <v>109</v>
      </c>
      <c r="O390" s="2" t="s">
        <v>438</v>
      </c>
      <c r="P390" s="2">
        <v>149</v>
      </c>
      <c r="Q390" s="2" t="s">
        <v>69</v>
      </c>
      <c r="R390" s="2" t="s">
        <v>90</v>
      </c>
      <c r="S390" s="2">
        <v>55189</v>
      </c>
      <c r="T390" s="2">
        <v>45442</v>
      </c>
      <c r="U390" s="2">
        <v>9747</v>
      </c>
      <c r="V390" s="2">
        <v>28367</v>
      </c>
      <c r="W390" s="2">
        <v>12148</v>
      </c>
      <c r="X390" s="2">
        <v>12633</v>
      </c>
      <c r="Y390" s="2" t="s">
        <v>91</v>
      </c>
      <c r="Z390" s="2">
        <v>63</v>
      </c>
      <c r="AA390" s="2">
        <v>2.4</v>
      </c>
      <c r="AB390" s="2" t="s">
        <v>52</v>
      </c>
    </row>
    <row r="391" spans="1:28" x14ac:dyDescent="0.25">
      <c r="A391" s="4" t="s">
        <v>897</v>
      </c>
      <c r="B391" s="4" t="s">
        <v>898</v>
      </c>
      <c r="C391" s="4">
        <v>5</v>
      </c>
      <c r="D391" s="4" t="s">
        <v>30</v>
      </c>
      <c r="E391" s="4" t="s">
        <v>122</v>
      </c>
      <c r="F391" s="4" t="s">
        <v>72</v>
      </c>
      <c r="G391" s="5">
        <v>44950</v>
      </c>
      <c r="H391" s="5">
        <v>44978</v>
      </c>
      <c r="I391" s="4">
        <v>28</v>
      </c>
      <c r="J391" s="4" t="s">
        <v>115</v>
      </c>
      <c r="K391" s="4" t="s">
        <v>116</v>
      </c>
      <c r="L391" s="4" t="s">
        <v>117</v>
      </c>
      <c r="M391" s="4" t="s">
        <v>95</v>
      </c>
      <c r="N391" s="4" t="s">
        <v>118</v>
      </c>
      <c r="O391" s="4" t="s">
        <v>340</v>
      </c>
      <c r="P391" s="4">
        <v>340</v>
      </c>
      <c r="Q391" s="4" t="s">
        <v>39</v>
      </c>
      <c r="R391" s="4" t="s">
        <v>90</v>
      </c>
      <c r="S391" s="4">
        <v>123521</v>
      </c>
      <c r="T391" s="4">
        <v>85820</v>
      </c>
      <c r="U391" s="4">
        <v>37701</v>
      </c>
      <c r="V391" s="4">
        <v>108628</v>
      </c>
      <c r="W391" s="4">
        <v>1301</v>
      </c>
      <c r="X391" s="4">
        <v>9319</v>
      </c>
      <c r="Y391" s="4" t="s">
        <v>41</v>
      </c>
      <c r="Z391" s="4">
        <v>58</v>
      </c>
      <c r="AA391" s="4">
        <v>4.5</v>
      </c>
      <c r="AB391" s="4" t="s">
        <v>137</v>
      </c>
    </row>
    <row r="392" spans="1:28" x14ac:dyDescent="0.25">
      <c r="A392" s="2" t="s">
        <v>899</v>
      </c>
      <c r="B392" s="2" t="s">
        <v>900</v>
      </c>
      <c r="C392" s="2">
        <v>23</v>
      </c>
      <c r="D392" s="2" t="s">
        <v>30</v>
      </c>
      <c r="E392" s="2" t="s">
        <v>154</v>
      </c>
      <c r="F392" s="2" t="s">
        <v>57</v>
      </c>
      <c r="G392" s="3">
        <v>45217</v>
      </c>
      <c r="H392" s="3">
        <v>45227</v>
      </c>
      <c r="I392" s="2">
        <v>10</v>
      </c>
      <c r="J392" s="2" t="s">
        <v>202</v>
      </c>
      <c r="K392" s="2" t="s">
        <v>225</v>
      </c>
      <c r="L392" s="2" t="s">
        <v>226</v>
      </c>
      <c r="M392" s="2" t="s">
        <v>134</v>
      </c>
      <c r="N392" s="2" t="s">
        <v>37</v>
      </c>
      <c r="O392" s="2" t="s">
        <v>102</v>
      </c>
      <c r="P392" s="2">
        <v>150</v>
      </c>
      <c r="Q392" s="2" t="s">
        <v>103</v>
      </c>
      <c r="R392" s="2" t="s">
        <v>90</v>
      </c>
      <c r="S392" s="2">
        <v>114623</v>
      </c>
      <c r="T392" s="2">
        <v>97936</v>
      </c>
      <c r="U392" s="2">
        <v>16687</v>
      </c>
      <c r="V392" s="2">
        <v>92331</v>
      </c>
      <c r="W392" s="2">
        <v>6003</v>
      </c>
      <c r="X392" s="2">
        <v>14064</v>
      </c>
      <c r="Y392" s="2" t="s">
        <v>41</v>
      </c>
      <c r="Z392" s="2">
        <v>54</v>
      </c>
      <c r="AA392" s="2">
        <v>4.0999999999999996</v>
      </c>
      <c r="AB392" s="2" t="s">
        <v>104</v>
      </c>
    </row>
    <row r="393" spans="1:28" x14ac:dyDescent="0.25">
      <c r="A393" s="4" t="s">
        <v>901</v>
      </c>
      <c r="B393" s="4" t="s">
        <v>452</v>
      </c>
      <c r="C393" s="4">
        <v>67</v>
      </c>
      <c r="D393" s="4" t="s">
        <v>30</v>
      </c>
      <c r="E393" s="4" t="s">
        <v>79</v>
      </c>
      <c r="F393" s="4" t="s">
        <v>129</v>
      </c>
      <c r="G393" s="5">
        <v>44606</v>
      </c>
      <c r="H393" s="5">
        <v>44624</v>
      </c>
      <c r="I393" s="4">
        <v>18</v>
      </c>
      <c r="J393" s="4" t="s">
        <v>115</v>
      </c>
      <c r="K393" s="4" t="s">
        <v>116</v>
      </c>
      <c r="L393" s="4" t="s">
        <v>117</v>
      </c>
      <c r="M393" s="4" t="s">
        <v>108</v>
      </c>
      <c r="N393" s="4" t="s">
        <v>37</v>
      </c>
      <c r="O393" s="4" t="s">
        <v>68</v>
      </c>
      <c r="P393" s="4">
        <v>201</v>
      </c>
      <c r="Q393" s="4" t="s">
        <v>69</v>
      </c>
      <c r="R393" s="4" t="s">
        <v>51</v>
      </c>
      <c r="S393" s="4">
        <v>103456</v>
      </c>
      <c r="T393" s="4">
        <v>63143</v>
      </c>
      <c r="U393" s="4">
        <v>40313</v>
      </c>
      <c r="V393" s="4">
        <v>79197</v>
      </c>
      <c r="W393" s="4">
        <v>10252</v>
      </c>
      <c r="X393" s="4">
        <v>11909</v>
      </c>
      <c r="Y393" s="4" t="s">
        <v>41</v>
      </c>
      <c r="Z393" s="4">
        <v>46</v>
      </c>
      <c r="AA393" s="4">
        <v>2.4</v>
      </c>
      <c r="AB393" s="4" t="s">
        <v>42</v>
      </c>
    </row>
    <row r="394" spans="1:28" x14ac:dyDescent="0.25">
      <c r="A394" s="2" t="s">
        <v>902</v>
      </c>
      <c r="B394" s="2" t="s">
        <v>903</v>
      </c>
      <c r="C394" s="2">
        <v>43</v>
      </c>
      <c r="D394" s="2" t="s">
        <v>30</v>
      </c>
      <c r="E394" s="2" t="s">
        <v>154</v>
      </c>
      <c r="F394" s="2" t="s">
        <v>72</v>
      </c>
      <c r="G394" s="3">
        <v>44843</v>
      </c>
      <c r="H394" s="3">
        <v>44858</v>
      </c>
      <c r="I394" s="2">
        <v>15</v>
      </c>
      <c r="J394" s="2" t="s">
        <v>33</v>
      </c>
      <c r="K394" s="2" t="s">
        <v>174</v>
      </c>
      <c r="L394" s="2" t="s">
        <v>48</v>
      </c>
      <c r="M394" s="2" t="s">
        <v>143</v>
      </c>
      <c r="N394" s="2" t="s">
        <v>109</v>
      </c>
      <c r="O394" s="2" t="s">
        <v>595</v>
      </c>
      <c r="P394" s="2">
        <v>377</v>
      </c>
      <c r="Q394" s="2" t="s">
        <v>69</v>
      </c>
      <c r="R394" s="2" t="s">
        <v>136</v>
      </c>
      <c r="S394" s="2">
        <v>70030</v>
      </c>
      <c r="T394" s="2">
        <v>0</v>
      </c>
      <c r="U394" s="2">
        <v>70030</v>
      </c>
      <c r="V394" s="2">
        <v>31725</v>
      </c>
      <c r="W394" s="2">
        <v>23227</v>
      </c>
      <c r="X394" s="2">
        <v>13369</v>
      </c>
      <c r="Y394" s="2" t="s">
        <v>41</v>
      </c>
      <c r="Z394" s="2">
        <v>67</v>
      </c>
      <c r="AA394" s="2">
        <v>4</v>
      </c>
      <c r="AB394" s="2" t="s">
        <v>64</v>
      </c>
    </row>
    <row r="395" spans="1:28" x14ac:dyDescent="0.25">
      <c r="A395" s="4" t="s">
        <v>904</v>
      </c>
      <c r="B395" s="4" t="s">
        <v>659</v>
      </c>
      <c r="C395" s="4">
        <v>17</v>
      </c>
      <c r="D395" s="4" t="s">
        <v>30</v>
      </c>
      <c r="E395" s="4" t="s">
        <v>87</v>
      </c>
      <c r="F395" s="4" t="s">
        <v>129</v>
      </c>
      <c r="G395" s="5">
        <v>44669</v>
      </c>
      <c r="H395" s="5">
        <v>44673</v>
      </c>
      <c r="I395" s="4">
        <v>4</v>
      </c>
      <c r="J395" s="4" t="s">
        <v>202</v>
      </c>
      <c r="K395" s="4" t="s">
        <v>225</v>
      </c>
      <c r="L395" s="4" t="s">
        <v>226</v>
      </c>
      <c r="M395" s="4" t="s">
        <v>101</v>
      </c>
      <c r="N395" s="4" t="s">
        <v>37</v>
      </c>
      <c r="O395" s="4" t="s">
        <v>571</v>
      </c>
      <c r="P395" s="4">
        <v>126</v>
      </c>
      <c r="Q395" s="4" t="s">
        <v>69</v>
      </c>
      <c r="R395" s="4" t="s">
        <v>90</v>
      </c>
      <c r="S395" s="4">
        <v>93619</v>
      </c>
      <c r="T395" s="4">
        <v>75494</v>
      </c>
      <c r="U395" s="4">
        <v>18125</v>
      </c>
      <c r="V395" s="4">
        <v>68138</v>
      </c>
      <c r="W395" s="4">
        <v>13997</v>
      </c>
      <c r="X395" s="4">
        <v>8505</v>
      </c>
      <c r="Y395" s="4" t="s">
        <v>41</v>
      </c>
      <c r="Z395" s="4">
        <v>81</v>
      </c>
      <c r="AA395" s="4">
        <v>4.2</v>
      </c>
      <c r="AB395" s="4" t="s">
        <v>104</v>
      </c>
    </row>
    <row r="396" spans="1:28" x14ac:dyDescent="0.25">
      <c r="A396" s="2" t="s">
        <v>905</v>
      </c>
      <c r="B396" s="2" t="s">
        <v>906</v>
      </c>
      <c r="C396" s="2">
        <v>53</v>
      </c>
      <c r="D396" s="2" t="s">
        <v>30</v>
      </c>
      <c r="E396" s="2" t="s">
        <v>87</v>
      </c>
      <c r="F396" s="2" t="s">
        <v>80</v>
      </c>
      <c r="G396" s="3">
        <v>44585</v>
      </c>
      <c r="H396" s="3">
        <v>44589</v>
      </c>
      <c r="I396" s="2">
        <v>4</v>
      </c>
      <c r="J396" s="2" t="s">
        <v>33</v>
      </c>
      <c r="K396" s="2" t="s">
        <v>34</v>
      </c>
      <c r="L396" s="2" t="s">
        <v>35</v>
      </c>
      <c r="M396" s="2" t="s">
        <v>36</v>
      </c>
      <c r="N396" s="2" t="s">
        <v>37</v>
      </c>
      <c r="O396" s="2" t="s">
        <v>358</v>
      </c>
      <c r="P396" s="2">
        <v>12</v>
      </c>
      <c r="Q396" s="2" t="s">
        <v>103</v>
      </c>
      <c r="R396" s="2" t="s">
        <v>136</v>
      </c>
      <c r="S396" s="2">
        <v>69011</v>
      </c>
      <c r="T396" s="2">
        <v>0</v>
      </c>
      <c r="U396" s="2">
        <v>69011</v>
      </c>
      <c r="V396" s="2">
        <v>29786</v>
      </c>
      <c r="W396" s="2">
        <v>27029</v>
      </c>
      <c r="X396" s="2">
        <v>10213</v>
      </c>
      <c r="Y396" s="2" t="s">
        <v>41</v>
      </c>
      <c r="Z396" s="2">
        <v>81</v>
      </c>
      <c r="AA396" s="2">
        <v>4.0999999999999996</v>
      </c>
      <c r="AB396" s="2" t="s">
        <v>52</v>
      </c>
    </row>
    <row r="397" spans="1:28" x14ac:dyDescent="0.25">
      <c r="A397" s="4" t="s">
        <v>907</v>
      </c>
      <c r="B397" s="4" t="s">
        <v>459</v>
      </c>
      <c r="C397" s="4">
        <v>17</v>
      </c>
      <c r="D397" s="4" t="s">
        <v>30</v>
      </c>
      <c r="E397" s="4" t="s">
        <v>56</v>
      </c>
      <c r="F397" s="4" t="s">
        <v>94</v>
      </c>
      <c r="G397" s="5">
        <v>44940</v>
      </c>
      <c r="H397" s="5">
        <v>44953</v>
      </c>
      <c r="I397" s="4">
        <v>13</v>
      </c>
      <c r="J397" s="4" t="s">
        <v>123</v>
      </c>
      <c r="K397" s="4" t="s">
        <v>251</v>
      </c>
      <c r="L397" s="4" t="s">
        <v>125</v>
      </c>
      <c r="M397" s="4" t="s">
        <v>75</v>
      </c>
      <c r="N397" s="4" t="s">
        <v>37</v>
      </c>
      <c r="O397" s="4" t="s">
        <v>135</v>
      </c>
      <c r="P397" s="4">
        <v>429</v>
      </c>
      <c r="Q397" s="4" t="s">
        <v>69</v>
      </c>
      <c r="R397" s="4" t="s">
        <v>40</v>
      </c>
      <c r="S397" s="4">
        <v>59273</v>
      </c>
      <c r="T397" s="4">
        <v>23804</v>
      </c>
      <c r="U397" s="4">
        <v>35469</v>
      </c>
      <c r="V397" s="4">
        <v>35756</v>
      </c>
      <c r="W397" s="4">
        <v>6920</v>
      </c>
      <c r="X397" s="4">
        <v>14623</v>
      </c>
      <c r="Y397" s="4" t="s">
        <v>41</v>
      </c>
      <c r="Z397" s="4">
        <v>60</v>
      </c>
      <c r="AA397" s="4">
        <v>2.4</v>
      </c>
      <c r="AB397" s="4" t="s">
        <v>64</v>
      </c>
    </row>
    <row r="398" spans="1:28" x14ac:dyDescent="0.25">
      <c r="A398" s="2" t="s">
        <v>908</v>
      </c>
      <c r="B398" s="2" t="s">
        <v>342</v>
      </c>
      <c r="C398" s="2">
        <v>25</v>
      </c>
      <c r="D398" s="2" t="s">
        <v>55</v>
      </c>
      <c r="E398" s="2" t="s">
        <v>79</v>
      </c>
      <c r="F398" s="2" t="s">
        <v>57</v>
      </c>
      <c r="G398" s="3">
        <v>44735</v>
      </c>
      <c r="H398" s="3">
        <v>44739</v>
      </c>
      <c r="I398" s="2">
        <v>4</v>
      </c>
      <c r="J398" s="2" t="s">
        <v>202</v>
      </c>
      <c r="K398" s="2" t="s">
        <v>225</v>
      </c>
      <c r="L398" s="2" t="s">
        <v>226</v>
      </c>
      <c r="M398" s="2" t="s">
        <v>95</v>
      </c>
      <c r="N398" s="2" t="s">
        <v>109</v>
      </c>
      <c r="O398" s="2" t="s">
        <v>368</v>
      </c>
      <c r="P398" s="2">
        <v>128</v>
      </c>
      <c r="Q398" s="2" t="s">
        <v>50</v>
      </c>
      <c r="R398" s="2" t="s">
        <v>90</v>
      </c>
      <c r="S398" s="2">
        <v>178000</v>
      </c>
      <c r="T398" s="2">
        <v>130559</v>
      </c>
      <c r="U398" s="2">
        <v>47441</v>
      </c>
      <c r="V398" s="2">
        <v>141168</v>
      </c>
      <c r="W398" s="2">
        <v>26650</v>
      </c>
      <c r="X398" s="2">
        <v>5307</v>
      </c>
      <c r="Y398" s="2" t="s">
        <v>41</v>
      </c>
      <c r="Z398" s="2">
        <v>84</v>
      </c>
      <c r="AA398" s="2">
        <v>2.9</v>
      </c>
      <c r="AB398" s="2" t="s">
        <v>52</v>
      </c>
    </row>
    <row r="399" spans="1:28" x14ac:dyDescent="0.25">
      <c r="A399" s="4" t="s">
        <v>909</v>
      </c>
      <c r="B399" s="4" t="s">
        <v>186</v>
      </c>
      <c r="C399" s="4">
        <v>70</v>
      </c>
      <c r="D399" s="4" t="s">
        <v>55</v>
      </c>
      <c r="E399" s="4" t="s">
        <v>56</v>
      </c>
      <c r="F399" s="4" t="s">
        <v>57</v>
      </c>
      <c r="G399" s="5">
        <v>45047</v>
      </c>
      <c r="H399" s="5">
        <v>45049</v>
      </c>
      <c r="I399" s="4">
        <v>2</v>
      </c>
      <c r="J399" s="4" t="s">
        <v>115</v>
      </c>
      <c r="K399" s="4" t="s">
        <v>160</v>
      </c>
      <c r="L399" s="4" t="s">
        <v>117</v>
      </c>
      <c r="M399" s="4" t="s">
        <v>134</v>
      </c>
      <c r="N399" s="4" t="s">
        <v>109</v>
      </c>
      <c r="O399" s="4" t="s">
        <v>530</v>
      </c>
      <c r="P399" s="4">
        <v>283</v>
      </c>
      <c r="Q399" s="4" t="s">
        <v>39</v>
      </c>
      <c r="R399" s="4" t="s">
        <v>51</v>
      </c>
      <c r="S399" s="4">
        <v>115777</v>
      </c>
      <c r="T399" s="4">
        <v>48894</v>
      </c>
      <c r="U399" s="4">
        <v>66883</v>
      </c>
      <c r="V399" s="4">
        <v>99126</v>
      </c>
      <c r="W399" s="4">
        <v>10089</v>
      </c>
      <c r="X399" s="4">
        <v>2605</v>
      </c>
      <c r="Y399" s="4" t="s">
        <v>41</v>
      </c>
      <c r="Z399" s="4">
        <v>64</v>
      </c>
      <c r="AA399" s="4">
        <v>3.9</v>
      </c>
      <c r="AB399" s="4" t="s">
        <v>64</v>
      </c>
    </row>
    <row r="400" spans="1:28" x14ac:dyDescent="0.25">
      <c r="A400" s="2" t="s">
        <v>910</v>
      </c>
      <c r="B400" s="2" t="s">
        <v>911</v>
      </c>
      <c r="C400" s="2">
        <v>15</v>
      </c>
      <c r="D400" s="2" t="s">
        <v>30</v>
      </c>
      <c r="E400" s="2" t="s">
        <v>67</v>
      </c>
      <c r="F400" s="2" t="s">
        <v>129</v>
      </c>
      <c r="G400" s="3">
        <v>44979</v>
      </c>
      <c r="H400" s="3">
        <v>44982</v>
      </c>
      <c r="I400" s="2">
        <v>3</v>
      </c>
      <c r="J400" s="2" t="s">
        <v>140</v>
      </c>
      <c r="K400" s="2" t="s">
        <v>167</v>
      </c>
      <c r="L400" s="2" t="s">
        <v>142</v>
      </c>
      <c r="M400" s="2" t="s">
        <v>95</v>
      </c>
      <c r="N400" s="2" t="s">
        <v>109</v>
      </c>
      <c r="O400" s="2" t="s">
        <v>175</v>
      </c>
      <c r="P400" s="2">
        <v>162</v>
      </c>
      <c r="Q400" s="2" t="s">
        <v>103</v>
      </c>
      <c r="R400" s="2" t="s">
        <v>111</v>
      </c>
      <c r="S400" s="2">
        <v>38261</v>
      </c>
      <c r="T400" s="2">
        <v>26057</v>
      </c>
      <c r="U400" s="2">
        <v>12204</v>
      </c>
      <c r="V400" s="2">
        <v>11792</v>
      </c>
      <c r="W400" s="2">
        <v>20779</v>
      </c>
      <c r="X400" s="2">
        <v>4555</v>
      </c>
      <c r="Y400" s="2" t="s">
        <v>41</v>
      </c>
      <c r="Z400" s="2">
        <v>83</v>
      </c>
      <c r="AA400" s="2">
        <v>3.6</v>
      </c>
      <c r="AB400" s="2" t="s">
        <v>104</v>
      </c>
    </row>
    <row r="401" spans="1:28" x14ac:dyDescent="0.25">
      <c r="A401" s="4" t="s">
        <v>912</v>
      </c>
      <c r="B401" s="4" t="s">
        <v>913</v>
      </c>
      <c r="C401" s="4">
        <v>51</v>
      </c>
      <c r="D401" s="4" t="s">
        <v>30</v>
      </c>
      <c r="E401" s="4" t="s">
        <v>79</v>
      </c>
      <c r="F401" s="4" t="s">
        <v>129</v>
      </c>
      <c r="G401" s="5">
        <v>45024</v>
      </c>
      <c r="H401" s="5">
        <v>45033</v>
      </c>
      <c r="I401" s="4">
        <v>9</v>
      </c>
      <c r="J401" s="4" t="s">
        <v>123</v>
      </c>
      <c r="K401" s="4" t="s">
        <v>251</v>
      </c>
      <c r="L401" s="4" t="s">
        <v>125</v>
      </c>
      <c r="M401" s="4" t="s">
        <v>108</v>
      </c>
      <c r="N401" s="4" t="s">
        <v>109</v>
      </c>
      <c r="O401" s="4" t="s">
        <v>376</v>
      </c>
      <c r="P401" s="4">
        <v>401</v>
      </c>
      <c r="Q401" s="4" t="s">
        <v>69</v>
      </c>
      <c r="R401" s="4" t="s">
        <v>40</v>
      </c>
      <c r="S401" s="4">
        <v>185732</v>
      </c>
      <c r="T401" s="4">
        <v>107102</v>
      </c>
      <c r="U401" s="4">
        <v>78630</v>
      </c>
      <c r="V401" s="4">
        <v>143012</v>
      </c>
      <c r="W401" s="4">
        <v>24865</v>
      </c>
      <c r="X401" s="4">
        <v>14844</v>
      </c>
      <c r="Y401" s="4" t="s">
        <v>41</v>
      </c>
      <c r="Z401" s="4">
        <v>46</v>
      </c>
      <c r="AA401" s="4">
        <v>3.6</v>
      </c>
      <c r="AB401" s="4" t="s">
        <v>42</v>
      </c>
    </row>
    <row r="402" spans="1:28" x14ac:dyDescent="0.25">
      <c r="A402" s="2" t="s">
        <v>914</v>
      </c>
      <c r="B402" s="2" t="s">
        <v>915</v>
      </c>
      <c r="C402" s="2">
        <v>75</v>
      </c>
      <c r="D402" s="2" t="s">
        <v>30</v>
      </c>
      <c r="E402" s="2" t="s">
        <v>56</v>
      </c>
      <c r="F402" s="2" t="s">
        <v>57</v>
      </c>
      <c r="G402" s="3">
        <v>44911</v>
      </c>
      <c r="H402" s="3">
        <v>44922</v>
      </c>
      <c r="I402" s="2">
        <v>11</v>
      </c>
      <c r="J402" s="2" t="s">
        <v>115</v>
      </c>
      <c r="K402" s="2" t="s">
        <v>116</v>
      </c>
      <c r="L402" s="2" t="s">
        <v>117</v>
      </c>
      <c r="M402" s="2" t="s">
        <v>95</v>
      </c>
      <c r="N402" s="2" t="s">
        <v>37</v>
      </c>
      <c r="O402" s="2" t="s">
        <v>234</v>
      </c>
      <c r="P402" s="2">
        <v>66</v>
      </c>
      <c r="Q402" s="2" t="s">
        <v>50</v>
      </c>
      <c r="R402" s="2" t="s">
        <v>90</v>
      </c>
      <c r="S402" s="2">
        <v>168580</v>
      </c>
      <c r="T402" s="2">
        <v>108363</v>
      </c>
      <c r="U402" s="2">
        <v>60217</v>
      </c>
      <c r="V402" s="2">
        <v>139628</v>
      </c>
      <c r="W402" s="2">
        <v>24370</v>
      </c>
      <c r="X402" s="2">
        <v>3047</v>
      </c>
      <c r="Y402" s="2" t="s">
        <v>41</v>
      </c>
      <c r="Z402" s="2">
        <v>57</v>
      </c>
      <c r="AA402" s="2">
        <v>2.2000000000000002</v>
      </c>
      <c r="AB402" s="2" t="s">
        <v>52</v>
      </c>
    </row>
    <row r="403" spans="1:28" x14ac:dyDescent="0.25">
      <c r="A403" s="4" t="s">
        <v>916</v>
      </c>
      <c r="B403" s="4" t="s">
        <v>917</v>
      </c>
      <c r="C403" s="4">
        <v>82</v>
      </c>
      <c r="D403" s="4" t="s">
        <v>30</v>
      </c>
      <c r="E403" s="4" t="s">
        <v>87</v>
      </c>
      <c r="F403" s="4" t="s">
        <v>129</v>
      </c>
      <c r="G403" s="5">
        <v>45460</v>
      </c>
      <c r="H403" s="5">
        <v>45472</v>
      </c>
      <c r="I403" s="4">
        <v>12</v>
      </c>
      <c r="J403" s="4" t="s">
        <v>33</v>
      </c>
      <c r="K403" s="4" t="s">
        <v>107</v>
      </c>
      <c r="L403" s="4" t="s">
        <v>48</v>
      </c>
      <c r="M403" s="4" t="s">
        <v>134</v>
      </c>
      <c r="N403" s="4" t="s">
        <v>118</v>
      </c>
      <c r="O403" s="4" t="s">
        <v>285</v>
      </c>
      <c r="P403" s="4">
        <v>483</v>
      </c>
      <c r="Q403" s="4" t="s">
        <v>39</v>
      </c>
      <c r="R403" s="4" t="s">
        <v>136</v>
      </c>
      <c r="S403" s="4">
        <v>49027</v>
      </c>
      <c r="T403" s="4">
        <v>0</v>
      </c>
      <c r="U403" s="4">
        <v>49027</v>
      </c>
      <c r="V403" s="4">
        <v>27791</v>
      </c>
      <c r="W403" s="4">
        <v>11015</v>
      </c>
      <c r="X403" s="4">
        <v>7160</v>
      </c>
      <c r="Y403" s="4" t="s">
        <v>41</v>
      </c>
      <c r="Z403" s="4">
        <v>80</v>
      </c>
      <c r="AA403" s="4">
        <v>2.2000000000000002</v>
      </c>
      <c r="AB403" s="4" t="s">
        <v>64</v>
      </c>
    </row>
    <row r="404" spans="1:28" x14ac:dyDescent="0.25">
      <c r="A404" s="2" t="s">
        <v>918</v>
      </c>
      <c r="B404" s="2" t="s">
        <v>919</v>
      </c>
      <c r="C404" s="2">
        <v>78</v>
      </c>
      <c r="D404" s="2" t="s">
        <v>55</v>
      </c>
      <c r="E404" s="2" t="s">
        <v>56</v>
      </c>
      <c r="F404" s="2" t="s">
        <v>46</v>
      </c>
      <c r="G404" s="3">
        <v>45571</v>
      </c>
      <c r="H404" s="3">
        <v>45597</v>
      </c>
      <c r="I404" s="2">
        <v>26</v>
      </c>
      <c r="J404" s="2" t="s">
        <v>123</v>
      </c>
      <c r="K404" s="2" t="s">
        <v>251</v>
      </c>
      <c r="L404" s="2" t="s">
        <v>125</v>
      </c>
      <c r="M404" s="2" t="s">
        <v>75</v>
      </c>
      <c r="N404" s="2" t="s">
        <v>109</v>
      </c>
      <c r="O404" s="2" t="s">
        <v>189</v>
      </c>
      <c r="P404" s="2">
        <v>264</v>
      </c>
      <c r="Q404" s="2" t="s">
        <v>69</v>
      </c>
      <c r="R404" s="2" t="s">
        <v>111</v>
      </c>
      <c r="S404" s="2">
        <v>34011</v>
      </c>
      <c r="T404" s="2">
        <v>27693</v>
      </c>
      <c r="U404" s="2">
        <v>6318</v>
      </c>
      <c r="V404" s="2">
        <v>8643</v>
      </c>
      <c r="W404" s="2">
        <v>21194</v>
      </c>
      <c r="X404" s="2">
        <v>3615</v>
      </c>
      <c r="Y404" s="2" t="s">
        <v>41</v>
      </c>
      <c r="Z404" s="2">
        <v>87</v>
      </c>
      <c r="AA404" s="2">
        <v>3</v>
      </c>
      <c r="AB404" s="2" t="s">
        <v>42</v>
      </c>
    </row>
    <row r="405" spans="1:28" x14ac:dyDescent="0.25">
      <c r="A405" s="4" t="s">
        <v>920</v>
      </c>
      <c r="B405" s="4" t="s">
        <v>323</v>
      </c>
      <c r="C405" s="4">
        <v>10</v>
      </c>
      <c r="D405" s="4" t="s">
        <v>30</v>
      </c>
      <c r="E405" s="4" t="s">
        <v>154</v>
      </c>
      <c r="F405" s="4" t="s">
        <v>94</v>
      </c>
      <c r="G405" s="5">
        <v>45022</v>
      </c>
      <c r="H405" s="5">
        <v>45028</v>
      </c>
      <c r="I405" s="4">
        <v>6</v>
      </c>
      <c r="J405" s="4" t="s">
        <v>202</v>
      </c>
      <c r="K405" s="4" t="s">
        <v>203</v>
      </c>
      <c r="L405" s="4" t="s">
        <v>204</v>
      </c>
      <c r="M405" s="4" t="s">
        <v>143</v>
      </c>
      <c r="N405" s="4" t="s">
        <v>118</v>
      </c>
      <c r="O405" s="4" t="s">
        <v>184</v>
      </c>
      <c r="P405" s="4">
        <v>254</v>
      </c>
      <c r="Q405" s="4" t="s">
        <v>103</v>
      </c>
      <c r="R405" s="4" t="s">
        <v>40</v>
      </c>
      <c r="S405" s="4">
        <v>116147</v>
      </c>
      <c r="T405" s="4">
        <v>75440</v>
      </c>
      <c r="U405" s="4">
        <v>40707</v>
      </c>
      <c r="V405" s="4">
        <v>102854</v>
      </c>
      <c r="W405" s="4">
        <v>4710</v>
      </c>
      <c r="X405" s="4">
        <v>6037</v>
      </c>
      <c r="Y405" s="4" t="s">
        <v>41</v>
      </c>
      <c r="Z405" s="4">
        <v>94</v>
      </c>
      <c r="AA405" s="4">
        <v>2.4</v>
      </c>
      <c r="AB405" s="4" t="s">
        <v>52</v>
      </c>
    </row>
    <row r="406" spans="1:28" x14ac:dyDescent="0.25">
      <c r="A406" s="2" t="s">
        <v>921</v>
      </c>
      <c r="B406" s="2" t="s">
        <v>727</v>
      </c>
      <c r="C406" s="2">
        <v>38</v>
      </c>
      <c r="D406" s="2" t="s">
        <v>55</v>
      </c>
      <c r="E406" s="2" t="s">
        <v>122</v>
      </c>
      <c r="F406" s="2" t="s">
        <v>72</v>
      </c>
      <c r="G406" s="3">
        <v>45368</v>
      </c>
      <c r="H406" s="3">
        <v>45375</v>
      </c>
      <c r="I406" s="2">
        <v>7</v>
      </c>
      <c r="J406" s="2" t="s">
        <v>58</v>
      </c>
      <c r="K406" s="2" t="s">
        <v>59</v>
      </c>
      <c r="L406" s="2" t="s">
        <v>60</v>
      </c>
      <c r="M406" s="2" t="s">
        <v>130</v>
      </c>
      <c r="N406" s="2" t="s">
        <v>37</v>
      </c>
      <c r="O406" s="2" t="s">
        <v>271</v>
      </c>
      <c r="P406" s="2">
        <v>30</v>
      </c>
      <c r="Q406" s="2" t="s">
        <v>50</v>
      </c>
      <c r="R406" s="2" t="s">
        <v>90</v>
      </c>
      <c r="S406" s="2">
        <v>146231</v>
      </c>
      <c r="T406" s="2">
        <v>92440</v>
      </c>
      <c r="U406" s="2">
        <v>53791</v>
      </c>
      <c r="V406" s="2">
        <v>125679</v>
      </c>
      <c r="W406" s="2">
        <v>11765</v>
      </c>
      <c r="X406" s="2">
        <v>5388</v>
      </c>
      <c r="Y406" s="2" t="s">
        <v>41</v>
      </c>
      <c r="Z406" s="2">
        <v>86</v>
      </c>
      <c r="AA406" s="2">
        <v>2.6</v>
      </c>
      <c r="AB406" s="2" t="s">
        <v>52</v>
      </c>
    </row>
    <row r="407" spans="1:28" x14ac:dyDescent="0.25">
      <c r="A407" s="4" t="s">
        <v>922</v>
      </c>
      <c r="B407" s="4" t="s">
        <v>923</v>
      </c>
      <c r="C407" s="4">
        <v>60</v>
      </c>
      <c r="D407" s="4" t="s">
        <v>30</v>
      </c>
      <c r="E407" s="4" t="s">
        <v>31</v>
      </c>
      <c r="F407" s="4" t="s">
        <v>157</v>
      </c>
      <c r="G407" s="5">
        <v>45645</v>
      </c>
      <c r="H407" s="5">
        <v>45657</v>
      </c>
      <c r="I407" s="4">
        <v>12</v>
      </c>
      <c r="J407" s="4" t="s">
        <v>140</v>
      </c>
      <c r="K407" s="4" t="s">
        <v>141</v>
      </c>
      <c r="L407" s="4" t="s">
        <v>142</v>
      </c>
      <c r="M407" s="4" t="s">
        <v>36</v>
      </c>
      <c r="N407" s="4" t="s">
        <v>37</v>
      </c>
      <c r="O407" s="4" t="s">
        <v>208</v>
      </c>
      <c r="P407" s="4">
        <v>394</v>
      </c>
      <c r="Q407" s="4" t="s">
        <v>50</v>
      </c>
      <c r="R407" s="4" t="s">
        <v>40</v>
      </c>
      <c r="S407" s="4">
        <v>151928</v>
      </c>
      <c r="T407" s="4">
        <v>77384</v>
      </c>
      <c r="U407" s="4">
        <v>74544</v>
      </c>
      <c r="V407" s="4">
        <v>128390</v>
      </c>
      <c r="W407" s="4">
        <v>13955</v>
      </c>
      <c r="X407" s="4">
        <v>6632</v>
      </c>
      <c r="Y407" s="4" t="s">
        <v>41</v>
      </c>
      <c r="Z407" s="4">
        <v>74</v>
      </c>
      <c r="AA407" s="4">
        <v>4.4000000000000004</v>
      </c>
      <c r="AB407" s="4" t="s">
        <v>104</v>
      </c>
    </row>
    <row r="408" spans="1:28" x14ac:dyDescent="0.25">
      <c r="A408" s="2" t="s">
        <v>924</v>
      </c>
      <c r="B408" s="2" t="s">
        <v>925</v>
      </c>
      <c r="C408" s="2">
        <v>25</v>
      </c>
      <c r="D408" s="2" t="s">
        <v>55</v>
      </c>
      <c r="E408" s="2" t="s">
        <v>45</v>
      </c>
      <c r="F408" s="2" t="s">
        <v>114</v>
      </c>
      <c r="G408" s="3">
        <v>44573</v>
      </c>
      <c r="H408" s="3">
        <v>44585</v>
      </c>
      <c r="I408" s="2">
        <v>12</v>
      </c>
      <c r="J408" s="2" t="s">
        <v>115</v>
      </c>
      <c r="K408" s="2" t="s">
        <v>160</v>
      </c>
      <c r="L408" s="2" t="s">
        <v>117</v>
      </c>
      <c r="M408" s="2" t="s">
        <v>61</v>
      </c>
      <c r="N408" s="2" t="s">
        <v>118</v>
      </c>
      <c r="O408" s="2" t="s">
        <v>208</v>
      </c>
      <c r="P408" s="2">
        <v>203</v>
      </c>
      <c r="Q408" s="2" t="s">
        <v>103</v>
      </c>
      <c r="R408" s="2" t="s">
        <v>136</v>
      </c>
      <c r="S408" s="2">
        <v>33083</v>
      </c>
      <c r="T408" s="2">
        <v>0</v>
      </c>
      <c r="U408" s="2">
        <v>33083</v>
      </c>
      <c r="V408" s="2">
        <v>13285</v>
      </c>
      <c r="W408" s="2">
        <v>6253</v>
      </c>
      <c r="X408" s="2">
        <v>11415</v>
      </c>
      <c r="Y408" s="2" t="s">
        <v>41</v>
      </c>
      <c r="Z408" s="2">
        <v>82</v>
      </c>
      <c r="AA408" s="2">
        <v>4.9000000000000004</v>
      </c>
      <c r="AB408" s="2" t="s">
        <v>104</v>
      </c>
    </row>
    <row r="409" spans="1:28" x14ac:dyDescent="0.25">
      <c r="A409" s="4" t="s">
        <v>926</v>
      </c>
      <c r="B409" s="4" t="s">
        <v>794</v>
      </c>
      <c r="C409" s="4">
        <v>75</v>
      </c>
      <c r="D409" s="4" t="s">
        <v>30</v>
      </c>
      <c r="E409" s="4" t="s">
        <v>154</v>
      </c>
      <c r="F409" s="4" t="s">
        <v>80</v>
      </c>
      <c r="G409" s="5">
        <v>45380</v>
      </c>
      <c r="H409" s="5">
        <v>45397</v>
      </c>
      <c r="I409" s="4">
        <v>17</v>
      </c>
      <c r="J409" s="4" t="s">
        <v>115</v>
      </c>
      <c r="K409" s="4" t="s">
        <v>116</v>
      </c>
      <c r="L409" s="4" t="s">
        <v>117</v>
      </c>
      <c r="M409" s="4" t="s">
        <v>36</v>
      </c>
      <c r="N409" s="4" t="s">
        <v>62</v>
      </c>
      <c r="O409" s="4" t="s">
        <v>208</v>
      </c>
      <c r="P409" s="4">
        <v>80</v>
      </c>
      <c r="Q409" s="4" t="s">
        <v>50</v>
      </c>
      <c r="R409" s="4" t="s">
        <v>51</v>
      </c>
      <c r="S409" s="4">
        <v>48872</v>
      </c>
      <c r="T409" s="4">
        <v>20312</v>
      </c>
      <c r="U409" s="4">
        <v>28560</v>
      </c>
      <c r="V409" s="4">
        <v>8577</v>
      </c>
      <c r="W409" s="4">
        <v>26145</v>
      </c>
      <c r="X409" s="4">
        <v>11713</v>
      </c>
      <c r="Y409" s="4" t="s">
        <v>41</v>
      </c>
      <c r="Z409" s="4">
        <v>67</v>
      </c>
      <c r="AA409" s="4">
        <v>4.9000000000000004</v>
      </c>
      <c r="AB409" s="4" t="s">
        <v>104</v>
      </c>
    </row>
    <row r="410" spans="1:28" x14ac:dyDescent="0.25">
      <c r="A410" s="2" t="s">
        <v>927</v>
      </c>
      <c r="B410" s="2" t="s">
        <v>794</v>
      </c>
      <c r="C410" s="2">
        <v>42</v>
      </c>
      <c r="D410" s="2" t="s">
        <v>30</v>
      </c>
      <c r="E410" s="2" t="s">
        <v>87</v>
      </c>
      <c r="F410" s="2" t="s">
        <v>157</v>
      </c>
      <c r="G410" s="3">
        <v>45440</v>
      </c>
      <c r="H410" s="3">
        <v>45448</v>
      </c>
      <c r="I410" s="2">
        <v>8</v>
      </c>
      <c r="J410" s="2" t="s">
        <v>33</v>
      </c>
      <c r="K410" s="2" t="s">
        <v>233</v>
      </c>
      <c r="L410" s="2" t="s">
        <v>35</v>
      </c>
      <c r="M410" s="2" t="s">
        <v>75</v>
      </c>
      <c r="N410" s="2" t="s">
        <v>109</v>
      </c>
      <c r="O410" s="2" t="s">
        <v>168</v>
      </c>
      <c r="P410" s="2">
        <v>393</v>
      </c>
      <c r="Q410" s="2" t="s">
        <v>69</v>
      </c>
      <c r="R410" s="2" t="s">
        <v>136</v>
      </c>
      <c r="S410" s="2">
        <v>110635</v>
      </c>
      <c r="T410" s="2">
        <v>0</v>
      </c>
      <c r="U410" s="2">
        <v>110635</v>
      </c>
      <c r="V410" s="2">
        <v>69842</v>
      </c>
      <c r="W410" s="2">
        <v>22834</v>
      </c>
      <c r="X410" s="2">
        <v>13944</v>
      </c>
      <c r="Y410" s="2" t="s">
        <v>41</v>
      </c>
      <c r="Z410" s="2">
        <v>85</v>
      </c>
      <c r="AA410" s="2">
        <v>4.3</v>
      </c>
      <c r="AB410" s="2" t="s">
        <v>104</v>
      </c>
    </row>
    <row r="411" spans="1:28" x14ac:dyDescent="0.25">
      <c r="A411" s="4" t="s">
        <v>928</v>
      </c>
      <c r="B411" s="4" t="s">
        <v>929</v>
      </c>
      <c r="C411" s="4">
        <v>83</v>
      </c>
      <c r="D411" s="4" t="s">
        <v>55</v>
      </c>
      <c r="E411" s="4" t="s">
        <v>31</v>
      </c>
      <c r="F411" s="4" t="s">
        <v>72</v>
      </c>
      <c r="G411" s="5">
        <v>44866</v>
      </c>
      <c r="H411" s="5">
        <v>44874</v>
      </c>
      <c r="I411" s="4">
        <v>8</v>
      </c>
      <c r="J411" s="4" t="s">
        <v>33</v>
      </c>
      <c r="K411" s="4" t="s">
        <v>34</v>
      </c>
      <c r="L411" s="4" t="s">
        <v>35</v>
      </c>
      <c r="M411" s="4" t="s">
        <v>108</v>
      </c>
      <c r="N411" s="4" t="s">
        <v>62</v>
      </c>
      <c r="O411" s="4" t="s">
        <v>543</v>
      </c>
      <c r="P411" s="4">
        <v>476</v>
      </c>
      <c r="Q411" s="4" t="s">
        <v>39</v>
      </c>
      <c r="R411" s="4" t="s">
        <v>111</v>
      </c>
      <c r="S411" s="4">
        <v>35843</v>
      </c>
      <c r="T411" s="4">
        <v>30800</v>
      </c>
      <c r="U411" s="4">
        <v>5043</v>
      </c>
      <c r="V411" s="4">
        <v>9629</v>
      </c>
      <c r="W411" s="4">
        <v>21200</v>
      </c>
      <c r="X411" s="4">
        <v>3770</v>
      </c>
      <c r="Y411" s="4" t="s">
        <v>41</v>
      </c>
      <c r="Z411" s="4">
        <v>73</v>
      </c>
      <c r="AA411" s="4">
        <v>2.9</v>
      </c>
      <c r="AB411" s="4" t="s">
        <v>64</v>
      </c>
    </row>
    <row r="412" spans="1:28" x14ac:dyDescent="0.25">
      <c r="A412" s="2" t="s">
        <v>930</v>
      </c>
      <c r="B412" s="2" t="s">
        <v>593</v>
      </c>
      <c r="C412" s="2">
        <v>59</v>
      </c>
      <c r="D412" s="2" t="s">
        <v>30</v>
      </c>
      <c r="E412" s="2" t="s">
        <v>122</v>
      </c>
      <c r="F412" s="2" t="s">
        <v>94</v>
      </c>
      <c r="G412" s="3">
        <v>45436</v>
      </c>
      <c r="H412" s="3">
        <v>45457</v>
      </c>
      <c r="I412" s="2">
        <v>21</v>
      </c>
      <c r="J412" s="2" t="s">
        <v>33</v>
      </c>
      <c r="K412" s="2" t="s">
        <v>197</v>
      </c>
      <c r="L412" s="2" t="s">
        <v>198</v>
      </c>
      <c r="M412" s="2" t="s">
        <v>36</v>
      </c>
      <c r="N412" s="2" t="s">
        <v>118</v>
      </c>
      <c r="O412" s="2" t="s">
        <v>461</v>
      </c>
      <c r="P412" s="2">
        <v>483</v>
      </c>
      <c r="Q412" s="2" t="s">
        <v>50</v>
      </c>
      <c r="R412" s="2" t="s">
        <v>111</v>
      </c>
      <c r="S412" s="2">
        <v>84488</v>
      </c>
      <c r="T412" s="2">
        <v>51729</v>
      </c>
      <c r="U412" s="2">
        <v>32759</v>
      </c>
      <c r="V412" s="2">
        <v>69741</v>
      </c>
      <c r="W412" s="2">
        <v>11480</v>
      </c>
      <c r="X412" s="2">
        <v>1279</v>
      </c>
      <c r="Y412" s="2" t="s">
        <v>91</v>
      </c>
      <c r="Z412" s="2">
        <v>87</v>
      </c>
      <c r="AA412" s="2">
        <v>3</v>
      </c>
      <c r="AB412" s="2" t="s">
        <v>52</v>
      </c>
    </row>
    <row r="413" spans="1:28" x14ac:dyDescent="0.25">
      <c r="A413" s="4" t="s">
        <v>931</v>
      </c>
      <c r="B413" s="4" t="s">
        <v>932</v>
      </c>
      <c r="C413" s="4">
        <v>82</v>
      </c>
      <c r="D413" s="4" t="s">
        <v>55</v>
      </c>
      <c r="E413" s="4" t="s">
        <v>67</v>
      </c>
      <c r="F413" s="4" t="s">
        <v>129</v>
      </c>
      <c r="G413" s="5">
        <v>45078</v>
      </c>
      <c r="H413" s="5">
        <v>45094</v>
      </c>
      <c r="I413" s="4">
        <v>16</v>
      </c>
      <c r="J413" s="4" t="s">
        <v>58</v>
      </c>
      <c r="K413" s="4" t="s">
        <v>88</v>
      </c>
      <c r="L413" s="4" t="s">
        <v>60</v>
      </c>
      <c r="M413" s="4" t="s">
        <v>134</v>
      </c>
      <c r="N413" s="4" t="s">
        <v>62</v>
      </c>
      <c r="O413" s="4" t="s">
        <v>76</v>
      </c>
      <c r="P413" s="4">
        <v>350</v>
      </c>
      <c r="Q413" s="4" t="s">
        <v>39</v>
      </c>
      <c r="R413" s="4" t="s">
        <v>136</v>
      </c>
      <c r="S413" s="4">
        <v>142041</v>
      </c>
      <c r="T413" s="4">
        <v>0</v>
      </c>
      <c r="U413" s="4">
        <v>142041</v>
      </c>
      <c r="V413" s="4">
        <v>99520</v>
      </c>
      <c r="W413" s="4">
        <v>25290</v>
      </c>
      <c r="X413" s="4">
        <v>13771</v>
      </c>
      <c r="Y413" s="4" t="s">
        <v>41</v>
      </c>
      <c r="Z413" s="4">
        <v>77</v>
      </c>
      <c r="AA413" s="4">
        <v>3.6</v>
      </c>
      <c r="AB413" s="4" t="s">
        <v>52</v>
      </c>
    </row>
    <row r="414" spans="1:28" x14ac:dyDescent="0.25">
      <c r="A414" s="2" t="s">
        <v>933</v>
      </c>
      <c r="B414" s="2" t="s">
        <v>934</v>
      </c>
      <c r="C414" s="2">
        <v>31</v>
      </c>
      <c r="D414" s="2" t="s">
        <v>30</v>
      </c>
      <c r="E414" s="2" t="s">
        <v>56</v>
      </c>
      <c r="F414" s="2" t="s">
        <v>157</v>
      </c>
      <c r="G414" s="3">
        <v>44829</v>
      </c>
      <c r="H414" s="3">
        <v>44850</v>
      </c>
      <c r="I414" s="2">
        <v>21</v>
      </c>
      <c r="J414" s="2" t="s">
        <v>33</v>
      </c>
      <c r="K414" s="2" t="s">
        <v>233</v>
      </c>
      <c r="L414" s="2" t="s">
        <v>35</v>
      </c>
      <c r="M414" s="2" t="s">
        <v>130</v>
      </c>
      <c r="N414" s="2" t="s">
        <v>109</v>
      </c>
      <c r="O414" s="2" t="s">
        <v>102</v>
      </c>
      <c r="P414" s="2">
        <v>474</v>
      </c>
      <c r="Q414" s="2" t="s">
        <v>69</v>
      </c>
      <c r="R414" s="2" t="s">
        <v>90</v>
      </c>
      <c r="S414" s="2">
        <v>178652</v>
      </c>
      <c r="T414" s="2">
        <v>146067</v>
      </c>
      <c r="U414" s="2">
        <v>32585</v>
      </c>
      <c r="V414" s="2">
        <v>148282</v>
      </c>
      <c r="W414" s="2">
        <v>21283</v>
      </c>
      <c r="X414" s="2">
        <v>6118</v>
      </c>
      <c r="Y414" s="2" t="s">
        <v>41</v>
      </c>
      <c r="Z414" s="2">
        <v>52</v>
      </c>
      <c r="AA414" s="2">
        <v>3.6</v>
      </c>
      <c r="AB414" s="2" t="s">
        <v>64</v>
      </c>
    </row>
    <row r="415" spans="1:28" x14ac:dyDescent="0.25">
      <c r="A415" s="4" t="s">
        <v>935</v>
      </c>
      <c r="B415" s="4" t="s">
        <v>306</v>
      </c>
      <c r="C415" s="4">
        <v>29</v>
      </c>
      <c r="D415" s="4" t="s">
        <v>30</v>
      </c>
      <c r="E415" s="4" t="s">
        <v>79</v>
      </c>
      <c r="F415" s="4" t="s">
        <v>94</v>
      </c>
      <c r="G415" s="5">
        <v>45273</v>
      </c>
      <c r="H415" s="5">
        <v>45302</v>
      </c>
      <c r="I415" s="4">
        <v>29</v>
      </c>
      <c r="J415" s="4" t="s">
        <v>58</v>
      </c>
      <c r="K415" s="4" t="s">
        <v>88</v>
      </c>
      <c r="L415" s="4" t="s">
        <v>60</v>
      </c>
      <c r="M415" s="4" t="s">
        <v>36</v>
      </c>
      <c r="N415" s="4" t="s">
        <v>37</v>
      </c>
      <c r="O415" s="4" t="s">
        <v>178</v>
      </c>
      <c r="P415" s="4">
        <v>215</v>
      </c>
      <c r="Q415" s="4" t="s">
        <v>69</v>
      </c>
      <c r="R415" s="4" t="s">
        <v>40</v>
      </c>
      <c r="S415" s="4">
        <v>106179</v>
      </c>
      <c r="T415" s="4">
        <v>43919</v>
      </c>
      <c r="U415" s="4">
        <v>62260</v>
      </c>
      <c r="V415" s="4">
        <v>76866</v>
      </c>
      <c r="W415" s="4">
        <v>23829</v>
      </c>
      <c r="X415" s="4">
        <v>2612</v>
      </c>
      <c r="Y415" s="4" t="s">
        <v>41</v>
      </c>
      <c r="Z415" s="4">
        <v>90</v>
      </c>
      <c r="AA415" s="4">
        <v>4.9000000000000004</v>
      </c>
      <c r="AB415" s="4" t="s">
        <v>64</v>
      </c>
    </row>
    <row r="416" spans="1:28" x14ac:dyDescent="0.25">
      <c r="A416" s="2" t="s">
        <v>936</v>
      </c>
      <c r="B416" s="2" t="s">
        <v>573</v>
      </c>
      <c r="C416" s="2">
        <v>68</v>
      </c>
      <c r="D416" s="2" t="s">
        <v>55</v>
      </c>
      <c r="E416" s="2" t="s">
        <v>154</v>
      </c>
      <c r="F416" s="2" t="s">
        <v>150</v>
      </c>
      <c r="G416" s="3">
        <v>45605</v>
      </c>
      <c r="H416" s="3">
        <v>45618</v>
      </c>
      <c r="I416" s="2">
        <v>13</v>
      </c>
      <c r="J416" s="2" t="s">
        <v>33</v>
      </c>
      <c r="K416" s="2" t="s">
        <v>99</v>
      </c>
      <c r="L416" s="2" t="s">
        <v>100</v>
      </c>
      <c r="M416" s="2" t="s">
        <v>108</v>
      </c>
      <c r="N416" s="2" t="s">
        <v>118</v>
      </c>
      <c r="O416" s="2" t="s">
        <v>678</v>
      </c>
      <c r="P416" s="2">
        <v>2</v>
      </c>
      <c r="Q416" s="2" t="s">
        <v>39</v>
      </c>
      <c r="R416" s="2" t="s">
        <v>51</v>
      </c>
      <c r="S416" s="2">
        <v>94985</v>
      </c>
      <c r="T416" s="2">
        <v>63046</v>
      </c>
      <c r="U416" s="2">
        <v>31939</v>
      </c>
      <c r="V416" s="2">
        <v>62096</v>
      </c>
      <c r="W416" s="2">
        <v>20402</v>
      </c>
      <c r="X416" s="2">
        <v>11915</v>
      </c>
      <c r="Y416" s="2" t="s">
        <v>41</v>
      </c>
      <c r="Z416" s="2">
        <v>69</v>
      </c>
      <c r="AA416" s="2">
        <v>3.5</v>
      </c>
      <c r="AB416" s="2" t="s">
        <v>42</v>
      </c>
    </row>
    <row r="417" spans="1:28" x14ac:dyDescent="0.25">
      <c r="A417" s="4" t="s">
        <v>937</v>
      </c>
      <c r="B417" s="4" t="s">
        <v>938</v>
      </c>
      <c r="C417" s="4">
        <v>33</v>
      </c>
      <c r="D417" s="4" t="s">
        <v>30</v>
      </c>
      <c r="E417" s="4" t="s">
        <v>79</v>
      </c>
      <c r="F417" s="4" t="s">
        <v>94</v>
      </c>
      <c r="G417" s="5">
        <v>44805</v>
      </c>
      <c r="H417" s="5">
        <v>44811</v>
      </c>
      <c r="I417" s="4">
        <v>6</v>
      </c>
      <c r="J417" s="4" t="s">
        <v>73</v>
      </c>
      <c r="K417" s="4" t="s">
        <v>74</v>
      </c>
      <c r="L417" s="4" t="s">
        <v>73</v>
      </c>
      <c r="M417" s="4" t="s">
        <v>75</v>
      </c>
      <c r="N417" s="4" t="s">
        <v>109</v>
      </c>
      <c r="O417" s="4" t="s">
        <v>246</v>
      </c>
      <c r="P417" s="4">
        <v>328</v>
      </c>
      <c r="Q417" s="4" t="s">
        <v>39</v>
      </c>
      <c r="R417" s="4" t="s">
        <v>136</v>
      </c>
      <c r="S417" s="4">
        <v>65449</v>
      </c>
      <c r="T417" s="4">
        <v>0</v>
      </c>
      <c r="U417" s="4">
        <v>65449</v>
      </c>
      <c r="V417" s="4">
        <v>39857</v>
      </c>
      <c r="W417" s="4">
        <v>9861</v>
      </c>
      <c r="X417" s="4">
        <v>14809</v>
      </c>
      <c r="Y417" s="4" t="s">
        <v>41</v>
      </c>
      <c r="Z417" s="4">
        <v>55</v>
      </c>
      <c r="AA417" s="4">
        <v>5</v>
      </c>
      <c r="AB417" s="4" t="s">
        <v>64</v>
      </c>
    </row>
    <row r="418" spans="1:28" x14ac:dyDescent="0.25">
      <c r="A418" s="2" t="s">
        <v>939</v>
      </c>
      <c r="B418" s="2" t="s">
        <v>940</v>
      </c>
      <c r="C418" s="2">
        <v>5</v>
      </c>
      <c r="D418" s="2" t="s">
        <v>30</v>
      </c>
      <c r="E418" s="2" t="s">
        <v>45</v>
      </c>
      <c r="F418" s="2" t="s">
        <v>80</v>
      </c>
      <c r="G418" s="3">
        <v>44732</v>
      </c>
      <c r="H418" s="3">
        <v>44755</v>
      </c>
      <c r="I418" s="2">
        <v>23</v>
      </c>
      <c r="J418" s="2" t="s">
        <v>33</v>
      </c>
      <c r="K418" s="2" t="s">
        <v>99</v>
      </c>
      <c r="L418" s="2" t="s">
        <v>100</v>
      </c>
      <c r="M418" s="2" t="s">
        <v>143</v>
      </c>
      <c r="N418" s="2" t="s">
        <v>37</v>
      </c>
      <c r="O418" s="2" t="s">
        <v>326</v>
      </c>
      <c r="P418" s="2">
        <v>167</v>
      </c>
      <c r="Q418" s="2" t="s">
        <v>69</v>
      </c>
      <c r="R418" s="2" t="s">
        <v>90</v>
      </c>
      <c r="S418" s="2">
        <v>121631</v>
      </c>
      <c r="T418" s="2">
        <v>79428</v>
      </c>
      <c r="U418" s="2">
        <v>42203</v>
      </c>
      <c r="V418" s="2">
        <v>98187</v>
      </c>
      <c r="W418" s="2">
        <v>8185</v>
      </c>
      <c r="X418" s="2">
        <v>12468</v>
      </c>
      <c r="Y418" s="2" t="s">
        <v>41</v>
      </c>
      <c r="Z418" s="2">
        <v>74</v>
      </c>
      <c r="AA418" s="2">
        <v>4</v>
      </c>
      <c r="AB418" s="2" t="s">
        <v>42</v>
      </c>
    </row>
    <row r="419" spans="1:28" x14ac:dyDescent="0.25">
      <c r="A419" s="4" t="s">
        <v>941</v>
      </c>
      <c r="B419" s="4" t="s">
        <v>663</v>
      </c>
      <c r="C419" s="4">
        <v>37</v>
      </c>
      <c r="D419" s="4" t="s">
        <v>55</v>
      </c>
      <c r="E419" s="4" t="s">
        <v>87</v>
      </c>
      <c r="F419" s="4" t="s">
        <v>32</v>
      </c>
      <c r="G419" s="5">
        <v>45226</v>
      </c>
      <c r="H419" s="5">
        <v>45235</v>
      </c>
      <c r="I419" s="4">
        <v>9</v>
      </c>
      <c r="J419" s="4" t="s">
        <v>115</v>
      </c>
      <c r="K419" s="4" t="s">
        <v>160</v>
      </c>
      <c r="L419" s="4" t="s">
        <v>117</v>
      </c>
      <c r="M419" s="4" t="s">
        <v>108</v>
      </c>
      <c r="N419" s="4" t="s">
        <v>109</v>
      </c>
      <c r="O419" s="4" t="s">
        <v>256</v>
      </c>
      <c r="P419" s="4">
        <v>374</v>
      </c>
      <c r="Q419" s="4" t="s">
        <v>103</v>
      </c>
      <c r="R419" s="4" t="s">
        <v>136</v>
      </c>
      <c r="S419" s="4">
        <v>67177</v>
      </c>
      <c r="T419" s="4">
        <v>0</v>
      </c>
      <c r="U419" s="4">
        <v>67177</v>
      </c>
      <c r="V419" s="4">
        <v>43884</v>
      </c>
      <c r="W419" s="4">
        <v>16696</v>
      </c>
      <c r="X419" s="4">
        <v>2035</v>
      </c>
      <c r="Y419" s="4" t="s">
        <v>41</v>
      </c>
      <c r="Z419" s="4">
        <v>51</v>
      </c>
      <c r="AA419" s="4">
        <v>4.4000000000000004</v>
      </c>
      <c r="AB419" s="4" t="s">
        <v>64</v>
      </c>
    </row>
    <row r="420" spans="1:28" x14ac:dyDescent="0.25">
      <c r="A420" s="2" t="s">
        <v>942</v>
      </c>
      <c r="B420" s="2" t="s">
        <v>943</v>
      </c>
      <c r="C420" s="2">
        <v>67</v>
      </c>
      <c r="D420" s="2" t="s">
        <v>55</v>
      </c>
      <c r="E420" s="2" t="s">
        <v>79</v>
      </c>
      <c r="F420" s="2" t="s">
        <v>57</v>
      </c>
      <c r="G420" s="3">
        <v>45197</v>
      </c>
      <c r="H420" s="3">
        <v>45203</v>
      </c>
      <c r="I420" s="2">
        <v>6</v>
      </c>
      <c r="J420" s="2" t="s">
        <v>123</v>
      </c>
      <c r="K420" s="2" t="s">
        <v>124</v>
      </c>
      <c r="L420" s="2" t="s">
        <v>125</v>
      </c>
      <c r="M420" s="2" t="s">
        <v>101</v>
      </c>
      <c r="N420" s="2" t="s">
        <v>109</v>
      </c>
      <c r="O420" s="2" t="s">
        <v>241</v>
      </c>
      <c r="P420" s="2">
        <v>37</v>
      </c>
      <c r="Q420" s="2" t="s">
        <v>103</v>
      </c>
      <c r="R420" s="2" t="s">
        <v>40</v>
      </c>
      <c r="S420" s="2">
        <v>154835</v>
      </c>
      <c r="T420" s="2">
        <v>95578</v>
      </c>
      <c r="U420" s="2">
        <v>59257</v>
      </c>
      <c r="V420" s="2">
        <v>124281</v>
      </c>
      <c r="W420" s="2">
        <v>22139</v>
      </c>
      <c r="X420" s="2">
        <v>7094</v>
      </c>
      <c r="Y420" s="2" t="s">
        <v>91</v>
      </c>
      <c r="Z420" s="2">
        <v>88</v>
      </c>
      <c r="AA420" s="2">
        <v>4.4000000000000004</v>
      </c>
      <c r="AB420" s="2" t="s">
        <v>42</v>
      </c>
    </row>
    <row r="421" spans="1:28" x14ac:dyDescent="0.25">
      <c r="A421" s="4" t="s">
        <v>944</v>
      </c>
      <c r="B421" s="4" t="s">
        <v>663</v>
      </c>
      <c r="C421" s="4">
        <v>54</v>
      </c>
      <c r="D421" s="4" t="s">
        <v>55</v>
      </c>
      <c r="E421" s="4" t="s">
        <v>56</v>
      </c>
      <c r="F421" s="4" t="s">
        <v>57</v>
      </c>
      <c r="G421" s="5">
        <v>44651</v>
      </c>
      <c r="H421" s="5">
        <v>44656</v>
      </c>
      <c r="I421" s="4">
        <v>5</v>
      </c>
      <c r="J421" s="4" t="s">
        <v>73</v>
      </c>
      <c r="K421" s="4" t="s">
        <v>74</v>
      </c>
      <c r="L421" s="4" t="s">
        <v>73</v>
      </c>
      <c r="M421" s="4" t="s">
        <v>134</v>
      </c>
      <c r="N421" s="4" t="s">
        <v>109</v>
      </c>
      <c r="O421" s="4" t="s">
        <v>464</v>
      </c>
      <c r="P421" s="4">
        <v>406</v>
      </c>
      <c r="Q421" s="4" t="s">
        <v>69</v>
      </c>
      <c r="R421" s="4" t="s">
        <v>90</v>
      </c>
      <c r="S421" s="4">
        <v>189478</v>
      </c>
      <c r="T421" s="4">
        <v>162158</v>
      </c>
      <c r="U421" s="4">
        <v>27320</v>
      </c>
      <c r="V421" s="4">
        <v>147179</v>
      </c>
      <c r="W421" s="4">
        <v>25121</v>
      </c>
      <c r="X421" s="4">
        <v>13906</v>
      </c>
      <c r="Y421" s="4" t="s">
        <v>91</v>
      </c>
      <c r="Z421" s="4">
        <v>48</v>
      </c>
      <c r="AA421" s="4">
        <v>3.4</v>
      </c>
      <c r="AB421" s="4" t="s">
        <v>42</v>
      </c>
    </row>
    <row r="422" spans="1:28" x14ac:dyDescent="0.25">
      <c r="A422" s="2" t="s">
        <v>945</v>
      </c>
      <c r="B422" s="2" t="s">
        <v>440</v>
      </c>
      <c r="C422" s="2">
        <v>25</v>
      </c>
      <c r="D422" s="2" t="s">
        <v>30</v>
      </c>
      <c r="E422" s="2" t="s">
        <v>45</v>
      </c>
      <c r="F422" s="2" t="s">
        <v>150</v>
      </c>
      <c r="G422" s="3">
        <v>44878</v>
      </c>
      <c r="H422" s="3">
        <v>44886</v>
      </c>
      <c r="I422" s="2">
        <v>8</v>
      </c>
      <c r="J422" s="2" t="s">
        <v>33</v>
      </c>
      <c r="K422" s="2" t="s">
        <v>197</v>
      </c>
      <c r="L422" s="2" t="s">
        <v>198</v>
      </c>
      <c r="M422" s="2" t="s">
        <v>134</v>
      </c>
      <c r="N422" s="2" t="s">
        <v>62</v>
      </c>
      <c r="O422" s="2" t="s">
        <v>38</v>
      </c>
      <c r="P422" s="2">
        <v>53</v>
      </c>
      <c r="Q422" s="2" t="s">
        <v>50</v>
      </c>
      <c r="R422" s="2" t="s">
        <v>90</v>
      </c>
      <c r="S422" s="2">
        <v>176471</v>
      </c>
      <c r="T422" s="2">
        <v>105947</v>
      </c>
      <c r="U422" s="2">
        <v>70524</v>
      </c>
      <c r="V422" s="2">
        <v>139097</v>
      </c>
      <c r="W422" s="2">
        <v>28409</v>
      </c>
      <c r="X422" s="2">
        <v>7304</v>
      </c>
      <c r="Y422" s="2" t="s">
        <v>41</v>
      </c>
      <c r="Z422" s="2">
        <v>54</v>
      </c>
      <c r="AA422" s="2">
        <v>3.3</v>
      </c>
      <c r="AB422" s="2" t="s">
        <v>64</v>
      </c>
    </row>
    <row r="423" spans="1:28" x14ac:dyDescent="0.25">
      <c r="A423" s="4" t="s">
        <v>946</v>
      </c>
      <c r="B423" s="4" t="s">
        <v>550</v>
      </c>
      <c r="C423" s="4">
        <v>33</v>
      </c>
      <c r="D423" s="4" t="s">
        <v>30</v>
      </c>
      <c r="E423" s="4" t="s">
        <v>56</v>
      </c>
      <c r="F423" s="4" t="s">
        <v>150</v>
      </c>
      <c r="G423" s="5">
        <v>44909</v>
      </c>
      <c r="H423" s="5">
        <v>44913</v>
      </c>
      <c r="I423" s="4">
        <v>4</v>
      </c>
      <c r="J423" s="4" t="s">
        <v>73</v>
      </c>
      <c r="K423" s="4" t="s">
        <v>74</v>
      </c>
      <c r="L423" s="4" t="s">
        <v>73</v>
      </c>
      <c r="M423" s="4" t="s">
        <v>134</v>
      </c>
      <c r="N423" s="4" t="s">
        <v>118</v>
      </c>
      <c r="O423" s="4" t="s">
        <v>337</v>
      </c>
      <c r="P423" s="4">
        <v>171</v>
      </c>
      <c r="Q423" s="4" t="s">
        <v>69</v>
      </c>
      <c r="R423" s="4" t="s">
        <v>136</v>
      </c>
      <c r="S423" s="4">
        <v>41791</v>
      </c>
      <c r="T423" s="4">
        <v>0</v>
      </c>
      <c r="U423" s="4">
        <v>41791</v>
      </c>
      <c r="V423" s="4">
        <v>27230</v>
      </c>
      <c r="W423" s="4">
        <v>2420</v>
      </c>
      <c r="X423" s="4">
        <v>10404</v>
      </c>
      <c r="Y423" s="4" t="s">
        <v>41</v>
      </c>
      <c r="Z423" s="4">
        <v>73</v>
      </c>
      <c r="AA423" s="4">
        <v>3</v>
      </c>
      <c r="AB423" s="4" t="s">
        <v>64</v>
      </c>
    </row>
    <row r="424" spans="1:28" x14ac:dyDescent="0.25">
      <c r="A424" s="2" t="s">
        <v>947</v>
      </c>
      <c r="B424" s="2" t="s">
        <v>948</v>
      </c>
      <c r="C424" s="2">
        <v>24</v>
      </c>
      <c r="D424" s="2" t="s">
        <v>30</v>
      </c>
      <c r="E424" s="2" t="s">
        <v>79</v>
      </c>
      <c r="F424" s="2" t="s">
        <v>80</v>
      </c>
      <c r="G424" s="3">
        <v>44774</v>
      </c>
      <c r="H424" s="3">
        <v>44783</v>
      </c>
      <c r="I424" s="2">
        <v>9</v>
      </c>
      <c r="J424" s="2" t="s">
        <v>33</v>
      </c>
      <c r="K424" s="2" t="s">
        <v>174</v>
      </c>
      <c r="L424" s="2" t="s">
        <v>48</v>
      </c>
      <c r="M424" s="2" t="s">
        <v>134</v>
      </c>
      <c r="N424" s="2" t="s">
        <v>62</v>
      </c>
      <c r="O424" s="2" t="s">
        <v>208</v>
      </c>
      <c r="P424" s="2">
        <v>399</v>
      </c>
      <c r="Q424" s="2" t="s">
        <v>39</v>
      </c>
      <c r="R424" s="2" t="s">
        <v>136</v>
      </c>
      <c r="S424" s="2">
        <v>69775</v>
      </c>
      <c r="T424" s="2">
        <v>0</v>
      </c>
      <c r="U424" s="2">
        <v>69775</v>
      </c>
      <c r="V424" s="2">
        <v>43739</v>
      </c>
      <c r="W424" s="2">
        <v>13799</v>
      </c>
      <c r="X424" s="2">
        <v>7818</v>
      </c>
      <c r="Y424" s="2" t="s">
        <v>41</v>
      </c>
      <c r="Z424" s="2">
        <v>47</v>
      </c>
      <c r="AA424" s="2">
        <v>3.7</v>
      </c>
      <c r="AB424" s="2" t="s">
        <v>52</v>
      </c>
    </row>
    <row r="425" spans="1:28" x14ac:dyDescent="0.25">
      <c r="A425" s="4" t="s">
        <v>949</v>
      </c>
      <c r="B425" s="4" t="s">
        <v>287</v>
      </c>
      <c r="C425" s="4">
        <v>46</v>
      </c>
      <c r="D425" s="4" t="s">
        <v>55</v>
      </c>
      <c r="E425" s="4" t="s">
        <v>154</v>
      </c>
      <c r="F425" s="4" t="s">
        <v>114</v>
      </c>
      <c r="G425" s="5">
        <v>45284</v>
      </c>
      <c r="H425" s="5">
        <v>45295</v>
      </c>
      <c r="I425" s="4">
        <v>11</v>
      </c>
      <c r="J425" s="4" t="s">
        <v>33</v>
      </c>
      <c r="K425" s="4" t="s">
        <v>174</v>
      </c>
      <c r="L425" s="4" t="s">
        <v>48</v>
      </c>
      <c r="M425" s="4" t="s">
        <v>83</v>
      </c>
      <c r="N425" s="4" t="s">
        <v>37</v>
      </c>
      <c r="O425" s="4" t="s">
        <v>950</v>
      </c>
      <c r="P425" s="4">
        <v>71</v>
      </c>
      <c r="Q425" s="4" t="s">
        <v>39</v>
      </c>
      <c r="R425" s="4" t="s">
        <v>111</v>
      </c>
      <c r="S425" s="4">
        <v>147306</v>
      </c>
      <c r="T425" s="4">
        <v>111972</v>
      </c>
      <c r="U425" s="4">
        <v>35334</v>
      </c>
      <c r="V425" s="4">
        <v>114749</v>
      </c>
      <c r="W425" s="4">
        <v>19000</v>
      </c>
      <c r="X425" s="4">
        <v>8644</v>
      </c>
      <c r="Y425" s="4" t="s">
        <v>41</v>
      </c>
      <c r="Z425" s="4">
        <v>92</v>
      </c>
      <c r="AA425" s="4">
        <v>2.7</v>
      </c>
      <c r="AB425" s="4" t="s">
        <v>104</v>
      </c>
    </row>
    <row r="426" spans="1:28" x14ac:dyDescent="0.25">
      <c r="A426" s="2" t="s">
        <v>951</v>
      </c>
      <c r="B426" s="2" t="s">
        <v>952</v>
      </c>
      <c r="C426" s="2">
        <v>72</v>
      </c>
      <c r="D426" s="2" t="s">
        <v>55</v>
      </c>
      <c r="E426" s="2" t="s">
        <v>56</v>
      </c>
      <c r="F426" s="2" t="s">
        <v>32</v>
      </c>
      <c r="G426" s="3">
        <v>45302</v>
      </c>
      <c r="H426" s="3">
        <v>45303</v>
      </c>
      <c r="I426" s="2">
        <v>1</v>
      </c>
      <c r="J426" s="2" t="s">
        <v>115</v>
      </c>
      <c r="K426" s="2" t="s">
        <v>160</v>
      </c>
      <c r="L426" s="2" t="s">
        <v>117</v>
      </c>
      <c r="M426" s="2" t="s">
        <v>95</v>
      </c>
      <c r="N426" s="2" t="s">
        <v>37</v>
      </c>
      <c r="O426" s="2" t="s">
        <v>509</v>
      </c>
      <c r="P426" s="2">
        <v>31</v>
      </c>
      <c r="Q426" s="2" t="s">
        <v>50</v>
      </c>
      <c r="R426" s="2" t="s">
        <v>136</v>
      </c>
      <c r="S426" s="2">
        <v>61908</v>
      </c>
      <c r="T426" s="2">
        <v>0</v>
      </c>
      <c r="U426" s="2">
        <v>61908</v>
      </c>
      <c r="V426" s="2">
        <v>41529</v>
      </c>
      <c r="W426" s="2">
        <v>10656</v>
      </c>
      <c r="X426" s="2">
        <v>8043</v>
      </c>
      <c r="Y426" s="2" t="s">
        <v>41</v>
      </c>
      <c r="Z426" s="2">
        <v>75</v>
      </c>
      <c r="AA426" s="2">
        <v>4.9000000000000004</v>
      </c>
      <c r="AB426" s="2" t="s">
        <v>137</v>
      </c>
    </row>
    <row r="427" spans="1:28" x14ac:dyDescent="0.25">
      <c r="A427" s="4" t="s">
        <v>953</v>
      </c>
      <c r="B427" s="4" t="s">
        <v>954</v>
      </c>
      <c r="C427" s="4">
        <v>33</v>
      </c>
      <c r="D427" s="4" t="s">
        <v>55</v>
      </c>
      <c r="E427" s="4" t="s">
        <v>154</v>
      </c>
      <c r="F427" s="4" t="s">
        <v>157</v>
      </c>
      <c r="G427" s="5">
        <v>44855</v>
      </c>
      <c r="H427" s="5">
        <v>44868</v>
      </c>
      <c r="I427" s="4">
        <v>13</v>
      </c>
      <c r="J427" s="4" t="s">
        <v>123</v>
      </c>
      <c r="K427" s="4" t="s">
        <v>251</v>
      </c>
      <c r="L427" s="4" t="s">
        <v>125</v>
      </c>
      <c r="M427" s="4" t="s">
        <v>95</v>
      </c>
      <c r="N427" s="4" t="s">
        <v>62</v>
      </c>
      <c r="O427" s="4" t="s">
        <v>337</v>
      </c>
      <c r="P427" s="4">
        <v>38</v>
      </c>
      <c r="Q427" s="4" t="s">
        <v>103</v>
      </c>
      <c r="R427" s="4" t="s">
        <v>51</v>
      </c>
      <c r="S427" s="4">
        <v>54851</v>
      </c>
      <c r="T427" s="4">
        <v>24265</v>
      </c>
      <c r="U427" s="4">
        <v>30586</v>
      </c>
      <c r="V427" s="4">
        <v>46464</v>
      </c>
      <c r="W427" s="4">
        <v>1989</v>
      </c>
      <c r="X427" s="4">
        <v>2906</v>
      </c>
      <c r="Y427" s="4" t="s">
        <v>41</v>
      </c>
      <c r="Z427" s="4">
        <v>40</v>
      </c>
      <c r="AA427" s="4">
        <v>3.7</v>
      </c>
      <c r="AB427" s="4" t="s">
        <v>137</v>
      </c>
    </row>
    <row r="428" spans="1:28" x14ac:dyDescent="0.25">
      <c r="A428" s="2" t="s">
        <v>955</v>
      </c>
      <c r="B428" s="2" t="s">
        <v>956</v>
      </c>
      <c r="C428" s="2">
        <v>65</v>
      </c>
      <c r="D428" s="2" t="s">
        <v>55</v>
      </c>
      <c r="E428" s="2" t="s">
        <v>79</v>
      </c>
      <c r="F428" s="2" t="s">
        <v>150</v>
      </c>
      <c r="G428" s="3">
        <v>45404</v>
      </c>
      <c r="H428" s="3">
        <v>45428</v>
      </c>
      <c r="I428" s="2">
        <v>24</v>
      </c>
      <c r="J428" s="2" t="s">
        <v>33</v>
      </c>
      <c r="K428" s="2" t="s">
        <v>47</v>
      </c>
      <c r="L428" s="2" t="s">
        <v>48</v>
      </c>
      <c r="M428" s="2" t="s">
        <v>130</v>
      </c>
      <c r="N428" s="2" t="s">
        <v>118</v>
      </c>
      <c r="O428" s="2" t="s">
        <v>241</v>
      </c>
      <c r="P428" s="2">
        <v>31</v>
      </c>
      <c r="Q428" s="2" t="s">
        <v>69</v>
      </c>
      <c r="R428" s="2" t="s">
        <v>51</v>
      </c>
      <c r="S428" s="2">
        <v>71710</v>
      </c>
      <c r="T428" s="2">
        <v>37212</v>
      </c>
      <c r="U428" s="2">
        <v>34498</v>
      </c>
      <c r="V428" s="2">
        <v>50503</v>
      </c>
      <c r="W428" s="2">
        <v>17491</v>
      </c>
      <c r="X428" s="2">
        <v>3127</v>
      </c>
      <c r="Y428" s="2" t="s">
        <v>41</v>
      </c>
      <c r="Z428" s="2">
        <v>100</v>
      </c>
      <c r="AA428" s="2">
        <v>4.5999999999999996</v>
      </c>
      <c r="AB428" s="2" t="s">
        <v>42</v>
      </c>
    </row>
    <row r="429" spans="1:28" x14ac:dyDescent="0.25">
      <c r="A429" s="4" t="s">
        <v>957</v>
      </c>
      <c r="B429" s="4" t="s">
        <v>769</v>
      </c>
      <c r="C429" s="4">
        <v>78</v>
      </c>
      <c r="D429" s="4" t="s">
        <v>30</v>
      </c>
      <c r="E429" s="4" t="s">
        <v>31</v>
      </c>
      <c r="F429" s="4" t="s">
        <v>114</v>
      </c>
      <c r="G429" s="5">
        <v>44883</v>
      </c>
      <c r="H429" s="5">
        <v>44892</v>
      </c>
      <c r="I429" s="4">
        <v>9</v>
      </c>
      <c r="J429" s="4" t="s">
        <v>202</v>
      </c>
      <c r="K429" s="4" t="s">
        <v>203</v>
      </c>
      <c r="L429" s="4" t="s">
        <v>204</v>
      </c>
      <c r="M429" s="4" t="s">
        <v>108</v>
      </c>
      <c r="N429" s="4" t="s">
        <v>109</v>
      </c>
      <c r="O429" s="4" t="s">
        <v>126</v>
      </c>
      <c r="P429" s="4">
        <v>317</v>
      </c>
      <c r="Q429" s="4" t="s">
        <v>69</v>
      </c>
      <c r="R429" s="4" t="s">
        <v>40</v>
      </c>
      <c r="S429" s="4">
        <v>129962</v>
      </c>
      <c r="T429" s="4">
        <v>83821</v>
      </c>
      <c r="U429" s="4">
        <v>46141</v>
      </c>
      <c r="V429" s="4">
        <v>107836</v>
      </c>
      <c r="W429" s="4">
        <v>7019</v>
      </c>
      <c r="X429" s="4">
        <v>13975</v>
      </c>
      <c r="Y429" s="4" t="s">
        <v>41</v>
      </c>
      <c r="Z429" s="4">
        <v>60</v>
      </c>
      <c r="AA429" s="4">
        <v>4</v>
      </c>
      <c r="AB429" s="4" t="s">
        <v>137</v>
      </c>
    </row>
    <row r="430" spans="1:28" x14ac:dyDescent="0.25">
      <c r="A430" s="2" t="s">
        <v>958</v>
      </c>
      <c r="B430" s="2" t="s">
        <v>601</v>
      </c>
      <c r="C430" s="2">
        <v>26</v>
      </c>
      <c r="D430" s="2" t="s">
        <v>55</v>
      </c>
      <c r="E430" s="2" t="s">
        <v>45</v>
      </c>
      <c r="F430" s="2" t="s">
        <v>114</v>
      </c>
      <c r="G430" s="3">
        <v>44960</v>
      </c>
      <c r="H430" s="3">
        <v>44969</v>
      </c>
      <c r="I430" s="2">
        <v>9</v>
      </c>
      <c r="J430" s="2" t="s">
        <v>33</v>
      </c>
      <c r="K430" s="2" t="s">
        <v>34</v>
      </c>
      <c r="L430" s="2" t="s">
        <v>35</v>
      </c>
      <c r="M430" s="2" t="s">
        <v>36</v>
      </c>
      <c r="N430" s="2" t="s">
        <v>118</v>
      </c>
      <c r="O430" s="2" t="s">
        <v>950</v>
      </c>
      <c r="P430" s="2">
        <v>15</v>
      </c>
      <c r="Q430" s="2" t="s">
        <v>39</v>
      </c>
      <c r="R430" s="2" t="s">
        <v>136</v>
      </c>
      <c r="S430" s="2">
        <v>69691</v>
      </c>
      <c r="T430" s="2">
        <v>0</v>
      </c>
      <c r="U430" s="2">
        <v>69691</v>
      </c>
      <c r="V430" s="2">
        <v>47666</v>
      </c>
      <c r="W430" s="2">
        <v>18746</v>
      </c>
      <c r="X430" s="2">
        <v>2244</v>
      </c>
      <c r="Y430" s="2" t="s">
        <v>41</v>
      </c>
      <c r="Z430" s="2">
        <v>40</v>
      </c>
      <c r="AA430" s="2">
        <v>4.3</v>
      </c>
      <c r="AB430" s="2" t="s">
        <v>52</v>
      </c>
    </row>
    <row r="431" spans="1:28" x14ac:dyDescent="0.25">
      <c r="A431" s="4" t="s">
        <v>959</v>
      </c>
      <c r="B431" s="4" t="s">
        <v>960</v>
      </c>
      <c r="C431" s="4">
        <v>30</v>
      </c>
      <c r="D431" s="4" t="s">
        <v>55</v>
      </c>
      <c r="E431" s="4" t="s">
        <v>31</v>
      </c>
      <c r="F431" s="4" t="s">
        <v>46</v>
      </c>
      <c r="G431" s="5">
        <v>44736</v>
      </c>
      <c r="H431" s="5">
        <v>44755</v>
      </c>
      <c r="I431" s="4">
        <v>19</v>
      </c>
      <c r="J431" s="4" t="s">
        <v>33</v>
      </c>
      <c r="K431" s="4" t="s">
        <v>278</v>
      </c>
      <c r="L431" s="4" t="s">
        <v>279</v>
      </c>
      <c r="M431" s="4" t="s">
        <v>101</v>
      </c>
      <c r="N431" s="4" t="s">
        <v>37</v>
      </c>
      <c r="O431" s="4" t="s">
        <v>38</v>
      </c>
      <c r="P431" s="4">
        <v>162</v>
      </c>
      <c r="Q431" s="4" t="s">
        <v>69</v>
      </c>
      <c r="R431" s="4" t="s">
        <v>136</v>
      </c>
      <c r="S431" s="4">
        <v>35536</v>
      </c>
      <c r="T431" s="4">
        <v>0</v>
      </c>
      <c r="U431" s="4">
        <v>35536</v>
      </c>
      <c r="V431" s="4">
        <v>7222</v>
      </c>
      <c r="W431" s="4">
        <v>12686</v>
      </c>
      <c r="X431" s="4">
        <v>12815</v>
      </c>
      <c r="Y431" s="4" t="s">
        <v>41</v>
      </c>
      <c r="Z431" s="4">
        <v>72</v>
      </c>
      <c r="AA431" s="4">
        <v>2.6</v>
      </c>
      <c r="AB431" s="4" t="s">
        <v>137</v>
      </c>
    </row>
    <row r="432" spans="1:28" x14ac:dyDescent="0.25">
      <c r="A432" s="2" t="s">
        <v>961</v>
      </c>
      <c r="B432" s="2" t="s">
        <v>317</v>
      </c>
      <c r="C432" s="2">
        <v>21</v>
      </c>
      <c r="D432" s="2" t="s">
        <v>55</v>
      </c>
      <c r="E432" s="2" t="s">
        <v>45</v>
      </c>
      <c r="F432" s="2" t="s">
        <v>114</v>
      </c>
      <c r="G432" s="3">
        <v>45593</v>
      </c>
      <c r="H432" s="3">
        <v>45597</v>
      </c>
      <c r="I432" s="2">
        <v>4</v>
      </c>
      <c r="J432" s="2" t="s">
        <v>202</v>
      </c>
      <c r="K432" s="2" t="s">
        <v>225</v>
      </c>
      <c r="L432" s="2" t="s">
        <v>226</v>
      </c>
      <c r="M432" s="2" t="s">
        <v>130</v>
      </c>
      <c r="N432" s="2" t="s">
        <v>37</v>
      </c>
      <c r="O432" s="2" t="s">
        <v>234</v>
      </c>
      <c r="P432" s="2">
        <v>445</v>
      </c>
      <c r="Q432" s="2" t="s">
        <v>69</v>
      </c>
      <c r="R432" s="2" t="s">
        <v>136</v>
      </c>
      <c r="S432" s="2">
        <v>69201</v>
      </c>
      <c r="T432" s="2">
        <v>0</v>
      </c>
      <c r="U432" s="2">
        <v>69201</v>
      </c>
      <c r="V432" s="2">
        <v>47263</v>
      </c>
      <c r="W432" s="2">
        <v>5965</v>
      </c>
      <c r="X432" s="2">
        <v>11680</v>
      </c>
      <c r="Y432" s="2" t="s">
        <v>91</v>
      </c>
      <c r="Z432" s="2">
        <v>80</v>
      </c>
      <c r="AA432" s="2">
        <v>2.2999999999999998</v>
      </c>
      <c r="AB432" s="2" t="s">
        <v>64</v>
      </c>
    </row>
    <row r="433" spans="1:28" x14ac:dyDescent="0.25">
      <c r="A433" s="4" t="s">
        <v>962</v>
      </c>
      <c r="B433" s="4" t="s">
        <v>963</v>
      </c>
      <c r="C433" s="4">
        <v>23</v>
      </c>
      <c r="D433" s="4" t="s">
        <v>55</v>
      </c>
      <c r="E433" s="4" t="s">
        <v>45</v>
      </c>
      <c r="F433" s="4" t="s">
        <v>150</v>
      </c>
      <c r="G433" s="5">
        <v>44830</v>
      </c>
      <c r="H433" s="5">
        <v>44841</v>
      </c>
      <c r="I433" s="4">
        <v>11</v>
      </c>
      <c r="J433" s="4" t="s">
        <v>58</v>
      </c>
      <c r="K433" s="4" t="s">
        <v>59</v>
      </c>
      <c r="L433" s="4" t="s">
        <v>60</v>
      </c>
      <c r="M433" s="4" t="s">
        <v>101</v>
      </c>
      <c r="N433" s="4" t="s">
        <v>37</v>
      </c>
      <c r="O433" s="4" t="s">
        <v>184</v>
      </c>
      <c r="P433" s="4">
        <v>123</v>
      </c>
      <c r="Q433" s="4" t="s">
        <v>39</v>
      </c>
      <c r="R433" s="4" t="s">
        <v>51</v>
      </c>
      <c r="S433" s="4">
        <v>45016</v>
      </c>
      <c r="T433" s="4">
        <v>19322</v>
      </c>
      <c r="U433" s="4">
        <v>25694</v>
      </c>
      <c r="V433" s="4">
        <v>24660</v>
      </c>
      <c r="W433" s="4">
        <v>5993</v>
      </c>
      <c r="X433" s="4">
        <v>9788</v>
      </c>
      <c r="Y433" s="4" t="s">
        <v>91</v>
      </c>
      <c r="Z433" s="4">
        <v>89</v>
      </c>
      <c r="AA433" s="4">
        <v>4.5999999999999996</v>
      </c>
      <c r="AB433" s="4" t="s">
        <v>42</v>
      </c>
    </row>
    <row r="434" spans="1:28" x14ac:dyDescent="0.25">
      <c r="A434" s="2" t="s">
        <v>964</v>
      </c>
      <c r="B434" s="2" t="s">
        <v>418</v>
      </c>
      <c r="C434" s="2">
        <v>68</v>
      </c>
      <c r="D434" s="2" t="s">
        <v>55</v>
      </c>
      <c r="E434" s="2" t="s">
        <v>87</v>
      </c>
      <c r="F434" s="2" t="s">
        <v>80</v>
      </c>
      <c r="G434" s="3">
        <v>44909</v>
      </c>
      <c r="H434" s="3">
        <v>44939</v>
      </c>
      <c r="I434" s="2">
        <v>30</v>
      </c>
      <c r="J434" s="2" t="s">
        <v>58</v>
      </c>
      <c r="K434" s="2" t="s">
        <v>59</v>
      </c>
      <c r="L434" s="2" t="s">
        <v>60</v>
      </c>
      <c r="M434" s="2" t="s">
        <v>36</v>
      </c>
      <c r="N434" s="2" t="s">
        <v>118</v>
      </c>
      <c r="O434" s="2" t="s">
        <v>950</v>
      </c>
      <c r="P434" s="2">
        <v>181</v>
      </c>
      <c r="Q434" s="2" t="s">
        <v>69</v>
      </c>
      <c r="R434" s="2" t="s">
        <v>90</v>
      </c>
      <c r="S434" s="2">
        <v>93679</v>
      </c>
      <c r="T434" s="2">
        <v>63457</v>
      </c>
      <c r="U434" s="2">
        <v>30222</v>
      </c>
      <c r="V434" s="2">
        <v>51972</v>
      </c>
      <c r="W434" s="2">
        <v>24286</v>
      </c>
      <c r="X434" s="2">
        <v>13147</v>
      </c>
      <c r="Y434" s="2" t="s">
        <v>41</v>
      </c>
      <c r="Z434" s="2">
        <v>56</v>
      </c>
      <c r="AA434" s="2">
        <v>4.3</v>
      </c>
      <c r="AB434" s="2" t="s">
        <v>137</v>
      </c>
    </row>
    <row r="435" spans="1:28" x14ac:dyDescent="0.25">
      <c r="A435" s="4" t="s">
        <v>965</v>
      </c>
      <c r="B435" s="4" t="s">
        <v>424</v>
      </c>
      <c r="C435" s="4">
        <v>20</v>
      </c>
      <c r="D435" s="4" t="s">
        <v>30</v>
      </c>
      <c r="E435" s="4" t="s">
        <v>122</v>
      </c>
      <c r="F435" s="4" t="s">
        <v>80</v>
      </c>
      <c r="G435" s="5">
        <v>45149</v>
      </c>
      <c r="H435" s="5">
        <v>45162</v>
      </c>
      <c r="I435" s="4">
        <v>13</v>
      </c>
      <c r="J435" s="4" t="s">
        <v>33</v>
      </c>
      <c r="K435" s="4" t="s">
        <v>81</v>
      </c>
      <c r="L435" s="4" t="s">
        <v>82</v>
      </c>
      <c r="M435" s="4" t="s">
        <v>143</v>
      </c>
      <c r="N435" s="4" t="s">
        <v>37</v>
      </c>
      <c r="O435" s="4" t="s">
        <v>434</v>
      </c>
      <c r="P435" s="4">
        <v>433</v>
      </c>
      <c r="Q435" s="4" t="s">
        <v>50</v>
      </c>
      <c r="R435" s="4" t="s">
        <v>136</v>
      </c>
      <c r="S435" s="4">
        <v>62153</v>
      </c>
      <c r="T435" s="4">
        <v>0</v>
      </c>
      <c r="U435" s="4">
        <v>62153</v>
      </c>
      <c r="V435" s="4">
        <v>26886</v>
      </c>
      <c r="W435" s="4">
        <v>23354</v>
      </c>
      <c r="X435" s="4">
        <v>7269</v>
      </c>
      <c r="Y435" s="4" t="s">
        <v>41</v>
      </c>
      <c r="Z435" s="4">
        <v>96</v>
      </c>
      <c r="AA435" s="4">
        <v>4.5999999999999996</v>
      </c>
      <c r="AB435" s="4" t="s">
        <v>104</v>
      </c>
    </row>
    <row r="436" spans="1:28" x14ac:dyDescent="0.25">
      <c r="A436" s="2" t="s">
        <v>966</v>
      </c>
      <c r="B436" s="2" t="s">
        <v>364</v>
      </c>
      <c r="C436" s="2">
        <v>36</v>
      </c>
      <c r="D436" s="2" t="s">
        <v>55</v>
      </c>
      <c r="E436" s="2" t="s">
        <v>154</v>
      </c>
      <c r="F436" s="2" t="s">
        <v>157</v>
      </c>
      <c r="G436" s="3">
        <v>45157</v>
      </c>
      <c r="H436" s="3">
        <v>45170</v>
      </c>
      <c r="I436" s="2">
        <v>13</v>
      </c>
      <c r="J436" s="2" t="s">
        <v>123</v>
      </c>
      <c r="K436" s="2" t="s">
        <v>124</v>
      </c>
      <c r="L436" s="2" t="s">
        <v>125</v>
      </c>
      <c r="M436" s="2" t="s">
        <v>108</v>
      </c>
      <c r="N436" s="2" t="s">
        <v>62</v>
      </c>
      <c r="O436" s="2" t="s">
        <v>126</v>
      </c>
      <c r="P436" s="2">
        <v>448</v>
      </c>
      <c r="Q436" s="2" t="s">
        <v>103</v>
      </c>
      <c r="R436" s="2" t="s">
        <v>90</v>
      </c>
      <c r="S436" s="2">
        <v>125794</v>
      </c>
      <c r="T436" s="2">
        <v>109446</v>
      </c>
      <c r="U436" s="2">
        <v>16348</v>
      </c>
      <c r="V436" s="2">
        <v>96471</v>
      </c>
      <c r="W436" s="2">
        <v>16265</v>
      </c>
      <c r="X436" s="2">
        <v>8175</v>
      </c>
      <c r="Y436" s="2" t="s">
        <v>41</v>
      </c>
      <c r="Z436" s="2">
        <v>45</v>
      </c>
      <c r="AA436" s="2">
        <v>2.5</v>
      </c>
      <c r="AB436" s="2" t="s">
        <v>104</v>
      </c>
    </row>
    <row r="437" spans="1:28" x14ac:dyDescent="0.25">
      <c r="A437" s="4" t="s">
        <v>967</v>
      </c>
      <c r="B437" s="4" t="s">
        <v>968</v>
      </c>
      <c r="C437" s="4">
        <v>60</v>
      </c>
      <c r="D437" s="4" t="s">
        <v>55</v>
      </c>
      <c r="E437" s="4" t="s">
        <v>67</v>
      </c>
      <c r="F437" s="4" t="s">
        <v>80</v>
      </c>
      <c r="G437" s="5">
        <v>44694</v>
      </c>
      <c r="H437" s="5">
        <v>44705</v>
      </c>
      <c r="I437" s="4">
        <v>11</v>
      </c>
      <c r="J437" s="4" t="s">
        <v>33</v>
      </c>
      <c r="K437" s="4" t="s">
        <v>47</v>
      </c>
      <c r="L437" s="4" t="s">
        <v>48</v>
      </c>
      <c r="M437" s="4" t="s">
        <v>83</v>
      </c>
      <c r="N437" s="4" t="s">
        <v>109</v>
      </c>
      <c r="O437" s="4" t="s">
        <v>227</v>
      </c>
      <c r="P437" s="4">
        <v>143</v>
      </c>
      <c r="Q437" s="4" t="s">
        <v>103</v>
      </c>
      <c r="R437" s="4" t="s">
        <v>90</v>
      </c>
      <c r="S437" s="4">
        <v>163883</v>
      </c>
      <c r="T437" s="4">
        <v>129806</v>
      </c>
      <c r="U437" s="4">
        <v>34077</v>
      </c>
      <c r="V437" s="4">
        <v>147889</v>
      </c>
      <c r="W437" s="4">
        <v>6103</v>
      </c>
      <c r="X437" s="4">
        <v>8199</v>
      </c>
      <c r="Y437" s="4" t="s">
        <v>41</v>
      </c>
      <c r="Z437" s="4">
        <v>42</v>
      </c>
      <c r="AA437" s="4">
        <v>5</v>
      </c>
      <c r="AB437" s="4" t="s">
        <v>137</v>
      </c>
    </row>
    <row r="438" spans="1:28" x14ac:dyDescent="0.25">
      <c r="A438" s="2" t="s">
        <v>969</v>
      </c>
      <c r="B438" s="2" t="s">
        <v>970</v>
      </c>
      <c r="C438" s="2">
        <v>60</v>
      </c>
      <c r="D438" s="2" t="s">
        <v>30</v>
      </c>
      <c r="E438" s="2" t="s">
        <v>31</v>
      </c>
      <c r="F438" s="2" t="s">
        <v>57</v>
      </c>
      <c r="G438" s="3">
        <v>44995</v>
      </c>
      <c r="H438" s="3">
        <v>45023</v>
      </c>
      <c r="I438" s="2">
        <v>28</v>
      </c>
      <c r="J438" s="2" t="s">
        <v>123</v>
      </c>
      <c r="K438" s="2" t="s">
        <v>251</v>
      </c>
      <c r="L438" s="2" t="s">
        <v>125</v>
      </c>
      <c r="M438" s="2" t="s">
        <v>134</v>
      </c>
      <c r="N438" s="2" t="s">
        <v>118</v>
      </c>
      <c r="O438" s="2" t="s">
        <v>509</v>
      </c>
      <c r="P438" s="2">
        <v>73</v>
      </c>
      <c r="Q438" s="2" t="s">
        <v>69</v>
      </c>
      <c r="R438" s="2" t="s">
        <v>136</v>
      </c>
      <c r="S438" s="2">
        <v>124448</v>
      </c>
      <c r="T438" s="2">
        <v>0</v>
      </c>
      <c r="U438" s="2">
        <v>124448</v>
      </c>
      <c r="V438" s="2">
        <v>111186</v>
      </c>
      <c r="W438" s="2">
        <v>3677</v>
      </c>
      <c r="X438" s="2">
        <v>5387</v>
      </c>
      <c r="Y438" s="2" t="s">
        <v>41</v>
      </c>
      <c r="Z438" s="2">
        <v>73</v>
      </c>
      <c r="AA438" s="2">
        <v>2.6</v>
      </c>
      <c r="AB438" s="2" t="s">
        <v>52</v>
      </c>
    </row>
    <row r="439" spans="1:28" x14ac:dyDescent="0.25">
      <c r="A439" s="4" t="s">
        <v>971</v>
      </c>
      <c r="B439" s="4" t="s">
        <v>972</v>
      </c>
      <c r="C439" s="4">
        <v>16</v>
      </c>
      <c r="D439" s="4" t="s">
        <v>30</v>
      </c>
      <c r="E439" s="4" t="s">
        <v>45</v>
      </c>
      <c r="F439" s="4" t="s">
        <v>46</v>
      </c>
      <c r="G439" s="5">
        <v>44898</v>
      </c>
      <c r="H439" s="5">
        <v>44905</v>
      </c>
      <c r="I439" s="4">
        <v>7</v>
      </c>
      <c r="J439" s="4" t="s">
        <v>58</v>
      </c>
      <c r="K439" s="4" t="s">
        <v>88</v>
      </c>
      <c r="L439" s="4" t="s">
        <v>60</v>
      </c>
      <c r="M439" s="4" t="s">
        <v>83</v>
      </c>
      <c r="N439" s="4" t="s">
        <v>37</v>
      </c>
      <c r="O439" s="4" t="s">
        <v>217</v>
      </c>
      <c r="P439" s="4">
        <v>495</v>
      </c>
      <c r="Q439" s="4" t="s">
        <v>103</v>
      </c>
      <c r="R439" s="4" t="s">
        <v>136</v>
      </c>
      <c r="S439" s="4">
        <v>137766</v>
      </c>
      <c r="T439" s="4">
        <v>0</v>
      </c>
      <c r="U439" s="4">
        <v>137766</v>
      </c>
      <c r="V439" s="4">
        <v>107010</v>
      </c>
      <c r="W439" s="4">
        <v>27968</v>
      </c>
      <c r="X439" s="4">
        <v>662</v>
      </c>
      <c r="Y439" s="4" t="s">
        <v>91</v>
      </c>
      <c r="Z439" s="4">
        <v>82</v>
      </c>
      <c r="AA439" s="4">
        <v>3.7</v>
      </c>
      <c r="AB439" s="4" t="s">
        <v>64</v>
      </c>
    </row>
    <row r="440" spans="1:28" x14ac:dyDescent="0.25">
      <c r="A440" s="2" t="s">
        <v>973</v>
      </c>
      <c r="B440" s="2" t="s">
        <v>974</v>
      </c>
      <c r="C440" s="2">
        <v>6</v>
      </c>
      <c r="D440" s="2" t="s">
        <v>55</v>
      </c>
      <c r="E440" s="2" t="s">
        <v>87</v>
      </c>
      <c r="F440" s="2" t="s">
        <v>129</v>
      </c>
      <c r="G440" s="3">
        <v>45584</v>
      </c>
      <c r="H440" s="3">
        <v>45612</v>
      </c>
      <c r="I440" s="2">
        <v>28</v>
      </c>
      <c r="J440" s="2" t="s">
        <v>33</v>
      </c>
      <c r="K440" s="2" t="s">
        <v>47</v>
      </c>
      <c r="L440" s="2" t="s">
        <v>48</v>
      </c>
      <c r="M440" s="2" t="s">
        <v>108</v>
      </c>
      <c r="N440" s="2" t="s">
        <v>118</v>
      </c>
      <c r="O440" s="2" t="s">
        <v>214</v>
      </c>
      <c r="P440" s="2">
        <v>231</v>
      </c>
      <c r="Q440" s="2" t="s">
        <v>39</v>
      </c>
      <c r="R440" s="2" t="s">
        <v>111</v>
      </c>
      <c r="S440" s="2">
        <v>38857</v>
      </c>
      <c r="T440" s="2">
        <v>28212</v>
      </c>
      <c r="U440" s="2">
        <v>10645</v>
      </c>
      <c r="V440" s="2">
        <v>30544</v>
      </c>
      <c r="W440" s="2">
        <v>2195</v>
      </c>
      <c r="X440" s="2">
        <v>4081</v>
      </c>
      <c r="Y440" s="2" t="s">
        <v>41</v>
      </c>
      <c r="Z440" s="2">
        <v>50</v>
      </c>
      <c r="AA440" s="2">
        <v>3.8</v>
      </c>
      <c r="AB440" s="2" t="s">
        <v>64</v>
      </c>
    </row>
    <row r="441" spans="1:28" x14ac:dyDescent="0.25">
      <c r="A441" s="4" t="s">
        <v>975</v>
      </c>
      <c r="B441" s="4" t="s">
        <v>826</v>
      </c>
      <c r="C441" s="4">
        <v>29</v>
      </c>
      <c r="D441" s="4" t="s">
        <v>55</v>
      </c>
      <c r="E441" s="4" t="s">
        <v>45</v>
      </c>
      <c r="F441" s="4" t="s">
        <v>80</v>
      </c>
      <c r="G441" s="5">
        <v>44595</v>
      </c>
      <c r="H441" s="5">
        <v>44605</v>
      </c>
      <c r="I441" s="4">
        <v>10</v>
      </c>
      <c r="J441" s="4" t="s">
        <v>58</v>
      </c>
      <c r="K441" s="4" t="s">
        <v>59</v>
      </c>
      <c r="L441" s="4" t="s">
        <v>60</v>
      </c>
      <c r="M441" s="4" t="s">
        <v>36</v>
      </c>
      <c r="N441" s="4" t="s">
        <v>37</v>
      </c>
      <c r="O441" s="4" t="s">
        <v>352</v>
      </c>
      <c r="P441" s="4">
        <v>211</v>
      </c>
      <c r="Q441" s="4" t="s">
        <v>50</v>
      </c>
      <c r="R441" s="4" t="s">
        <v>136</v>
      </c>
      <c r="S441" s="4">
        <v>174480</v>
      </c>
      <c r="T441" s="4">
        <v>0</v>
      </c>
      <c r="U441" s="4">
        <v>174480</v>
      </c>
      <c r="V441" s="4">
        <v>147204</v>
      </c>
      <c r="W441" s="4">
        <v>14954</v>
      </c>
      <c r="X441" s="4">
        <v>9071</v>
      </c>
      <c r="Y441" s="4" t="s">
        <v>91</v>
      </c>
      <c r="Z441" s="4">
        <v>51</v>
      </c>
      <c r="AA441" s="4">
        <v>3.4</v>
      </c>
      <c r="AB441" s="4" t="s">
        <v>52</v>
      </c>
    </row>
    <row r="442" spans="1:28" x14ac:dyDescent="0.25">
      <c r="A442" s="2" t="s">
        <v>976</v>
      </c>
      <c r="B442" s="2" t="s">
        <v>697</v>
      </c>
      <c r="C442" s="2">
        <v>81</v>
      </c>
      <c r="D442" s="2" t="s">
        <v>55</v>
      </c>
      <c r="E442" s="2" t="s">
        <v>67</v>
      </c>
      <c r="F442" s="2" t="s">
        <v>114</v>
      </c>
      <c r="G442" s="3">
        <v>45145</v>
      </c>
      <c r="H442" s="3">
        <v>45173</v>
      </c>
      <c r="I442" s="2">
        <v>28</v>
      </c>
      <c r="J442" s="2" t="s">
        <v>33</v>
      </c>
      <c r="K442" s="2" t="s">
        <v>81</v>
      </c>
      <c r="L442" s="2" t="s">
        <v>82</v>
      </c>
      <c r="M442" s="2" t="s">
        <v>101</v>
      </c>
      <c r="N442" s="2" t="s">
        <v>62</v>
      </c>
      <c r="O442" s="2" t="s">
        <v>580</v>
      </c>
      <c r="P442" s="2">
        <v>46</v>
      </c>
      <c r="Q442" s="2" t="s">
        <v>69</v>
      </c>
      <c r="R442" s="2" t="s">
        <v>51</v>
      </c>
      <c r="S442" s="2">
        <v>130806</v>
      </c>
      <c r="T442" s="2">
        <v>56235</v>
      </c>
      <c r="U442" s="2">
        <v>74571</v>
      </c>
      <c r="V442" s="2">
        <v>112814</v>
      </c>
      <c r="W442" s="2">
        <v>4397</v>
      </c>
      <c r="X442" s="2">
        <v>8633</v>
      </c>
      <c r="Y442" s="2" t="s">
        <v>41</v>
      </c>
      <c r="Z442" s="2">
        <v>77</v>
      </c>
      <c r="AA442" s="2">
        <v>4.4000000000000004</v>
      </c>
      <c r="AB442" s="2" t="s">
        <v>52</v>
      </c>
    </row>
    <row r="443" spans="1:28" x14ac:dyDescent="0.25">
      <c r="A443" s="4" t="s">
        <v>977</v>
      </c>
      <c r="B443" s="4" t="s">
        <v>978</v>
      </c>
      <c r="C443" s="4">
        <v>32</v>
      </c>
      <c r="D443" s="4" t="s">
        <v>55</v>
      </c>
      <c r="E443" s="4" t="s">
        <v>87</v>
      </c>
      <c r="F443" s="4" t="s">
        <v>94</v>
      </c>
      <c r="G443" s="5">
        <v>45342</v>
      </c>
      <c r="H443" s="5">
        <v>45346</v>
      </c>
      <c r="I443" s="4">
        <v>4</v>
      </c>
      <c r="J443" s="4" t="s">
        <v>115</v>
      </c>
      <c r="K443" s="4" t="s">
        <v>160</v>
      </c>
      <c r="L443" s="4" t="s">
        <v>117</v>
      </c>
      <c r="M443" s="4" t="s">
        <v>36</v>
      </c>
      <c r="N443" s="4" t="s">
        <v>118</v>
      </c>
      <c r="O443" s="4" t="s">
        <v>352</v>
      </c>
      <c r="P443" s="4">
        <v>465</v>
      </c>
      <c r="Q443" s="4" t="s">
        <v>103</v>
      </c>
      <c r="R443" s="4" t="s">
        <v>90</v>
      </c>
      <c r="S443" s="4">
        <v>138666</v>
      </c>
      <c r="T443" s="4">
        <v>94997</v>
      </c>
      <c r="U443" s="4">
        <v>43669</v>
      </c>
      <c r="V443" s="4">
        <v>103210</v>
      </c>
      <c r="W443" s="4">
        <v>26631</v>
      </c>
      <c r="X443" s="4">
        <v>4168</v>
      </c>
      <c r="Y443" s="4" t="s">
        <v>41</v>
      </c>
      <c r="Z443" s="4">
        <v>56</v>
      </c>
      <c r="AA443" s="4">
        <v>2.9</v>
      </c>
      <c r="AB443" s="4" t="s">
        <v>137</v>
      </c>
    </row>
    <row r="444" spans="1:28" x14ac:dyDescent="0.25">
      <c r="A444" s="2" t="s">
        <v>979</v>
      </c>
      <c r="B444" s="2" t="s">
        <v>980</v>
      </c>
      <c r="C444" s="2">
        <v>5</v>
      </c>
      <c r="D444" s="2" t="s">
        <v>30</v>
      </c>
      <c r="E444" s="2" t="s">
        <v>122</v>
      </c>
      <c r="F444" s="2" t="s">
        <v>57</v>
      </c>
      <c r="G444" s="3">
        <v>44615</v>
      </c>
      <c r="H444" s="3">
        <v>44620</v>
      </c>
      <c r="I444" s="2">
        <v>5</v>
      </c>
      <c r="J444" s="2" t="s">
        <v>58</v>
      </c>
      <c r="K444" s="2" t="s">
        <v>88</v>
      </c>
      <c r="L444" s="2" t="s">
        <v>60</v>
      </c>
      <c r="M444" s="2" t="s">
        <v>101</v>
      </c>
      <c r="N444" s="2" t="s">
        <v>118</v>
      </c>
      <c r="O444" s="2" t="s">
        <v>355</v>
      </c>
      <c r="P444" s="2">
        <v>492</v>
      </c>
      <c r="Q444" s="2" t="s">
        <v>103</v>
      </c>
      <c r="R444" s="2" t="s">
        <v>40</v>
      </c>
      <c r="S444" s="2">
        <v>129224</v>
      </c>
      <c r="T444" s="2">
        <v>83810</v>
      </c>
      <c r="U444" s="2">
        <v>45414</v>
      </c>
      <c r="V444" s="2">
        <v>107593</v>
      </c>
      <c r="W444" s="2">
        <v>7313</v>
      </c>
      <c r="X444" s="2">
        <v>10596</v>
      </c>
      <c r="Y444" s="2" t="s">
        <v>41</v>
      </c>
      <c r="Z444" s="2">
        <v>76</v>
      </c>
      <c r="AA444" s="2">
        <v>3.3</v>
      </c>
      <c r="AB444" s="2" t="s">
        <v>137</v>
      </c>
    </row>
    <row r="445" spans="1:28" x14ac:dyDescent="0.25">
      <c r="A445" s="4" t="s">
        <v>981</v>
      </c>
      <c r="B445" s="4" t="s">
        <v>982</v>
      </c>
      <c r="C445" s="4">
        <v>56</v>
      </c>
      <c r="D445" s="4" t="s">
        <v>30</v>
      </c>
      <c r="E445" s="4" t="s">
        <v>154</v>
      </c>
      <c r="F445" s="4" t="s">
        <v>114</v>
      </c>
      <c r="G445" s="5">
        <v>45035</v>
      </c>
      <c r="H445" s="5">
        <v>45039</v>
      </c>
      <c r="I445" s="4">
        <v>4</v>
      </c>
      <c r="J445" s="4" t="s">
        <v>140</v>
      </c>
      <c r="K445" s="4" t="s">
        <v>141</v>
      </c>
      <c r="L445" s="4" t="s">
        <v>142</v>
      </c>
      <c r="M445" s="4" t="s">
        <v>36</v>
      </c>
      <c r="N445" s="4" t="s">
        <v>37</v>
      </c>
      <c r="O445" s="4" t="s">
        <v>84</v>
      </c>
      <c r="P445" s="4">
        <v>82</v>
      </c>
      <c r="Q445" s="4" t="s">
        <v>50</v>
      </c>
      <c r="R445" s="4" t="s">
        <v>40</v>
      </c>
      <c r="S445" s="4">
        <v>38505</v>
      </c>
      <c r="T445" s="4">
        <v>15535</v>
      </c>
      <c r="U445" s="4">
        <v>22970</v>
      </c>
      <c r="V445" s="4">
        <v>29446</v>
      </c>
      <c r="W445" s="4">
        <v>4056</v>
      </c>
      <c r="X445" s="4">
        <v>920</v>
      </c>
      <c r="Y445" s="4" t="s">
        <v>41</v>
      </c>
      <c r="Z445" s="4">
        <v>49</v>
      </c>
      <c r="AA445" s="4">
        <v>2.1</v>
      </c>
      <c r="AB445" s="4" t="s">
        <v>42</v>
      </c>
    </row>
    <row r="446" spans="1:28" x14ac:dyDescent="0.25">
      <c r="A446" s="2" t="s">
        <v>983</v>
      </c>
      <c r="B446" s="2" t="s">
        <v>270</v>
      </c>
      <c r="C446" s="2">
        <v>78</v>
      </c>
      <c r="D446" s="2" t="s">
        <v>30</v>
      </c>
      <c r="E446" s="2" t="s">
        <v>122</v>
      </c>
      <c r="F446" s="2" t="s">
        <v>129</v>
      </c>
      <c r="G446" s="3">
        <v>45491</v>
      </c>
      <c r="H446" s="3">
        <v>45512</v>
      </c>
      <c r="I446" s="2">
        <v>21</v>
      </c>
      <c r="J446" s="2" t="s">
        <v>58</v>
      </c>
      <c r="K446" s="2" t="s">
        <v>88</v>
      </c>
      <c r="L446" s="2" t="s">
        <v>60</v>
      </c>
      <c r="M446" s="2" t="s">
        <v>61</v>
      </c>
      <c r="N446" s="2" t="s">
        <v>109</v>
      </c>
      <c r="O446" s="2" t="s">
        <v>543</v>
      </c>
      <c r="P446" s="2">
        <v>275</v>
      </c>
      <c r="Q446" s="2" t="s">
        <v>39</v>
      </c>
      <c r="R446" s="2" t="s">
        <v>111</v>
      </c>
      <c r="S446" s="2">
        <v>99984</v>
      </c>
      <c r="T446" s="2">
        <v>62479</v>
      </c>
      <c r="U446" s="2">
        <v>37505</v>
      </c>
      <c r="V446" s="2">
        <v>73283</v>
      </c>
      <c r="W446" s="2">
        <v>22602</v>
      </c>
      <c r="X446" s="2">
        <v>1347</v>
      </c>
      <c r="Y446" s="2" t="s">
        <v>91</v>
      </c>
      <c r="Z446" s="2">
        <v>41</v>
      </c>
      <c r="AA446" s="2">
        <v>3.9</v>
      </c>
      <c r="AB446" s="2" t="s">
        <v>42</v>
      </c>
    </row>
    <row r="447" spans="1:28" x14ac:dyDescent="0.25">
      <c r="A447" s="4" t="s">
        <v>984</v>
      </c>
      <c r="B447" s="4" t="s">
        <v>985</v>
      </c>
      <c r="C447" s="4">
        <v>19</v>
      </c>
      <c r="D447" s="4" t="s">
        <v>30</v>
      </c>
      <c r="E447" s="4" t="s">
        <v>56</v>
      </c>
      <c r="F447" s="4" t="s">
        <v>157</v>
      </c>
      <c r="G447" s="5">
        <v>44852</v>
      </c>
      <c r="H447" s="5">
        <v>44862</v>
      </c>
      <c r="I447" s="4">
        <v>10</v>
      </c>
      <c r="J447" s="4" t="s">
        <v>140</v>
      </c>
      <c r="K447" s="4" t="s">
        <v>167</v>
      </c>
      <c r="L447" s="4" t="s">
        <v>142</v>
      </c>
      <c r="M447" s="4" t="s">
        <v>36</v>
      </c>
      <c r="N447" s="4" t="s">
        <v>62</v>
      </c>
      <c r="O447" s="4" t="s">
        <v>343</v>
      </c>
      <c r="P447" s="4">
        <v>468</v>
      </c>
      <c r="Q447" s="4" t="s">
        <v>39</v>
      </c>
      <c r="R447" s="4" t="s">
        <v>111</v>
      </c>
      <c r="S447" s="4">
        <v>62691</v>
      </c>
      <c r="T447" s="4">
        <v>45396</v>
      </c>
      <c r="U447" s="4">
        <v>17295</v>
      </c>
      <c r="V447" s="4">
        <v>31390</v>
      </c>
      <c r="W447" s="4">
        <v>17090</v>
      </c>
      <c r="X447" s="4">
        <v>13532</v>
      </c>
      <c r="Y447" s="4" t="s">
        <v>41</v>
      </c>
      <c r="Z447" s="4">
        <v>80</v>
      </c>
      <c r="AA447" s="4">
        <v>2.2000000000000002</v>
      </c>
      <c r="AB447" s="4" t="s">
        <v>137</v>
      </c>
    </row>
    <row r="448" spans="1:28" x14ac:dyDescent="0.25">
      <c r="A448" s="2" t="s">
        <v>986</v>
      </c>
      <c r="B448" s="2" t="s">
        <v>987</v>
      </c>
      <c r="C448" s="2">
        <v>62</v>
      </c>
      <c r="D448" s="2" t="s">
        <v>55</v>
      </c>
      <c r="E448" s="2" t="s">
        <v>154</v>
      </c>
      <c r="F448" s="2" t="s">
        <v>46</v>
      </c>
      <c r="G448" s="3">
        <v>44582</v>
      </c>
      <c r="H448" s="3">
        <v>44611</v>
      </c>
      <c r="I448" s="2">
        <v>29</v>
      </c>
      <c r="J448" s="2" t="s">
        <v>123</v>
      </c>
      <c r="K448" s="2" t="s">
        <v>124</v>
      </c>
      <c r="L448" s="2" t="s">
        <v>125</v>
      </c>
      <c r="M448" s="2" t="s">
        <v>101</v>
      </c>
      <c r="N448" s="2" t="s">
        <v>62</v>
      </c>
      <c r="O448" s="2" t="s">
        <v>49</v>
      </c>
      <c r="P448" s="2">
        <v>178</v>
      </c>
      <c r="Q448" s="2" t="s">
        <v>103</v>
      </c>
      <c r="R448" s="2" t="s">
        <v>51</v>
      </c>
      <c r="S448" s="2">
        <v>157290</v>
      </c>
      <c r="T448" s="2">
        <v>97914</v>
      </c>
      <c r="U448" s="2">
        <v>59376</v>
      </c>
      <c r="V448" s="2">
        <v>148257</v>
      </c>
      <c r="W448" s="2">
        <v>1164</v>
      </c>
      <c r="X448" s="2">
        <v>3095</v>
      </c>
      <c r="Y448" s="2" t="s">
        <v>41</v>
      </c>
      <c r="Z448" s="2">
        <v>52</v>
      </c>
      <c r="AA448" s="2">
        <v>3.8</v>
      </c>
      <c r="AB448" s="2" t="s">
        <v>42</v>
      </c>
    </row>
    <row r="449" spans="1:28" x14ac:dyDescent="0.25">
      <c r="A449" s="4" t="s">
        <v>988</v>
      </c>
      <c r="B449" s="4" t="s">
        <v>599</v>
      </c>
      <c r="C449" s="4">
        <v>70</v>
      </c>
      <c r="D449" s="4" t="s">
        <v>55</v>
      </c>
      <c r="E449" s="4" t="s">
        <v>31</v>
      </c>
      <c r="F449" s="4" t="s">
        <v>80</v>
      </c>
      <c r="G449" s="5">
        <v>44797</v>
      </c>
      <c r="H449" s="5">
        <v>44826</v>
      </c>
      <c r="I449" s="4">
        <v>29</v>
      </c>
      <c r="J449" s="4" t="s">
        <v>115</v>
      </c>
      <c r="K449" s="4" t="s">
        <v>160</v>
      </c>
      <c r="L449" s="4" t="s">
        <v>117</v>
      </c>
      <c r="M449" s="4" t="s">
        <v>95</v>
      </c>
      <c r="N449" s="4" t="s">
        <v>109</v>
      </c>
      <c r="O449" s="4" t="s">
        <v>365</v>
      </c>
      <c r="P449" s="4">
        <v>373</v>
      </c>
      <c r="Q449" s="4" t="s">
        <v>39</v>
      </c>
      <c r="R449" s="4" t="s">
        <v>136</v>
      </c>
      <c r="S449" s="4">
        <v>98537</v>
      </c>
      <c r="T449" s="4">
        <v>0</v>
      </c>
      <c r="U449" s="4">
        <v>98537</v>
      </c>
      <c r="V449" s="4">
        <v>76740</v>
      </c>
      <c r="W449" s="4">
        <v>16780</v>
      </c>
      <c r="X449" s="4">
        <v>3764</v>
      </c>
      <c r="Y449" s="4" t="s">
        <v>41</v>
      </c>
      <c r="Z449" s="4">
        <v>75</v>
      </c>
      <c r="AA449" s="4">
        <v>4</v>
      </c>
      <c r="AB449" s="4" t="s">
        <v>137</v>
      </c>
    </row>
    <row r="450" spans="1:28" x14ac:dyDescent="0.25">
      <c r="A450" s="2" t="s">
        <v>989</v>
      </c>
      <c r="B450" s="2" t="s">
        <v>224</v>
      </c>
      <c r="C450" s="2">
        <v>60</v>
      </c>
      <c r="D450" s="2" t="s">
        <v>30</v>
      </c>
      <c r="E450" s="2" t="s">
        <v>31</v>
      </c>
      <c r="F450" s="2" t="s">
        <v>46</v>
      </c>
      <c r="G450" s="3">
        <v>44916</v>
      </c>
      <c r="H450" s="3">
        <v>44923</v>
      </c>
      <c r="I450" s="2">
        <v>7</v>
      </c>
      <c r="J450" s="2" t="s">
        <v>140</v>
      </c>
      <c r="K450" s="2" t="s">
        <v>167</v>
      </c>
      <c r="L450" s="2" t="s">
        <v>142</v>
      </c>
      <c r="M450" s="2" t="s">
        <v>36</v>
      </c>
      <c r="N450" s="2" t="s">
        <v>118</v>
      </c>
      <c r="O450" s="2" t="s">
        <v>647</v>
      </c>
      <c r="P450" s="2">
        <v>489</v>
      </c>
      <c r="Q450" s="2" t="s">
        <v>103</v>
      </c>
      <c r="R450" s="2" t="s">
        <v>111</v>
      </c>
      <c r="S450" s="2">
        <v>149837</v>
      </c>
      <c r="T450" s="2">
        <v>126577</v>
      </c>
      <c r="U450" s="2">
        <v>23260</v>
      </c>
      <c r="V450" s="2">
        <v>121957</v>
      </c>
      <c r="W450" s="2">
        <v>14885</v>
      </c>
      <c r="X450" s="2">
        <v>10270</v>
      </c>
      <c r="Y450" s="2" t="s">
        <v>41</v>
      </c>
      <c r="Z450" s="2">
        <v>78</v>
      </c>
      <c r="AA450" s="2">
        <v>3.1</v>
      </c>
      <c r="AB450" s="2" t="s">
        <v>64</v>
      </c>
    </row>
    <row r="451" spans="1:28" x14ac:dyDescent="0.25">
      <c r="A451" s="4" t="s">
        <v>990</v>
      </c>
      <c r="B451" s="4" t="s">
        <v>991</v>
      </c>
      <c r="C451" s="4">
        <v>52</v>
      </c>
      <c r="D451" s="4" t="s">
        <v>55</v>
      </c>
      <c r="E451" s="4" t="s">
        <v>87</v>
      </c>
      <c r="F451" s="4" t="s">
        <v>129</v>
      </c>
      <c r="G451" s="5">
        <v>44631</v>
      </c>
      <c r="H451" s="5">
        <v>44648</v>
      </c>
      <c r="I451" s="4">
        <v>17</v>
      </c>
      <c r="J451" s="4" t="s">
        <v>140</v>
      </c>
      <c r="K451" s="4" t="s">
        <v>167</v>
      </c>
      <c r="L451" s="4" t="s">
        <v>142</v>
      </c>
      <c r="M451" s="4" t="s">
        <v>108</v>
      </c>
      <c r="N451" s="4" t="s">
        <v>118</v>
      </c>
      <c r="O451" s="4" t="s">
        <v>259</v>
      </c>
      <c r="P451" s="4">
        <v>181</v>
      </c>
      <c r="Q451" s="4" t="s">
        <v>103</v>
      </c>
      <c r="R451" s="4" t="s">
        <v>90</v>
      </c>
      <c r="S451" s="4">
        <v>58847</v>
      </c>
      <c r="T451" s="4">
        <v>42889</v>
      </c>
      <c r="U451" s="4">
        <v>15958</v>
      </c>
      <c r="V451" s="4">
        <v>35054</v>
      </c>
      <c r="W451" s="4">
        <v>6895</v>
      </c>
      <c r="X451" s="4">
        <v>13755</v>
      </c>
      <c r="Y451" s="4" t="s">
        <v>41</v>
      </c>
      <c r="Z451" s="4">
        <v>55</v>
      </c>
      <c r="AA451" s="4">
        <v>2.2000000000000002</v>
      </c>
      <c r="AB451" s="4" t="s">
        <v>52</v>
      </c>
    </row>
    <row r="452" spans="1:28" x14ac:dyDescent="0.25">
      <c r="A452" s="2" t="s">
        <v>992</v>
      </c>
      <c r="B452" s="2" t="s">
        <v>993</v>
      </c>
      <c r="C452" s="2">
        <v>45</v>
      </c>
      <c r="D452" s="2" t="s">
        <v>55</v>
      </c>
      <c r="E452" s="2" t="s">
        <v>122</v>
      </c>
      <c r="F452" s="2" t="s">
        <v>80</v>
      </c>
      <c r="G452" s="3">
        <v>44584</v>
      </c>
      <c r="H452" s="3">
        <v>44607</v>
      </c>
      <c r="I452" s="2">
        <v>23</v>
      </c>
      <c r="J452" s="2" t="s">
        <v>33</v>
      </c>
      <c r="K452" s="2" t="s">
        <v>47</v>
      </c>
      <c r="L452" s="2" t="s">
        <v>48</v>
      </c>
      <c r="M452" s="2" t="s">
        <v>83</v>
      </c>
      <c r="N452" s="2" t="s">
        <v>118</v>
      </c>
      <c r="O452" s="2" t="s">
        <v>266</v>
      </c>
      <c r="P452" s="2">
        <v>34</v>
      </c>
      <c r="Q452" s="2" t="s">
        <v>103</v>
      </c>
      <c r="R452" s="2" t="s">
        <v>136</v>
      </c>
      <c r="S452" s="2">
        <v>84302</v>
      </c>
      <c r="T452" s="2">
        <v>0</v>
      </c>
      <c r="U452" s="2">
        <v>84302</v>
      </c>
      <c r="V452" s="2">
        <v>60620</v>
      </c>
      <c r="W452" s="2">
        <v>18277</v>
      </c>
      <c r="X452" s="2">
        <v>4062</v>
      </c>
      <c r="Y452" s="2" t="s">
        <v>41</v>
      </c>
      <c r="Z452" s="2">
        <v>85</v>
      </c>
      <c r="AA452" s="2">
        <v>3.8</v>
      </c>
      <c r="AB452" s="2" t="s">
        <v>104</v>
      </c>
    </row>
    <row r="453" spans="1:28" x14ac:dyDescent="0.25">
      <c r="A453" s="4" t="s">
        <v>994</v>
      </c>
      <c r="B453" s="4" t="s">
        <v>952</v>
      </c>
      <c r="C453" s="4">
        <v>60</v>
      </c>
      <c r="D453" s="4" t="s">
        <v>30</v>
      </c>
      <c r="E453" s="4" t="s">
        <v>45</v>
      </c>
      <c r="F453" s="4" t="s">
        <v>32</v>
      </c>
      <c r="G453" s="5">
        <v>44965</v>
      </c>
      <c r="H453" s="5">
        <v>44967</v>
      </c>
      <c r="I453" s="4">
        <v>2</v>
      </c>
      <c r="J453" s="4" t="s">
        <v>33</v>
      </c>
      <c r="K453" s="4" t="s">
        <v>174</v>
      </c>
      <c r="L453" s="4" t="s">
        <v>48</v>
      </c>
      <c r="M453" s="4" t="s">
        <v>130</v>
      </c>
      <c r="N453" s="4" t="s">
        <v>118</v>
      </c>
      <c r="O453" s="4" t="s">
        <v>376</v>
      </c>
      <c r="P453" s="4">
        <v>64</v>
      </c>
      <c r="Q453" s="4" t="s">
        <v>103</v>
      </c>
      <c r="R453" s="4" t="s">
        <v>40</v>
      </c>
      <c r="S453" s="4">
        <v>120267</v>
      </c>
      <c r="T453" s="4">
        <v>68904</v>
      </c>
      <c r="U453" s="4">
        <v>51363</v>
      </c>
      <c r="V453" s="4">
        <v>90688</v>
      </c>
      <c r="W453" s="4">
        <v>20371</v>
      </c>
      <c r="X453" s="4">
        <v>6772</v>
      </c>
      <c r="Y453" s="4" t="s">
        <v>41</v>
      </c>
      <c r="Z453" s="4">
        <v>81</v>
      </c>
      <c r="AA453" s="4">
        <v>4.3</v>
      </c>
      <c r="AB453" s="4" t="s">
        <v>42</v>
      </c>
    </row>
    <row r="454" spans="1:28" x14ac:dyDescent="0.25">
      <c r="A454" s="2" t="s">
        <v>995</v>
      </c>
      <c r="B454" s="2" t="s">
        <v>996</v>
      </c>
      <c r="C454" s="2">
        <v>41</v>
      </c>
      <c r="D454" s="2" t="s">
        <v>55</v>
      </c>
      <c r="E454" s="2" t="s">
        <v>67</v>
      </c>
      <c r="F454" s="2" t="s">
        <v>57</v>
      </c>
      <c r="G454" s="3">
        <v>45654</v>
      </c>
      <c r="H454" s="3">
        <v>45657</v>
      </c>
      <c r="I454" s="2">
        <v>3</v>
      </c>
      <c r="J454" s="2" t="s">
        <v>202</v>
      </c>
      <c r="K454" s="2" t="s">
        <v>225</v>
      </c>
      <c r="L454" s="2" t="s">
        <v>226</v>
      </c>
      <c r="M454" s="2" t="s">
        <v>95</v>
      </c>
      <c r="N454" s="2" t="s">
        <v>62</v>
      </c>
      <c r="O454" s="2" t="s">
        <v>178</v>
      </c>
      <c r="P454" s="2">
        <v>49</v>
      </c>
      <c r="Q454" s="2" t="s">
        <v>103</v>
      </c>
      <c r="R454" s="2" t="s">
        <v>136</v>
      </c>
      <c r="S454" s="2">
        <v>104577</v>
      </c>
      <c r="T454" s="2">
        <v>0</v>
      </c>
      <c r="U454" s="2">
        <v>104577</v>
      </c>
      <c r="V454" s="2">
        <v>77004</v>
      </c>
      <c r="W454" s="2">
        <v>11393</v>
      </c>
      <c r="X454" s="2">
        <v>12848</v>
      </c>
      <c r="Y454" s="2" t="s">
        <v>41</v>
      </c>
      <c r="Z454" s="2">
        <v>75</v>
      </c>
      <c r="AA454" s="2">
        <v>4.3</v>
      </c>
      <c r="AB454" s="2" t="s">
        <v>137</v>
      </c>
    </row>
    <row r="455" spans="1:28" x14ac:dyDescent="0.25">
      <c r="A455" s="4" t="s">
        <v>997</v>
      </c>
      <c r="B455" s="4" t="s">
        <v>364</v>
      </c>
      <c r="C455" s="4">
        <v>55</v>
      </c>
      <c r="D455" s="4" t="s">
        <v>30</v>
      </c>
      <c r="E455" s="4" t="s">
        <v>87</v>
      </c>
      <c r="F455" s="4" t="s">
        <v>150</v>
      </c>
      <c r="G455" s="5">
        <v>44810</v>
      </c>
      <c r="H455" s="5">
        <v>44837</v>
      </c>
      <c r="I455" s="4">
        <v>27</v>
      </c>
      <c r="J455" s="4" t="s">
        <v>58</v>
      </c>
      <c r="K455" s="4" t="s">
        <v>88</v>
      </c>
      <c r="L455" s="4" t="s">
        <v>60</v>
      </c>
      <c r="M455" s="4" t="s">
        <v>36</v>
      </c>
      <c r="N455" s="4" t="s">
        <v>62</v>
      </c>
      <c r="O455" s="4" t="s">
        <v>151</v>
      </c>
      <c r="P455" s="4">
        <v>423</v>
      </c>
      <c r="Q455" s="4" t="s">
        <v>69</v>
      </c>
      <c r="R455" s="4" t="s">
        <v>40</v>
      </c>
      <c r="S455" s="4">
        <v>62820</v>
      </c>
      <c r="T455" s="4">
        <v>29394</v>
      </c>
      <c r="U455" s="4">
        <v>33426</v>
      </c>
      <c r="V455" s="4">
        <v>32560</v>
      </c>
      <c r="W455" s="4">
        <v>11579</v>
      </c>
      <c r="X455" s="4">
        <v>14612</v>
      </c>
      <c r="Y455" s="4" t="s">
        <v>91</v>
      </c>
      <c r="Z455" s="4">
        <v>86</v>
      </c>
      <c r="AA455" s="4">
        <v>4.7</v>
      </c>
      <c r="AB455" s="4" t="s">
        <v>52</v>
      </c>
    </row>
    <row r="456" spans="1:28" x14ac:dyDescent="0.25">
      <c r="A456" s="2" t="s">
        <v>998</v>
      </c>
      <c r="B456" s="2" t="s">
        <v>999</v>
      </c>
      <c r="C456" s="2">
        <v>5</v>
      </c>
      <c r="D456" s="2" t="s">
        <v>55</v>
      </c>
      <c r="E456" s="2" t="s">
        <v>79</v>
      </c>
      <c r="F456" s="2" t="s">
        <v>57</v>
      </c>
      <c r="G456" s="3">
        <v>44788</v>
      </c>
      <c r="H456" s="3">
        <v>44790</v>
      </c>
      <c r="I456" s="2">
        <v>2</v>
      </c>
      <c r="J456" s="2" t="s">
        <v>58</v>
      </c>
      <c r="K456" s="2" t="s">
        <v>59</v>
      </c>
      <c r="L456" s="2" t="s">
        <v>60</v>
      </c>
      <c r="M456" s="2" t="s">
        <v>134</v>
      </c>
      <c r="N456" s="2" t="s">
        <v>118</v>
      </c>
      <c r="O456" s="2" t="s">
        <v>1000</v>
      </c>
      <c r="P456" s="2">
        <v>139</v>
      </c>
      <c r="Q456" s="2" t="s">
        <v>39</v>
      </c>
      <c r="R456" s="2" t="s">
        <v>40</v>
      </c>
      <c r="S456" s="2">
        <v>136380</v>
      </c>
      <c r="T456" s="2">
        <v>89816</v>
      </c>
      <c r="U456" s="2">
        <v>46564</v>
      </c>
      <c r="V456" s="2">
        <v>125768</v>
      </c>
      <c r="W456" s="2">
        <v>4928</v>
      </c>
      <c r="X456" s="2">
        <v>2569</v>
      </c>
      <c r="Y456" s="2" t="s">
        <v>41</v>
      </c>
      <c r="Z456" s="2">
        <v>96</v>
      </c>
      <c r="AA456" s="2">
        <v>4.5999999999999996</v>
      </c>
      <c r="AB456" s="2" t="s">
        <v>137</v>
      </c>
    </row>
    <row r="457" spans="1:28" x14ac:dyDescent="0.25">
      <c r="A457" s="4" t="s">
        <v>1001</v>
      </c>
      <c r="B457" s="4" t="s">
        <v>1002</v>
      </c>
      <c r="C457" s="4">
        <v>20</v>
      </c>
      <c r="D457" s="4" t="s">
        <v>55</v>
      </c>
      <c r="E457" s="4" t="s">
        <v>87</v>
      </c>
      <c r="F457" s="4" t="s">
        <v>150</v>
      </c>
      <c r="G457" s="5">
        <v>45136</v>
      </c>
      <c r="H457" s="5">
        <v>45147</v>
      </c>
      <c r="I457" s="4">
        <v>11</v>
      </c>
      <c r="J457" s="4" t="s">
        <v>33</v>
      </c>
      <c r="K457" s="4" t="s">
        <v>174</v>
      </c>
      <c r="L457" s="4" t="s">
        <v>48</v>
      </c>
      <c r="M457" s="4" t="s">
        <v>36</v>
      </c>
      <c r="N457" s="4" t="s">
        <v>118</v>
      </c>
      <c r="O457" s="4" t="s">
        <v>438</v>
      </c>
      <c r="P457" s="4">
        <v>181</v>
      </c>
      <c r="Q457" s="4" t="s">
        <v>39</v>
      </c>
      <c r="R457" s="4" t="s">
        <v>40</v>
      </c>
      <c r="S457" s="4">
        <v>38509</v>
      </c>
      <c r="T457" s="4">
        <v>17858</v>
      </c>
      <c r="U457" s="4">
        <v>20651</v>
      </c>
      <c r="V457" s="4">
        <v>25451</v>
      </c>
      <c r="W457" s="4">
        <v>3462</v>
      </c>
      <c r="X457" s="4">
        <v>8603</v>
      </c>
      <c r="Y457" s="4" t="s">
        <v>41</v>
      </c>
      <c r="Z457" s="4">
        <v>69</v>
      </c>
      <c r="AA457" s="4">
        <v>4.5</v>
      </c>
      <c r="AB457" s="4" t="s">
        <v>64</v>
      </c>
    </row>
    <row r="458" spans="1:28" x14ac:dyDescent="0.25">
      <c r="A458" s="2" t="s">
        <v>1003</v>
      </c>
      <c r="B458" s="2" t="s">
        <v>1004</v>
      </c>
      <c r="C458" s="2">
        <v>48</v>
      </c>
      <c r="D458" s="2" t="s">
        <v>55</v>
      </c>
      <c r="E458" s="2" t="s">
        <v>45</v>
      </c>
      <c r="F458" s="2" t="s">
        <v>46</v>
      </c>
      <c r="G458" s="3">
        <v>45491</v>
      </c>
      <c r="H458" s="3">
        <v>45512</v>
      </c>
      <c r="I458" s="2">
        <v>21</v>
      </c>
      <c r="J458" s="2" t="s">
        <v>140</v>
      </c>
      <c r="K458" s="2" t="s">
        <v>141</v>
      </c>
      <c r="L458" s="2" t="s">
        <v>142</v>
      </c>
      <c r="M458" s="2" t="s">
        <v>36</v>
      </c>
      <c r="N458" s="2" t="s">
        <v>109</v>
      </c>
      <c r="O458" s="2" t="s">
        <v>627</v>
      </c>
      <c r="P458" s="2">
        <v>198</v>
      </c>
      <c r="Q458" s="2" t="s">
        <v>103</v>
      </c>
      <c r="R458" s="2" t="s">
        <v>51</v>
      </c>
      <c r="S458" s="2">
        <v>164310</v>
      </c>
      <c r="T458" s="2">
        <v>74989</v>
      </c>
      <c r="U458" s="2">
        <v>89321</v>
      </c>
      <c r="V458" s="2">
        <v>139601</v>
      </c>
      <c r="W458" s="2">
        <v>7652</v>
      </c>
      <c r="X458" s="2">
        <v>13279</v>
      </c>
      <c r="Y458" s="2" t="s">
        <v>41</v>
      </c>
      <c r="Z458" s="2">
        <v>50</v>
      </c>
      <c r="AA458" s="2">
        <v>4.0999999999999996</v>
      </c>
      <c r="AB458" s="2" t="s">
        <v>42</v>
      </c>
    </row>
    <row r="459" spans="1:28" x14ac:dyDescent="0.25">
      <c r="A459" s="4" t="s">
        <v>1005</v>
      </c>
      <c r="B459" s="4" t="s">
        <v>29</v>
      </c>
      <c r="C459" s="4">
        <v>23</v>
      </c>
      <c r="D459" s="4" t="s">
        <v>30</v>
      </c>
      <c r="E459" s="4" t="s">
        <v>56</v>
      </c>
      <c r="F459" s="4" t="s">
        <v>157</v>
      </c>
      <c r="G459" s="5">
        <v>45054</v>
      </c>
      <c r="H459" s="5">
        <v>45055</v>
      </c>
      <c r="I459" s="4">
        <v>1</v>
      </c>
      <c r="J459" s="4" t="s">
        <v>33</v>
      </c>
      <c r="K459" s="4" t="s">
        <v>107</v>
      </c>
      <c r="L459" s="4" t="s">
        <v>48</v>
      </c>
      <c r="M459" s="4" t="s">
        <v>134</v>
      </c>
      <c r="N459" s="4" t="s">
        <v>62</v>
      </c>
      <c r="O459" s="4" t="s">
        <v>681</v>
      </c>
      <c r="P459" s="4">
        <v>232</v>
      </c>
      <c r="Q459" s="4" t="s">
        <v>50</v>
      </c>
      <c r="R459" s="4" t="s">
        <v>136</v>
      </c>
      <c r="S459" s="4">
        <v>60330</v>
      </c>
      <c r="T459" s="4">
        <v>0</v>
      </c>
      <c r="U459" s="4">
        <v>60330</v>
      </c>
      <c r="V459" s="4">
        <v>36018</v>
      </c>
      <c r="W459" s="4">
        <v>19032</v>
      </c>
      <c r="X459" s="4">
        <v>1877</v>
      </c>
      <c r="Y459" s="4" t="s">
        <v>41</v>
      </c>
      <c r="Z459" s="4">
        <v>49</v>
      </c>
      <c r="AA459" s="4">
        <v>3.2</v>
      </c>
      <c r="AB459" s="4" t="s">
        <v>137</v>
      </c>
    </row>
    <row r="460" spans="1:28" x14ac:dyDescent="0.25">
      <c r="A460" s="2" t="s">
        <v>1006</v>
      </c>
      <c r="B460" s="2" t="s">
        <v>1007</v>
      </c>
      <c r="C460" s="2">
        <v>11</v>
      </c>
      <c r="D460" s="2" t="s">
        <v>30</v>
      </c>
      <c r="E460" s="2" t="s">
        <v>79</v>
      </c>
      <c r="F460" s="2" t="s">
        <v>80</v>
      </c>
      <c r="G460" s="3">
        <v>44762</v>
      </c>
      <c r="H460" s="3">
        <v>44764</v>
      </c>
      <c r="I460" s="2">
        <v>2</v>
      </c>
      <c r="J460" s="2" t="s">
        <v>115</v>
      </c>
      <c r="K460" s="2" t="s">
        <v>116</v>
      </c>
      <c r="L460" s="2" t="s">
        <v>117</v>
      </c>
      <c r="M460" s="2" t="s">
        <v>61</v>
      </c>
      <c r="N460" s="2" t="s">
        <v>118</v>
      </c>
      <c r="O460" s="2" t="s">
        <v>126</v>
      </c>
      <c r="P460" s="2">
        <v>91</v>
      </c>
      <c r="Q460" s="2" t="s">
        <v>50</v>
      </c>
      <c r="R460" s="2" t="s">
        <v>51</v>
      </c>
      <c r="S460" s="2">
        <v>161389</v>
      </c>
      <c r="T460" s="2">
        <v>97535</v>
      </c>
      <c r="U460" s="2">
        <v>63854</v>
      </c>
      <c r="V460" s="2">
        <v>134398</v>
      </c>
      <c r="W460" s="2">
        <v>17994</v>
      </c>
      <c r="X460" s="2">
        <v>7603</v>
      </c>
      <c r="Y460" s="2" t="s">
        <v>41</v>
      </c>
      <c r="Z460" s="2">
        <v>47</v>
      </c>
      <c r="AA460" s="2">
        <v>2.7</v>
      </c>
      <c r="AB460" s="2" t="s">
        <v>104</v>
      </c>
    </row>
    <row r="461" spans="1:28" x14ac:dyDescent="0.25">
      <c r="A461" s="4" t="s">
        <v>1008</v>
      </c>
      <c r="B461" s="4" t="s">
        <v>1009</v>
      </c>
      <c r="C461" s="4">
        <v>78</v>
      </c>
      <c r="D461" s="4" t="s">
        <v>30</v>
      </c>
      <c r="E461" s="4" t="s">
        <v>31</v>
      </c>
      <c r="F461" s="4" t="s">
        <v>157</v>
      </c>
      <c r="G461" s="5">
        <v>45651</v>
      </c>
      <c r="H461" s="5">
        <v>45655</v>
      </c>
      <c r="I461" s="4">
        <v>4</v>
      </c>
      <c r="J461" s="4" t="s">
        <v>140</v>
      </c>
      <c r="K461" s="4" t="s">
        <v>167</v>
      </c>
      <c r="L461" s="4" t="s">
        <v>142</v>
      </c>
      <c r="M461" s="4" t="s">
        <v>101</v>
      </c>
      <c r="N461" s="4" t="s">
        <v>37</v>
      </c>
      <c r="O461" s="4" t="s">
        <v>171</v>
      </c>
      <c r="P461" s="4">
        <v>52</v>
      </c>
      <c r="Q461" s="4" t="s">
        <v>39</v>
      </c>
      <c r="R461" s="4" t="s">
        <v>136</v>
      </c>
      <c r="S461" s="4">
        <v>148015</v>
      </c>
      <c r="T461" s="4">
        <v>0</v>
      </c>
      <c r="U461" s="4">
        <v>148015</v>
      </c>
      <c r="V461" s="4">
        <v>134806</v>
      </c>
      <c r="W461" s="4">
        <v>7740</v>
      </c>
      <c r="X461" s="4">
        <v>3302</v>
      </c>
      <c r="Y461" s="4" t="s">
        <v>41</v>
      </c>
      <c r="Z461" s="4">
        <v>58</v>
      </c>
      <c r="AA461" s="4">
        <v>4.0999999999999996</v>
      </c>
      <c r="AB461" s="4" t="s">
        <v>52</v>
      </c>
    </row>
    <row r="462" spans="1:28" x14ac:dyDescent="0.25">
      <c r="A462" s="2" t="s">
        <v>1010</v>
      </c>
      <c r="B462" s="2" t="s">
        <v>1011</v>
      </c>
      <c r="C462" s="2">
        <v>17</v>
      </c>
      <c r="D462" s="2" t="s">
        <v>55</v>
      </c>
      <c r="E462" s="2" t="s">
        <v>87</v>
      </c>
      <c r="F462" s="2" t="s">
        <v>46</v>
      </c>
      <c r="G462" s="3">
        <v>45050</v>
      </c>
      <c r="H462" s="3">
        <v>45056</v>
      </c>
      <c r="I462" s="2">
        <v>6</v>
      </c>
      <c r="J462" s="2" t="s">
        <v>33</v>
      </c>
      <c r="K462" s="2" t="s">
        <v>47</v>
      </c>
      <c r="L462" s="2" t="s">
        <v>48</v>
      </c>
      <c r="M462" s="2" t="s">
        <v>143</v>
      </c>
      <c r="N462" s="2" t="s">
        <v>109</v>
      </c>
      <c r="O462" s="2" t="s">
        <v>416</v>
      </c>
      <c r="P462" s="2">
        <v>73</v>
      </c>
      <c r="Q462" s="2" t="s">
        <v>69</v>
      </c>
      <c r="R462" s="2" t="s">
        <v>111</v>
      </c>
      <c r="S462" s="2">
        <v>131918</v>
      </c>
      <c r="T462" s="2">
        <v>117712</v>
      </c>
      <c r="U462" s="2">
        <v>14206</v>
      </c>
      <c r="V462" s="2">
        <v>117177</v>
      </c>
      <c r="W462" s="2">
        <v>11946</v>
      </c>
      <c r="X462" s="2">
        <v>841</v>
      </c>
      <c r="Y462" s="2" t="s">
        <v>41</v>
      </c>
      <c r="Z462" s="2">
        <v>50</v>
      </c>
      <c r="AA462" s="2">
        <v>4</v>
      </c>
      <c r="AB462" s="2" t="s">
        <v>104</v>
      </c>
    </row>
    <row r="463" spans="1:28" x14ac:dyDescent="0.25">
      <c r="A463" s="4" t="s">
        <v>1012</v>
      </c>
      <c r="B463" s="4" t="s">
        <v>1013</v>
      </c>
      <c r="C463" s="4">
        <v>65</v>
      </c>
      <c r="D463" s="4" t="s">
        <v>55</v>
      </c>
      <c r="E463" s="4" t="s">
        <v>87</v>
      </c>
      <c r="F463" s="4" t="s">
        <v>32</v>
      </c>
      <c r="G463" s="5">
        <v>45529</v>
      </c>
      <c r="H463" s="5">
        <v>45533</v>
      </c>
      <c r="I463" s="4">
        <v>4</v>
      </c>
      <c r="J463" s="4" t="s">
        <v>33</v>
      </c>
      <c r="K463" s="4" t="s">
        <v>197</v>
      </c>
      <c r="L463" s="4" t="s">
        <v>198</v>
      </c>
      <c r="M463" s="4" t="s">
        <v>101</v>
      </c>
      <c r="N463" s="4" t="s">
        <v>118</v>
      </c>
      <c r="O463" s="4" t="s">
        <v>266</v>
      </c>
      <c r="P463" s="4">
        <v>258</v>
      </c>
      <c r="Q463" s="4" t="s">
        <v>39</v>
      </c>
      <c r="R463" s="4" t="s">
        <v>40</v>
      </c>
      <c r="S463" s="4">
        <v>42632</v>
      </c>
      <c r="T463" s="4">
        <v>22842</v>
      </c>
      <c r="U463" s="4">
        <v>19790</v>
      </c>
      <c r="V463" s="4">
        <v>29617</v>
      </c>
      <c r="W463" s="4">
        <v>4276</v>
      </c>
      <c r="X463" s="4">
        <v>5490</v>
      </c>
      <c r="Y463" s="4" t="s">
        <v>41</v>
      </c>
      <c r="Z463" s="4">
        <v>74</v>
      </c>
      <c r="AA463" s="4">
        <v>2.8</v>
      </c>
      <c r="AB463" s="4" t="s">
        <v>137</v>
      </c>
    </row>
    <row r="464" spans="1:28" x14ac:dyDescent="0.25">
      <c r="A464" s="2" t="s">
        <v>1014</v>
      </c>
      <c r="B464" s="2" t="s">
        <v>367</v>
      </c>
      <c r="C464" s="2">
        <v>63</v>
      </c>
      <c r="D464" s="2" t="s">
        <v>55</v>
      </c>
      <c r="E464" s="2" t="s">
        <v>45</v>
      </c>
      <c r="F464" s="2" t="s">
        <v>46</v>
      </c>
      <c r="G464" s="3">
        <v>45245</v>
      </c>
      <c r="H464" s="3">
        <v>45274</v>
      </c>
      <c r="I464" s="2">
        <v>29</v>
      </c>
      <c r="J464" s="2" t="s">
        <v>202</v>
      </c>
      <c r="K464" s="2" t="s">
        <v>225</v>
      </c>
      <c r="L464" s="2" t="s">
        <v>226</v>
      </c>
      <c r="M464" s="2" t="s">
        <v>83</v>
      </c>
      <c r="N464" s="2" t="s">
        <v>62</v>
      </c>
      <c r="O464" s="2" t="s">
        <v>84</v>
      </c>
      <c r="P464" s="2">
        <v>373</v>
      </c>
      <c r="Q464" s="2" t="s">
        <v>69</v>
      </c>
      <c r="R464" s="2" t="s">
        <v>40</v>
      </c>
      <c r="S464" s="2">
        <v>147388</v>
      </c>
      <c r="T464" s="2">
        <v>74749</v>
      </c>
      <c r="U464" s="2">
        <v>72639</v>
      </c>
      <c r="V464" s="2">
        <v>112562</v>
      </c>
      <c r="W464" s="2">
        <v>29058</v>
      </c>
      <c r="X464" s="2">
        <v>4108</v>
      </c>
      <c r="Y464" s="2" t="s">
        <v>91</v>
      </c>
      <c r="Z464" s="2">
        <v>76</v>
      </c>
      <c r="AA464" s="2">
        <v>4.2</v>
      </c>
      <c r="AB464" s="2" t="s">
        <v>137</v>
      </c>
    </row>
    <row r="465" spans="1:28" x14ac:dyDescent="0.25">
      <c r="A465" s="4" t="s">
        <v>1015</v>
      </c>
      <c r="B465" s="4" t="s">
        <v>826</v>
      </c>
      <c r="C465" s="4">
        <v>16</v>
      </c>
      <c r="D465" s="4" t="s">
        <v>55</v>
      </c>
      <c r="E465" s="4" t="s">
        <v>67</v>
      </c>
      <c r="F465" s="4" t="s">
        <v>157</v>
      </c>
      <c r="G465" s="5">
        <v>45122</v>
      </c>
      <c r="H465" s="5">
        <v>45151</v>
      </c>
      <c r="I465" s="4">
        <v>29</v>
      </c>
      <c r="J465" s="4" t="s">
        <v>33</v>
      </c>
      <c r="K465" s="4" t="s">
        <v>99</v>
      </c>
      <c r="L465" s="4" t="s">
        <v>100</v>
      </c>
      <c r="M465" s="4" t="s">
        <v>75</v>
      </c>
      <c r="N465" s="4" t="s">
        <v>109</v>
      </c>
      <c r="O465" s="4" t="s">
        <v>399</v>
      </c>
      <c r="P465" s="4">
        <v>455</v>
      </c>
      <c r="Q465" s="4" t="s">
        <v>50</v>
      </c>
      <c r="R465" s="4" t="s">
        <v>111</v>
      </c>
      <c r="S465" s="4">
        <v>132071</v>
      </c>
      <c r="T465" s="4">
        <v>80871</v>
      </c>
      <c r="U465" s="4">
        <v>51200</v>
      </c>
      <c r="V465" s="4">
        <v>114391</v>
      </c>
      <c r="W465" s="4">
        <v>10052</v>
      </c>
      <c r="X465" s="4">
        <v>5567</v>
      </c>
      <c r="Y465" s="4" t="s">
        <v>41</v>
      </c>
      <c r="Z465" s="4">
        <v>61</v>
      </c>
      <c r="AA465" s="4">
        <v>4.5</v>
      </c>
      <c r="AB465" s="4" t="s">
        <v>104</v>
      </c>
    </row>
    <row r="466" spans="1:28" x14ac:dyDescent="0.25">
      <c r="A466" s="2" t="s">
        <v>1016</v>
      </c>
      <c r="B466" s="2" t="s">
        <v>410</v>
      </c>
      <c r="C466" s="2">
        <v>77</v>
      </c>
      <c r="D466" s="2" t="s">
        <v>30</v>
      </c>
      <c r="E466" s="2" t="s">
        <v>79</v>
      </c>
      <c r="F466" s="2" t="s">
        <v>157</v>
      </c>
      <c r="G466" s="3">
        <v>44579</v>
      </c>
      <c r="H466" s="3">
        <v>44595</v>
      </c>
      <c r="I466" s="2">
        <v>16</v>
      </c>
      <c r="J466" s="2" t="s">
        <v>140</v>
      </c>
      <c r="K466" s="2" t="s">
        <v>141</v>
      </c>
      <c r="L466" s="2" t="s">
        <v>142</v>
      </c>
      <c r="M466" s="2" t="s">
        <v>143</v>
      </c>
      <c r="N466" s="2" t="s">
        <v>118</v>
      </c>
      <c r="O466" s="2" t="s">
        <v>259</v>
      </c>
      <c r="P466" s="2">
        <v>341</v>
      </c>
      <c r="Q466" s="2" t="s">
        <v>39</v>
      </c>
      <c r="R466" s="2" t="s">
        <v>136</v>
      </c>
      <c r="S466" s="2">
        <v>147535</v>
      </c>
      <c r="T466" s="2">
        <v>0</v>
      </c>
      <c r="U466" s="2">
        <v>147535</v>
      </c>
      <c r="V466" s="2">
        <v>132618</v>
      </c>
      <c r="W466" s="2">
        <v>10445</v>
      </c>
      <c r="X466" s="2">
        <v>1558</v>
      </c>
      <c r="Y466" s="2" t="s">
        <v>91</v>
      </c>
      <c r="Z466" s="2">
        <v>42</v>
      </c>
      <c r="AA466" s="2">
        <v>2.7</v>
      </c>
      <c r="AB466" s="2" t="s">
        <v>42</v>
      </c>
    </row>
    <row r="467" spans="1:28" x14ac:dyDescent="0.25">
      <c r="A467" s="4" t="s">
        <v>1017</v>
      </c>
      <c r="B467" s="4" t="s">
        <v>1018</v>
      </c>
      <c r="C467" s="4">
        <v>67</v>
      </c>
      <c r="D467" s="4" t="s">
        <v>30</v>
      </c>
      <c r="E467" s="4" t="s">
        <v>122</v>
      </c>
      <c r="F467" s="4" t="s">
        <v>114</v>
      </c>
      <c r="G467" s="5">
        <v>45283</v>
      </c>
      <c r="H467" s="5">
        <v>45305</v>
      </c>
      <c r="I467" s="4">
        <v>22</v>
      </c>
      <c r="J467" s="4" t="s">
        <v>123</v>
      </c>
      <c r="K467" s="4" t="s">
        <v>251</v>
      </c>
      <c r="L467" s="4" t="s">
        <v>125</v>
      </c>
      <c r="M467" s="4" t="s">
        <v>134</v>
      </c>
      <c r="N467" s="4" t="s">
        <v>109</v>
      </c>
      <c r="O467" s="4" t="s">
        <v>461</v>
      </c>
      <c r="P467" s="4">
        <v>403</v>
      </c>
      <c r="Q467" s="4" t="s">
        <v>39</v>
      </c>
      <c r="R467" s="4" t="s">
        <v>90</v>
      </c>
      <c r="S467" s="4">
        <v>96249</v>
      </c>
      <c r="T467" s="4">
        <v>70225</v>
      </c>
      <c r="U467" s="4">
        <v>26024</v>
      </c>
      <c r="V467" s="4">
        <v>75954</v>
      </c>
      <c r="W467" s="4">
        <v>5674</v>
      </c>
      <c r="X467" s="4">
        <v>12510</v>
      </c>
      <c r="Y467" s="4" t="s">
        <v>41</v>
      </c>
      <c r="Z467" s="4">
        <v>58</v>
      </c>
      <c r="AA467" s="4">
        <v>2.7</v>
      </c>
      <c r="AB467" s="4" t="s">
        <v>137</v>
      </c>
    </row>
    <row r="468" spans="1:28" x14ac:dyDescent="0.25">
      <c r="A468" s="2" t="s">
        <v>1019</v>
      </c>
      <c r="B468" s="2" t="s">
        <v>1020</v>
      </c>
      <c r="C468" s="2">
        <v>36</v>
      </c>
      <c r="D468" s="2" t="s">
        <v>30</v>
      </c>
      <c r="E468" s="2" t="s">
        <v>67</v>
      </c>
      <c r="F468" s="2" t="s">
        <v>114</v>
      </c>
      <c r="G468" s="3">
        <v>44762</v>
      </c>
      <c r="H468" s="3">
        <v>44791</v>
      </c>
      <c r="I468" s="2">
        <v>29</v>
      </c>
      <c r="J468" s="2" t="s">
        <v>140</v>
      </c>
      <c r="K468" s="2" t="s">
        <v>167</v>
      </c>
      <c r="L468" s="2" t="s">
        <v>142</v>
      </c>
      <c r="M468" s="2" t="s">
        <v>101</v>
      </c>
      <c r="N468" s="2" t="s">
        <v>118</v>
      </c>
      <c r="O468" s="2" t="s">
        <v>530</v>
      </c>
      <c r="P468" s="2">
        <v>224</v>
      </c>
      <c r="Q468" s="2" t="s">
        <v>50</v>
      </c>
      <c r="R468" s="2" t="s">
        <v>51</v>
      </c>
      <c r="S468" s="2">
        <v>80086</v>
      </c>
      <c r="T468" s="2">
        <v>38041</v>
      </c>
      <c r="U468" s="2">
        <v>42045</v>
      </c>
      <c r="V468" s="2">
        <v>41484</v>
      </c>
      <c r="W468" s="2">
        <v>23391</v>
      </c>
      <c r="X468" s="2">
        <v>13077</v>
      </c>
      <c r="Y468" s="2" t="s">
        <v>41</v>
      </c>
      <c r="Z468" s="2">
        <v>52</v>
      </c>
      <c r="AA468" s="2">
        <v>2.9</v>
      </c>
      <c r="AB468" s="2" t="s">
        <v>104</v>
      </c>
    </row>
    <row r="469" spans="1:28" x14ac:dyDescent="0.25">
      <c r="A469" s="4" t="s">
        <v>1021</v>
      </c>
      <c r="B469" s="4" t="s">
        <v>201</v>
      </c>
      <c r="C469" s="4">
        <v>85</v>
      </c>
      <c r="D469" s="4" t="s">
        <v>30</v>
      </c>
      <c r="E469" s="4" t="s">
        <v>154</v>
      </c>
      <c r="F469" s="4" t="s">
        <v>114</v>
      </c>
      <c r="G469" s="5">
        <v>45456</v>
      </c>
      <c r="H469" s="5">
        <v>45460</v>
      </c>
      <c r="I469" s="4">
        <v>4</v>
      </c>
      <c r="J469" s="4" t="s">
        <v>140</v>
      </c>
      <c r="K469" s="4" t="s">
        <v>141</v>
      </c>
      <c r="L469" s="4" t="s">
        <v>142</v>
      </c>
      <c r="M469" s="4" t="s">
        <v>83</v>
      </c>
      <c r="N469" s="4" t="s">
        <v>118</v>
      </c>
      <c r="O469" s="4" t="s">
        <v>673</v>
      </c>
      <c r="P469" s="4">
        <v>240</v>
      </c>
      <c r="Q469" s="4" t="s">
        <v>50</v>
      </c>
      <c r="R469" s="4" t="s">
        <v>111</v>
      </c>
      <c r="S469" s="4">
        <v>153581</v>
      </c>
      <c r="T469" s="4">
        <v>93424</v>
      </c>
      <c r="U469" s="4">
        <v>60157</v>
      </c>
      <c r="V469" s="4">
        <v>127303</v>
      </c>
      <c r="W469" s="4">
        <v>14779</v>
      </c>
      <c r="X469" s="4">
        <v>7221</v>
      </c>
      <c r="Y469" s="4" t="s">
        <v>41</v>
      </c>
      <c r="Z469" s="4">
        <v>89</v>
      </c>
      <c r="AA469" s="4">
        <v>3.3</v>
      </c>
      <c r="AB469" s="4" t="s">
        <v>64</v>
      </c>
    </row>
    <row r="470" spans="1:28" x14ac:dyDescent="0.25">
      <c r="A470" s="2" t="s">
        <v>1022</v>
      </c>
      <c r="B470" s="2" t="s">
        <v>1023</v>
      </c>
      <c r="C470" s="2">
        <v>36</v>
      </c>
      <c r="D470" s="2" t="s">
        <v>30</v>
      </c>
      <c r="E470" s="2" t="s">
        <v>154</v>
      </c>
      <c r="F470" s="2" t="s">
        <v>72</v>
      </c>
      <c r="G470" s="3">
        <v>45162</v>
      </c>
      <c r="H470" s="3">
        <v>45164</v>
      </c>
      <c r="I470" s="2">
        <v>2</v>
      </c>
      <c r="J470" s="2" t="s">
        <v>115</v>
      </c>
      <c r="K470" s="2" t="s">
        <v>116</v>
      </c>
      <c r="L470" s="2" t="s">
        <v>117</v>
      </c>
      <c r="M470" s="2" t="s">
        <v>108</v>
      </c>
      <c r="N470" s="2" t="s">
        <v>62</v>
      </c>
      <c r="O470" s="2" t="s">
        <v>681</v>
      </c>
      <c r="P470" s="2">
        <v>236</v>
      </c>
      <c r="Q470" s="2" t="s">
        <v>69</v>
      </c>
      <c r="R470" s="2" t="s">
        <v>90</v>
      </c>
      <c r="S470" s="2">
        <v>44662</v>
      </c>
      <c r="T470" s="2">
        <v>31265</v>
      </c>
      <c r="U470" s="2">
        <v>13397</v>
      </c>
      <c r="V470" s="2">
        <v>19337</v>
      </c>
      <c r="W470" s="2">
        <v>9853</v>
      </c>
      <c r="X470" s="2">
        <v>14096</v>
      </c>
      <c r="Y470" s="2" t="s">
        <v>91</v>
      </c>
      <c r="Z470" s="2">
        <v>58</v>
      </c>
      <c r="AA470" s="2">
        <v>3.7</v>
      </c>
      <c r="AB470" s="2" t="s">
        <v>52</v>
      </c>
    </row>
    <row r="471" spans="1:28" x14ac:dyDescent="0.25">
      <c r="A471" s="4" t="s">
        <v>1024</v>
      </c>
      <c r="B471" s="4" t="s">
        <v>903</v>
      </c>
      <c r="C471" s="4">
        <v>20</v>
      </c>
      <c r="D471" s="4" t="s">
        <v>55</v>
      </c>
      <c r="E471" s="4" t="s">
        <v>31</v>
      </c>
      <c r="F471" s="4" t="s">
        <v>94</v>
      </c>
      <c r="G471" s="5">
        <v>44857</v>
      </c>
      <c r="H471" s="5">
        <v>44875</v>
      </c>
      <c r="I471" s="4">
        <v>18</v>
      </c>
      <c r="J471" s="4" t="s">
        <v>33</v>
      </c>
      <c r="K471" s="4" t="s">
        <v>174</v>
      </c>
      <c r="L471" s="4" t="s">
        <v>48</v>
      </c>
      <c r="M471" s="4" t="s">
        <v>61</v>
      </c>
      <c r="N471" s="4" t="s">
        <v>109</v>
      </c>
      <c r="O471" s="4" t="s">
        <v>471</v>
      </c>
      <c r="P471" s="4">
        <v>369</v>
      </c>
      <c r="Q471" s="4" t="s">
        <v>69</v>
      </c>
      <c r="R471" s="4" t="s">
        <v>111</v>
      </c>
      <c r="S471" s="4">
        <v>64470</v>
      </c>
      <c r="T471" s="4">
        <v>41642</v>
      </c>
      <c r="U471" s="4">
        <v>22828</v>
      </c>
      <c r="V471" s="4">
        <v>57612</v>
      </c>
      <c r="W471" s="4">
        <v>4758</v>
      </c>
      <c r="X471" s="4">
        <v>1600</v>
      </c>
      <c r="Y471" s="4" t="s">
        <v>41</v>
      </c>
      <c r="Z471" s="4">
        <v>73</v>
      </c>
      <c r="AA471" s="4">
        <v>2.2999999999999998</v>
      </c>
      <c r="AB471" s="4" t="s">
        <v>64</v>
      </c>
    </row>
    <row r="472" spans="1:28" x14ac:dyDescent="0.25">
      <c r="A472" s="2" t="s">
        <v>1025</v>
      </c>
      <c r="B472" s="2" t="s">
        <v>1026</v>
      </c>
      <c r="C472" s="2">
        <v>8</v>
      </c>
      <c r="D472" s="2" t="s">
        <v>30</v>
      </c>
      <c r="E472" s="2" t="s">
        <v>67</v>
      </c>
      <c r="F472" s="2" t="s">
        <v>57</v>
      </c>
      <c r="G472" s="3">
        <v>44811</v>
      </c>
      <c r="H472" s="3">
        <v>44821</v>
      </c>
      <c r="I472" s="2">
        <v>10</v>
      </c>
      <c r="J472" s="2" t="s">
        <v>115</v>
      </c>
      <c r="K472" s="2" t="s">
        <v>116</v>
      </c>
      <c r="L472" s="2" t="s">
        <v>117</v>
      </c>
      <c r="M472" s="2" t="s">
        <v>143</v>
      </c>
      <c r="N472" s="2" t="s">
        <v>109</v>
      </c>
      <c r="O472" s="2" t="s">
        <v>492</v>
      </c>
      <c r="P472" s="2">
        <v>421</v>
      </c>
      <c r="Q472" s="2" t="s">
        <v>103</v>
      </c>
      <c r="R472" s="2" t="s">
        <v>51</v>
      </c>
      <c r="S472" s="2">
        <v>56035</v>
      </c>
      <c r="T472" s="2">
        <v>25521</v>
      </c>
      <c r="U472" s="2">
        <v>30514</v>
      </c>
      <c r="V472" s="2">
        <v>37295</v>
      </c>
      <c r="W472" s="2">
        <v>15167</v>
      </c>
      <c r="X472" s="2">
        <v>2896</v>
      </c>
      <c r="Y472" s="2" t="s">
        <v>41</v>
      </c>
      <c r="Z472" s="2">
        <v>82</v>
      </c>
      <c r="AA472" s="2">
        <v>2.7</v>
      </c>
      <c r="AB472" s="2" t="s">
        <v>42</v>
      </c>
    </row>
    <row r="473" spans="1:28" x14ac:dyDescent="0.25">
      <c r="A473" s="4" t="s">
        <v>1027</v>
      </c>
      <c r="B473" s="4" t="s">
        <v>1028</v>
      </c>
      <c r="C473" s="4">
        <v>30</v>
      </c>
      <c r="D473" s="4" t="s">
        <v>30</v>
      </c>
      <c r="E473" s="4" t="s">
        <v>87</v>
      </c>
      <c r="F473" s="4" t="s">
        <v>46</v>
      </c>
      <c r="G473" s="5">
        <v>45154</v>
      </c>
      <c r="H473" s="5">
        <v>45176</v>
      </c>
      <c r="I473" s="4">
        <v>22</v>
      </c>
      <c r="J473" s="4" t="s">
        <v>33</v>
      </c>
      <c r="K473" s="4" t="s">
        <v>34</v>
      </c>
      <c r="L473" s="4" t="s">
        <v>35</v>
      </c>
      <c r="M473" s="4" t="s">
        <v>83</v>
      </c>
      <c r="N473" s="4" t="s">
        <v>118</v>
      </c>
      <c r="O473" s="4" t="s">
        <v>538</v>
      </c>
      <c r="P473" s="4">
        <v>198</v>
      </c>
      <c r="Q473" s="4" t="s">
        <v>69</v>
      </c>
      <c r="R473" s="4" t="s">
        <v>111</v>
      </c>
      <c r="S473" s="4">
        <v>151115</v>
      </c>
      <c r="T473" s="4">
        <v>91937</v>
      </c>
      <c r="U473" s="4">
        <v>59178</v>
      </c>
      <c r="V473" s="4">
        <v>114286</v>
      </c>
      <c r="W473" s="4">
        <v>27656</v>
      </c>
      <c r="X473" s="4">
        <v>7460</v>
      </c>
      <c r="Y473" s="4" t="s">
        <v>41</v>
      </c>
      <c r="Z473" s="4">
        <v>76</v>
      </c>
      <c r="AA473" s="4">
        <v>3.2</v>
      </c>
      <c r="AB473" s="4" t="s">
        <v>42</v>
      </c>
    </row>
    <row r="474" spans="1:28" x14ac:dyDescent="0.25">
      <c r="A474" s="2" t="s">
        <v>1029</v>
      </c>
      <c r="B474" s="2" t="s">
        <v>1030</v>
      </c>
      <c r="C474" s="2">
        <v>84</v>
      </c>
      <c r="D474" s="2" t="s">
        <v>30</v>
      </c>
      <c r="E474" s="2" t="s">
        <v>122</v>
      </c>
      <c r="F474" s="2" t="s">
        <v>80</v>
      </c>
      <c r="G474" s="3">
        <v>44847</v>
      </c>
      <c r="H474" s="3">
        <v>44862</v>
      </c>
      <c r="I474" s="2">
        <v>15</v>
      </c>
      <c r="J474" s="2" t="s">
        <v>33</v>
      </c>
      <c r="K474" s="2" t="s">
        <v>107</v>
      </c>
      <c r="L474" s="2" t="s">
        <v>48</v>
      </c>
      <c r="M474" s="2" t="s">
        <v>130</v>
      </c>
      <c r="N474" s="2" t="s">
        <v>109</v>
      </c>
      <c r="O474" s="2" t="s">
        <v>434</v>
      </c>
      <c r="P474" s="2">
        <v>439</v>
      </c>
      <c r="Q474" s="2" t="s">
        <v>39</v>
      </c>
      <c r="R474" s="2" t="s">
        <v>136</v>
      </c>
      <c r="S474" s="2">
        <v>166358</v>
      </c>
      <c r="T474" s="2">
        <v>0</v>
      </c>
      <c r="U474" s="2">
        <v>166358</v>
      </c>
      <c r="V474" s="2">
        <v>142640</v>
      </c>
      <c r="W474" s="2">
        <v>13799</v>
      </c>
      <c r="X474" s="2">
        <v>8905</v>
      </c>
      <c r="Y474" s="2" t="s">
        <v>41</v>
      </c>
      <c r="Z474" s="2">
        <v>49</v>
      </c>
      <c r="AA474" s="2">
        <v>3.1</v>
      </c>
      <c r="AB474" s="2" t="s">
        <v>42</v>
      </c>
    </row>
    <row r="475" spans="1:28" x14ac:dyDescent="0.25">
      <c r="A475" s="4" t="s">
        <v>1031</v>
      </c>
      <c r="B475" s="4" t="s">
        <v>166</v>
      </c>
      <c r="C475" s="4">
        <v>22</v>
      </c>
      <c r="D475" s="4" t="s">
        <v>30</v>
      </c>
      <c r="E475" s="4" t="s">
        <v>79</v>
      </c>
      <c r="F475" s="4" t="s">
        <v>114</v>
      </c>
      <c r="G475" s="5">
        <v>44701</v>
      </c>
      <c r="H475" s="5">
        <v>44731</v>
      </c>
      <c r="I475" s="4">
        <v>30</v>
      </c>
      <c r="J475" s="4" t="s">
        <v>33</v>
      </c>
      <c r="K475" s="4" t="s">
        <v>174</v>
      </c>
      <c r="L475" s="4" t="s">
        <v>48</v>
      </c>
      <c r="M475" s="4" t="s">
        <v>83</v>
      </c>
      <c r="N475" s="4" t="s">
        <v>109</v>
      </c>
      <c r="O475" s="4" t="s">
        <v>259</v>
      </c>
      <c r="P475" s="4">
        <v>398</v>
      </c>
      <c r="Q475" s="4" t="s">
        <v>50</v>
      </c>
      <c r="R475" s="4" t="s">
        <v>40</v>
      </c>
      <c r="S475" s="4">
        <v>123614</v>
      </c>
      <c r="T475" s="4">
        <v>71121</v>
      </c>
      <c r="U475" s="4">
        <v>52493</v>
      </c>
      <c r="V475" s="4">
        <v>89954</v>
      </c>
      <c r="W475" s="4">
        <v>20295</v>
      </c>
      <c r="X475" s="4">
        <v>10014</v>
      </c>
      <c r="Y475" s="4" t="s">
        <v>41</v>
      </c>
      <c r="Z475" s="4">
        <v>44</v>
      </c>
      <c r="AA475" s="4">
        <v>2.1</v>
      </c>
      <c r="AB475" s="4" t="s">
        <v>64</v>
      </c>
    </row>
    <row r="476" spans="1:28" x14ac:dyDescent="0.25">
      <c r="A476" s="2" t="s">
        <v>1032</v>
      </c>
      <c r="B476" s="2" t="s">
        <v>219</v>
      </c>
      <c r="C476" s="2">
        <v>18</v>
      </c>
      <c r="D476" s="2" t="s">
        <v>30</v>
      </c>
      <c r="E476" s="2" t="s">
        <v>87</v>
      </c>
      <c r="F476" s="2" t="s">
        <v>80</v>
      </c>
      <c r="G476" s="3">
        <v>45036</v>
      </c>
      <c r="H476" s="3">
        <v>45061</v>
      </c>
      <c r="I476" s="2">
        <v>25</v>
      </c>
      <c r="J476" s="2" t="s">
        <v>73</v>
      </c>
      <c r="K476" s="2" t="s">
        <v>74</v>
      </c>
      <c r="L476" s="2" t="s">
        <v>73</v>
      </c>
      <c r="M476" s="2" t="s">
        <v>143</v>
      </c>
      <c r="N476" s="2" t="s">
        <v>37</v>
      </c>
      <c r="O476" s="2" t="s">
        <v>376</v>
      </c>
      <c r="P476" s="2">
        <v>32</v>
      </c>
      <c r="Q476" s="2" t="s">
        <v>50</v>
      </c>
      <c r="R476" s="2" t="s">
        <v>90</v>
      </c>
      <c r="S476" s="2">
        <v>57439</v>
      </c>
      <c r="T476" s="2">
        <v>42072</v>
      </c>
      <c r="U476" s="2">
        <v>15367</v>
      </c>
      <c r="V476" s="2">
        <v>14808</v>
      </c>
      <c r="W476" s="2">
        <v>28748</v>
      </c>
      <c r="X476" s="2">
        <v>12786</v>
      </c>
      <c r="Y476" s="2" t="s">
        <v>41</v>
      </c>
      <c r="Z476" s="2">
        <v>80</v>
      </c>
      <c r="AA476" s="2">
        <v>4.5</v>
      </c>
      <c r="AB476" s="2" t="s">
        <v>64</v>
      </c>
    </row>
    <row r="477" spans="1:28" x14ac:dyDescent="0.25">
      <c r="A477" s="4" t="s">
        <v>1033</v>
      </c>
      <c r="B477" s="4" t="s">
        <v>1034</v>
      </c>
      <c r="C477" s="4">
        <v>62</v>
      </c>
      <c r="D477" s="4" t="s">
        <v>30</v>
      </c>
      <c r="E477" s="4" t="s">
        <v>154</v>
      </c>
      <c r="F477" s="4" t="s">
        <v>72</v>
      </c>
      <c r="G477" s="5">
        <v>44971</v>
      </c>
      <c r="H477" s="5">
        <v>44978</v>
      </c>
      <c r="I477" s="4">
        <v>7</v>
      </c>
      <c r="J477" s="4" t="s">
        <v>140</v>
      </c>
      <c r="K477" s="4" t="s">
        <v>167</v>
      </c>
      <c r="L477" s="4" t="s">
        <v>142</v>
      </c>
      <c r="M477" s="4" t="s">
        <v>83</v>
      </c>
      <c r="N477" s="4" t="s">
        <v>118</v>
      </c>
      <c r="O477" s="4" t="s">
        <v>595</v>
      </c>
      <c r="P477" s="4">
        <v>380</v>
      </c>
      <c r="Q477" s="4" t="s">
        <v>39</v>
      </c>
      <c r="R477" s="4" t="s">
        <v>111</v>
      </c>
      <c r="S477" s="4">
        <v>186566</v>
      </c>
      <c r="T477" s="4">
        <v>116754</v>
      </c>
      <c r="U477" s="4">
        <v>69812</v>
      </c>
      <c r="V477" s="4">
        <v>143550</v>
      </c>
      <c r="W477" s="4">
        <v>27498</v>
      </c>
      <c r="X477" s="4">
        <v>13443</v>
      </c>
      <c r="Y477" s="4" t="s">
        <v>91</v>
      </c>
      <c r="Z477" s="4">
        <v>82</v>
      </c>
      <c r="AA477" s="4">
        <v>2.2999999999999998</v>
      </c>
      <c r="AB477" s="4" t="s">
        <v>104</v>
      </c>
    </row>
    <row r="478" spans="1:28" x14ac:dyDescent="0.25">
      <c r="A478" s="2" t="s">
        <v>1035</v>
      </c>
      <c r="B478" s="2" t="s">
        <v>838</v>
      </c>
      <c r="C478" s="2">
        <v>5</v>
      </c>
      <c r="D478" s="2" t="s">
        <v>30</v>
      </c>
      <c r="E478" s="2" t="s">
        <v>67</v>
      </c>
      <c r="F478" s="2" t="s">
        <v>72</v>
      </c>
      <c r="G478" s="3">
        <v>44709</v>
      </c>
      <c r="H478" s="3">
        <v>44720</v>
      </c>
      <c r="I478" s="2">
        <v>11</v>
      </c>
      <c r="J478" s="2" t="s">
        <v>123</v>
      </c>
      <c r="K478" s="2" t="s">
        <v>124</v>
      </c>
      <c r="L478" s="2" t="s">
        <v>125</v>
      </c>
      <c r="M478" s="2" t="s">
        <v>83</v>
      </c>
      <c r="N478" s="2" t="s">
        <v>109</v>
      </c>
      <c r="O478" s="2" t="s">
        <v>89</v>
      </c>
      <c r="P478" s="2">
        <v>424</v>
      </c>
      <c r="Q478" s="2" t="s">
        <v>103</v>
      </c>
      <c r="R478" s="2" t="s">
        <v>51</v>
      </c>
      <c r="S478" s="2">
        <v>122245</v>
      </c>
      <c r="T478" s="2">
        <v>78295</v>
      </c>
      <c r="U478" s="2">
        <v>43950</v>
      </c>
      <c r="V478" s="2">
        <v>97302</v>
      </c>
      <c r="W478" s="2">
        <v>12681</v>
      </c>
      <c r="X478" s="2">
        <v>10633</v>
      </c>
      <c r="Y478" s="2" t="s">
        <v>41</v>
      </c>
      <c r="Z478" s="2">
        <v>80</v>
      </c>
      <c r="AA478" s="2">
        <v>3.1</v>
      </c>
      <c r="AB478" s="2" t="s">
        <v>104</v>
      </c>
    </row>
    <row r="479" spans="1:28" x14ac:dyDescent="0.25">
      <c r="A479" s="4" t="s">
        <v>1036</v>
      </c>
      <c r="B479" s="4" t="s">
        <v>1037</v>
      </c>
      <c r="C479" s="4">
        <v>21</v>
      </c>
      <c r="D479" s="4" t="s">
        <v>30</v>
      </c>
      <c r="E479" s="4" t="s">
        <v>56</v>
      </c>
      <c r="F479" s="4" t="s">
        <v>157</v>
      </c>
      <c r="G479" s="5">
        <v>45583</v>
      </c>
      <c r="H479" s="5">
        <v>45591</v>
      </c>
      <c r="I479" s="4">
        <v>8</v>
      </c>
      <c r="J479" s="4" t="s">
        <v>33</v>
      </c>
      <c r="K479" s="4" t="s">
        <v>197</v>
      </c>
      <c r="L479" s="4" t="s">
        <v>198</v>
      </c>
      <c r="M479" s="4" t="s">
        <v>75</v>
      </c>
      <c r="N479" s="4" t="s">
        <v>118</v>
      </c>
      <c r="O479" s="4" t="s">
        <v>1038</v>
      </c>
      <c r="P479" s="4">
        <v>421</v>
      </c>
      <c r="Q479" s="4" t="s">
        <v>50</v>
      </c>
      <c r="R479" s="4" t="s">
        <v>136</v>
      </c>
      <c r="S479" s="4">
        <v>138810</v>
      </c>
      <c r="T479" s="4">
        <v>0</v>
      </c>
      <c r="U479" s="4">
        <v>138810</v>
      </c>
      <c r="V479" s="4">
        <v>107347</v>
      </c>
      <c r="W479" s="4">
        <v>24044</v>
      </c>
      <c r="X479" s="4">
        <v>6363</v>
      </c>
      <c r="Y479" s="4" t="s">
        <v>41</v>
      </c>
      <c r="Z479" s="4">
        <v>50</v>
      </c>
      <c r="AA479" s="4">
        <v>4.9000000000000004</v>
      </c>
      <c r="AB479" s="4" t="s">
        <v>104</v>
      </c>
    </row>
    <row r="480" spans="1:28" x14ac:dyDescent="0.25">
      <c r="A480" s="2" t="s">
        <v>1039</v>
      </c>
      <c r="B480" s="2" t="s">
        <v>1040</v>
      </c>
      <c r="C480" s="2">
        <v>35</v>
      </c>
      <c r="D480" s="2" t="s">
        <v>30</v>
      </c>
      <c r="E480" s="2" t="s">
        <v>67</v>
      </c>
      <c r="F480" s="2" t="s">
        <v>72</v>
      </c>
      <c r="G480" s="3">
        <v>44678</v>
      </c>
      <c r="H480" s="3">
        <v>44696</v>
      </c>
      <c r="I480" s="2">
        <v>18</v>
      </c>
      <c r="J480" s="2" t="s">
        <v>33</v>
      </c>
      <c r="K480" s="2" t="s">
        <v>34</v>
      </c>
      <c r="L480" s="2" t="s">
        <v>35</v>
      </c>
      <c r="M480" s="2" t="s">
        <v>83</v>
      </c>
      <c r="N480" s="2" t="s">
        <v>118</v>
      </c>
      <c r="O480" s="2" t="s">
        <v>38</v>
      </c>
      <c r="P480" s="2">
        <v>174</v>
      </c>
      <c r="Q480" s="2" t="s">
        <v>103</v>
      </c>
      <c r="R480" s="2" t="s">
        <v>136</v>
      </c>
      <c r="S480" s="2">
        <v>83539</v>
      </c>
      <c r="T480" s="2">
        <v>0</v>
      </c>
      <c r="U480" s="2">
        <v>83539</v>
      </c>
      <c r="V480" s="2">
        <v>57562</v>
      </c>
      <c r="W480" s="2">
        <v>11962</v>
      </c>
      <c r="X480" s="2">
        <v>13029</v>
      </c>
      <c r="Y480" s="2" t="s">
        <v>91</v>
      </c>
      <c r="Z480" s="2">
        <v>75</v>
      </c>
      <c r="AA480" s="2">
        <v>4.5</v>
      </c>
      <c r="AB480" s="2" t="s">
        <v>52</v>
      </c>
    </row>
    <row r="481" spans="1:28" x14ac:dyDescent="0.25">
      <c r="A481" s="4" t="s">
        <v>1041</v>
      </c>
      <c r="B481" s="4" t="s">
        <v>659</v>
      </c>
      <c r="C481" s="4">
        <v>35</v>
      </c>
      <c r="D481" s="4" t="s">
        <v>30</v>
      </c>
      <c r="E481" s="4" t="s">
        <v>56</v>
      </c>
      <c r="F481" s="4" t="s">
        <v>72</v>
      </c>
      <c r="G481" s="5">
        <v>44634</v>
      </c>
      <c r="H481" s="5">
        <v>44646</v>
      </c>
      <c r="I481" s="4">
        <v>12</v>
      </c>
      <c r="J481" s="4" t="s">
        <v>202</v>
      </c>
      <c r="K481" s="4" t="s">
        <v>203</v>
      </c>
      <c r="L481" s="4" t="s">
        <v>204</v>
      </c>
      <c r="M481" s="4" t="s">
        <v>101</v>
      </c>
      <c r="N481" s="4" t="s">
        <v>62</v>
      </c>
      <c r="O481" s="4" t="s">
        <v>96</v>
      </c>
      <c r="P481" s="4">
        <v>485</v>
      </c>
      <c r="Q481" s="4" t="s">
        <v>39</v>
      </c>
      <c r="R481" s="4" t="s">
        <v>136</v>
      </c>
      <c r="S481" s="4">
        <v>26002</v>
      </c>
      <c r="T481" s="4">
        <v>0</v>
      </c>
      <c r="U481" s="4">
        <v>26002</v>
      </c>
      <c r="V481" s="4">
        <v>15942</v>
      </c>
      <c r="W481" s="4">
        <v>4409</v>
      </c>
      <c r="X481" s="4">
        <v>1083</v>
      </c>
      <c r="Y481" s="4" t="s">
        <v>41</v>
      </c>
      <c r="Z481" s="4">
        <v>81</v>
      </c>
      <c r="AA481" s="4">
        <v>3.1</v>
      </c>
      <c r="AB481" s="4" t="s">
        <v>137</v>
      </c>
    </row>
    <row r="482" spans="1:28" x14ac:dyDescent="0.25">
      <c r="A482" s="2" t="s">
        <v>1042</v>
      </c>
      <c r="B482" s="2" t="s">
        <v>1043</v>
      </c>
      <c r="C482" s="2">
        <v>7</v>
      </c>
      <c r="D482" s="2" t="s">
        <v>55</v>
      </c>
      <c r="E482" s="2" t="s">
        <v>122</v>
      </c>
      <c r="F482" s="2" t="s">
        <v>32</v>
      </c>
      <c r="G482" s="3">
        <v>45656</v>
      </c>
      <c r="H482" s="3">
        <v>45657</v>
      </c>
      <c r="I482" s="2">
        <v>1</v>
      </c>
      <c r="J482" s="2" t="s">
        <v>115</v>
      </c>
      <c r="K482" s="2" t="s">
        <v>116</v>
      </c>
      <c r="L482" s="2" t="s">
        <v>117</v>
      </c>
      <c r="M482" s="2" t="s">
        <v>75</v>
      </c>
      <c r="N482" s="2" t="s">
        <v>37</v>
      </c>
      <c r="O482" s="2" t="s">
        <v>184</v>
      </c>
      <c r="P482" s="2">
        <v>393</v>
      </c>
      <c r="Q482" s="2" t="s">
        <v>103</v>
      </c>
      <c r="R482" s="2" t="s">
        <v>40</v>
      </c>
      <c r="S482" s="2">
        <v>150750</v>
      </c>
      <c r="T482" s="2">
        <v>65527</v>
      </c>
      <c r="U482" s="2">
        <v>85223</v>
      </c>
      <c r="V482" s="2">
        <v>117648</v>
      </c>
      <c r="W482" s="2">
        <v>23981</v>
      </c>
      <c r="X482" s="2">
        <v>7493</v>
      </c>
      <c r="Y482" s="2" t="s">
        <v>91</v>
      </c>
      <c r="Z482" s="2">
        <v>79</v>
      </c>
      <c r="AA482" s="2">
        <v>4.9000000000000004</v>
      </c>
      <c r="AB482" s="2" t="s">
        <v>52</v>
      </c>
    </row>
    <row r="483" spans="1:28" x14ac:dyDescent="0.25">
      <c r="A483" s="4" t="s">
        <v>1044</v>
      </c>
      <c r="B483" s="4" t="s">
        <v>826</v>
      </c>
      <c r="C483" s="4">
        <v>48</v>
      </c>
      <c r="D483" s="4" t="s">
        <v>30</v>
      </c>
      <c r="E483" s="4" t="s">
        <v>122</v>
      </c>
      <c r="F483" s="4" t="s">
        <v>32</v>
      </c>
      <c r="G483" s="5">
        <v>45037</v>
      </c>
      <c r="H483" s="5">
        <v>45040</v>
      </c>
      <c r="I483" s="4">
        <v>3</v>
      </c>
      <c r="J483" s="4" t="s">
        <v>33</v>
      </c>
      <c r="K483" s="4" t="s">
        <v>278</v>
      </c>
      <c r="L483" s="4" t="s">
        <v>279</v>
      </c>
      <c r="M483" s="4" t="s">
        <v>61</v>
      </c>
      <c r="N483" s="4" t="s">
        <v>37</v>
      </c>
      <c r="O483" s="4" t="s">
        <v>295</v>
      </c>
      <c r="P483" s="4">
        <v>24</v>
      </c>
      <c r="Q483" s="4" t="s">
        <v>69</v>
      </c>
      <c r="R483" s="4" t="s">
        <v>40</v>
      </c>
      <c r="S483" s="4">
        <v>26387</v>
      </c>
      <c r="T483" s="4">
        <v>14026</v>
      </c>
      <c r="U483" s="4">
        <v>12361</v>
      </c>
      <c r="V483" s="4">
        <v>19911</v>
      </c>
      <c r="W483" s="4">
        <v>3510</v>
      </c>
      <c r="X483" s="4">
        <v>1428</v>
      </c>
      <c r="Y483" s="4" t="s">
        <v>41</v>
      </c>
      <c r="Z483" s="4">
        <v>60</v>
      </c>
      <c r="AA483" s="4">
        <v>3</v>
      </c>
      <c r="AB483" s="4" t="s">
        <v>64</v>
      </c>
    </row>
    <row r="484" spans="1:28" x14ac:dyDescent="0.25">
      <c r="A484" s="2" t="s">
        <v>1045</v>
      </c>
      <c r="B484" s="2" t="s">
        <v>1046</v>
      </c>
      <c r="C484" s="2">
        <v>82</v>
      </c>
      <c r="D484" s="2" t="s">
        <v>30</v>
      </c>
      <c r="E484" s="2" t="s">
        <v>87</v>
      </c>
      <c r="F484" s="2" t="s">
        <v>157</v>
      </c>
      <c r="G484" s="3">
        <v>44719</v>
      </c>
      <c r="H484" s="3">
        <v>44722</v>
      </c>
      <c r="I484" s="2">
        <v>3</v>
      </c>
      <c r="J484" s="2" t="s">
        <v>140</v>
      </c>
      <c r="K484" s="2" t="s">
        <v>167</v>
      </c>
      <c r="L484" s="2" t="s">
        <v>142</v>
      </c>
      <c r="M484" s="2" t="s">
        <v>61</v>
      </c>
      <c r="N484" s="2" t="s">
        <v>37</v>
      </c>
      <c r="O484" s="2" t="s">
        <v>248</v>
      </c>
      <c r="P484" s="2">
        <v>228</v>
      </c>
      <c r="Q484" s="2" t="s">
        <v>50</v>
      </c>
      <c r="R484" s="2" t="s">
        <v>136</v>
      </c>
      <c r="S484" s="2">
        <v>177374</v>
      </c>
      <c r="T484" s="2">
        <v>0</v>
      </c>
      <c r="U484" s="2">
        <v>177374</v>
      </c>
      <c r="V484" s="2">
        <v>149547</v>
      </c>
      <c r="W484" s="2">
        <v>10590</v>
      </c>
      <c r="X484" s="2">
        <v>14737</v>
      </c>
      <c r="Y484" s="2" t="s">
        <v>41</v>
      </c>
      <c r="Z484" s="2">
        <v>57</v>
      </c>
      <c r="AA484" s="2">
        <v>3</v>
      </c>
      <c r="AB484" s="2" t="s">
        <v>42</v>
      </c>
    </row>
    <row r="485" spans="1:28" x14ac:dyDescent="0.25">
      <c r="A485" s="4" t="s">
        <v>1047</v>
      </c>
      <c r="B485" s="4" t="s">
        <v>1048</v>
      </c>
      <c r="C485" s="4">
        <v>11</v>
      </c>
      <c r="D485" s="4" t="s">
        <v>30</v>
      </c>
      <c r="E485" s="4" t="s">
        <v>67</v>
      </c>
      <c r="F485" s="4" t="s">
        <v>72</v>
      </c>
      <c r="G485" s="5">
        <v>45557</v>
      </c>
      <c r="H485" s="5">
        <v>45566</v>
      </c>
      <c r="I485" s="4">
        <v>9</v>
      </c>
      <c r="J485" s="4" t="s">
        <v>202</v>
      </c>
      <c r="K485" s="4" t="s">
        <v>203</v>
      </c>
      <c r="L485" s="4" t="s">
        <v>204</v>
      </c>
      <c r="M485" s="4" t="s">
        <v>143</v>
      </c>
      <c r="N485" s="4" t="s">
        <v>109</v>
      </c>
      <c r="O485" s="4" t="s">
        <v>84</v>
      </c>
      <c r="P485" s="4">
        <v>108</v>
      </c>
      <c r="Q485" s="4" t="s">
        <v>69</v>
      </c>
      <c r="R485" s="4" t="s">
        <v>136</v>
      </c>
      <c r="S485" s="4">
        <v>52846</v>
      </c>
      <c r="T485" s="4">
        <v>0</v>
      </c>
      <c r="U485" s="4">
        <v>52846</v>
      </c>
      <c r="V485" s="4">
        <v>42214</v>
      </c>
      <c r="W485" s="4">
        <v>2175</v>
      </c>
      <c r="X485" s="4">
        <v>4351</v>
      </c>
      <c r="Y485" s="4" t="s">
        <v>41</v>
      </c>
      <c r="Z485" s="4">
        <v>69</v>
      </c>
      <c r="AA485" s="4">
        <v>4.9000000000000004</v>
      </c>
      <c r="AB485" s="4" t="s">
        <v>104</v>
      </c>
    </row>
    <row r="486" spans="1:28" x14ac:dyDescent="0.25">
      <c r="A486" s="2" t="s">
        <v>1049</v>
      </c>
      <c r="B486" s="2" t="s">
        <v>1050</v>
      </c>
      <c r="C486" s="2">
        <v>39</v>
      </c>
      <c r="D486" s="2" t="s">
        <v>30</v>
      </c>
      <c r="E486" s="2" t="s">
        <v>67</v>
      </c>
      <c r="F486" s="2" t="s">
        <v>46</v>
      </c>
      <c r="G486" s="3">
        <v>44735</v>
      </c>
      <c r="H486" s="3">
        <v>44737</v>
      </c>
      <c r="I486" s="2">
        <v>2</v>
      </c>
      <c r="J486" s="2" t="s">
        <v>140</v>
      </c>
      <c r="K486" s="2" t="s">
        <v>167</v>
      </c>
      <c r="L486" s="2" t="s">
        <v>142</v>
      </c>
      <c r="M486" s="2" t="s">
        <v>108</v>
      </c>
      <c r="N486" s="2" t="s">
        <v>37</v>
      </c>
      <c r="O486" s="2" t="s">
        <v>184</v>
      </c>
      <c r="P486" s="2">
        <v>197</v>
      </c>
      <c r="Q486" s="2" t="s">
        <v>103</v>
      </c>
      <c r="R486" s="2" t="s">
        <v>90</v>
      </c>
      <c r="S486" s="2">
        <v>80302</v>
      </c>
      <c r="T486" s="2">
        <v>64079</v>
      </c>
      <c r="U486" s="2">
        <v>16223</v>
      </c>
      <c r="V486" s="2">
        <v>63837</v>
      </c>
      <c r="W486" s="2">
        <v>7741</v>
      </c>
      <c r="X486" s="2">
        <v>6714</v>
      </c>
      <c r="Y486" s="2" t="s">
        <v>41</v>
      </c>
      <c r="Z486" s="2">
        <v>82</v>
      </c>
      <c r="AA486" s="2">
        <v>2.9</v>
      </c>
      <c r="AB486" s="2" t="s">
        <v>42</v>
      </c>
    </row>
    <row r="487" spans="1:28" x14ac:dyDescent="0.25">
      <c r="A487" s="4" t="s">
        <v>1051</v>
      </c>
      <c r="B487" s="4" t="s">
        <v>1052</v>
      </c>
      <c r="C487" s="4">
        <v>8</v>
      </c>
      <c r="D487" s="4" t="s">
        <v>30</v>
      </c>
      <c r="E487" s="4" t="s">
        <v>79</v>
      </c>
      <c r="F487" s="4" t="s">
        <v>72</v>
      </c>
      <c r="G487" s="5">
        <v>45005</v>
      </c>
      <c r="H487" s="5">
        <v>45030</v>
      </c>
      <c r="I487" s="4">
        <v>25</v>
      </c>
      <c r="J487" s="4" t="s">
        <v>123</v>
      </c>
      <c r="K487" s="4" t="s">
        <v>251</v>
      </c>
      <c r="L487" s="4" t="s">
        <v>125</v>
      </c>
      <c r="M487" s="4" t="s">
        <v>101</v>
      </c>
      <c r="N487" s="4" t="s">
        <v>37</v>
      </c>
      <c r="O487" s="4" t="s">
        <v>368</v>
      </c>
      <c r="P487" s="4">
        <v>414</v>
      </c>
      <c r="Q487" s="4" t="s">
        <v>69</v>
      </c>
      <c r="R487" s="4" t="s">
        <v>51</v>
      </c>
      <c r="S487" s="4">
        <v>145836</v>
      </c>
      <c r="T487" s="4">
        <v>95895</v>
      </c>
      <c r="U487" s="4">
        <v>49941</v>
      </c>
      <c r="V487" s="4">
        <v>106740</v>
      </c>
      <c r="W487" s="4">
        <v>24635</v>
      </c>
      <c r="X487" s="4">
        <v>11607</v>
      </c>
      <c r="Y487" s="4" t="s">
        <v>41</v>
      </c>
      <c r="Z487" s="4">
        <v>69</v>
      </c>
      <c r="AA487" s="4">
        <v>3.3</v>
      </c>
      <c r="AB487" s="4" t="s">
        <v>42</v>
      </c>
    </row>
    <row r="488" spans="1:28" x14ac:dyDescent="0.25">
      <c r="A488" s="2" t="s">
        <v>1053</v>
      </c>
      <c r="B488" s="2" t="s">
        <v>555</v>
      </c>
      <c r="C488" s="2">
        <v>38</v>
      </c>
      <c r="D488" s="2" t="s">
        <v>55</v>
      </c>
      <c r="E488" s="2" t="s">
        <v>67</v>
      </c>
      <c r="F488" s="2" t="s">
        <v>150</v>
      </c>
      <c r="G488" s="3">
        <v>45049</v>
      </c>
      <c r="H488" s="3">
        <v>45054</v>
      </c>
      <c r="I488" s="2">
        <v>5</v>
      </c>
      <c r="J488" s="2" t="s">
        <v>123</v>
      </c>
      <c r="K488" s="2" t="s">
        <v>251</v>
      </c>
      <c r="L488" s="2" t="s">
        <v>125</v>
      </c>
      <c r="M488" s="2" t="s">
        <v>134</v>
      </c>
      <c r="N488" s="2" t="s">
        <v>62</v>
      </c>
      <c r="O488" s="2" t="s">
        <v>266</v>
      </c>
      <c r="P488" s="2">
        <v>152</v>
      </c>
      <c r="Q488" s="2" t="s">
        <v>50</v>
      </c>
      <c r="R488" s="2" t="s">
        <v>51</v>
      </c>
      <c r="S488" s="2">
        <v>124038</v>
      </c>
      <c r="T488" s="2">
        <v>63074</v>
      </c>
      <c r="U488" s="2">
        <v>60964</v>
      </c>
      <c r="V488" s="2">
        <v>108442</v>
      </c>
      <c r="W488" s="2">
        <v>2265</v>
      </c>
      <c r="X488" s="2">
        <v>10585</v>
      </c>
      <c r="Y488" s="2" t="s">
        <v>41</v>
      </c>
      <c r="Z488" s="2">
        <v>90</v>
      </c>
      <c r="AA488" s="2">
        <v>4</v>
      </c>
      <c r="AB488" s="2" t="s">
        <v>42</v>
      </c>
    </row>
    <row r="489" spans="1:28" x14ac:dyDescent="0.25">
      <c r="A489" s="4" t="s">
        <v>1054</v>
      </c>
      <c r="B489" s="4" t="s">
        <v>923</v>
      </c>
      <c r="C489" s="4">
        <v>44</v>
      </c>
      <c r="D489" s="4" t="s">
        <v>30</v>
      </c>
      <c r="E489" s="4" t="s">
        <v>79</v>
      </c>
      <c r="F489" s="4" t="s">
        <v>129</v>
      </c>
      <c r="G489" s="5">
        <v>45470</v>
      </c>
      <c r="H489" s="5">
        <v>45485</v>
      </c>
      <c r="I489" s="4">
        <v>15</v>
      </c>
      <c r="J489" s="4" t="s">
        <v>123</v>
      </c>
      <c r="K489" s="4" t="s">
        <v>251</v>
      </c>
      <c r="L489" s="4" t="s">
        <v>125</v>
      </c>
      <c r="M489" s="4" t="s">
        <v>130</v>
      </c>
      <c r="N489" s="4" t="s">
        <v>37</v>
      </c>
      <c r="O489" s="4" t="s">
        <v>300</v>
      </c>
      <c r="P489" s="4">
        <v>246</v>
      </c>
      <c r="Q489" s="4" t="s">
        <v>39</v>
      </c>
      <c r="R489" s="4" t="s">
        <v>111</v>
      </c>
      <c r="S489" s="4">
        <v>44915</v>
      </c>
      <c r="T489" s="4">
        <v>39036</v>
      </c>
      <c r="U489" s="4">
        <v>5879</v>
      </c>
      <c r="V489" s="4">
        <v>20357</v>
      </c>
      <c r="W489" s="4">
        <v>19991</v>
      </c>
      <c r="X489" s="4">
        <v>1803</v>
      </c>
      <c r="Y489" s="4" t="s">
        <v>41</v>
      </c>
      <c r="Z489" s="4">
        <v>44</v>
      </c>
      <c r="AA489" s="4">
        <v>3.3</v>
      </c>
      <c r="AB489" s="4" t="s">
        <v>52</v>
      </c>
    </row>
    <row r="490" spans="1:28" x14ac:dyDescent="0.25">
      <c r="A490" s="2" t="s">
        <v>1055</v>
      </c>
      <c r="B490" s="2" t="s">
        <v>1056</v>
      </c>
      <c r="C490" s="2">
        <v>38</v>
      </c>
      <c r="D490" s="2" t="s">
        <v>30</v>
      </c>
      <c r="E490" s="2" t="s">
        <v>154</v>
      </c>
      <c r="F490" s="2" t="s">
        <v>32</v>
      </c>
      <c r="G490" s="3">
        <v>44919</v>
      </c>
      <c r="H490" s="3">
        <v>44924</v>
      </c>
      <c r="I490" s="2">
        <v>5</v>
      </c>
      <c r="J490" s="2" t="s">
        <v>33</v>
      </c>
      <c r="K490" s="2" t="s">
        <v>233</v>
      </c>
      <c r="L490" s="2" t="s">
        <v>35</v>
      </c>
      <c r="M490" s="2" t="s">
        <v>61</v>
      </c>
      <c r="N490" s="2" t="s">
        <v>62</v>
      </c>
      <c r="O490" s="2" t="s">
        <v>208</v>
      </c>
      <c r="P490" s="2">
        <v>351</v>
      </c>
      <c r="Q490" s="2" t="s">
        <v>103</v>
      </c>
      <c r="R490" s="2" t="s">
        <v>51</v>
      </c>
      <c r="S490" s="2">
        <v>102495</v>
      </c>
      <c r="T490" s="2">
        <v>42868</v>
      </c>
      <c r="U490" s="2">
        <v>59627</v>
      </c>
      <c r="V490" s="2">
        <v>88187</v>
      </c>
      <c r="W490" s="2">
        <v>2374</v>
      </c>
      <c r="X490" s="2">
        <v>9567</v>
      </c>
      <c r="Y490" s="2" t="s">
        <v>41</v>
      </c>
      <c r="Z490" s="2">
        <v>56</v>
      </c>
      <c r="AA490" s="2">
        <v>4.9000000000000004</v>
      </c>
      <c r="AB490" s="2" t="s">
        <v>104</v>
      </c>
    </row>
    <row r="491" spans="1:28" x14ac:dyDescent="0.25">
      <c r="A491" s="4" t="s">
        <v>1057</v>
      </c>
      <c r="B491" s="4" t="s">
        <v>1058</v>
      </c>
      <c r="C491" s="4">
        <v>74</v>
      </c>
      <c r="D491" s="4" t="s">
        <v>55</v>
      </c>
      <c r="E491" s="4" t="s">
        <v>31</v>
      </c>
      <c r="F491" s="4" t="s">
        <v>80</v>
      </c>
      <c r="G491" s="5">
        <v>44785</v>
      </c>
      <c r="H491" s="5">
        <v>44788</v>
      </c>
      <c r="I491" s="4">
        <v>3</v>
      </c>
      <c r="J491" s="4" t="s">
        <v>202</v>
      </c>
      <c r="K491" s="4" t="s">
        <v>225</v>
      </c>
      <c r="L491" s="4" t="s">
        <v>226</v>
      </c>
      <c r="M491" s="4" t="s">
        <v>36</v>
      </c>
      <c r="N491" s="4" t="s">
        <v>62</v>
      </c>
      <c r="O491" s="4" t="s">
        <v>595</v>
      </c>
      <c r="P491" s="4">
        <v>167</v>
      </c>
      <c r="Q491" s="4" t="s">
        <v>50</v>
      </c>
      <c r="R491" s="4" t="s">
        <v>111</v>
      </c>
      <c r="S491" s="4">
        <v>56054</v>
      </c>
      <c r="T491" s="4">
        <v>36038</v>
      </c>
      <c r="U491" s="4">
        <v>20016</v>
      </c>
      <c r="V491" s="4">
        <v>23715</v>
      </c>
      <c r="W491" s="4">
        <v>22033</v>
      </c>
      <c r="X491" s="4">
        <v>7487</v>
      </c>
      <c r="Y491" s="4" t="s">
        <v>41</v>
      </c>
      <c r="Z491" s="4">
        <v>90</v>
      </c>
      <c r="AA491" s="4">
        <v>3.1</v>
      </c>
      <c r="AB491" s="4" t="s">
        <v>137</v>
      </c>
    </row>
    <row r="492" spans="1:28" x14ac:dyDescent="0.25">
      <c r="A492" s="2" t="s">
        <v>1059</v>
      </c>
      <c r="B492" s="2" t="s">
        <v>1060</v>
      </c>
      <c r="C492" s="2">
        <v>65</v>
      </c>
      <c r="D492" s="2" t="s">
        <v>30</v>
      </c>
      <c r="E492" s="2" t="s">
        <v>122</v>
      </c>
      <c r="F492" s="2" t="s">
        <v>129</v>
      </c>
      <c r="G492" s="3">
        <v>45316</v>
      </c>
      <c r="H492" s="3">
        <v>45318</v>
      </c>
      <c r="I492" s="2">
        <v>2</v>
      </c>
      <c r="J492" s="2" t="s">
        <v>58</v>
      </c>
      <c r="K492" s="2" t="s">
        <v>59</v>
      </c>
      <c r="L492" s="2" t="s">
        <v>60</v>
      </c>
      <c r="M492" s="2" t="s">
        <v>101</v>
      </c>
      <c r="N492" s="2" t="s">
        <v>62</v>
      </c>
      <c r="O492" s="2" t="s">
        <v>337</v>
      </c>
      <c r="P492" s="2">
        <v>109</v>
      </c>
      <c r="Q492" s="2" t="s">
        <v>50</v>
      </c>
      <c r="R492" s="2" t="s">
        <v>51</v>
      </c>
      <c r="S492" s="2">
        <v>178233</v>
      </c>
      <c r="T492" s="2">
        <v>121552</v>
      </c>
      <c r="U492" s="2">
        <v>56681</v>
      </c>
      <c r="V492" s="2">
        <v>138216</v>
      </c>
      <c r="W492" s="2">
        <v>26672</v>
      </c>
      <c r="X492" s="2">
        <v>10027</v>
      </c>
      <c r="Y492" s="2" t="s">
        <v>41</v>
      </c>
      <c r="Z492" s="2">
        <v>77</v>
      </c>
      <c r="AA492" s="2">
        <v>2.1</v>
      </c>
      <c r="AB492" s="2" t="s">
        <v>64</v>
      </c>
    </row>
    <row r="493" spans="1:28" x14ac:dyDescent="0.25">
      <c r="A493" s="4" t="s">
        <v>1061</v>
      </c>
      <c r="B493" s="4" t="s">
        <v>1062</v>
      </c>
      <c r="C493" s="4">
        <v>14</v>
      </c>
      <c r="D493" s="4" t="s">
        <v>55</v>
      </c>
      <c r="E493" s="4" t="s">
        <v>67</v>
      </c>
      <c r="F493" s="4" t="s">
        <v>94</v>
      </c>
      <c r="G493" s="5">
        <v>44810</v>
      </c>
      <c r="H493" s="5">
        <v>44838</v>
      </c>
      <c r="I493" s="4">
        <v>28</v>
      </c>
      <c r="J493" s="4" t="s">
        <v>202</v>
      </c>
      <c r="K493" s="4" t="s">
        <v>225</v>
      </c>
      <c r="L493" s="4" t="s">
        <v>226</v>
      </c>
      <c r="M493" s="4" t="s">
        <v>101</v>
      </c>
      <c r="N493" s="4" t="s">
        <v>37</v>
      </c>
      <c r="O493" s="4" t="s">
        <v>553</v>
      </c>
      <c r="P493" s="4">
        <v>226</v>
      </c>
      <c r="Q493" s="4" t="s">
        <v>50</v>
      </c>
      <c r="R493" s="4" t="s">
        <v>136</v>
      </c>
      <c r="S493" s="4">
        <v>97342</v>
      </c>
      <c r="T493" s="4">
        <v>0</v>
      </c>
      <c r="U493" s="4">
        <v>97342</v>
      </c>
      <c r="V493" s="4">
        <v>56124</v>
      </c>
      <c r="W493" s="4">
        <v>28394</v>
      </c>
      <c r="X493" s="4">
        <v>9924</v>
      </c>
      <c r="Y493" s="4" t="s">
        <v>41</v>
      </c>
      <c r="Z493" s="4">
        <v>61</v>
      </c>
      <c r="AA493" s="4">
        <v>2.7</v>
      </c>
      <c r="AB493" s="4" t="s">
        <v>52</v>
      </c>
    </row>
    <row r="494" spans="1:28" x14ac:dyDescent="0.25">
      <c r="A494" s="2" t="s">
        <v>1063</v>
      </c>
      <c r="B494" s="2" t="s">
        <v>1064</v>
      </c>
      <c r="C494" s="2">
        <v>45</v>
      </c>
      <c r="D494" s="2" t="s">
        <v>55</v>
      </c>
      <c r="E494" s="2" t="s">
        <v>31</v>
      </c>
      <c r="F494" s="2" t="s">
        <v>150</v>
      </c>
      <c r="G494" s="3">
        <v>45401</v>
      </c>
      <c r="H494" s="3">
        <v>45413</v>
      </c>
      <c r="I494" s="2">
        <v>12</v>
      </c>
      <c r="J494" s="2" t="s">
        <v>202</v>
      </c>
      <c r="K494" s="2" t="s">
        <v>203</v>
      </c>
      <c r="L494" s="2" t="s">
        <v>204</v>
      </c>
      <c r="M494" s="2" t="s">
        <v>75</v>
      </c>
      <c r="N494" s="2" t="s">
        <v>62</v>
      </c>
      <c r="O494" s="2" t="s">
        <v>416</v>
      </c>
      <c r="P494" s="2">
        <v>310</v>
      </c>
      <c r="Q494" s="2" t="s">
        <v>39</v>
      </c>
      <c r="R494" s="2" t="s">
        <v>111</v>
      </c>
      <c r="S494" s="2">
        <v>134681</v>
      </c>
      <c r="T494" s="2">
        <v>118212</v>
      </c>
      <c r="U494" s="2">
        <v>16469</v>
      </c>
      <c r="V494" s="2">
        <v>114799</v>
      </c>
      <c r="W494" s="2">
        <v>8528</v>
      </c>
      <c r="X494" s="2">
        <v>9828</v>
      </c>
      <c r="Y494" s="2" t="s">
        <v>41</v>
      </c>
      <c r="Z494" s="2">
        <v>98</v>
      </c>
      <c r="AA494" s="2">
        <v>3.2</v>
      </c>
      <c r="AB494" s="2" t="s">
        <v>42</v>
      </c>
    </row>
    <row r="495" spans="1:28" x14ac:dyDescent="0.25">
      <c r="A495" s="4" t="s">
        <v>1065</v>
      </c>
      <c r="B495" s="4" t="s">
        <v>1066</v>
      </c>
      <c r="C495" s="4">
        <v>82</v>
      </c>
      <c r="D495" s="4" t="s">
        <v>30</v>
      </c>
      <c r="E495" s="4" t="s">
        <v>79</v>
      </c>
      <c r="F495" s="4" t="s">
        <v>80</v>
      </c>
      <c r="G495" s="5">
        <v>45204</v>
      </c>
      <c r="H495" s="5">
        <v>45208</v>
      </c>
      <c r="I495" s="4">
        <v>4</v>
      </c>
      <c r="J495" s="4" t="s">
        <v>202</v>
      </c>
      <c r="K495" s="4" t="s">
        <v>203</v>
      </c>
      <c r="L495" s="4" t="s">
        <v>204</v>
      </c>
      <c r="M495" s="4" t="s">
        <v>108</v>
      </c>
      <c r="N495" s="4" t="s">
        <v>109</v>
      </c>
      <c r="O495" s="4" t="s">
        <v>271</v>
      </c>
      <c r="P495" s="4">
        <v>324</v>
      </c>
      <c r="Q495" s="4" t="s">
        <v>39</v>
      </c>
      <c r="R495" s="4" t="s">
        <v>40</v>
      </c>
      <c r="S495" s="4">
        <v>130260</v>
      </c>
      <c r="T495" s="4">
        <v>68463</v>
      </c>
      <c r="U495" s="4">
        <v>61797</v>
      </c>
      <c r="V495" s="4">
        <v>124031</v>
      </c>
      <c r="W495" s="4">
        <v>1508</v>
      </c>
      <c r="X495" s="4">
        <v>3232</v>
      </c>
      <c r="Y495" s="4" t="s">
        <v>41</v>
      </c>
      <c r="Z495" s="4">
        <v>85</v>
      </c>
      <c r="AA495" s="4">
        <v>4.8</v>
      </c>
      <c r="AB495" s="4" t="s">
        <v>104</v>
      </c>
    </row>
    <row r="496" spans="1:28" x14ac:dyDescent="0.25">
      <c r="A496" s="2" t="s">
        <v>1067</v>
      </c>
      <c r="B496" s="2" t="s">
        <v>146</v>
      </c>
      <c r="C496" s="2">
        <v>60</v>
      </c>
      <c r="D496" s="2" t="s">
        <v>55</v>
      </c>
      <c r="E496" s="2" t="s">
        <v>154</v>
      </c>
      <c r="F496" s="2" t="s">
        <v>157</v>
      </c>
      <c r="G496" s="3">
        <v>44833</v>
      </c>
      <c r="H496" s="3">
        <v>44850</v>
      </c>
      <c r="I496" s="2">
        <v>17</v>
      </c>
      <c r="J496" s="2" t="s">
        <v>202</v>
      </c>
      <c r="K496" s="2" t="s">
        <v>225</v>
      </c>
      <c r="L496" s="2" t="s">
        <v>226</v>
      </c>
      <c r="M496" s="2" t="s">
        <v>108</v>
      </c>
      <c r="N496" s="2" t="s">
        <v>118</v>
      </c>
      <c r="O496" s="2" t="s">
        <v>571</v>
      </c>
      <c r="P496" s="2">
        <v>357</v>
      </c>
      <c r="Q496" s="2" t="s">
        <v>39</v>
      </c>
      <c r="R496" s="2" t="s">
        <v>136</v>
      </c>
      <c r="S496" s="2">
        <v>65507</v>
      </c>
      <c r="T496" s="2">
        <v>0</v>
      </c>
      <c r="U496" s="2">
        <v>65507</v>
      </c>
      <c r="V496" s="2">
        <v>36202</v>
      </c>
      <c r="W496" s="2">
        <v>12036</v>
      </c>
      <c r="X496" s="2">
        <v>14012</v>
      </c>
      <c r="Y496" s="2" t="s">
        <v>41</v>
      </c>
      <c r="Z496" s="2">
        <v>79</v>
      </c>
      <c r="AA496" s="2">
        <v>2.2999999999999998</v>
      </c>
      <c r="AB496" s="2" t="s">
        <v>104</v>
      </c>
    </row>
    <row r="497" spans="1:28" x14ac:dyDescent="0.25">
      <c r="A497" s="4" t="s">
        <v>1068</v>
      </c>
      <c r="B497" s="4" t="s">
        <v>879</v>
      </c>
      <c r="C497" s="4">
        <v>62</v>
      </c>
      <c r="D497" s="4" t="s">
        <v>30</v>
      </c>
      <c r="E497" s="4" t="s">
        <v>87</v>
      </c>
      <c r="F497" s="4" t="s">
        <v>114</v>
      </c>
      <c r="G497" s="5">
        <v>45154</v>
      </c>
      <c r="H497" s="5">
        <v>45179</v>
      </c>
      <c r="I497" s="4">
        <v>25</v>
      </c>
      <c r="J497" s="4" t="s">
        <v>33</v>
      </c>
      <c r="K497" s="4" t="s">
        <v>174</v>
      </c>
      <c r="L497" s="4" t="s">
        <v>48</v>
      </c>
      <c r="M497" s="4" t="s">
        <v>143</v>
      </c>
      <c r="N497" s="4" t="s">
        <v>62</v>
      </c>
      <c r="O497" s="4" t="s">
        <v>548</v>
      </c>
      <c r="P497" s="4">
        <v>304</v>
      </c>
      <c r="Q497" s="4" t="s">
        <v>50</v>
      </c>
      <c r="R497" s="4" t="s">
        <v>111</v>
      </c>
      <c r="S497" s="4">
        <v>125582</v>
      </c>
      <c r="T497" s="4">
        <v>94513</v>
      </c>
      <c r="U497" s="4">
        <v>31069</v>
      </c>
      <c r="V497" s="4">
        <v>104450</v>
      </c>
      <c r="W497" s="4">
        <v>11500</v>
      </c>
      <c r="X497" s="4">
        <v>7685</v>
      </c>
      <c r="Y497" s="4" t="s">
        <v>41</v>
      </c>
      <c r="Z497" s="4">
        <v>100</v>
      </c>
      <c r="AA497" s="4">
        <v>4.3</v>
      </c>
      <c r="AB497" s="4" t="s">
        <v>64</v>
      </c>
    </row>
    <row r="498" spans="1:28" x14ac:dyDescent="0.25">
      <c r="A498" s="2" t="s">
        <v>1069</v>
      </c>
      <c r="B498" s="2" t="s">
        <v>689</v>
      </c>
      <c r="C498" s="2">
        <v>48</v>
      </c>
      <c r="D498" s="2" t="s">
        <v>55</v>
      </c>
      <c r="E498" s="2" t="s">
        <v>67</v>
      </c>
      <c r="F498" s="2" t="s">
        <v>46</v>
      </c>
      <c r="G498" s="3">
        <v>45223</v>
      </c>
      <c r="H498" s="3">
        <v>45236</v>
      </c>
      <c r="I498" s="2">
        <v>13</v>
      </c>
      <c r="J498" s="2" t="s">
        <v>33</v>
      </c>
      <c r="K498" s="2" t="s">
        <v>47</v>
      </c>
      <c r="L498" s="2" t="s">
        <v>48</v>
      </c>
      <c r="M498" s="2" t="s">
        <v>143</v>
      </c>
      <c r="N498" s="2" t="s">
        <v>62</v>
      </c>
      <c r="O498" s="2" t="s">
        <v>126</v>
      </c>
      <c r="P498" s="2">
        <v>266</v>
      </c>
      <c r="Q498" s="2" t="s">
        <v>50</v>
      </c>
      <c r="R498" s="2" t="s">
        <v>51</v>
      </c>
      <c r="S498" s="2">
        <v>100691</v>
      </c>
      <c r="T498" s="2">
        <v>45279</v>
      </c>
      <c r="U498" s="2">
        <v>55412</v>
      </c>
      <c r="V498" s="2">
        <v>87409</v>
      </c>
      <c r="W498" s="2">
        <v>4259</v>
      </c>
      <c r="X498" s="2">
        <v>6190</v>
      </c>
      <c r="Y498" s="2" t="s">
        <v>41</v>
      </c>
      <c r="Z498" s="2">
        <v>71</v>
      </c>
      <c r="AA498" s="2">
        <v>3.3</v>
      </c>
      <c r="AB498" s="2" t="s">
        <v>64</v>
      </c>
    </row>
    <row r="499" spans="1:28" x14ac:dyDescent="0.25">
      <c r="A499" s="4" t="s">
        <v>1070</v>
      </c>
      <c r="B499" s="4" t="s">
        <v>491</v>
      </c>
      <c r="C499" s="4">
        <v>82</v>
      </c>
      <c r="D499" s="4" t="s">
        <v>55</v>
      </c>
      <c r="E499" s="4" t="s">
        <v>31</v>
      </c>
      <c r="F499" s="4" t="s">
        <v>46</v>
      </c>
      <c r="G499" s="5">
        <v>44850</v>
      </c>
      <c r="H499" s="5">
        <v>44854</v>
      </c>
      <c r="I499" s="4">
        <v>4</v>
      </c>
      <c r="J499" s="4" t="s">
        <v>115</v>
      </c>
      <c r="K499" s="4" t="s">
        <v>160</v>
      </c>
      <c r="L499" s="4" t="s">
        <v>117</v>
      </c>
      <c r="M499" s="4" t="s">
        <v>75</v>
      </c>
      <c r="N499" s="4" t="s">
        <v>109</v>
      </c>
      <c r="O499" s="4" t="s">
        <v>321</v>
      </c>
      <c r="P499" s="4">
        <v>463</v>
      </c>
      <c r="Q499" s="4" t="s">
        <v>69</v>
      </c>
      <c r="R499" s="4" t="s">
        <v>51</v>
      </c>
      <c r="S499" s="4">
        <v>177443</v>
      </c>
      <c r="T499" s="4">
        <v>96974</v>
      </c>
      <c r="U499" s="4">
        <v>80469</v>
      </c>
      <c r="V499" s="4">
        <v>146011</v>
      </c>
      <c r="W499" s="4">
        <v>27181</v>
      </c>
      <c r="X499" s="4">
        <v>3697</v>
      </c>
      <c r="Y499" s="4" t="s">
        <v>41</v>
      </c>
      <c r="Z499" s="4">
        <v>63</v>
      </c>
      <c r="AA499" s="4">
        <v>2.6</v>
      </c>
      <c r="AB499" s="4" t="s">
        <v>42</v>
      </c>
    </row>
    <row r="500" spans="1:28" x14ac:dyDescent="0.25">
      <c r="A500" s="2" t="s">
        <v>1071</v>
      </c>
      <c r="B500" s="2" t="s">
        <v>410</v>
      </c>
      <c r="C500" s="2">
        <v>71</v>
      </c>
      <c r="D500" s="2" t="s">
        <v>55</v>
      </c>
      <c r="E500" s="2" t="s">
        <v>87</v>
      </c>
      <c r="F500" s="2" t="s">
        <v>46</v>
      </c>
      <c r="G500" s="3">
        <v>44786</v>
      </c>
      <c r="H500" s="3">
        <v>44809</v>
      </c>
      <c r="I500" s="2">
        <v>23</v>
      </c>
      <c r="J500" s="2" t="s">
        <v>33</v>
      </c>
      <c r="K500" s="2" t="s">
        <v>34</v>
      </c>
      <c r="L500" s="2" t="s">
        <v>35</v>
      </c>
      <c r="M500" s="2" t="s">
        <v>108</v>
      </c>
      <c r="N500" s="2" t="s">
        <v>37</v>
      </c>
      <c r="O500" s="2" t="s">
        <v>438</v>
      </c>
      <c r="P500" s="2">
        <v>443</v>
      </c>
      <c r="Q500" s="2" t="s">
        <v>39</v>
      </c>
      <c r="R500" s="2" t="s">
        <v>136</v>
      </c>
      <c r="S500" s="2">
        <v>62932</v>
      </c>
      <c r="T500" s="2">
        <v>0</v>
      </c>
      <c r="U500" s="2">
        <v>62932</v>
      </c>
      <c r="V500" s="2">
        <v>35529</v>
      </c>
      <c r="W500" s="2">
        <v>12590</v>
      </c>
      <c r="X500" s="2">
        <v>13666</v>
      </c>
      <c r="Y500" s="2" t="s">
        <v>41</v>
      </c>
      <c r="Z500" s="2">
        <v>54</v>
      </c>
      <c r="AA500" s="2">
        <v>4.2</v>
      </c>
      <c r="AB500" s="2" t="s">
        <v>52</v>
      </c>
    </row>
    <row r="501" spans="1:28" x14ac:dyDescent="0.25">
      <c r="A501" s="4" t="s">
        <v>1072</v>
      </c>
      <c r="B501" s="4" t="s">
        <v>1073</v>
      </c>
      <c r="C501" s="4">
        <v>47</v>
      </c>
      <c r="D501" s="4" t="s">
        <v>30</v>
      </c>
      <c r="E501" s="4" t="s">
        <v>87</v>
      </c>
      <c r="F501" s="4" t="s">
        <v>94</v>
      </c>
      <c r="G501" s="5">
        <v>44713</v>
      </c>
      <c r="H501" s="5">
        <v>44736</v>
      </c>
      <c r="I501" s="4">
        <v>23</v>
      </c>
      <c r="J501" s="4" t="s">
        <v>33</v>
      </c>
      <c r="K501" s="4" t="s">
        <v>47</v>
      </c>
      <c r="L501" s="4" t="s">
        <v>48</v>
      </c>
      <c r="M501" s="4" t="s">
        <v>108</v>
      </c>
      <c r="N501" s="4" t="s">
        <v>62</v>
      </c>
      <c r="O501" s="4" t="s">
        <v>673</v>
      </c>
      <c r="P501" s="4">
        <v>98</v>
      </c>
      <c r="Q501" s="4" t="s">
        <v>69</v>
      </c>
      <c r="R501" s="4" t="s">
        <v>90</v>
      </c>
      <c r="S501" s="4">
        <v>88636</v>
      </c>
      <c r="T501" s="4">
        <v>76372</v>
      </c>
      <c r="U501" s="4">
        <v>12264</v>
      </c>
      <c r="V501" s="4">
        <v>69464</v>
      </c>
      <c r="W501" s="4">
        <v>5485</v>
      </c>
      <c r="X501" s="4">
        <v>10106</v>
      </c>
      <c r="Y501" s="4" t="s">
        <v>41</v>
      </c>
      <c r="Z501" s="4">
        <v>52</v>
      </c>
      <c r="AA501" s="4">
        <v>2.8</v>
      </c>
      <c r="AB501" s="4" t="s">
        <v>64</v>
      </c>
    </row>
    <row r="502" spans="1:28" x14ac:dyDescent="0.25">
      <c r="A502" s="2" t="s">
        <v>1074</v>
      </c>
      <c r="B502" s="2" t="s">
        <v>687</v>
      </c>
      <c r="C502" s="2">
        <v>68</v>
      </c>
      <c r="D502" s="2" t="s">
        <v>30</v>
      </c>
      <c r="E502" s="2" t="s">
        <v>154</v>
      </c>
      <c r="F502" s="2" t="s">
        <v>32</v>
      </c>
      <c r="G502" s="3">
        <v>44743</v>
      </c>
      <c r="H502" s="3">
        <v>44760</v>
      </c>
      <c r="I502" s="2">
        <v>17</v>
      </c>
      <c r="J502" s="2" t="s">
        <v>115</v>
      </c>
      <c r="K502" s="2" t="s">
        <v>160</v>
      </c>
      <c r="L502" s="2" t="s">
        <v>117</v>
      </c>
      <c r="M502" s="2" t="s">
        <v>108</v>
      </c>
      <c r="N502" s="2" t="s">
        <v>62</v>
      </c>
      <c r="O502" s="2" t="s">
        <v>681</v>
      </c>
      <c r="P502" s="2">
        <v>313</v>
      </c>
      <c r="Q502" s="2" t="s">
        <v>39</v>
      </c>
      <c r="R502" s="2" t="s">
        <v>40</v>
      </c>
      <c r="S502" s="2">
        <v>44302</v>
      </c>
      <c r="T502" s="2">
        <v>25873</v>
      </c>
      <c r="U502" s="2">
        <v>18429</v>
      </c>
      <c r="V502" s="2">
        <v>15174</v>
      </c>
      <c r="W502" s="2">
        <v>14702</v>
      </c>
      <c r="X502" s="2">
        <v>11771</v>
      </c>
      <c r="Y502" s="2" t="s">
        <v>41</v>
      </c>
      <c r="Z502" s="2">
        <v>55</v>
      </c>
      <c r="AA502" s="2">
        <v>3.9</v>
      </c>
      <c r="AB502" s="2" t="s">
        <v>137</v>
      </c>
    </row>
    <row r="503" spans="1:28" x14ac:dyDescent="0.25">
      <c r="A503" s="4" t="s">
        <v>1075</v>
      </c>
      <c r="B503" s="4" t="s">
        <v>1076</v>
      </c>
      <c r="C503" s="4">
        <v>43</v>
      </c>
      <c r="D503" s="4" t="s">
        <v>55</v>
      </c>
      <c r="E503" s="4" t="s">
        <v>79</v>
      </c>
      <c r="F503" s="4" t="s">
        <v>150</v>
      </c>
      <c r="G503" s="5">
        <v>45565</v>
      </c>
      <c r="H503" s="5">
        <v>45591</v>
      </c>
      <c r="I503" s="4">
        <v>26</v>
      </c>
      <c r="J503" s="4" t="s">
        <v>115</v>
      </c>
      <c r="K503" s="4" t="s">
        <v>116</v>
      </c>
      <c r="L503" s="4" t="s">
        <v>117</v>
      </c>
      <c r="M503" s="4" t="s">
        <v>95</v>
      </c>
      <c r="N503" s="4" t="s">
        <v>37</v>
      </c>
      <c r="O503" s="4" t="s">
        <v>438</v>
      </c>
      <c r="P503" s="4">
        <v>113</v>
      </c>
      <c r="Q503" s="4" t="s">
        <v>69</v>
      </c>
      <c r="R503" s="4" t="s">
        <v>136</v>
      </c>
      <c r="S503" s="4">
        <v>139003</v>
      </c>
      <c r="T503" s="4">
        <v>0</v>
      </c>
      <c r="U503" s="4">
        <v>139003</v>
      </c>
      <c r="V503" s="4">
        <v>114994</v>
      </c>
      <c r="W503" s="4">
        <v>15652</v>
      </c>
      <c r="X503" s="4">
        <v>5831</v>
      </c>
      <c r="Y503" s="4" t="s">
        <v>41</v>
      </c>
      <c r="Z503" s="4">
        <v>47</v>
      </c>
      <c r="AA503" s="4">
        <v>2.5</v>
      </c>
      <c r="AB503" s="4" t="s">
        <v>52</v>
      </c>
    </row>
    <row r="504" spans="1:28" x14ac:dyDescent="0.25">
      <c r="A504" s="2" t="s">
        <v>1077</v>
      </c>
      <c r="B504" s="2" t="s">
        <v>1078</v>
      </c>
      <c r="C504" s="2">
        <v>49</v>
      </c>
      <c r="D504" s="2" t="s">
        <v>30</v>
      </c>
      <c r="E504" s="2" t="s">
        <v>154</v>
      </c>
      <c r="F504" s="2" t="s">
        <v>150</v>
      </c>
      <c r="G504" s="3">
        <v>45563</v>
      </c>
      <c r="H504" s="3">
        <v>45583</v>
      </c>
      <c r="I504" s="2">
        <v>20</v>
      </c>
      <c r="J504" s="2" t="s">
        <v>33</v>
      </c>
      <c r="K504" s="2" t="s">
        <v>81</v>
      </c>
      <c r="L504" s="2" t="s">
        <v>82</v>
      </c>
      <c r="M504" s="2" t="s">
        <v>130</v>
      </c>
      <c r="N504" s="2" t="s">
        <v>118</v>
      </c>
      <c r="O504" s="2" t="s">
        <v>84</v>
      </c>
      <c r="P504" s="2">
        <v>111</v>
      </c>
      <c r="Q504" s="2" t="s">
        <v>103</v>
      </c>
      <c r="R504" s="2" t="s">
        <v>90</v>
      </c>
      <c r="S504" s="2">
        <v>113954</v>
      </c>
      <c r="T504" s="2">
        <v>82431</v>
      </c>
      <c r="U504" s="2">
        <v>31523</v>
      </c>
      <c r="V504" s="2">
        <v>89722</v>
      </c>
      <c r="W504" s="2">
        <v>9572</v>
      </c>
      <c r="X504" s="2">
        <v>11559</v>
      </c>
      <c r="Y504" s="2" t="s">
        <v>41</v>
      </c>
      <c r="Z504" s="2">
        <v>67</v>
      </c>
      <c r="AA504" s="2">
        <v>3.2</v>
      </c>
      <c r="AB504" s="2" t="s">
        <v>104</v>
      </c>
    </row>
    <row r="505" spans="1:28" x14ac:dyDescent="0.25">
      <c r="A505" s="4" t="s">
        <v>1079</v>
      </c>
      <c r="B505" s="4" t="s">
        <v>482</v>
      </c>
      <c r="C505" s="4">
        <v>33</v>
      </c>
      <c r="D505" s="4" t="s">
        <v>30</v>
      </c>
      <c r="E505" s="4" t="s">
        <v>122</v>
      </c>
      <c r="F505" s="4" t="s">
        <v>46</v>
      </c>
      <c r="G505" s="5">
        <v>45478</v>
      </c>
      <c r="H505" s="5">
        <v>45492</v>
      </c>
      <c r="I505" s="4">
        <v>14</v>
      </c>
      <c r="J505" s="4" t="s">
        <v>73</v>
      </c>
      <c r="K505" s="4" t="s">
        <v>74</v>
      </c>
      <c r="L505" s="4" t="s">
        <v>73</v>
      </c>
      <c r="M505" s="4" t="s">
        <v>143</v>
      </c>
      <c r="N505" s="4" t="s">
        <v>109</v>
      </c>
      <c r="O505" s="4" t="s">
        <v>337</v>
      </c>
      <c r="P505" s="4">
        <v>313</v>
      </c>
      <c r="Q505" s="4" t="s">
        <v>50</v>
      </c>
      <c r="R505" s="4" t="s">
        <v>40</v>
      </c>
      <c r="S505" s="4">
        <v>161152</v>
      </c>
      <c r="T505" s="4">
        <v>103254</v>
      </c>
      <c r="U505" s="4">
        <v>57898</v>
      </c>
      <c r="V505" s="4">
        <v>146496</v>
      </c>
      <c r="W505" s="4">
        <v>1652</v>
      </c>
      <c r="X505" s="4">
        <v>12332</v>
      </c>
      <c r="Y505" s="4" t="s">
        <v>91</v>
      </c>
      <c r="Z505" s="4">
        <v>85</v>
      </c>
      <c r="AA505" s="4">
        <v>3</v>
      </c>
      <c r="AB505" s="4" t="s">
        <v>52</v>
      </c>
    </row>
    <row r="506" spans="1:28" x14ac:dyDescent="0.25">
      <c r="A506" s="2" t="s">
        <v>1080</v>
      </c>
      <c r="B506" s="2" t="s">
        <v>347</v>
      </c>
      <c r="C506" s="2">
        <v>13</v>
      </c>
      <c r="D506" s="2" t="s">
        <v>55</v>
      </c>
      <c r="E506" s="2" t="s">
        <v>31</v>
      </c>
      <c r="F506" s="2" t="s">
        <v>80</v>
      </c>
      <c r="G506" s="3">
        <v>44968</v>
      </c>
      <c r="H506" s="3">
        <v>44974</v>
      </c>
      <c r="I506" s="2">
        <v>6</v>
      </c>
      <c r="J506" s="2" t="s">
        <v>33</v>
      </c>
      <c r="K506" s="2" t="s">
        <v>99</v>
      </c>
      <c r="L506" s="2" t="s">
        <v>100</v>
      </c>
      <c r="M506" s="2" t="s">
        <v>61</v>
      </c>
      <c r="N506" s="2" t="s">
        <v>118</v>
      </c>
      <c r="O506" s="2" t="s">
        <v>406</v>
      </c>
      <c r="P506" s="2">
        <v>170</v>
      </c>
      <c r="Q506" s="2" t="s">
        <v>103</v>
      </c>
      <c r="R506" s="2" t="s">
        <v>40</v>
      </c>
      <c r="S506" s="2">
        <v>180166</v>
      </c>
      <c r="T506" s="2">
        <v>74016</v>
      </c>
      <c r="U506" s="2">
        <v>106150</v>
      </c>
      <c r="V506" s="2">
        <v>149952</v>
      </c>
      <c r="W506" s="2">
        <v>25029</v>
      </c>
      <c r="X506" s="2">
        <v>4574</v>
      </c>
      <c r="Y506" s="2" t="s">
        <v>91</v>
      </c>
      <c r="Z506" s="2">
        <v>100</v>
      </c>
      <c r="AA506" s="2">
        <v>3.6</v>
      </c>
      <c r="AB506" s="2" t="s">
        <v>42</v>
      </c>
    </row>
    <row r="507" spans="1:28" x14ac:dyDescent="0.25">
      <c r="A507" s="4" t="s">
        <v>1081</v>
      </c>
      <c r="B507" s="4" t="s">
        <v>714</v>
      </c>
      <c r="C507" s="4">
        <v>10</v>
      </c>
      <c r="D507" s="4" t="s">
        <v>55</v>
      </c>
      <c r="E507" s="4" t="s">
        <v>79</v>
      </c>
      <c r="F507" s="4" t="s">
        <v>46</v>
      </c>
      <c r="G507" s="5">
        <v>44611</v>
      </c>
      <c r="H507" s="5">
        <v>44619</v>
      </c>
      <c r="I507" s="4">
        <v>8</v>
      </c>
      <c r="J507" s="4" t="s">
        <v>73</v>
      </c>
      <c r="K507" s="4" t="s">
        <v>74</v>
      </c>
      <c r="L507" s="4" t="s">
        <v>73</v>
      </c>
      <c r="M507" s="4" t="s">
        <v>134</v>
      </c>
      <c r="N507" s="4" t="s">
        <v>62</v>
      </c>
      <c r="O507" s="4" t="s">
        <v>171</v>
      </c>
      <c r="P507" s="4">
        <v>68</v>
      </c>
      <c r="Q507" s="4" t="s">
        <v>50</v>
      </c>
      <c r="R507" s="4" t="s">
        <v>90</v>
      </c>
      <c r="S507" s="4">
        <v>41149</v>
      </c>
      <c r="T507" s="4">
        <v>24938</v>
      </c>
      <c r="U507" s="4">
        <v>16211</v>
      </c>
      <c r="V507" s="4">
        <v>25061</v>
      </c>
      <c r="W507" s="4">
        <v>3421</v>
      </c>
      <c r="X507" s="4">
        <v>8765</v>
      </c>
      <c r="Y507" s="4" t="s">
        <v>41</v>
      </c>
      <c r="Z507" s="4">
        <v>74</v>
      </c>
      <c r="AA507" s="4">
        <v>3.8</v>
      </c>
      <c r="AB507" s="4" t="s">
        <v>64</v>
      </c>
    </row>
    <row r="508" spans="1:28" x14ac:dyDescent="0.25">
      <c r="A508" s="2" t="s">
        <v>1082</v>
      </c>
      <c r="B508" s="2" t="s">
        <v>261</v>
      </c>
      <c r="C508" s="2">
        <v>55</v>
      </c>
      <c r="D508" s="2" t="s">
        <v>55</v>
      </c>
      <c r="E508" s="2" t="s">
        <v>79</v>
      </c>
      <c r="F508" s="2" t="s">
        <v>80</v>
      </c>
      <c r="G508" s="3">
        <v>45432</v>
      </c>
      <c r="H508" s="3">
        <v>45449</v>
      </c>
      <c r="I508" s="2">
        <v>17</v>
      </c>
      <c r="J508" s="2" t="s">
        <v>123</v>
      </c>
      <c r="K508" s="2" t="s">
        <v>251</v>
      </c>
      <c r="L508" s="2" t="s">
        <v>125</v>
      </c>
      <c r="M508" s="2" t="s">
        <v>134</v>
      </c>
      <c r="N508" s="2" t="s">
        <v>37</v>
      </c>
      <c r="O508" s="2" t="s">
        <v>365</v>
      </c>
      <c r="P508" s="2">
        <v>136</v>
      </c>
      <c r="Q508" s="2" t="s">
        <v>103</v>
      </c>
      <c r="R508" s="2" t="s">
        <v>111</v>
      </c>
      <c r="S508" s="2">
        <v>100764</v>
      </c>
      <c r="T508" s="2">
        <v>89687</v>
      </c>
      <c r="U508" s="2">
        <v>11077</v>
      </c>
      <c r="V508" s="2">
        <v>81346</v>
      </c>
      <c r="W508" s="2">
        <v>15074</v>
      </c>
      <c r="X508" s="2">
        <v>2024</v>
      </c>
      <c r="Y508" s="2" t="s">
        <v>41</v>
      </c>
      <c r="Z508" s="2">
        <v>70</v>
      </c>
      <c r="AA508" s="2">
        <v>2.9</v>
      </c>
      <c r="AB508" s="2" t="s">
        <v>42</v>
      </c>
    </row>
    <row r="509" spans="1:28" x14ac:dyDescent="0.25">
      <c r="A509" s="4" t="s">
        <v>1083</v>
      </c>
      <c r="B509" s="4" t="s">
        <v>253</v>
      </c>
      <c r="C509" s="4">
        <v>53</v>
      </c>
      <c r="D509" s="4" t="s">
        <v>55</v>
      </c>
      <c r="E509" s="4" t="s">
        <v>87</v>
      </c>
      <c r="F509" s="4" t="s">
        <v>114</v>
      </c>
      <c r="G509" s="5">
        <v>45325</v>
      </c>
      <c r="H509" s="5">
        <v>45350</v>
      </c>
      <c r="I509" s="4">
        <v>25</v>
      </c>
      <c r="J509" s="4" t="s">
        <v>33</v>
      </c>
      <c r="K509" s="4" t="s">
        <v>99</v>
      </c>
      <c r="L509" s="4" t="s">
        <v>100</v>
      </c>
      <c r="M509" s="4" t="s">
        <v>83</v>
      </c>
      <c r="N509" s="4" t="s">
        <v>109</v>
      </c>
      <c r="O509" s="4" t="s">
        <v>464</v>
      </c>
      <c r="P509" s="4">
        <v>204</v>
      </c>
      <c r="Q509" s="4" t="s">
        <v>39</v>
      </c>
      <c r="R509" s="4" t="s">
        <v>111</v>
      </c>
      <c r="S509" s="4">
        <v>129687</v>
      </c>
      <c r="T509" s="4">
        <v>102822</v>
      </c>
      <c r="U509" s="4">
        <v>26865</v>
      </c>
      <c r="V509" s="4">
        <v>101946</v>
      </c>
      <c r="W509" s="4">
        <v>16623</v>
      </c>
      <c r="X509" s="4">
        <v>9726</v>
      </c>
      <c r="Y509" s="4" t="s">
        <v>41</v>
      </c>
      <c r="Z509" s="4">
        <v>91</v>
      </c>
      <c r="AA509" s="4">
        <v>3.9</v>
      </c>
      <c r="AB509" s="4" t="s">
        <v>104</v>
      </c>
    </row>
    <row r="510" spans="1:28" x14ac:dyDescent="0.25">
      <c r="A510" s="2" t="s">
        <v>1084</v>
      </c>
      <c r="B510" s="2" t="s">
        <v>1085</v>
      </c>
      <c r="C510" s="2">
        <v>26</v>
      </c>
      <c r="D510" s="2" t="s">
        <v>55</v>
      </c>
      <c r="E510" s="2" t="s">
        <v>87</v>
      </c>
      <c r="F510" s="2" t="s">
        <v>72</v>
      </c>
      <c r="G510" s="3">
        <v>45073</v>
      </c>
      <c r="H510" s="3">
        <v>45076</v>
      </c>
      <c r="I510" s="2">
        <v>3</v>
      </c>
      <c r="J510" s="2" t="s">
        <v>140</v>
      </c>
      <c r="K510" s="2" t="s">
        <v>141</v>
      </c>
      <c r="L510" s="2" t="s">
        <v>142</v>
      </c>
      <c r="M510" s="2" t="s">
        <v>101</v>
      </c>
      <c r="N510" s="2" t="s">
        <v>37</v>
      </c>
      <c r="O510" s="2" t="s">
        <v>295</v>
      </c>
      <c r="P510" s="2">
        <v>390</v>
      </c>
      <c r="Q510" s="2" t="s">
        <v>39</v>
      </c>
      <c r="R510" s="2" t="s">
        <v>90</v>
      </c>
      <c r="S510" s="2">
        <v>153902</v>
      </c>
      <c r="T510" s="2">
        <v>126531</v>
      </c>
      <c r="U510" s="2">
        <v>27371</v>
      </c>
      <c r="V510" s="2">
        <v>134346</v>
      </c>
      <c r="W510" s="2">
        <v>9258</v>
      </c>
      <c r="X510" s="2">
        <v>7247</v>
      </c>
      <c r="Y510" s="2" t="s">
        <v>41</v>
      </c>
      <c r="Z510" s="2">
        <v>42</v>
      </c>
      <c r="AA510" s="2">
        <v>3</v>
      </c>
      <c r="AB510" s="2" t="s">
        <v>42</v>
      </c>
    </row>
    <row r="511" spans="1:28" x14ac:dyDescent="0.25">
      <c r="A511" s="4" t="s">
        <v>1086</v>
      </c>
      <c r="B511" s="4" t="s">
        <v>1087</v>
      </c>
      <c r="C511" s="4">
        <v>5</v>
      </c>
      <c r="D511" s="4" t="s">
        <v>30</v>
      </c>
      <c r="E511" s="4" t="s">
        <v>31</v>
      </c>
      <c r="F511" s="4" t="s">
        <v>94</v>
      </c>
      <c r="G511" s="5">
        <v>45562</v>
      </c>
      <c r="H511" s="5">
        <v>45580</v>
      </c>
      <c r="I511" s="4">
        <v>18</v>
      </c>
      <c r="J511" s="4" t="s">
        <v>33</v>
      </c>
      <c r="K511" s="4" t="s">
        <v>174</v>
      </c>
      <c r="L511" s="4" t="s">
        <v>48</v>
      </c>
      <c r="M511" s="4" t="s">
        <v>61</v>
      </c>
      <c r="N511" s="4" t="s">
        <v>118</v>
      </c>
      <c r="O511" s="4" t="s">
        <v>189</v>
      </c>
      <c r="P511" s="4">
        <v>264</v>
      </c>
      <c r="Q511" s="4" t="s">
        <v>69</v>
      </c>
      <c r="R511" s="4" t="s">
        <v>90</v>
      </c>
      <c r="S511" s="4">
        <v>145854</v>
      </c>
      <c r="T511" s="4">
        <v>93082</v>
      </c>
      <c r="U511" s="4">
        <v>52772</v>
      </c>
      <c r="V511" s="4">
        <v>116595</v>
      </c>
      <c r="W511" s="4">
        <v>23913</v>
      </c>
      <c r="X511" s="4">
        <v>1769</v>
      </c>
      <c r="Y511" s="4" t="s">
        <v>91</v>
      </c>
      <c r="Z511" s="4">
        <v>73</v>
      </c>
      <c r="AA511" s="4">
        <v>4.2</v>
      </c>
      <c r="AB511" s="4" t="s">
        <v>64</v>
      </c>
    </row>
    <row r="512" spans="1:28" x14ac:dyDescent="0.25">
      <c r="A512" s="2" t="s">
        <v>1088</v>
      </c>
      <c r="B512" s="2" t="s">
        <v>721</v>
      </c>
      <c r="C512" s="2">
        <v>19</v>
      </c>
      <c r="D512" s="2" t="s">
        <v>55</v>
      </c>
      <c r="E512" s="2" t="s">
        <v>67</v>
      </c>
      <c r="F512" s="2" t="s">
        <v>150</v>
      </c>
      <c r="G512" s="3">
        <v>44911</v>
      </c>
      <c r="H512" s="3">
        <v>44932</v>
      </c>
      <c r="I512" s="2">
        <v>21</v>
      </c>
      <c r="J512" s="2" t="s">
        <v>202</v>
      </c>
      <c r="K512" s="2" t="s">
        <v>225</v>
      </c>
      <c r="L512" s="2" t="s">
        <v>226</v>
      </c>
      <c r="M512" s="2" t="s">
        <v>143</v>
      </c>
      <c r="N512" s="2" t="s">
        <v>37</v>
      </c>
      <c r="O512" s="2" t="s">
        <v>368</v>
      </c>
      <c r="P512" s="2">
        <v>152</v>
      </c>
      <c r="Q512" s="2" t="s">
        <v>69</v>
      </c>
      <c r="R512" s="2" t="s">
        <v>111</v>
      </c>
      <c r="S512" s="2">
        <v>124360</v>
      </c>
      <c r="T512" s="2">
        <v>94109</v>
      </c>
      <c r="U512" s="2">
        <v>30251</v>
      </c>
      <c r="V512" s="2">
        <v>82128</v>
      </c>
      <c r="W512" s="2">
        <v>24591</v>
      </c>
      <c r="X512" s="2">
        <v>14921</v>
      </c>
      <c r="Y512" s="2" t="s">
        <v>41</v>
      </c>
      <c r="Z512" s="2">
        <v>63</v>
      </c>
      <c r="AA512" s="2">
        <v>3.7</v>
      </c>
      <c r="AB512" s="2" t="s">
        <v>64</v>
      </c>
    </row>
    <row r="513" spans="1:28" x14ac:dyDescent="0.25">
      <c r="A513" s="4" t="s">
        <v>1089</v>
      </c>
      <c r="B513" s="4" t="s">
        <v>821</v>
      </c>
      <c r="C513" s="4">
        <v>71</v>
      </c>
      <c r="D513" s="4" t="s">
        <v>55</v>
      </c>
      <c r="E513" s="4" t="s">
        <v>45</v>
      </c>
      <c r="F513" s="4" t="s">
        <v>94</v>
      </c>
      <c r="G513" s="5">
        <v>45076</v>
      </c>
      <c r="H513" s="5">
        <v>45092</v>
      </c>
      <c r="I513" s="4">
        <v>16</v>
      </c>
      <c r="J513" s="4" t="s">
        <v>33</v>
      </c>
      <c r="K513" s="4" t="s">
        <v>107</v>
      </c>
      <c r="L513" s="4" t="s">
        <v>48</v>
      </c>
      <c r="M513" s="4" t="s">
        <v>95</v>
      </c>
      <c r="N513" s="4" t="s">
        <v>109</v>
      </c>
      <c r="O513" s="4" t="s">
        <v>340</v>
      </c>
      <c r="P513" s="4">
        <v>367</v>
      </c>
      <c r="Q513" s="4" t="s">
        <v>103</v>
      </c>
      <c r="R513" s="4" t="s">
        <v>90</v>
      </c>
      <c r="S513" s="4">
        <v>108088</v>
      </c>
      <c r="T513" s="4">
        <v>80109</v>
      </c>
      <c r="U513" s="4">
        <v>27979</v>
      </c>
      <c r="V513" s="4">
        <v>88280</v>
      </c>
      <c r="W513" s="4">
        <v>14641</v>
      </c>
      <c r="X513" s="4">
        <v>3436</v>
      </c>
      <c r="Y513" s="4" t="s">
        <v>41</v>
      </c>
      <c r="Z513" s="4">
        <v>40</v>
      </c>
      <c r="AA513" s="4">
        <v>2.9</v>
      </c>
      <c r="AB513" s="4" t="s">
        <v>64</v>
      </c>
    </row>
    <row r="514" spans="1:28" x14ac:dyDescent="0.25">
      <c r="A514" s="2" t="s">
        <v>1090</v>
      </c>
      <c r="B514" s="2" t="s">
        <v>1091</v>
      </c>
      <c r="C514" s="2">
        <v>73</v>
      </c>
      <c r="D514" s="2" t="s">
        <v>30</v>
      </c>
      <c r="E514" s="2" t="s">
        <v>45</v>
      </c>
      <c r="F514" s="2" t="s">
        <v>157</v>
      </c>
      <c r="G514" s="3">
        <v>44687</v>
      </c>
      <c r="H514" s="3">
        <v>44707</v>
      </c>
      <c r="I514" s="2">
        <v>20</v>
      </c>
      <c r="J514" s="2" t="s">
        <v>33</v>
      </c>
      <c r="K514" s="2" t="s">
        <v>107</v>
      </c>
      <c r="L514" s="2" t="s">
        <v>48</v>
      </c>
      <c r="M514" s="2" t="s">
        <v>143</v>
      </c>
      <c r="N514" s="2" t="s">
        <v>62</v>
      </c>
      <c r="O514" s="2" t="s">
        <v>434</v>
      </c>
      <c r="P514" s="2">
        <v>453</v>
      </c>
      <c r="Q514" s="2" t="s">
        <v>39</v>
      </c>
      <c r="R514" s="2" t="s">
        <v>136</v>
      </c>
      <c r="S514" s="2">
        <v>23841</v>
      </c>
      <c r="T514" s="2">
        <v>0</v>
      </c>
      <c r="U514" s="2">
        <v>23841</v>
      </c>
      <c r="V514" s="2">
        <v>8703</v>
      </c>
      <c r="W514" s="2">
        <v>7312</v>
      </c>
      <c r="X514" s="2">
        <v>4998</v>
      </c>
      <c r="Y514" s="2" t="s">
        <v>41</v>
      </c>
      <c r="Z514" s="2">
        <v>95</v>
      </c>
      <c r="AA514" s="2">
        <v>3.3</v>
      </c>
      <c r="AB514" s="2" t="s">
        <v>52</v>
      </c>
    </row>
    <row r="515" spans="1:28" x14ac:dyDescent="0.25">
      <c r="A515" s="4" t="s">
        <v>1092</v>
      </c>
      <c r="B515" s="4" t="s">
        <v>1093</v>
      </c>
      <c r="C515" s="4">
        <v>56</v>
      </c>
      <c r="D515" s="4" t="s">
        <v>30</v>
      </c>
      <c r="E515" s="4" t="s">
        <v>31</v>
      </c>
      <c r="F515" s="4" t="s">
        <v>157</v>
      </c>
      <c r="G515" s="5">
        <v>44874</v>
      </c>
      <c r="H515" s="5">
        <v>44878</v>
      </c>
      <c r="I515" s="4">
        <v>4</v>
      </c>
      <c r="J515" s="4" t="s">
        <v>115</v>
      </c>
      <c r="K515" s="4" t="s">
        <v>160</v>
      </c>
      <c r="L515" s="4" t="s">
        <v>117</v>
      </c>
      <c r="M515" s="4" t="s">
        <v>143</v>
      </c>
      <c r="N515" s="4" t="s">
        <v>118</v>
      </c>
      <c r="O515" s="4" t="s">
        <v>520</v>
      </c>
      <c r="P515" s="4">
        <v>65</v>
      </c>
      <c r="Q515" s="4" t="s">
        <v>103</v>
      </c>
      <c r="R515" s="4" t="s">
        <v>136</v>
      </c>
      <c r="S515" s="4">
        <v>122086</v>
      </c>
      <c r="T515" s="4">
        <v>0</v>
      </c>
      <c r="U515" s="4">
        <v>122086</v>
      </c>
      <c r="V515" s="4">
        <v>77676</v>
      </c>
      <c r="W515" s="4">
        <v>27453</v>
      </c>
      <c r="X515" s="4">
        <v>12579</v>
      </c>
      <c r="Y515" s="4" t="s">
        <v>41</v>
      </c>
      <c r="Z515" s="4">
        <v>40</v>
      </c>
      <c r="AA515" s="4">
        <v>4.4000000000000004</v>
      </c>
      <c r="AB515" s="4" t="s">
        <v>64</v>
      </c>
    </row>
    <row r="516" spans="1:28" x14ac:dyDescent="0.25">
      <c r="A516" s="2" t="s">
        <v>1094</v>
      </c>
      <c r="B516" s="2" t="s">
        <v>1095</v>
      </c>
      <c r="C516" s="2">
        <v>23</v>
      </c>
      <c r="D516" s="2" t="s">
        <v>55</v>
      </c>
      <c r="E516" s="2" t="s">
        <v>154</v>
      </c>
      <c r="F516" s="2" t="s">
        <v>150</v>
      </c>
      <c r="G516" s="3">
        <v>44562</v>
      </c>
      <c r="H516" s="3">
        <v>44573</v>
      </c>
      <c r="I516" s="2">
        <v>11</v>
      </c>
      <c r="J516" s="2" t="s">
        <v>202</v>
      </c>
      <c r="K516" s="2" t="s">
        <v>203</v>
      </c>
      <c r="L516" s="2" t="s">
        <v>204</v>
      </c>
      <c r="M516" s="2" t="s">
        <v>143</v>
      </c>
      <c r="N516" s="2" t="s">
        <v>37</v>
      </c>
      <c r="O516" s="2" t="s">
        <v>448</v>
      </c>
      <c r="P516" s="2">
        <v>168</v>
      </c>
      <c r="Q516" s="2" t="s">
        <v>50</v>
      </c>
      <c r="R516" s="2" t="s">
        <v>51</v>
      </c>
      <c r="S516" s="2">
        <v>58035</v>
      </c>
      <c r="T516" s="2">
        <v>29783</v>
      </c>
      <c r="U516" s="2">
        <v>28252</v>
      </c>
      <c r="V516" s="2">
        <v>35748</v>
      </c>
      <c r="W516" s="2">
        <v>8889</v>
      </c>
      <c r="X516" s="2">
        <v>9677</v>
      </c>
      <c r="Y516" s="2" t="s">
        <v>41</v>
      </c>
      <c r="Z516" s="2">
        <v>70</v>
      </c>
      <c r="AA516" s="2">
        <v>3.1</v>
      </c>
      <c r="AB516" s="2" t="s">
        <v>42</v>
      </c>
    </row>
    <row r="517" spans="1:28" x14ac:dyDescent="0.25">
      <c r="A517" s="4" t="s">
        <v>1096</v>
      </c>
      <c r="B517" s="4" t="s">
        <v>1097</v>
      </c>
      <c r="C517" s="4">
        <v>15</v>
      </c>
      <c r="D517" s="4" t="s">
        <v>55</v>
      </c>
      <c r="E517" s="4" t="s">
        <v>154</v>
      </c>
      <c r="F517" s="4" t="s">
        <v>46</v>
      </c>
      <c r="G517" s="5">
        <v>44854</v>
      </c>
      <c r="H517" s="5">
        <v>44881</v>
      </c>
      <c r="I517" s="4">
        <v>27</v>
      </c>
      <c r="J517" s="4" t="s">
        <v>33</v>
      </c>
      <c r="K517" s="4" t="s">
        <v>81</v>
      </c>
      <c r="L517" s="4" t="s">
        <v>82</v>
      </c>
      <c r="M517" s="4" t="s">
        <v>83</v>
      </c>
      <c r="N517" s="4" t="s">
        <v>37</v>
      </c>
      <c r="O517" s="4" t="s">
        <v>438</v>
      </c>
      <c r="P517" s="4">
        <v>286</v>
      </c>
      <c r="Q517" s="4" t="s">
        <v>103</v>
      </c>
      <c r="R517" s="4" t="s">
        <v>136</v>
      </c>
      <c r="S517" s="4">
        <v>71677</v>
      </c>
      <c r="T517" s="4">
        <v>0</v>
      </c>
      <c r="U517" s="4">
        <v>71677</v>
      </c>
      <c r="V517" s="4">
        <v>51664</v>
      </c>
      <c r="W517" s="4">
        <v>1828</v>
      </c>
      <c r="X517" s="4">
        <v>14690</v>
      </c>
      <c r="Y517" s="4" t="s">
        <v>41</v>
      </c>
      <c r="Z517" s="4">
        <v>89</v>
      </c>
      <c r="AA517" s="4">
        <v>4</v>
      </c>
      <c r="AB517" s="4" t="s">
        <v>137</v>
      </c>
    </row>
    <row r="518" spans="1:28" x14ac:dyDescent="0.25">
      <c r="A518" s="2" t="s">
        <v>1098</v>
      </c>
      <c r="B518" s="2" t="s">
        <v>854</v>
      </c>
      <c r="C518" s="2">
        <v>76</v>
      </c>
      <c r="D518" s="2" t="s">
        <v>55</v>
      </c>
      <c r="E518" s="2" t="s">
        <v>67</v>
      </c>
      <c r="F518" s="2" t="s">
        <v>80</v>
      </c>
      <c r="G518" s="3">
        <v>44928</v>
      </c>
      <c r="H518" s="3">
        <v>44958</v>
      </c>
      <c r="I518" s="2">
        <v>30</v>
      </c>
      <c r="J518" s="2" t="s">
        <v>123</v>
      </c>
      <c r="K518" s="2" t="s">
        <v>251</v>
      </c>
      <c r="L518" s="2" t="s">
        <v>125</v>
      </c>
      <c r="M518" s="2" t="s">
        <v>83</v>
      </c>
      <c r="N518" s="2" t="s">
        <v>118</v>
      </c>
      <c r="O518" s="2" t="s">
        <v>358</v>
      </c>
      <c r="P518" s="2">
        <v>3</v>
      </c>
      <c r="Q518" s="2" t="s">
        <v>50</v>
      </c>
      <c r="R518" s="2" t="s">
        <v>136</v>
      </c>
      <c r="S518" s="2">
        <v>52031</v>
      </c>
      <c r="T518" s="2">
        <v>0</v>
      </c>
      <c r="U518" s="2">
        <v>52031</v>
      </c>
      <c r="V518" s="2">
        <v>29669</v>
      </c>
      <c r="W518" s="2">
        <v>13087</v>
      </c>
      <c r="X518" s="2">
        <v>4657</v>
      </c>
      <c r="Y518" s="2" t="s">
        <v>41</v>
      </c>
      <c r="Z518" s="2">
        <v>78</v>
      </c>
      <c r="AA518" s="2">
        <v>2.8</v>
      </c>
      <c r="AB518" s="2" t="s">
        <v>52</v>
      </c>
    </row>
    <row r="519" spans="1:28" x14ac:dyDescent="0.25">
      <c r="A519" s="4" t="s">
        <v>1099</v>
      </c>
      <c r="B519" s="4" t="s">
        <v>790</v>
      </c>
      <c r="C519" s="4">
        <v>55</v>
      </c>
      <c r="D519" s="4" t="s">
        <v>55</v>
      </c>
      <c r="E519" s="4" t="s">
        <v>79</v>
      </c>
      <c r="F519" s="4" t="s">
        <v>46</v>
      </c>
      <c r="G519" s="5">
        <v>44679</v>
      </c>
      <c r="H519" s="5">
        <v>44698</v>
      </c>
      <c r="I519" s="4">
        <v>19</v>
      </c>
      <c r="J519" s="4" t="s">
        <v>123</v>
      </c>
      <c r="K519" s="4" t="s">
        <v>251</v>
      </c>
      <c r="L519" s="4" t="s">
        <v>125</v>
      </c>
      <c r="M519" s="4" t="s">
        <v>101</v>
      </c>
      <c r="N519" s="4" t="s">
        <v>37</v>
      </c>
      <c r="O519" s="4" t="s">
        <v>591</v>
      </c>
      <c r="P519" s="4">
        <v>243</v>
      </c>
      <c r="Q519" s="4" t="s">
        <v>69</v>
      </c>
      <c r="R519" s="4" t="s">
        <v>90</v>
      </c>
      <c r="S519" s="4">
        <v>116111</v>
      </c>
      <c r="T519" s="4">
        <v>94246</v>
      </c>
      <c r="U519" s="4">
        <v>21865</v>
      </c>
      <c r="V519" s="4">
        <v>101871</v>
      </c>
      <c r="W519" s="4">
        <v>1944</v>
      </c>
      <c r="X519" s="4">
        <v>10542</v>
      </c>
      <c r="Y519" s="4" t="s">
        <v>41</v>
      </c>
      <c r="Z519" s="4">
        <v>94</v>
      </c>
      <c r="AA519" s="4">
        <v>2.4</v>
      </c>
      <c r="AB519" s="4" t="s">
        <v>137</v>
      </c>
    </row>
    <row r="520" spans="1:28" x14ac:dyDescent="0.25">
      <c r="A520" s="2" t="s">
        <v>1100</v>
      </c>
      <c r="B520" s="2" t="s">
        <v>1101</v>
      </c>
      <c r="C520" s="2">
        <v>12</v>
      </c>
      <c r="D520" s="2" t="s">
        <v>30</v>
      </c>
      <c r="E520" s="2" t="s">
        <v>122</v>
      </c>
      <c r="F520" s="2" t="s">
        <v>80</v>
      </c>
      <c r="G520" s="3">
        <v>44761</v>
      </c>
      <c r="H520" s="3">
        <v>44789</v>
      </c>
      <c r="I520" s="2">
        <v>28</v>
      </c>
      <c r="J520" s="2" t="s">
        <v>33</v>
      </c>
      <c r="K520" s="2" t="s">
        <v>99</v>
      </c>
      <c r="L520" s="2" t="s">
        <v>100</v>
      </c>
      <c r="M520" s="2" t="s">
        <v>61</v>
      </c>
      <c r="N520" s="2" t="s">
        <v>62</v>
      </c>
      <c r="O520" s="2" t="s">
        <v>222</v>
      </c>
      <c r="P520" s="2">
        <v>460</v>
      </c>
      <c r="Q520" s="2" t="s">
        <v>39</v>
      </c>
      <c r="R520" s="2" t="s">
        <v>51</v>
      </c>
      <c r="S520" s="2">
        <v>123464</v>
      </c>
      <c r="T520" s="2">
        <v>64808</v>
      </c>
      <c r="U520" s="2">
        <v>58656</v>
      </c>
      <c r="V520" s="2">
        <v>101011</v>
      </c>
      <c r="W520" s="2">
        <v>17919</v>
      </c>
      <c r="X520" s="2">
        <v>732</v>
      </c>
      <c r="Y520" s="2" t="s">
        <v>41</v>
      </c>
      <c r="Z520" s="2">
        <v>43</v>
      </c>
      <c r="AA520" s="2">
        <v>2.2000000000000002</v>
      </c>
      <c r="AB520" s="2" t="s">
        <v>42</v>
      </c>
    </row>
    <row r="521" spans="1:28" x14ac:dyDescent="0.25">
      <c r="A521" s="4" t="s">
        <v>1102</v>
      </c>
      <c r="B521" s="4" t="s">
        <v>876</v>
      </c>
      <c r="C521" s="4">
        <v>15</v>
      </c>
      <c r="D521" s="4" t="s">
        <v>55</v>
      </c>
      <c r="E521" s="4" t="s">
        <v>87</v>
      </c>
      <c r="F521" s="4" t="s">
        <v>57</v>
      </c>
      <c r="G521" s="5">
        <v>45126</v>
      </c>
      <c r="H521" s="5">
        <v>45146</v>
      </c>
      <c r="I521" s="4">
        <v>20</v>
      </c>
      <c r="J521" s="4" t="s">
        <v>115</v>
      </c>
      <c r="K521" s="4" t="s">
        <v>160</v>
      </c>
      <c r="L521" s="4" t="s">
        <v>117</v>
      </c>
      <c r="M521" s="4" t="s">
        <v>108</v>
      </c>
      <c r="N521" s="4" t="s">
        <v>109</v>
      </c>
      <c r="O521" s="4" t="s">
        <v>428</v>
      </c>
      <c r="P521" s="4">
        <v>141</v>
      </c>
      <c r="Q521" s="4" t="s">
        <v>50</v>
      </c>
      <c r="R521" s="4" t="s">
        <v>90</v>
      </c>
      <c r="S521" s="4">
        <v>121800</v>
      </c>
      <c r="T521" s="4">
        <v>93769</v>
      </c>
      <c r="U521" s="4">
        <v>28031</v>
      </c>
      <c r="V521" s="4">
        <v>94509</v>
      </c>
      <c r="W521" s="4">
        <v>16278</v>
      </c>
      <c r="X521" s="4">
        <v>9808</v>
      </c>
      <c r="Y521" s="4" t="s">
        <v>41</v>
      </c>
      <c r="Z521" s="4">
        <v>47</v>
      </c>
      <c r="AA521" s="4">
        <v>4.8</v>
      </c>
      <c r="AB521" s="4" t="s">
        <v>64</v>
      </c>
    </row>
    <row r="522" spans="1:28" x14ac:dyDescent="0.25">
      <c r="A522" s="2" t="s">
        <v>1103</v>
      </c>
      <c r="B522" s="2" t="s">
        <v>1104</v>
      </c>
      <c r="C522" s="2">
        <v>28</v>
      </c>
      <c r="D522" s="2" t="s">
        <v>30</v>
      </c>
      <c r="E522" s="2" t="s">
        <v>122</v>
      </c>
      <c r="F522" s="2" t="s">
        <v>129</v>
      </c>
      <c r="G522" s="3">
        <v>44583</v>
      </c>
      <c r="H522" s="3">
        <v>44590</v>
      </c>
      <c r="I522" s="2">
        <v>7</v>
      </c>
      <c r="J522" s="2" t="s">
        <v>58</v>
      </c>
      <c r="K522" s="2" t="s">
        <v>88</v>
      </c>
      <c r="L522" s="2" t="s">
        <v>60</v>
      </c>
      <c r="M522" s="2" t="s">
        <v>36</v>
      </c>
      <c r="N522" s="2" t="s">
        <v>109</v>
      </c>
      <c r="O522" s="2" t="s">
        <v>543</v>
      </c>
      <c r="P522" s="2">
        <v>383</v>
      </c>
      <c r="Q522" s="2" t="s">
        <v>39</v>
      </c>
      <c r="R522" s="2" t="s">
        <v>136</v>
      </c>
      <c r="S522" s="2">
        <v>47326</v>
      </c>
      <c r="T522" s="2">
        <v>0</v>
      </c>
      <c r="U522" s="2">
        <v>47326</v>
      </c>
      <c r="V522" s="2">
        <v>18981</v>
      </c>
      <c r="W522" s="2">
        <v>13429</v>
      </c>
      <c r="X522" s="2">
        <v>12065</v>
      </c>
      <c r="Y522" s="2" t="s">
        <v>41</v>
      </c>
      <c r="Z522" s="2">
        <v>48</v>
      </c>
      <c r="AA522" s="2">
        <v>3.7</v>
      </c>
      <c r="AB522" s="2" t="s">
        <v>137</v>
      </c>
    </row>
    <row r="523" spans="1:28" x14ac:dyDescent="0.25">
      <c r="A523" s="4" t="s">
        <v>1105</v>
      </c>
      <c r="B523" s="4" t="s">
        <v>954</v>
      </c>
      <c r="C523" s="4">
        <v>39</v>
      </c>
      <c r="D523" s="4" t="s">
        <v>55</v>
      </c>
      <c r="E523" s="4" t="s">
        <v>154</v>
      </c>
      <c r="F523" s="4" t="s">
        <v>46</v>
      </c>
      <c r="G523" s="5">
        <v>45093</v>
      </c>
      <c r="H523" s="5">
        <v>45116</v>
      </c>
      <c r="I523" s="4">
        <v>23</v>
      </c>
      <c r="J523" s="4" t="s">
        <v>33</v>
      </c>
      <c r="K523" s="4" t="s">
        <v>107</v>
      </c>
      <c r="L523" s="4" t="s">
        <v>48</v>
      </c>
      <c r="M523" s="4" t="s">
        <v>36</v>
      </c>
      <c r="N523" s="4" t="s">
        <v>37</v>
      </c>
      <c r="O523" s="4" t="s">
        <v>379</v>
      </c>
      <c r="P523" s="4">
        <v>187</v>
      </c>
      <c r="Q523" s="4" t="s">
        <v>50</v>
      </c>
      <c r="R523" s="4" t="s">
        <v>51</v>
      </c>
      <c r="S523" s="4">
        <v>163794</v>
      </c>
      <c r="T523" s="4">
        <v>67322</v>
      </c>
      <c r="U523" s="4">
        <v>96472</v>
      </c>
      <c r="V523" s="4">
        <v>122879</v>
      </c>
      <c r="W523" s="4">
        <v>28181</v>
      </c>
      <c r="X523" s="4">
        <v>10838</v>
      </c>
      <c r="Y523" s="4" t="s">
        <v>41</v>
      </c>
      <c r="Z523" s="4">
        <v>64</v>
      </c>
      <c r="AA523" s="4">
        <v>2.5</v>
      </c>
      <c r="AB523" s="4" t="s">
        <v>42</v>
      </c>
    </row>
    <row r="524" spans="1:28" x14ac:dyDescent="0.25">
      <c r="A524" s="2" t="s">
        <v>1106</v>
      </c>
      <c r="B524" s="2" t="s">
        <v>1107</v>
      </c>
      <c r="C524" s="2">
        <v>49</v>
      </c>
      <c r="D524" s="2" t="s">
        <v>30</v>
      </c>
      <c r="E524" s="2" t="s">
        <v>31</v>
      </c>
      <c r="F524" s="2" t="s">
        <v>80</v>
      </c>
      <c r="G524" s="3">
        <v>45593</v>
      </c>
      <c r="H524" s="3">
        <v>45611</v>
      </c>
      <c r="I524" s="2">
        <v>18</v>
      </c>
      <c r="J524" s="2" t="s">
        <v>140</v>
      </c>
      <c r="K524" s="2" t="s">
        <v>167</v>
      </c>
      <c r="L524" s="2" t="s">
        <v>142</v>
      </c>
      <c r="M524" s="2" t="s">
        <v>75</v>
      </c>
      <c r="N524" s="2" t="s">
        <v>109</v>
      </c>
      <c r="O524" s="2" t="s">
        <v>543</v>
      </c>
      <c r="P524" s="2">
        <v>240</v>
      </c>
      <c r="Q524" s="2" t="s">
        <v>50</v>
      </c>
      <c r="R524" s="2" t="s">
        <v>90</v>
      </c>
      <c r="S524" s="2">
        <v>66479</v>
      </c>
      <c r="T524" s="2">
        <v>49365</v>
      </c>
      <c r="U524" s="2">
        <v>17114</v>
      </c>
      <c r="V524" s="2">
        <v>35224</v>
      </c>
      <c r="W524" s="2">
        <v>17942</v>
      </c>
      <c r="X524" s="2">
        <v>11286</v>
      </c>
      <c r="Y524" s="2" t="s">
        <v>41</v>
      </c>
      <c r="Z524" s="2">
        <v>60</v>
      </c>
      <c r="AA524" s="2">
        <v>3.1</v>
      </c>
      <c r="AB524" s="2" t="s">
        <v>137</v>
      </c>
    </row>
    <row r="525" spans="1:28" x14ac:dyDescent="0.25">
      <c r="A525" s="4" t="s">
        <v>1108</v>
      </c>
      <c r="B525" s="4" t="s">
        <v>1109</v>
      </c>
      <c r="C525" s="4">
        <v>9</v>
      </c>
      <c r="D525" s="4" t="s">
        <v>30</v>
      </c>
      <c r="E525" s="4" t="s">
        <v>56</v>
      </c>
      <c r="F525" s="4" t="s">
        <v>80</v>
      </c>
      <c r="G525" s="5">
        <v>44578</v>
      </c>
      <c r="H525" s="5">
        <v>44584</v>
      </c>
      <c r="I525" s="4">
        <v>6</v>
      </c>
      <c r="J525" s="4" t="s">
        <v>33</v>
      </c>
      <c r="K525" s="4" t="s">
        <v>81</v>
      </c>
      <c r="L525" s="4" t="s">
        <v>82</v>
      </c>
      <c r="M525" s="4" t="s">
        <v>95</v>
      </c>
      <c r="N525" s="4" t="s">
        <v>118</v>
      </c>
      <c r="O525" s="4" t="s">
        <v>241</v>
      </c>
      <c r="P525" s="4">
        <v>468</v>
      </c>
      <c r="Q525" s="4" t="s">
        <v>50</v>
      </c>
      <c r="R525" s="4" t="s">
        <v>136</v>
      </c>
      <c r="S525" s="4">
        <v>75442</v>
      </c>
      <c r="T525" s="4">
        <v>0</v>
      </c>
      <c r="U525" s="4">
        <v>75442</v>
      </c>
      <c r="V525" s="4">
        <v>47662</v>
      </c>
      <c r="W525" s="4">
        <v>16297</v>
      </c>
      <c r="X525" s="4">
        <v>9458</v>
      </c>
      <c r="Y525" s="4" t="s">
        <v>41</v>
      </c>
      <c r="Z525" s="4">
        <v>68</v>
      </c>
      <c r="AA525" s="4">
        <v>4.4000000000000004</v>
      </c>
      <c r="AB525" s="4" t="s">
        <v>137</v>
      </c>
    </row>
    <row r="526" spans="1:28" x14ac:dyDescent="0.25">
      <c r="A526" s="2" t="s">
        <v>1110</v>
      </c>
      <c r="B526" s="2" t="s">
        <v>1111</v>
      </c>
      <c r="C526" s="2">
        <v>60</v>
      </c>
      <c r="D526" s="2" t="s">
        <v>30</v>
      </c>
      <c r="E526" s="2" t="s">
        <v>87</v>
      </c>
      <c r="F526" s="2" t="s">
        <v>32</v>
      </c>
      <c r="G526" s="3">
        <v>45079</v>
      </c>
      <c r="H526" s="3">
        <v>45103</v>
      </c>
      <c r="I526" s="2">
        <v>24</v>
      </c>
      <c r="J526" s="2" t="s">
        <v>58</v>
      </c>
      <c r="K526" s="2" t="s">
        <v>88</v>
      </c>
      <c r="L526" s="2" t="s">
        <v>60</v>
      </c>
      <c r="M526" s="2" t="s">
        <v>95</v>
      </c>
      <c r="N526" s="2" t="s">
        <v>37</v>
      </c>
      <c r="O526" s="2" t="s">
        <v>63</v>
      </c>
      <c r="P526" s="2">
        <v>21</v>
      </c>
      <c r="Q526" s="2" t="s">
        <v>39</v>
      </c>
      <c r="R526" s="2" t="s">
        <v>51</v>
      </c>
      <c r="S526" s="2">
        <v>58250</v>
      </c>
      <c r="T526" s="2">
        <v>39971</v>
      </c>
      <c r="U526" s="2">
        <v>18279</v>
      </c>
      <c r="V526" s="2">
        <v>33273</v>
      </c>
      <c r="W526" s="2">
        <v>14794</v>
      </c>
      <c r="X526" s="2">
        <v>7477</v>
      </c>
      <c r="Y526" s="2" t="s">
        <v>41</v>
      </c>
      <c r="Z526" s="2">
        <v>41</v>
      </c>
      <c r="AA526" s="2">
        <v>2.5</v>
      </c>
      <c r="AB526" s="2" t="s">
        <v>64</v>
      </c>
    </row>
    <row r="527" spans="1:28" x14ac:dyDescent="0.25">
      <c r="A527" s="4" t="s">
        <v>1112</v>
      </c>
      <c r="B527" s="4" t="s">
        <v>1113</v>
      </c>
      <c r="C527" s="4">
        <v>81</v>
      </c>
      <c r="D527" s="4" t="s">
        <v>55</v>
      </c>
      <c r="E527" s="4" t="s">
        <v>154</v>
      </c>
      <c r="F527" s="4" t="s">
        <v>129</v>
      </c>
      <c r="G527" s="5">
        <v>45244</v>
      </c>
      <c r="H527" s="5">
        <v>45270</v>
      </c>
      <c r="I527" s="4">
        <v>26</v>
      </c>
      <c r="J527" s="4" t="s">
        <v>33</v>
      </c>
      <c r="K527" s="4" t="s">
        <v>197</v>
      </c>
      <c r="L527" s="4" t="s">
        <v>198</v>
      </c>
      <c r="M527" s="4" t="s">
        <v>134</v>
      </c>
      <c r="N527" s="4" t="s">
        <v>109</v>
      </c>
      <c r="O527" s="4" t="s">
        <v>416</v>
      </c>
      <c r="P527" s="4">
        <v>203</v>
      </c>
      <c r="Q527" s="4" t="s">
        <v>39</v>
      </c>
      <c r="R527" s="4" t="s">
        <v>111</v>
      </c>
      <c r="S527" s="4">
        <v>32859</v>
      </c>
      <c r="T527" s="4">
        <v>28419</v>
      </c>
      <c r="U527" s="4">
        <v>4440</v>
      </c>
      <c r="V527" s="4">
        <v>5221</v>
      </c>
      <c r="W527" s="4">
        <v>22581</v>
      </c>
      <c r="X527" s="4">
        <v>2916</v>
      </c>
      <c r="Y527" s="4" t="s">
        <v>41</v>
      </c>
      <c r="Z527" s="4">
        <v>45</v>
      </c>
      <c r="AA527" s="4">
        <v>2.6</v>
      </c>
      <c r="AB527" s="4" t="s">
        <v>64</v>
      </c>
    </row>
    <row r="528" spans="1:28" x14ac:dyDescent="0.25">
      <c r="A528" s="2" t="s">
        <v>1114</v>
      </c>
      <c r="B528" s="2" t="s">
        <v>1115</v>
      </c>
      <c r="C528" s="2">
        <v>36</v>
      </c>
      <c r="D528" s="2" t="s">
        <v>55</v>
      </c>
      <c r="E528" s="2" t="s">
        <v>45</v>
      </c>
      <c r="F528" s="2" t="s">
        <v>57</v>
      </c>
      <c r="G528" s="3">
        <v>45539</v>
      </c>
      <c r="H528" s="3">
        <v>45545</v>
      </c>
      <c r="I528" s="2">
        <v>6</v>
      </c>
      <c r="J528" s="2" t="s">
        <v>58</v>
      </c>
      <c r="K528" s="2" t="s">
        <v>88</v>
      </c>
      <c r="L528" s="2" t="s">
        <v>60</v>
      </c>
      <c r="M528" s="2" t="s">
        <v>83</v>
      </c>
      <c r="N528" s="2" t="s">
        <v>37</v>
      </c>
      <c r="O528" s="2" t="s">
        <v>102</v>
      </c>
      <c r="P528" s="2">
        <v>343</v>
      </c>
      <c r="Q528" s="2" t="s">
        <v>103</v>
      </c>
      <c r="R528" s="2" t="s">
        <v>111</v>
      </c>
      <c r="S528" s="2">
        <v>100380</v>
      </c>
      <c r="T528" s="2">
        <v>64098</v>
      </c>
      <c r="U528" s="2">
        <v>36282</v>
      </c>
      <c r="V528" s="2">
        <v>68633</v>
      </c>
      <c r="W528" s="2">
        <v>26003</v>
      </c>
      <c r="X528" s="2">
        <v>2069</v>
      </c>
      <c r="Y528" s="2" t="s">
        <v>41</v>
      </c>
      <c r="Z528" s="2">
        <v>48</v>
      </c>
      <c r="AA528" s="2">
        <v>3.2</v>
      </c>
      <c r="AB528" s="2" t="s">
        <v>52</v>
      </c>
    </row>
    <row r="529" spans="1:28" x14ac:dyDescent="0.25">
      <c r="A529" s="4" t="s">
        <v>1116</v>
      </c>
      <c r="B529" s="4" t="s">
        <v>1117</v>
      </c>
      <c r="C529" s="4">
        <v>59</v>
      </c>
      <c r="D529" s="4" t="s">
        <v>30</v>
      </c>
      <c r="E529" s="4" t="s">
        <v>56</v>
      </c>
      <c r="F529" s="4" t="s">
        <v>80</v>
      </c>
      <c r="G529" s="5">
        <v>45562</v>
      </c>
      <c r="H529" s="5">
        <v>45584</v>
      </c>
      <c r="I529" s="4">
        <v>22</v>
      </c>
      <c r="J529" s="4" t="s">
        <v>33</v>
      </c>
      <c r="K529" s="4" t="s">
        <v>278</v>
      </c>
      <c r="L529" s="4" t="s">
        <v>279</v>
      </c>
      <c r="M529" s="4" t="s">
        <v>61</v>
      </c>
      <c r="N529" s="4" t="s">
        <v>109</v>
      </c>
      <c r="O529" s="4" t="s">
        <v>627</v>
      </c>
      <c r="P529" s="4">
        <v>186</v>
      </c>
      <c r="Q529" s="4" t="s">
        <v>50</v>
      </c>
      <c r="R529" s="4" t="s">
        <v>51</v>
      </c>
      <c r="S529" s="4">
        <v>40501</v>
      </c>
      <c r="T529" s="4">
        <v>27313</v>
      </c>
      <c r="U529" s="4">
        <v>13188</v>
      </c>
      <c r="V529" s="4">
        <v>5417</v>
      </c>
      <c r="W529" s="4">
        <v>21007</v>
      </c>
      <c r="X529" s="4">
        <v>10316</v>
      </c>
      <c r="Y529" s="4" t="s">
        <v>41</v>
      </c>
      <c r="Z529" s="4">
        <v>48</v>
      </c>
      <c r="AA529" s="4">
        <v>3.5</v>
      </c>
      <c r="AB529" s="4" t="s">
        <v>104</v>
      </c>
    </row>
    <row r="530" spans="1:28" x14ac:dyDescent="0.25">
      <c r="A530" s="2" t="s">
        <v>1118</v>
      </c>
      <c r="B530" s="2" t="s">
        <v>643</v>
      </c>
      <c r="C530" s="2">
        <v>60</v>
      </c>
      <c r="D530" s="2" t="s">
        <v>55</v>
      </c>
      <c r="E530" s="2" t="s">
        <v>45</v>
      </c>
      <c r="F530" s="2" t="s">
        <v>114</v>
      </c>
      <c r="G530" s="3">
        <v>44930</v>
      </c>
      <c r="H530" s="3">
        <v>44944</v>
      </c>
      <c r="I530" s="2">
        <v>14</v>
      </c>
      <c r="J530" s="2" t="s">
        <v>140</v>
      </c>
      <c r="K530" s="2" t="s">
        <v>141</v>
      </c>
      <c r="L530" s="2" t="s">
        <v>142</v>
      </c>
      <c r="M530" s="2" t="s">
        <v>134</v>
      </c>
      <c r="N530" s="2" t="s">
        <v>37</v>
      </c>
      <c r="O530" s="2" t="s">
        <v>373</v>
      </c>
      <c r="P530" s="2">
        <v>134</v>
      </c>
      <c r="Q530" s="2" t="s">
        <v>103</v>
      </c>
      <c r="R530" s="2" t="s">
        <v>40</v>
      </c>
      <c r="S530" s="2">
        <v>78336</v>
      </c>
      <c r="T530" s="2">
        <v>50940</v>
      </c>
      <c r="U530" s="2">
        <v>27396</v>
      </c>
      <c r="V530" s="2">
        <v>47871</v>
      </c>
      <c r="W530" s="2">
        <v>14048</v>
      </c>
      <c r="X530" s="2">
        <v>11679</v>
      </c>
      <c r="Y530" s="2" t="s">
        <v>41</v>
      </c>
      <c r="Z530" s="2">
        <v>45</v>
      </c>
      <c r="AA530" s="2">
        <v>3</v>
      </c>
      <c r="AB530" s="2" t="s">
        <v>104</v>
      </c>
    </row>
    <row r="531" spans="1:28" x14ac:dyDescent="0.25">
      <c r="A531" s="4" t="s">
        <v>1119</v>
      </c>
      <c r="B531" s="4" t="s">
        <v>284</v>
      </c>
      <c r="C531" s="4">
        <v>6</v>
      </c>
      <c r="D531" s="4" t="s">
        <v>55</v>
      </c>
      <c r="E531" s="4" t="s">
        <v>45</v>
      </c>
      <c r="F531" s="4" t="s">
        <v>129</v>
      </c>
      <c r="G531" s="5">
        <v>45600</v>
      </c>
      <c r="H531" s="5">
        <v>45613</v>
      </c>
      <c r="I531" s="4">
        <v>13</v>
      </c>
      <c r="J531" s="4" t="s">
        <v>33</v>
      </c>
      <c r="K531" s="4" t="s">
        <v>107</v>
      </c>
      <c r="L531" s="4" t="s">
        <v>48</v>
      </c>
      <c r="M531" s="4" t="s">
        <v>83</v>
      </c>
      <c r="N531" s="4" t="s">
        <v>37</v>
      </c>
      <c r="O531" s="4" t="s">
        <v>368</v>
      </c>
      <c r="P531" s="4">
        <v>156</v>
      </c>
      <c r="Q531" s="4" t="s">
        <v>103</v>
      </c>
      <c r="R531" s="4" t="s">
        <v>136</v>
      </c>
      <c r="S531" s="4">
        <v>74087</v>
      </c>
      <c r="T531" s="4">
        <v>0</v>
      </c>
      <c r="U531" s="4">
        <v>74087</v>
      </c>
      <c r="V531" s="4">
        <v>35397</v>
      </c>
      <c r="W531" s="4">
        <v>20779</v>
      </c>
      <c r="X531" s="4">
        <v>13723</v>
      </c>
      <c r="Y531" s="4" t="s">
        <v>41</v>
      </c>
      <c r="Z531" s="4">
        <v>89</v>
      </c>
      <c r="AA531" s="4">
        <v>3.4</v>
      </c>
      <c r="AB531" s="4" t="s">
        <v>52</v>
      </c>
    </row>
    <row r="532" spans="1:28" x14ac:dyDescent="0.25">
      <c r="A532" s="2" t="s">
        <v>1120</v>
      </c>
      <c r="B532" s="2" t="s">
        <v>1121</v>
      </c>
      <c r="C532" s="2">
        <v>51</v>
      </c>
      <c r="D532" s="2" t="s">
        <v>55</v>
      </c>
      <c r="E532" s="2" t="s">
        <v>154</v>
      </c>
      <c r="F532" s="2" t="s">
        <v>114</v>
      </c>
      <c r="G532" s="3">
        <v>45650</v>
      </c>
      <c r="H532" s="3">
        <v>45657</v>
      </c>
      <c r="I532" s="2">
        <v>7</v>
      </c>
      <c r="J532" s="2" t="s">
        <v>115</v>
      </c>
      <c r="K532" s="2" t="s">
        <v>116</v>
      </c>
      <c r="L532" s="2" t="s">
        <v>117</v>
      </c>
      <c r="M532" s="2" t="s">
        <v>143</v>
      </c>
      <c r="N532" s="2" t="s">
        <v>62</v>
      </c>
      <c r="O532" s="2" t="s">
        <v>379</v>
      </c>
      <c r="P532" s="2">
        <v>133</v>
      </c>
      <c r="Q532" s="2" t="s">
        <v>39</v>
      </c>
      <c r="R532" s="2" t="s">
        <v>51</v>
      </c>
      <c r="S532" s="2">
        <v>145124</v>
      </c>
      <c r="T532" s="2">
        <v>70315</v>
      </c>
      <c r="U532" s="2">
        <v>74809</v>
      </c>
      <c r="V532" s="2">
        <v>124272</v>
      </c>
      <c r="W532" s="2">
        <v>15250</v>
      </c>
      <c r="X532" s="2">
        <v>1295</v>
      </c>
      <c r="Y532" s="2" t="s">
        <v>91</v>
      </c>
      <c r="Z532" s="2">
        <v>71</v>
      </c>
      <c r="AA532" s="2">
        <v>3.4</v>
      </c>
      <c r="AB532" s="2" t="s">
        <v>104</v>
      </c>
    </row>
    <row r="533" spans="1:28" x14ac:dyDescent="0.25">
      <c r="A533" s="4" t="s">
        <v>1122</v>
      </c>
      <c r="B533" s="4" t="s">
        <v>559</v>
      </c>
      <c r="C533" s="4">
        <v>52</v>
      </c>
      <c r="D533" s="4" t="s">
        <v>30</v>
      </c>
      <c r="E533" s="4" t="s">
        <v>67</v>
      </c>
      <c r="F533" s="4" t="s">
        <v>80</v>
      </c>
      <c r="G533" s="5">
        <v>45168</v>
      </c>
      <c r="H533" s="5">
        <v>45193</v>
      </c>
      <c r="I533" s="4">
        <v>25</v>
      </c>
      <c r="J533" s="4" t="s">
        <v>123</v>
      </c>
      <c r="K533" s="4" t="s">
        <v>251</v>
      </c>
      <c r="L533" s="4" t="s">
        <v>125</v>
      </c>
      <c r="M533" s="4" t="s">
        <v>134</v>
      </c>
      <c r="N533" s="4" t="s">
        <v>109</v>
      </c>
      <c r="O533" s="4" t="s">
        <v>399</v>
      </c>
      <c r="P533" s="4">
        <v>214</v>
      </c>
      <c r="Q533" s="4" t="s">
        <v>69</v>
      </c>
      <c r="R533" s="4" t="s">
        <v>111</v>
      </c>
      <c r="S533" s="4">
        <v>112564</v>
      </c>
      <c r="T533" s="4">
        <v>87657</v>
      </c>
      <c r="U533" s="4">
        <v>24907</v>
      </c>
      <c r="V533" s="4">
        <v>90100</v>
      </c>
      <c r="W533" s="4">
        <v>10754</v>
      </c>
      <c r="X533" s="4">
        <v>10919</v>
      </c>
      <c r="Y533" s="4" t="s">
        <v>41</v>
      </c>
      <c r="Z533" s="4">
        <v>42</v>
      </c>
      <c r="AA533" s="4">
        <v>3.6</v>
      </c>
      <c r="AB533" s="4" t="s">
        <v>137</v>
      </c>
    </row>
    <row r="534" spans="1:28" x14ac:dyDescent="0.25">
      <c r="A534" s="2" t="s">
        <v>1123</v>
      </c>
      <c r="B534" s="2" t="s">
        <v>457</v>
      </c>
      <c r="C534" s="2">
        <v>15</v>
      </c>
      <c r="D534" s="2" t="s">
        <v>55</v>
      </c>
      <c r="E534" s="2" t="s">
        <v>154</v>
      </c>
      <c r="F534" s="2" t="s">
        <v>129</v>
      </c>
      <c r="G534" s="3">
        <v>45572</v>
      </c>
      <c r="H534" s="3">
        <v>45586</v>
      </c>
      <c r="I534" s="2">
        <v>14</v>
      </c>
      <c r="J534" s="2" t="s">
        <v>140</v>
      </c>
      <c r="K534" s="2" t="s">
        <v>167</v>
      </c>
      <c r="L534" s="2" t="s">
        <v>142</v>
      </c>
      <c r="M534" s="2" t="s">
        <v>83</v>
      </c>
      <c r="N534" s="2" t="s">
        <v>109</v>
      </c>
      <c r="O534" s="2" t="s">
        <v>295</v>
      </c>
      <c r="P534" s="2">
        <v>235</v>
      </c>
      <c r="Q534" s="2" t="s">
        <v>69</v>
      </c>
      <c r="R534" s="2" t="s">
        <v>90</v>
      </c>
      <c r="S534" s="2">
        <v>106657</v>
      </c>
      <c r="T534" s="2">
        <v>83492</v>
      </c>
      <c r="U534" s="2">
        <v>23165</v>
      </c>
      <c r="V534" s="2">
        <v>90613</v>
      </c>
      <c r="W534" s="2">
        <v>13215</v>
      </c>
      <c r="X534" s="2">
        <v>1127</v>
      </c>
      <c r="Y534" s="2" t="s">
        <v>41</v>
      </c>
      <c r="Z534" s="2">
        <v>91</v>
      </c>
      <c r="AA534" s="2">
        <v>4.5999999999999996</v>
      </c>
      <c r="AB534" s="2" t="s">
        <v>137</v>
      </c>
    </row>
    <row r="535" spans="1:28" x14ac:dyDescent="0.25">
      <c r="A535" s="4" t="s">
        <v>1124</v>
      </c>
      <c r="B535" s="4" t="s">
        <v>1125</v>
      </c>
      <c r="C535" s="4">
        <v>48</v>
      </c>
      <c r="D535" s="4" t="s">
        <v>30</v>
      </c>
      <c r="E535" s="4" t="s">
        <v>67</v>
      </c>
      <c r="F535" s="4" t="s">
        <v>114</v>
      </c>
      <c r="G535" s="5">
        <v>44607</v>
      </c>
      <c r="H535" s="5">
        <v>44613</v>
      </c>
      <c r="I535" s="4">
        <v>6</v>
      </c>
      <c r="J535" s="4" t="s">
        <v>140</v>
      </c>
      <c r="K535" s="4" t="s">
        <v>167</v>
      </c>
      <c r="L535" s="4" t="s">
        <v>142</v>
      </c>
      <c r="M535" s="4" t="s">
        <v>108</v>
      </c>
      <c r="N535" s="4" t="s">
        <v>62</v>
      </c>
      <c r="O535" s="4" t="s">
        <v>89</v>
      </c>
      <c r="P535" s="4">
        <v>134</v>
      </c>
      <c r="Q535" s="4" t="s">
        <v>50</v>
      </c>
      <c r="R535" s="4" t="s">
        <v>51</v>
      </c>
      <c r="S535" s="4">
        <v>175410</v>
      </c>
      <c r="T535" s="4">
        <v>106698</v>
      </c>
      <c r="U535" s="4">
        <v>68712</v>
      </c>
      <c r="V535" s="4">
        <v>139752</v>
      </c>
      <c r="W535" s="4">
        <v>18667</v>
      </c>
      <c r="X535" s="4">
        <v>14495</v>
      </c>
      <c r="Y535" s="4" t="s">
        <v>91</v>
      </c>
      <c r="Z535" s="4">
        <v>76</v>
      </c>
      <c r="AA535" s="4">
        <v>3.4</v>
      </c>
      <c r="AB535" s="4" t="s">
        <v>137</v>
      </c>
    </row>
    <row r="536" spans="1:28" x14ac:dyDescent="0.25">
      <c r="A536" s="2" t="s">
        <v>1126</v>
      </c>
      <c r="B536" s="2" t="s">
        <v>149</v>
      </c>
      <c r="C536" s="2">
        <v>40</v>
      </c>
      <c r="D536" s="2" t="s">
        <v>55</v>
      </c>
      <c r="E536" s="2" t="s">
        <v>67</v>
      </c>
      <c r="F536" s="2" t="s">
        <v>129</v>
      </c>
      <c r="G536" s="3">
        <v>45145</v>
      </c>
      <c r="H536" s="3">
        <v>45154</v>
      </c>
      <c r="I536" s="2">
        <v>9</v>
      </c>
      <c r="J536" s="2" t="s">
        <v>123</v>
      </c>
      <c r="K536" s="2" t="s">
        <v>251</v>
      </c>
      <c r="L536" s="2" t="s">
        <v>125</v>
      </c>
      <c r="M536" s="2" t="s">
        <v>61</v>
      </c>
      <c r="N536" s="2" t="s">
        <v>62</v>
      </c>
      <c r="O536" s="2" t="s">
        <v>175</v>
      </c>
      <c r="P536" s="2">
        <v>141</v>
      </c>
      <c r="Q536" s="2" t="s">
        <v>50</v>
      </c>
      <c r="R536" s="2" t="s">
        <v>111</v>
      </c>
      <c r="S536" s="2">
        <v>99053</v>
      </c>
      <c r="T536" s="2">
        <v>59969</v>
      </c>
      <c r="U536" s="2">
        <v>39084</v>
      </c>
      <c r="V536" s="2">
        <v>88403</v>
      </c>
      <c r="W536" s="2">
        <v>4183</v>
      </c>
      <c r="X536" s="2">
        <v>4126</v>
      </c>
      <c r="Y536" s="2" t="s">
        <v>41</v>
      </c>
      <c r="Z536" s="2">
        <v>44</v>
      </c>
      <c r="AA536" s="2">
        <v>3.8</v>
      </c>
      <c r="AB536" s="2" t="s">
        <v>42</v>
      </c>
    </row>
    <row r="537" spans="1:28" x14ac:dyDescent="0.25">
      <c r="A537" s="4" t="s">
        <v>1127</v>
      </c>
      <c r="B537" s="4" t="s">
        <v>1128</v>
      </c>
      <c r="C537" s="4">
        <v>80</v>
      </c>
      <c r="D537" s="4" t="s">
        <v>30</v>
      </c>
      <c r="E537" s="4" t="s">
        <v>45</v>
      </c>
      <c r="F537" s="4" t="s">
        <v>94</v>
      </c>
      <c r="G537" s="5">
        <v>45358</v>
      </c>
      <c r="H537" s="5">
        <v>45374</v>
      </c>
      <c r="I537" s="4">
        <v>16</v>
      </c>
      <c r="J537" s="4" t="s">
        <v>33</v>
      </c>
      <c r="K537" s="4" t="s">
        <v>99</v>
      </c>
      <c r="L537" s="4" t="s">
        <v>100</v>
      </c>
      <c r="M537" s="4" t="s">
        <v>95</v>
      </c>
      <c r="N537" s="4" t="s">
        <v>118</v>
      </c>
      <c r="O537" s="4" t="s">
        <v>222</v>
      </c>
      <c r="P537" s="4">
        <v>422</v>
      </c>
      <c r="Q537" s="4" t="s">
        <v>103</v>
      </c>
      <c r="R537" s="4" t="s">
        <v>40</v>
      </c>
      <c r="S537" s="4">
        <v>172344</v>
      </c>
      <c r="T537" s="4">
        <v>79828</v>
      </c>
      <c r="U537" s="4">
        <v>92516</v>
      </c>
      <c r="V537" s="4">
        <v>126096</v>
      </c>
      <c r="W537" s="4">
        <v>28995</v>
      </c>
      <c r="X537" s="4">
        <v>12666</v>
      </c>
      <c r="Y537" s="4" t="s">
        <v>41</v>
      </c>
      <c r="Z537" s="4">
        <v>83</v>
      </c>
      <c r="AA537" s="4">
        <v>3.2</v>
      </c>
      <c r="AB537" s="4" t="s">
        <v>137</v>
      </c>
    </row>
    <row r="538" spans="1:28" x14ac:dyDescent="0.25">
      <c r="A538" s="2" t="s">
        <v>1129</v>
      </c>
      <c r="B538" s="2" t="s">
        <v>608</v>
      </c>
      <c r="C538" s="2">
        <v>15</v>
      </c>
      <c r="D538" s="2" t="s">
        <v>30</v>
      </c>
      <c r="E538" s="2" t="s">
        <v>45</v>
      </c>
      <c r="F538" s="2" t="s">
        <v>157</v>
      </c>
      <c r="G538" s="3">
        <v>44987</v>
      </c>
      <c r="H538" s="3">
        <v>45011</v>
      </c>
      <c r="I538" s="2">
        <v>24</v>
      </c>
      <c r="J538" s="2" t="s">
        <v>202</v>
      </c>
      <c r="K538" s="2" t="s">
        <v>225</v>
      </c>
      <c r="L538" s="2" t="s">
        <v>226</v>
      </c>
      <c r="M538" s="2" t="s">
        <v>134</v>
      </c>
      <c r="N538" s="2" t="s">
        <v>118</v>
      </c>
      <c r="O538" s="2" t="s">
        <v>416</v>
      </c>
      <c r="P538" s="2">
        <v>346</v>
      </c>
      <c r="Q538" s="2" t="s">
        <v>103</v>
      </c>
      <c r="R538" s="2" t="s">
        <v>90</v>
      </c>
      <c r="S538" s="2">
        <v>79291</v>
      </c>
      <c r="T538" s="2">
        <v>62424</v>
      </c>
      <c r="U538" s="2">
        <v>16867</v>
      </c>
      <c r="V538" s="2">
        <v>45868</v>
      </c>
      <c r="W538" s="2">
        <v>21475</v>
      </c>
      <c r="X538" s="2">
        <v>10083</v>
      </c>
      <c r="Y538" s="2" t="s">
        <v>41</v>
      </c>
      <c r="Z538" s="2">
        <v>66</v>
      </c>
      <c r="AA538" s="2">
        <v>5</v>
      </c>
      <c r="AB538" s="2" t="s">
        <v>104</v>
      </c>
    </row>
    <row r="539" spans="1:28" x14ac:dyDescent="0.25">
      <c r="A539" s="4" t="s">
        <v>1130</v>
      </c>
      <c r="B539" s="4" t="s">
        <v>1131</v>
      </c>
      <c r="C539" s="4">
        <v>76</v>
      </c>
      <c r="D539" s="4" t="s">
        <v>30</v>
      </c>
      <c r="E539" s="4" t="s">
        <v>31</v>
      </c>
      <c r="F539" s="4" t="s">
        <v>114</v>
      </c>
      <c r="G539" s="5">
        <v>44831</v>
      </c>
      <c r="H539" s="5">
        <v>44844</v>
      </c>
      <c r="I539" s="4">
        <v>13</v>
      </c>
      <c r="J539" s="4" t="s">
        <v>33</v>
      </c>
      <c r="K539" s="4" t="s">
        <v>233</v>
      </c>
      <c r="L539" s="4" t="s">
        <v>35</v>
      </c>
      <c r="M539" s="4" t="s">
        <v>36</v>
      </c>
      <c r="N539" s="4" t="s">
        <v>37</v>
      </c>
      <c r="O539" s="4" t="s">
        <v>595</v>
      </c>
      <c r="P539" s="4">
        <v>57</v>
      </c>
      <c r="Q539" s="4" t="s">
        <v>50</v>
      </c>
      <c r="R539" s="4" t="s">
        <v>40</v>
      </c>
      <c r="S539" s="4">
        <v>89862</v>
      </c>
      <c r="T539" s="4">
        <v>50774</v>
      </c>
      <c r="U539" s="4">
        <v>39088</v>
      </c>
      <c r="V539" s="4">
        <v>46711</v>
      </c>
      <c r="W539" s="4">
        <v>26128</v>
      </c>
      <c r="X539" s="4">
        <v>13238</v>
      </c>
      <c r="Y539" s="4" t="s">
        <v>41</v>
      </c>
      <c r="Z539" s="4">
        <v>53</v>
      </c>
      <c r="AA539" s="4">
        <v>3.3</v>
      </c>
      <c r="AB539" s="4" t="s">
        <v>42</v>
      </c>
    </row>
    <row r="540" spans="1:28" x14ac:dyDescent="0.25">
      <c r="A540" s="2" t="s">
        <v>1132</v>
      </c>
      <c r="B540" s="2" t="s">
        <v>1133</v>
      </c>
      <c r="C540" s="2">
        <v>51</v>
      </c>
      <c r="D540" s="2" t="s">
        <v>55</v>
      </c>
      <c r="E540" s="2" t="s">
        <v>45</v>
      </c>
      <c r="F540" s="2" t="s">
        <v>94</v>
      </c>
      <c r="G540" s="3">
        <v>45652</v>
      </c>
      <c r="H540" s="3">
        <v>45657</v>
      </c>
      <c r="I540" s="2">
        <v>5</v>
      </c>
      <c r="J540" s="2" t="s">
        <v>73</v>
      </c>
      <c r="K540" s="2" t="s">
        <v>74</v>
      </c>
      <c r="L540" s="2" t="s">
        <v>73</v>
      </c>
      <c r="M540" s="2" t="s">
        <v>83</v>
      </c>
      <c r="N540" s="2" t="s">
        <v>37</v>
      </c>
      <c r="O540" s="2" t="s">
        <v>110</v>
      </c>
      <c r="P540" s="2">
        <v>81</v>
      </c>
      <c r="Q540" s="2" t="s">
        <v>39</v>
      </c>
      <c r="R540" s="2" t="s">
        <v>111</v>
      </c>
      <c r="S540" s="2">
        <v>94176</v>
      </c>
      <c r="T540" s="2">
        <v>78061</v>
      </c>
      <c r="U540" s="2">
        <v>16115</v>
      </c>
      <c r="V540" s="2">
        <v>80604</v>
      </c>
      <c r="W540" s="2">
        <v>1109</v>
      </c>
      <c r="X540" s="2">
        <v>9227</v>
      </c>
      <c r="Y540" s="2" t="s">
        <v>41</v>
      </c>
      <c r="Z540" s="2">
        <v>83</v>
      </c>
      <c r="AA540" s="2">
        <v>4.7</v>
      </c>
      <c r="AB540" s="2" t="s">
        <v>137</v>
      </c>
    </row>
    <row r="541" spans="1:28" x14ac:dyDescent="0.25">
      <c r="A541" s="4" t="s">
        <v>1134</v>
      </c>
      <c r="B541" s="4" t="s">
        <v>952</v>
      </c>
      <c r="C541" s="4">
        <v>58</v>
      </c>
      <c r="D541" s="4" t="s">
        <v>30</v>
      </c>
      <c r="E541" s="4" t="s">
        <v>31</v>
      </c>
      <c r="F541" s="4" t="s">
        <v>57</v>
      </c>
      <c r="G541" s="5">
        <v>45021</v>
      </c>
      <c r="H541" s="5">
        <v>45026</v>
      </c>
      <c r="I541" s="4">
        <v>5</v>
      </c>
      <c r="J541" s="4" t="s">
        <v>33</v>
      </c>
      <c r="K541" s="4" t="s">
        <v>233</v>
      </c>
      <c r="L541" s="4" t="s">
        <v>35</v>
      </c>
      <c r="M541" s="4" t="s">
        <v>75</v>
      </c>
      <c r="N541" s="4" t="s">
        <v>62</v>
      </c>
      <c r="O541" s="4" t="s">
        <v>131</v>
      </c>
      <c r="P541" s="4">
        <v>375</v>
      </c>
      <c r="Q541" s="4" t="s">
        <v>103</v>
      </c>
      <c r="R541" s="4" t="s">
        <v>90</v>
      </c>
      <c r="S541" s="4">
        <v>117642</v>
      </c>
      <c r="T541" s="4">
        <v>90677</v>
      </c>
      <c r="U541" s="4">
        <v>26965</v>
      </c>
      <c r="V541" s="4">
        <v>90202</v>
      </c>
      <c r="W541" s="4">
        <v>20982</v>
      </c>
      <c r="X541" s="4">
        <v>4595</v>
      </c>
      <c r="Y541" s="4" t="s">
        <v>41</v>
      </c>
      <c r="Z541" s="4">
        <v>45</v>
      </c>
      <c r="AA541" s="4">
        <v>4.9000000000000004</v>
      </c>
      <c r="AB541" s="4" t="s">
        <v>104</v>
      </c>
    </row>
    <row r="542" spans="1:28" x14ac:dyDescent="0.25">
      <c r="A542" s="2" t="s">
        <v>1135</v>
      </c>
      <c r="B542" s="2" t="s">
        <v>623</v>
      </c>
      <c r="C542" s="2">
        <v>54</v>
      </c>
      <c r="D542" s="2" t="s">
        <v>55</v>
      </c>
      <c r="E542" s="2" t="s">
        <v>154</v>
      </c>
      <c r="F542" s="2" t="s">
        <v>150</v>
      </c>
      <c r="G542" s="3">
        <v>45317</v>
      </c>
      <c r="H542" s="3">
        <v>45341</v>
      </c>
      <c r="I542" s="2">
        <v>24</v>
      </c>
      <c r="J542" s="2" t="s">
        <v>73</v>
      </c>
      <c r="K542" s="2" t="s">
        <v>74</v>
      </c>
      <c r="L542" s="2" t="s">
        <v>73</v>
      </c>
      <c r="M542" s="2" t="s">
        <v>83</v>
      </c>
      <c r="N542" s="2" t="s">
        <v>109</v>
      </c>
      <c r="O542" s="2" t="s">
        <v>355</v>
      </c>
      <c r="P542" s="2">
        <v>151</v>
      </c>
      <c r="Q542" s="2" t="s">
        <v>69</v>
      </c>
      <c r="R542" s="2" t="s">
        <v>90</v>
      </c>
      <c r="S542" s="2">
        <v>91507</v>
      </c>
      <c r="T542" s="2">
        <v>61631</v>
      </c>
      <c r="U542" s="2">
        <v>29876</v>
      </c>
      <c r="V542" s="2">
        <v>59265</v>
      </c>
      <c r="W542" s="2">
        <v>19926</v>
      </c>
      <c r="X542" s="2">
        <v>8055</v>
      </c>
      <c r="Y542" s="2" t="s">
        <v>41</v>
      </c>
      <c r="Z542" s="2">
        <v>55</v>
      </c>
      <c r="AA542" s="2">
        <v>4.4000000000000004</v>
      </c>
      <c r="AB542" s="2" t="s">
        <v>137</v>
      </c>
    </row>
    <row r="543" spans="1:28" x14ac:dyDescent="0.25">
      <c r="A543" s="4" t="s">
        <v>1136</v>
      </c>
      <c r="B543" s="4" t="s">
        <v>1048</v>
      </c>
      <c r="C543" s="4">
        <v>82</v>
      </c>
      <c r="D543" s="4" t="s">
        <v>30</v>
      </c>
      <c r="E543" s="4" t="s">
        <v>154</v>
      </c>
      <c r="F543" s="4" t="s">
        <v>32</v>
      </c>
      <c r="G543" s="5">
        <v>45508</v>
      </c>
      <c r="H543" s="5">
        <v>45532</v>
      </c>
      <c r="I543" s="4">
        <v>24</v>
      </c>
      <c r="J543" s="4" t="s">
        <v>202</v>
      </c>
      <c r="K543" s="4" t="s">
        <v>203</v>
      </c>
      <c r="L543" s="4" t="s">
        <v>204</v>
      </c>
      <c r="M543" s="4" t="s">
        <v>130</v>
      </c>
      <c r="N543" s="4" t="s">
        <v>37</v>
      </c>
      <c r="O543" s="4" t="s">
        <v>96</v>
      </c>
      <c r="P543" s="4">
        <v>442</v>
      </c>
      <c r="Q543" s="4" t="s">
        <v>103</v>
      </c>
      <c r="R543" s="4" t="s">
        <v>90</v>
      </c>
      <c r="S543" s="4">
        <v>143730</v>
      </c>
      <c r="T543" s="4">
        <v>91455</v>
      </c>
      <c r="U543" s="4">
        <v>52275</v>
      </c>
      <c r="V543" s="4">
        <v>114337</v>
      </c>
      <c r="W543" s="4">
        <v>9520</v>
      </c>
      <c r="X543" s="4">
        <v>14972</v>
      </c>
      <c r="Y543" s="4" t="s">
        <v>41</v>
      </c>
      <c r="Z543" s="4">
        <v>81</v>
      </c>
      <c r="AA543" s="4">
        <v>5</v>
      </c>
      <c r="AB543" s="4" t="s">
        <v>104</v>
      </c>
    </row>
    <row r="544" spans="1:28" x14ac:dyDescent="0.25">
      <c r="A544" s="2" t="s">
        <v>1137</v>
      </c>
      <c r="B544" s="2" t="s">
        <v>536</v>
      </c>
      <c r="C544" s="2">
        <v>12</v>
      </c>
      <c r="D544" s="2" t="s">
        <v>30</v>
      </c>
      <c r="E544" s="2" t="s">
        <v>67</v>
      </c>
      <c r="F544" s="2" t="s">
        <v>57</v>
      </c>
      <c r="G544" s="3">
        <v>45306</v>
      </c>
      <c r="H544" s="3">
        <v>45319</v>
      </c>
      <c r="I544" s="2">
        <v>13</v>
      </c>
      <c r="J544" s="2" t="s">
        <v>202</v>
      </c>
      <c r="K544" s="2" t="s">
        <v>225</v>
      </c>
      <c r="L544" s="2" t="s">
        <v>226</v>
      </c>
      <c r="M544" s="2" t="s">
        <v>108</v>
      </c>
      <c r="N544" s="2" t="s">
        <v>62</v>
      </c>
      <c r="O544" s="2" t="s">
        <v>241</v>
      </c>
      <c r="P544" s="2">
        <v>434</v>
      </c>
      <c r="Q544" s="2" t="s">
        <v>50</v>
      </c>
      <c r="R544" s="2" t="s">
        <v>51</v>
      </c>
      <c r="S544" s="2">
        <v>65731</v>
      </c>
      <c r="T544" s="2">
        <v>34434</v>
      </c>
      <c r="U544" s="2">
        <v>31297</v>
      </c>
      <c r="V544" s="2">
        <v>34303</v>
      </c>
      <c r="W544" s="2">
        <v>24658</v>
      </c>
      <c r="X544" s="2">
        <v>3268</v>
      </c>
      <c r="Y544" s="2" t="s">
        <v>41</v>
      </c>
      <c r="Z544" s="2">
        <v>98</v>
      </c>
      <c r="AA544" s="2">
        <v>2.7</v>
      </c>
      <c r="AB544" s="2" t="s">
        <v>137</v>
      </c>
    </row>
    <row r="545" spans="1:28" x14ac:dyDescent="0.25">
      <c r="A545" s="4" t="s">
        <v>1138</v>
      </c>
      <c r="B545" s="4" t="s">
        <v>1139</v>
      </c>
      <c r="C545" s="4">
        <v>17</v>
      </c>
      <c r="D545" s="4" t="s">
        <v>30</v>
      </c>
      <c r="E545" s="4" t="s">
        <v>56</v>
      </c>
      <c r="F545" s="4" t="s">
        <v>150</v>
      </c>
      <c r="G545" s="5">
        <v>45568</v>
      </c>
      <c r="H545" s="5">
        <v>45593</v>
      </c>
      <c r="I545" s="4">
        <v>25</v>
      </c>
      <c r="J545" s="4" t="s">
        <v>73</v>
      </c>
      <c r="K545" s="4" t="s">
        <v>74</v>
      </c>
      <c r="L545" s="4" t="s">
        <v>73</v>
      </c>
      <c r="M545" s="4" t="s">
        <v>95</v>
      </c>
      <c r="N545" s="4" t="s">
        <v>118</v>
      </c>
      <c r="O545" s="4" t="s">
        <v>343</v>
      </c>
      <c r="P545" s="4">
        <v>404</v>
      </c>
      <c r="Q545" s="4" t="s">
        <v>103</v>
      </c>
      <c r="R545" s="4" t="s">
        <v>136</v>
      </c>
      <c r="S545" s="4">
        <v>100377</v>
      </c>
      <c r="T545" s="4">
        <v>0</v>
      </c>
      <c r="U545" s="4">
        <v>100377</v>
      </c>
      <c r="V545" s="4">
        <v>77167</v>
      </c>
      <c r="W545" s="4">
        <v>20478</v>
      </c>
      <c r="X545" s="4">
        <v>1085</v>
      </c>
      <c r="Y545" s="4" t="s">
        <v>91</v>
      </c>
      <c r="Z545" s="4">
        <v>58</v>
      </c>
      <c r="AA545" s="4">
        <v>2.1</v>
      </c>
      <c r="AB545" s="4" t="s">
        <v>52</v>
      </c>
    </row>
    <row r="546" spans="1:28" x14ac:dyDescent="0.25">
      <c r="A546" s="2" t="s">
        <v>1140</v>
      </c>
      <c r="B546" s="2" t="s">
        <v>991</v>
      </c>
      <c r="C546" s="2">
        <v>42</v>
      </c>
      <c r="D546" s="2" t="s">
        <v>30</v>
      </c>
      <c r="E546" s="2" t="s">
        <v>154</v>
      </c>
      <c r="F546" s="2" t="s">
        <v>72</v>
      </c>
      <c r="G546" s="3">
        <v>45186</v>
      </c>
      <c r="H546" s="3">
        <v>45202</v>
      </c>
      <c r="I546" s="2">
        <v>16</v>
      </c>
      <c r="J546" s="2" t="s">
        <v>33</v>
      </c>
      <c r="K546" s="2" t="s">
        <v>107</v>
      </c>
      <c r="L546" s="2" t="s">
        <v>48</v>
      </c>
      <c r="M546" s="2" t="s">
        <v>143</v>
      </c>
      <c r="N546" s="2" t="s">
        <v>109</v>
      </c>
      <c r="O546" s="2" t="s">
        <v>530</v>
      </c>
      <c r="P546" s="2">
        <v>150</v>
      </c>
      <c r="Q546" s="2" t="s">
        <v>103</v>
      </c>
      <c r="R546" s="2" t="s">
        <v>136</v>
      </c>
      <c r="S546" s="2">
        <v>83338</v>
      </c>
      <c r="T546" s="2">
        <v>0</v>
      </c>
      <c r="U546" s="2">
        <v>83338</v>
      </c>
      <c r="V546" s="2">
        <v>64747</v>
      </c>
      <c r="W546" s="2">
        <v>1917</v>
      </c>
      <c r="X546" s="2">
        <v>14441</v>
      </c>
      <c r="Y546" s="2" t="s">
        <v>41</v>
      </c>
      <c r="Z546" s="2">
        <v>49</v>
      </c>
      <c r="AA546" s="2">
        <v>3.8</v>
      </c>
      <c r="AB546" s="2" t="s">
        <v>52</v>
      </c>
    </row>
    <row r="547" spans="1:28" x14ac:dyDescent="0.25">
      <c r="A547" s="4" t="s">
        <v>1141</v>
      </c>
      <c r="B547" s="4" t="s">
        <v>313</v>
      </c>
      <c r="C547" s="4">
        <v>71</v>
      </c>
      <c r="D547" s="4" t="s">
        <v>30</v>
      </c>
      <c r="E547" s="4" t="s">
        <v>87</v>
      </c>
      <c r="F547" s="4" t="s">
        <v>72</v>
      </c>
      <c r="G547" s="5">
        <v>44910</v>
      </c>
      <c r="H547" s="5">
        <v>44922</v>
      </c>
      <c r="I547" s="4">
        <v>12</v>
      </c>
      <c r="J547" s="4" t="s">
        <v>140</v>
      </c>
      <c r="K547" s="4" t="s">
        <v>141</v>
      </c>
      <c r="L547" s="4" t="s">
        <v>142</v>
      </c>
      <c r="M547" s="4" t="s">
        <v>75</v>
      </c>
      <c r="N547" s="4" t="s">
        <v>118</v>
      </c>
      <c r="O547" s="4" t="s">
        <v>673</v>
      </c>
      <c r="P547" s="4">
        <v>194</v>
      </c>
      <c r="Q547" s="4" t="s">
        <v>103</v>
      </c>
      <c r="R547" s="4" t="s">
        <v>40</v>
      </c>
      <c r="S547" s="4">
        <v>167319</v>
      </c>
      <c r="T547" s="4">
        <v>111960</v>
      </c>
      <c r="U547" s="4">
        <v>55359</v>
      </c>
      <c r="V547" s="4">
        <v>142687</v>
      </c>
      <c r="W547" s="4">
        <v>16795</v>
      </c>
      <c r="X547" s="4">
        <v>3373</v>
      </c>
      <c r="Y547" s="4" t="s">
        <v>91</v>
      </c>
      <c r="Z547" s="4">
        <v>100</v>
      </c>
      <c r="AA547" s="4">
        <v>2.2000000000000002</v>
      </c>
      <c r="AB547" s="4" t="s">
        <v>64</v>
      </c>
    </row>
    <row r="548" spans="1:28" x14ac:dyDescent="0.25">
      <c r="A548" s="2" t="s">
        <v>1142</v>
      </c>
      <c r="B548" s="2" t="s">
        <v>159</v>
      </c>
      <c r="C548" s="2">
        <v>33</v>
      </c>
      <c r="D548" s="2" t="s">
        <v>55</v>
      </c>
      <c r="E548" s="2" t="s">
        <v>79</v>
      </c>
      <c r="F548" s="2" t="s">
        <v>72</v>
      </c>
      <c r="G548" s="3">
        <v>44806</v>
      </c>
      <c r="H548" s="3">
        <v>44827</v>
      </c>
      <c r="I548" s="2">
        <v>21</v>
      </c>
      <c r="J548" s="2" t="s">
        <v>115</v>
      </c>
      <c r="K548" s="2" t="s">
        <v>160</v>
      </c>
      <c r="L548" s="2" t="s">
        <v>117</v>
      </c>
      <c r="M548" s="2" t="s">
        <v>83</v>
      </c>
      <c r="N548" s="2" t="s">
        <v>37</v>
      </c>
      <c r="O548" s="2" t="s">
        <v>464</v>
      </c>
      <c r="P548" s="2">
        <v>431</v>
      </c>
      <c r="Q548" s="2" t="s">
        <v>39</v>
      </c>
      <c r="R548" s="2" t="s">
        <v>40</v>
      </c>
      <c r="S548" s="2">
        <v>127872</v>
      </c>
      <c r="T548" s="2">
        <v>75179</v>
      </c>
      <c r="U548" s="2">
        <v>52693</v>
      </c>
      <c r="V548" s="2">
        <v>100305</v>
      </c>
      <c r="W548" s="2">
        <v>22765</v>
      </c>
      <c r="X548" s="2">
        <v>1038</v>
      </c>
      <c r="Y548" s="2" t="s">
        <v>41</v>
      </c>
      <c r="Z548" s="2">
        <v>72</v>
      </c>
      <c r="AA548" s="2">
        <v>2.2000000000000002</v>
      </c>
      <c r="AB548" s="2" t="s">
        <v>42</v>
      </c>
    </row>
    <row r="549" spans="1:28" x14ac:dyDescent="0.25">
      <c r="A549" s="4" t="s">
        <v>1143</v>
      </c>
      <c r="B549" s="4" t="s">
        <v>173</v>
      </c>
      <c r="C549" s="4">
        <v>15</v>
      </c>
      <c r="D549" s="4" t="s">
        <v>55</v>
      </c>
      <c r="E549" s="4" t="s">
        <v>87</v>
      </c>
      <c r="F549" s="4" t="s">
        <v>72</v>
      </c>
      <c r="G549" s="5">
        <v>45632</v>
      </c>
      <c r="H549" s="5">
        <v>45640</v>
      </c>
      <c r="I549" s="4">
        <v>8</v>
      </c>
      <c r="J549" s="4" t="s">
        <v>73</v>
      </c>
      <c r="K549" s="4" t="s">
        <v>74</v>
      </c>
      <c r="L549" s="4" t="s">
        <v>73</v>
      </c>
      <c r="M549" s="4" t="s">
        <v>143</v>
      </c>
      <c r="N549" s="4" t="s">
        <v>109</v>
      </c>
      <c r="O549" s="4" t="s">
        <v>102</v>
      </c>
      <c r="P549" s="4">
        <v>91</v>
      </c>
      <c r="Q549" s="4" t="s">
        <v>69</v>
      </c>
      <c r="R549" s="4" t="s">
        <v>51</v>
      </c>
      <c r="S549" s="4">
        <v>100049</v>
      </c>
      <c r="T549" s="4">
        <v>62324</v>
      </c>
      <c r="U549" s="4">
        <v>37725</v>
      </c>
      <c r="V549" s="4">
        <v>74668</v>
      </c>
      <c r="W549" s="4">
        <v>19087</v>
      </c>
      <c r="X549" s="4">
        <v>5046</v>
      </c>
      <c r="Y549" s="4" t="s">
        <v>41</v>
      </c>
      <c r="Z549" s="4">
        <v>98</v>
      </c>
      <c r="AA549" s="4">
        <v>2.2000000000000002</v>
      </c>
      <c r="AB549" s="4" t="s">
        <v>64</v>
      </c>
    </row>
    <row r="550" spans="1:28" x14ac:dyDescent="0.25">
      <c r="A550" s="2" t="s">
        <v>1144</v>
      </c>
      <c r="B550" s="2" t="s">
        <v>758</v>
      </c>
      <c r="C550" s="2">
        <v>12</v>
      </c>
      <c r="D550" s="2" t="s">
        <v>55</v>
      </c>
      <c r="E550" s="2" t="s">
        <v>31</v>
      </c>
      <c r="F550" s="2" t="s">
        <v>32</v>
      </c>
      <c r="G550" s="3">
        <v>45539</v>
      </c>
      <c r="H550" s="3">
        <v>45554</v>
      </c>
      <c r="I550" s="2">
        <v>15</v>
      </c>
      <c r="J550" s="2" t="s">
        <v>33</v>
      </c>
      <c r="K550" s="2" t="s">
        <v>34</v>
      </c>
      <c r="L550" s="2" t="s">
        <v>35</v>
      </c>
      <c r="M550" s="2" t="s">
        <v>130</v>
      </c>
      <c r="N550" s="2" t="s">
        <v>118</v>
      </c>
      <c r="O550" s="2" t="s">
        <v>199</v>
      </c>
      <c r="P550" s="2">
        <v>245</v>
      </c>
      <c r="Q550" s="2" t="s">
        <v>69</v>
      </c>
      <c r="R550" s="2" t="s">
        <v>111</v>
      </c>
      <c r="S550" s="2">
        <v>48509</v>
      </c>
      <c r="T550" s="2">
        <v>36998</v>
      </c>
      <c r="U550" s="2">
        <v>11511</v>
      </c>
      <c r="V550" s="2">
        <v>26859</v>
      </c>
      <c r="W550" s="2">
        <v>16598</v>
      </c>
      <c r="X550" s="2">
        <v>3734</v>
      </c>
      <c r="Y550" s="2" t="s">
        <v>41</v>
      </c>
      <c r="Z550" s="2">
        <v>71</v>
      </c>
      <c r="AA550" s="2">
        <v>2.9</v>
      </c>
      <c r="AB550" s="2" t="s">
        <v>104</v>
      </c>
    </row>
    <row r="551" spans="1:28" x14ac:dyDescent="0.25">
      <c r="A551" s="4" t="s">
        <v>1145</v>
      </c>
      <c r="B551" s="4" t="s">
        <v>952</v>
      </c>
      <c r="C551" s="4">
        <v>19</v>
      </c>
      <c r="D551" s="4" t="s">
        <v>30</v>
      </c>
      <c r="E551" s="4" t="s">
        <v>31</v>
      </c>
      <c r="F551" s="4" t="s">
        <v>72</v>
      </c>
      <c r="G551" s="5">
        <v>45496</v>
      </c>
      <c r="H551" s="5">
        <v>45497</v>
      </c>
      <c r="I551" s="4">
        <v>1</v>
      </c>
      <c r="J551" s="4" t="s">
        <v>140</v>
      </c>
      <c r="K551" s="4" t="s">
        <v>167</v>
      </c>
      <c r="L551" s="4" t="s">
        <v>142</v>
      </c>
      <c r="M551" s="4" t="s">
        <v>101</v>
      </c>
      <c r="N551" s="4" t="s">
        <v>118</v>
      </c>
      <c r="O551" s="4" t="s">
        <v>591</v>
      </c>
      <c r="P551" s="4">
        <v>169</v>
      </c>
      <c r="Q551" s="4" t="s">
        <v>103</v>
      </c>
      <c r="R551" s="4" t="s">
        <v>51</v>
      </c>
      <c r="S551" s="4">
        <v>109601</v>
      </c>
      <c r="T551" s="4">
        <v>72356</v>
      </c>
      <c r="U551" s="4">
        <v>37245</v>
      </c>
      <c r="V551" s="4">
        <v>79384</v>
      </c>
      <c r="W551" s="4">
        <v>22144</v>
      </c>
      <c r="X551" s="4">
        <v>5409</v>
      </c>
      <c r="Y551" s="4" t="s">
        <v>41</v>
      </c>
      <c r="Z551" s="4">
        <v>57</v>
      </c>
      <c r="AA551" s="4">
        <v>4</v>
      </c>
      <c r="AB551" s="4" t="s">
        <v>42</v>
      </c>
    </row>
    <row r="552" spans="1:28" x14ac:dyDescent="0.25">
      <c r="A552" s="2" t="s">
        <v>1146</v>
      </c>
      <c r="B552" s="2" t="s">
        <v>304</v>
      </c>
      <c r="C552" s="2">
        <v>19</v>
      </c>
      <c r="D552" s="2" t="s">
        <v>55</v>
      </c>
      <c r="E552" s="2" t="s">
        <v>87</v>
      </c>
      <c r="F552" s="2" t="s">
        <v>57</v>
      </c>
      <c r="G552" s="3">
        <v>45215</v>
      </c>
      <c r="H552" s="3">
        <v>45244</v>
      </c>
      <c r="I552" s="2">
        <v>29</v>
      </c>
      <c r="J552" s="2" t="s">
        <v>202</v>
      </c>
      <c r="K552" s="2" t="s">
        <v>225</v>
      </c>
      <c r="L552" s="2" t="s">
        <v>226</v>
      </c>
      <c r="M552" s="2" t="s">
        <v>83</v>
      </c>
      <c r="N552" s="2" t="s">
        <v>109</v>
      </c>
      <c r="O552" s="2" t="s">
        <v>509</v>
      </c>
      <c r="P552" s="2">
        <v>390</v>
      </c>
      <c r="Q552" s="2" t="s">
        <v>103</v>
      </c>
      <c r="R552" s="2" t="s">
        <v>136</v>
      </c>
      <c r="S552" s="2">
        <v>70102</v>
      </c>
      <c r="T552" s="2">
        <v>0</v>
      </c>
      <c r="U552" s="2">
        <v>70102</v>
      </c>
      <c r="V552" s="2">
        <v>29790</v>
      </c>
      <c r="W552" s="2">
        <v>29246</v>
      </c>
      <c r="X552" s="2">
        <v>7761</v>
      </c>
      <c r="Y552" s="2" t="s">
        <v>41</v>
      </c>
      <c r="Z552" s="2">
        <v>74</v>
      </c>
      <c r="AA552" s="2">
        <v>4.5</v>
      </c>
      <c r="AB552" s="2" t="s">
        <v>64</v>
      </c>
    </row>
    <row r="553" spans="1:28" x14ac:dyDescent="0.25">
      <c r="A553" s="4" t="s">
        <v>1147</v>
      </c>
      <c r="B553" s="4" t="s">
        <v>1148</v>
      </c>
      <c r="C553" s="4">
        <v>34</v>
      </c>
      <c r="D553" s="4" t="s">
        <v>55</v>
      </c>
      <c r="E553" s="4" t="s">
        <v>79</v>
      </c>
      <c r="F553" s="4" t="s">
        <v>94</v>
      </c>
      <c r="G553" s="5">
        <v>45187</v>
      </c>
      <c r="H553" s="5">
        <v>45198</v>
      </c>
      <c r="I553" s="4">
        <v>11</v>
      </c>
      <c r="J553" s="4" t="s">
        <v>202</v>
      </c>
      <c r="K553" s="4" t="s">
        <v>225</v>
      </c>
      <c r="L553" s="4" t="s">
        <v>226</v>
      </c>
      <c r="M553" s="4" t="s">
        <v>36</v>
      </c>
      <c r="N553" s="4" t="s">
        <v>118</v>
      </c>
      <c r="O553" s="4" t="s">
        <v>382</v>
      </c>
      <c r="P553" s="4">
        <v>293</v>
      </c>
      <c r="Q553" s="4" t="s">
        <v>39</v>
      </c>
      <c r="R553" s="4" t="s">
        <v>136</v>
      </c>
      <c r="S553" s="4">
        <v>70085</v>
      </c>
      <c r="T553" s="4">
        <v>0</v>
      </c>
      <c r="U553" s="4">
        <v>70085</v>
      </c>
      <c r="V553" s="4">
        <v>45996</v>
      </c>
      <c r="W553" s="4">
        <v>7288</v>
      </c>
      <c r="X553" s="4">
        <v>13056</v>
      </c>
      <c r="Y553" s="4" t="s">
        <v>41</v>
      </c>
      <c r="Z553" s="4">
        <v>94</v>
      </c>
      <c r="AA553" s="4">
        <v>2.5</v>
      </c>
      <c r="AB553" s="4" t="s">
        <v>64</v>
      </c>
    </row>
    <row r="554" spans="1:28" x14ac:dyDescent="0.25">
      <c r="A554" s="2" t="s">
        <v>1149</v>
      </c>
      <c r="B554" s="2" t="s">
        <v>1097</v>
      </c>
      <c r="C554" s="2">
        <v>65</v>
      </c>
      <c r="D554" s="2" t="s">
        <v>30</v>
      </c>
      <c r="E554" s="2" t="s">
        <v>79</v>
      </c>
      <c r="F554" s="2" t="s">
        <v>32</v>
      </c>
      <c r="G554" s="3">
        <v>45100</v>
      </c>
      <c r="H554" s="3">
        <v>45116</v>
      </c>
      <c r="I554" s="2">
        <v>16</v>
      </c>
      <c r="J554" s="2" t="s">
        <v>58</v>
      </c>
      <c r="K554" s="2" t="s">
        <v>59</v>
      </c>
      <c r="L554" s="2" t="s">
        <v>60</v>
      </c>
      <c r="M554" s="2" t="s">
        <v>143</v>
      </c>
      <c r="N554" s="2" t="s">
        <v>118</v>
      </c>
      <c r="O554" s="2" t="s">
        <v>222</v>
      </c>
      <c r="P554" s="2">
        <v>425</v>
      </c>
      <c r="Q554" s="2" t="s">
        <v>50</v>
      </c>
      <c r="R554" s="2" t="s">
        <v>111</v>
      </c>
      <c r="S554" s="2">
        <v>114131</v>
      </c>
      <c r="T554" s="2">
        <v>94593</v>
      </c>
      <c r="U554" s="2">
        <v>19538</v>
      </c>
      <c r="V554" s="2">
        <v>85744</v>
      </c>
      <c r="W554" s="2">
        <v>14936</v>
      </c>
      <c r="X554" s="2">
        <v>9728</v>
      </c>
      <c r="Y554" s="2" t="s">
        <v>91</v>
      </c>
      <c r="Z554" s="2">
        <v>100</v>
      </c>
      <c r="AA554" s="2">
        <v>3.2</v>
      </c>
      <c r="AB554" s="2" t="s">
        <v>137</v>
      </c>
    </row>
    <row r="555" spans="1:28" x14ac:dyDescent="0.25">
      <c r="A555" s="4" t="s">
        <v>1150</v>
      </c>
      <c r="B555" s="4" t="s">
        <v>993</v>
      </c>
      <c r="C555" s="4">
        <v>63</v>
      </c>
      <c r="D555" s="4" t="s">
        <v>30</v>
      </c>
      <c r="E555" s="4" t="s">
        <v>122</v>
      </c>
      <c r="F555" s="4" t="s">
        <v>32</v>
      </c>
      <c r="G555" s="5">
        <v>44989</v>
      </c>
      <c r="H555" s="5">
        <v>45011</v>
      </c>
      <c r="I555" s="4">
        <v>22</v>
      </c>
      <c r="J555" s="4" t="s">
        <v>140</v>
      </c>
      <c r="K555" s="4" t="s">
        <v>167</v>
      </c>
      <c r="L555" s="4" t="s">
        <v>142</v>
      </c>
      <c r="M555" s="4" t="s">
        <v>95</v>
      </c>
      <c r="N555" s="4" t="s">
        <v>62</v>
      </c>
      <c r="O555" s="4" t="s">
        <v>68</v>
      </c>
      <c r="P555" s="4">
        <v>405</v>
      </c>
      <c r="Q555" s="4" t="s">
        <v>103</v>
      </c>
      <c r="R555" s="4" t="s">
        <v>136</v>
      </c>
      <c r="S555" s="4">
        <v>93058</v>
      </c>
      <c r="T555" s="4">
        <v>0</v>
      </c>
      <c r="U555" s="4">
        <v>93058</v>
      </c>
      <c r="V555" s="4">
        <v>57285</v>
      </c>
      <c r="W555" s="4">
        <v>27131</v>
      </c>
      <c r="X555" s="4">
        <v>4022</v>
      </c>
      <c r="Y555" s="4" t="s">
        <v>41</v>
      </c>
      <c r="Z555" s="4">
        <v>57</v>
      </c>
      <c r="AA555" s="4">
        <v>2.2999999999999998</v>
      </c>
      <c r="AB555" s="4" t="s">
        <v>64</v>
      </c>
    </row>
    <row r="556" spans="1:28" x14ac:dyDescent="0.25">
      <c r="A556" s="2" t="s">
        <v>1151</v>
      </c>
      <c r="B556" s="2" t="s">
        <v>861</v>
      </c>
      <c r="C556" s="2">
        <v>66</v>
      </c>
      <c r="D556" s="2" t="s">
        <v>30</v>
      </c>
      <c r="E556" s="2" t="s">
        <v>122</v>
      </c>
      <c r="F556" s="2" t="s">
        <v>114</v>
      </c>
      <c r="G556" s="3">
        <v>45559</v>
      </c>
      <c r="H556" s="3">
        <v>45567</v>
      </c>
      <c r="I556" s="2">
        <v>8</v>
      </c>
      <c r="J556" s="2" t="s">
        <v>140</v>
      </c>
      <c r="K556" s="2" t="s">
        <v>167</v>
      </c>
      <c r="L556" s="2" t="s">
        <v>142</v>
      </c>
      <c r="M556" s="2" t="s">
        <v>101</v>
      </c>
      <c r="N556" s="2" t="s">
        <v>37</v>
      </c>
      <c r="O556" s="2" t="s">
        <v>396</v>
      </c>
      <c r="P556" s="2">
        <v>29</v>
      </c>
      <c r="Q556" s="2" t="s">
        <v>50</v>
      </c>
      <c r="R556" s="2" t="s">
        <v>136</v>
      </c>
      <c r="S556" s="2">
        <v>169618</v>
      </c>
      <c r="T556" s="2">
        <v>0</v>
      </c>
      <c r="U556" s="2">
        <v>169618</v>
      </c>
      <c r="V556" s="2">
        <v>146006</v>
      </c>
      <c r="W556" s="2">
        <v>13106</v>
      </c>
      <c r="X556" s="2">
        <v>7678</v>
      </c>
      <c r="Y556" s="2" t="s">
        <v>91</v>
      </c>
      <c r="Z556" s="2">
        <v>48</v>
      </c>
      <c r="AA556" s="2">
        <v>4.5999999999999996</v>
      </c>
      <c r="AB556" s="2" t="s">
        <v>104</v>
      </c>
    </row>
    <row r="557" spans="1:28" x14ac:dyDescent="0.25">
      <c r="A557" s="4" t="s">
        <v>1152</v>
      </c>
      <c r="B557" s="4" t="s">
        <v>1153</v>
      </c>
      <c r="C557" s="4">
        <v>24</v>
      </c>
      <c r="D557" s="4" t="s">
        <v>55</v>
      </c>
      <c r="E557" s="4" t="s">
        <v>79</v>
      </c>
      <c r="F557" s="4" t="s">
        <v>72</v>
      </c>
      <c r="G557" s="5">
        <v>44971</v>
      </c>
      <c r="H557" s="5">
        <v>44989</v>
      </c>
      <c r="I557" s="4">
        <v>18</v>
      </c>
      <c r="J557" s="4" t="s">
        <v>202</v>
      </c>
      <c r="K557" s="4" t="s">
        <v>203</v>
      </c>
      <c r="L557" s="4" t="s">
        <v>204</v>
      </c>
      <c r="M557" s="4" t="s">
        <v>61</v>
      </c>
      <c r="N557" s="4" t="s">
        <v>118</v>
      </c>
      <c r="O557" s="4" t="s">
        <v>259</v>
      </c>
      <c r="P557" s="4">
        <v>391</v>
      </c>
      <c r="Q557" s="4" t="s">
        <v>50</v>
      </c>
      <c r="R557" s="4" t="s">
        <v>51</v>
      </c>
      <c r="S557" s="4">
        <v>177939</v>
      </c>
      <c r="T557" s="4">
        <v>78674</v>
      </c>
      <c r="U557" s="4">
        <v>99265</v>
      </c>
      <c r="V557" s="4">
        <v>144205</v>
      </c>
      <c r="W557" s="4">
        <v>27781</v>
      </c>
      <c r="X557" s="4">
        <v>5274</v>
      </c>
      <c r="Y557" s="4" t="s">
        <v>41</v>
      </c>
      <c r="Z557" s="4">
        <v>95</v>
      </c>
      <c r="AA557" s="4">
        <v>4.4000000000000004</v>
      </c>
      <c r="AB557" s="4" t="s">
        <v>52</v>
      </c>
    </row>
    <row r="558" spans="1:28" x14ac:dyDescent="0.25">
      <c r="A558" s="2" t="s">
        <v>1154</v>
      </c>
      <c r="B558" s="2" t="s">
        <v>1155</v>
      </c>
      <c r="C558" s="2">
        <v>62</v>
      </c>
      <c r="D558" s="2" t="s">
        <v>55</v>
      </c>
      <c r="E558" s="2" t="s">
        <v>154</v>
      </c>
      <c r="F558" s="2" t="s">
        <v>80</v>
      </c>
      <c r="G558" s="3">
        <v>45521</v>
      </c>
      <c r="H558" s="3">
        <v>45529</v>
      </c>
      <c r="I558" s="2">
        <v>8</v>
      </c>
      <c r="J558" s="2" t="s">
        <v>33</v>
      </c>
      <c r="K558" s="2" t="s">
        <v>107</v>
      </c>
      <c r="L558" s="2" t="s">
        <v>48</v>
      </c>
      <c r="M558" s="2" t="s">
        <v>95</v>
      </c>
      <c r="N558" s="2" t="s">
        <v>109</v>
      </c>
      <c r="O558" s="2" t="s">
        <v>471</v>
      </c>
      <c r="P558" s="2">
        <v>310</v>
      </c>
      <c r="Q558" s="2" t="s">
        <v>69</v>
      </c>
      <c r="R558" s="2" t="s">
        <v>40</v>
      </c>
      <c r="S558" s="2">
        <v>69519</v>
      </c>
      <c r="T558" s="2">
        <v>36073</v>
      </c>
      <c r="U558" s="2">
        <v>33446</v>
      </c>
      <c r="V558" s="2">
        <v>36245</v>
      </c>
      <c r="W558" s="2">
        <v>22044</v>
      </c>
      <c r="X558" s="2">
        <v>7230</v>
      </c>
      <c r="Y558" s="2" t="s">
        <v>41</v>
      </c>
      <c r="Z558" s="2">
        <v>43</v>
      </c>
      <c r="AA558" s="2">
        <v>4.5</v>
      </c>
      <c r="AB558" s="2" t="s">
        <v>104</v>
      </c>
    </row>
    <row r="559" spans="1:28" x14ac:dyDescent="0.25">
      <c r="A559" s="4" t="s">
        <v>1156</v>
      </c>
      <c r="B559" s="4" t="s">
        <v>221</v>
      </c>
      <c r="C559" s="4">
        <v>52</v>
      </c>
      <c r="D559" s="4" t="s">
        <v>55</v>
      </c>
      <c r="E559" s="4" t="s">
        <v>67</v>
      </c>
      <c r="F559" s="4" t="s">
        <v>57</v>
      </c>
      <c r="G559" s="5">
        <v>45594</v>
      </c>
      <c r="H559" s="5">
        <v>45622</v>
      </c>
      <c r="I559" s="4">
        <v>28</v>
      </c>
      <c r="J559" s="4" t="s">
        <v>33</v>
      </c>
      <c r="K559" s="4" t="s">
        <v>47</v>
      </c>
      <c r="L559" s="4" t="s">
        <v>48</v>
      </c>
      <c r="M559" s="4" t="s">
        <v>83</v>
      </c>
      <c r="N559" s="4" t="s">
        <v>118</v>
      </c>
      <c r="O559" s="4" t="s">
        <v>950</v>
      </c>
      <c r="P559" s="4">
        <v>325</v>
      </c>
      <c r="Q559" s="4" t="s">
        <v>69</v>
      </c>
      <c r="R559" s="4" t="s">
        <v>90</v>
      </c>
      <c r="S559" s="4">
        <v>63157</v>
      </c>
      <c r="T559" s="4">
        <v>47970</v>
      </c>
      <c r="U559" s="4">
        <v>15187</v>
      </c>
      <c r="V559" s="4">
        <v>29154</v>
      </c>
      <c r="W559" s="4">
        <v>19294</v>
      </c>
      <c r="X559" s="4">
        <v>13289</v>
      </c>
      <c r="Y559" s="4" t="s">
        <v>41</v>
      </c>
      <c r="Z559" s="4">
        <v>94</v>
      </c>
      <c r="AA559" s="4">
        <v>4.5999999999999996</v>
      </c>
      <c r="AB559" s="4" t="s">
        <v>42</v>
      </c>
    </row>
    <row r="560" spans="1:28" x14ac:dyDescent="0.25">
      <c r="A560" s="2" t="s">
        <v>1157</v>
      </c>
      <c r="B560" s="2" t="s">
        <v>557</v>
      </c>
      <c r="C560" s="2">
        <v>83</v>
      </c>
      <c r="D560" s="2" t="s">
        <v>55</v>
      </c>
      <c r="E560" s="2" t="s">
        <v>56</v>
      </c>
      <c r="F560" s="2" t="s">
        <v>114</v>
      </c>
      <c r="G560" s="3">
        <v>45129</v>
      </c>
      <c r="H560" s="3">
        <v>45144</v>
      </c>
      <c r="I560" s="2">
        <v>15</v>
      </c>
      <c r="J560" s="2" t="s">
        <v>33</v>
      </c>
      <c r="K560" s="2" t="s">
        <v>107</v>
      </c>
      <c r="L560" s="2" t="s">
        <v>48</v>
      </c>
      <c r="M560" s="2" t="s">
        <v>95</v>
      </c>
      <c r="N560" s="2" t="s">
        <v>62</v>
      </c>
      <c r="O560" s="2" t="s">
        <v>530</v>
      </c>
      <c r="P560" s="2">
        <v>174</v>
      </c>
      <c r="Q560" s="2" t="s">
        <v>103</v>
      </c>
      <c r="R560" s="2" t="s">
        <v>51</v>
      </c>
      <c r="S560" s="2">
        <v>130036</v>
      </c>
      <c r="T560" s="2">
        <v>52262</v>
      </c>
      <c r="U560" s="2">
        <v>77774</v>
      </c>
      <c r="V560" s="2">
        <v>118350</v>
      </c>
      <c r="W560" s="2">
        <v>1703</v>
      </c>
      <c r="X560" s="2">
        <v>7077</v>
      </c>
      <c r="Y560" s="2" t="s">
        <v>41</v>
      </c>
      <c r="Z560" s="2">
        <v>41</v>
      </c>
      <c r="AA560" s="2">
        <v>2</v>
      </c>
      <c r="AB560" s="2" t="s">
        <v>52</v>
      </c>
    </row>
    <row r="561" spans="1:28" x14ac:dyDescent="0.25">
      <c r="A561" s="4" t="s">
        <v>1158</v>
      </c>
      <c r="B561" s="4" t="s">
        <v>1159</v>
      </c>
      <c r="C561" s="4">
        <v>38</v>
      </c>
      <c r="D561" s="4" t="s">
        <v>55</v>
      </c>
      <c r="E561" s="4" t="s">
        <v>45</v>
      </c>
      <c r="F561" s="4" t="s">
        <v>94</v>
      </c>
      <c r="G561" s="5">
        <v>45499</v>
      </c>
      <c r="H561" s="5">
        <v>45520</v>
      </c>
      <c r="I561" s="4">
        <v>21</v>
      </c>
      <c r="J561" s="4" t="s">
        <v>115</v>
      </c>
      <c r="K561" s="4" t="s">
        <v>160</v>
      </c>
      <c r="L561" s="4" t="s">
        <v>117</v>
      </c>
      <c r="M561" s="4" t="s">
        <v>95</v>
      </c>
      <c r="N561" s="4" t="s">
        <v>109</v>
      </c>
      <c r="O561" s="4" t="s">
        <v>678</v>
      </c>
      <c r="P561" s="4">
        <v>106</v>
      </c>
      <c r="Q561" s="4" t="s">
        <v>50</v>
      </c>
      <c r="R561" s="4" t="s">
        <v>40</v>
      </c>
      <c r="S561" s="4">
        <v>43370</v>
      </c>
      <c r="T561" s="4">
        <v>27490</v>
      </c>
      <c r="U561" s="4">
        <v>15880</v>
      </c>
      <c r="V561" s="4">
        <v>31449</v>
      </c>
      <c r="W561" s="4">
        <v>1859</v>
      </c>
      <c r="X561" s="4">
        <v>9239</v>
      </c>
      <c r="Y561" s="4" t="s">
        <v>41</v>
      </c>
      <c r="Z561" s="4">
        <v>44</v>
      </c>
      <c r="AA561" s="4">
        <v>3</v>
      </c>
      <c r="AB561" s="4" t="s">
        <v>52</v>
      </c>
    </row>
    <row r="562" spans="1:28" x14ac:dyDescent="0.25">
      <c r="A562" s="2" t="s">
        <v>1160</v>
      </c>
      <c r="B562" s="2" t="s">
        <v>870</v>
      </c>
      <c r="C562" s="2">
        <v>31</v>
      </c>
      <c r="D562" s="2" t="s">
        <v>55</v>
      </c>
      <c r="E562" s="2" t="s">
        <v>79</v>
      </c>
      <c r="F562" s="2" t="s">
        <v>129</v>
      </c>
      <c r="G562" s="3">
        <v>45430</v>
      </c>
      <c r="H562" s="3">
        <v>45439</v>
      </c>
      <c r="I562" s="2">
        <v>9</v>
      </c>
      <c r="J562" s="2" t="s">
        <v>73</v>
      </c>
      <c r="K562" s="2" t="s">
        <v>74</v>
      </c>
      <c r="L562" s="2" t="s">
        <v>73</v>
      </c>
      <c r="M562" s="2" t="s">
        <v>95</v>
      </c>
      <c r="N562" s="2" t="s">
        <v>62</v>
      </c>
      <c r="O562" s="2" t="s">
        <v>331</v>
      </c>
      <c r="P562" s="2">
        <v>64</v>
      </c>
      <c r="Q562" s="2" t="s">
        <v>103</v>
      </c>
      <c r="R562" s="2" t="s">
        <v>90</v>
      </c>
      <c r="S562" s="2">
        <v>165702</v>
      </c>
      <c r="T562" s="2">
        <v>118332</v>
      </c>
      <c r="U562" s="2">
        <v>47370</v>
      </c>
      <c r="V562" s="2">
        <v>121379</v>
      </c>
      <c r="W562" s="2">
        <v>29427</v>
      </c>
      <c r="X562" s="2">
        <v>12688</v>
      </c>
      <c r="Y562" s="2" t="s">
        <v>41</v>
      </c>
      <c r="Z562" s="2">
        <v>65</v>
      </c>
      <c r="AA562" s="2">
        <v>2.6</v>
      </c>
      <c r="AB562" s="2" t="s">
        <v>137</v>
      </c>
    </row>
    <row r="563" spans="1:28" x14ac:dyDescent="0.25">
      <c r="A563" s="4" t="s">
        <v>1161</v>
      </c>
      <c r="B563" s="4" t="s">
        <v>405</v>
      </c>
      <c r="C563" s="4">
        <v>16</v>
      </c>
      <c r="D563" s="4" t="s">
        <v>55</v>
      </c>
      <c r="E563" s="4" t="s">
        <v>56</v>
      </c>
      <c r="F563" s="4" t="s">
        <v>129</v>
      </c>
      <c r="G563" s="5">
        <v>44991</v>
      </c>
      <c r="H563" s="5">
        <v>44995</v>
      </c>
      <c r="I563" s="4">
        <v>4</v>
      </c>
      <c r="J563" s="4" t="s">
        <v>33</v>
      </c>
      <c r="K563" s="4" t="s">
        <v>174</v>
      </c>
      <c r="L563" s="4" t="s">
        <v>48</v>
      </c>
      <c r="M563" s="4" t="s">
        <v>95</v>
      </c>
      <c r="N563" s="4" t="s">
        <v>118</v>
      </c>
      <c r="O563" s="4" t="s">
        <v>164</v>
      </c>
      <c r="P563" s="4">
        <v>108</v>
      </c>
      <c r="Q563" s="4" t="s">
        <v>69</v>
      </c>
      <c r="R563" s="4" t="s">
        <v>51</v>
      </c>
      <c r="S563" s="4">
        <v>125345</v>
      </c>
      <c r="T563" s="4">
        <v>54349</v>
      </c>
      <c r="U563" s="4">
        <v>70996</v>
      </c>
      <c r="V563" s="4">
        <v>99334</v>
      </c>
      <c r="W563" s="4">
        <v>16662</v>
      </c>
      <c r="X563" s="4">
        <v>4682</v>
      </c>
      <c r="Y563" s="4" t="s">
        <v>41</v>
      </c>
      <c r="Z563" s="4">
        <v>40</v>
      </c>
      <c r="AA563" s="4">
        <v>3.1</v>
      </c>
      <c r="AB563" s="4" t="s">
        <v>137</v>
      </c>
    </row>
    <row r="564" spans="1:28" x14ac:dyDescent="0.25">
      <c r="A564" s="2" t="s">
        <v>1162</v>
      </c>
      <c r="B564" s="2" t="s">
        <v>752</v>
      </c>
      <c r="C564" s="2">
        <v>50</v>
      </c>
      <c r="D564" s="2" t="s">
        <v>30</v>
      </c>
      <c r="E564" s="2" t="s">
        <v>79</v>
      </c>
      <c r="F564" s="2" t="s">
        <v>157</v>
      </c>
      <c r="G564" s="3">
        <v>45451</v>
      </c>
      <c r="H564" s="3">
        <v>45479</v>
      </c>
      <c r="I564" s="2">
        <v>28</v>
      </c>
      <c r="J564" s="2" t="s">
        <v>58</v>
      </c>
      <c r="K564" s="2" t="s">
        <v>59</v>
      </c>
      <c r="L564" s="2" t="s">
        <v>60</v>
      </c>
      <c r="M564" s="2" t="s">
        <v>36</v>
      </c>
      <c r="N564" s="2" t="s">
        <v>37</v>
      </c>
      <c r="O564" s="2" t="s">
        <v>373</v>
      </c>
      <c r="P564" s="2">
        <v>488</v>
      </c>
      <c r="Q564" s="2" t="s">
        <v>50</v>
      </c>
      <c r="R564" s="2" t="s">
        <v>136</v>
      </c>
      <c r="S564" s="2">
        <v>39427</v>
      </c>
      <c r="T564" s="2">
        <v>0</v>
      </c>
      <c r="U564" s="2">
        <v>39427</v>
      </c>
      <c r="V564" s="2">
        <v>16893</v>
      </c>
      <c r="W564" s="2">
        <v>5611</v>
      </c>
      <c r="X564" s="2">
        <v>14384</v>
      </c>
      <c r="Y564" s="2" t="s">
        <v>41</v>
      </c>
      <c r="Z564" s="2">
        <v>40</v>
      </c>
      <c r="AA564" s="2">
        <v>2.4</v>
      </c>
      <c r="AB564" s="2" t="s">
        <v>64</v>
      </c>
    </row>
    <row r="565" spans="1:28" x14ac:dyDescent="0.25">
      <c r="A565" s="4" t="s">
        <v>1163</v>
      </c>
      <c r="B565" s="4" t="s">
        <v>1164</v>
      </c>
      <c r="C565" s="4">
        <v>9</v>
      </c>
      <c r="D565" s="4" t="s">
        <v>55</v>
      </c>
      <c r="E565" s="4" t="s">
        <v>31</v>
      </c>
      <c r="F565" s="4" t="s">
        <v>46</v>
      </c>
      <c r="G565" s="5">
        <v>45323</v>
      </c>
      <c r="H565" s="5">
        <v>45343</v>
      </c>
      <c r="I565" s="4">
        <v>20</v>
      </c>
      <c r="J565" s="4" t="s">
        <v>33</v>
      </c>
      <c r="K565" s="4" t="s">
        <v>81</v>
      </c>
      <c r="L565" s="4" t="s">
        <v>82</v>
      </c>
      <c r="M565" s="4" t="s">
        <v>108</v>
      </c>
      <c r="N565" s="4" t="s">
        <v>109</v>
      </c>
      <c r="O565" s="4" t="s">
        <v>340</v>
      </c>
      <c r="P565" s="4">
        <v>495</v>
      </c>
      <c r="Q565" s="4" t="s">
        <v>39</v>
      </c>
      <c r="R565" s="4" t="s">
        <v>40</v>
      </c>
      <c r="S565" s="4">
        <v>134627</v>
      </c>
      <c r="T565" s="4">
        <v>55062</v>
      </c>
      <c r="U565" s="4">
        <v>79565</v>
      </c>
      <c r="V565" s="4">
        <v>100700</v>
      </c>
      <c r="W565" s="4">
        <v>29805</v>
      </c>
      <c r="X565" s="4">
        <v>2292</v>
      </c>
      <c r="Y565" s="4" t="s">
        <v>41</v>
      </c>
      <c r="Z565" s="4">
        <v>65</v>
      </c>
      <c r="AA565" s="4">
        <v>3.9</v>
      </c>
      <c r="AB565" s="4" t="s">
        <v>52</v>
      </c>
    </row>
    <row r="566" spans="1:28" x14ac:dyDescent="0.25">
      <c r="A566" s="2" t="s">
        <v>1165</v>
      </c>
      <c r="B566" s="2" t="s">
        <v>1166</v>
      </c>
      <c r="C566" s="2">
        <v>8</v>
      </c>
      <c r="D566" s="2" t="s">
        <v>55</v>
      </c>
      <c r="E566" s="2" t="s">
        <v>45</v>
      </c>
      <c r="F566" s="2" t="s">
        <v>57</v>
      </c>
      <c r="G566" s="3">
        <v>45525</v>
      </c>
      <c r="H566" s="3">
        <v>45527</v>
      </c>
      <c r="I566" s="2">
        <v>2</v>
      </c>
      <c r="J566" s="2" t="s">
        <v>140</v>
      </c>
      <c r="K566" s="2" t="s">
        <v>141</v>
      </c>
      <c r="L566" s="2" t="s">
        <v>142</v>
      </c>
      <c r="M566" s="2" t="s">
        <v>130</v>
      </c>
      <c r="N566" s="2" t="s">
        <v>37</v>
      </c>
      <c r="O566" s="2" t="s">
        <v>259</v>
      </c>
      <c r="P566" s="2">
        <v>87</v>
      </c>
      <c r="Q566" s="2" t="s">
        <v>39</v>
      </c>
      <c r="R566" s="2" t="s">
        <v>90</v>
      </c>
      <c r="S566" s="2">
        <v>26743</v>
      </c>
      <c r="T566" s="2">
        <v>19414</v>
      </c>
      <c r="U566" s="2">
        <v>7329</v>
      </c>
      <c r="V566" s="2">
        <v>8916</v>
      </c>
      <c r="W566" s="2">
        <v>12425</v>
      </c>
      <c r="X566" s="2">
        <v>4148</v>
      </c>
      <c r="Y566" s="2" t="s">
        <v>91</v>
      </c>
      <c r="Z566" s="2">
        <v>70</v>
      </c>
      <c r="AA566" s="2">
        <v>3.4</v>
      </c>
      <c r="AB566" s="2" t="s">
        <v>137</v>
      </c>
    </row>
    <row r="567" spans="1:28" x14ac:dyDescent="0.25">
      <c r="A567" s="4" t="s">
        <v>1167</v>
      </c>
      <c r="B567" s="4" t="s">
        <v>1121</v>
      </c>
      <c r="C567" s="4">
        <v>61</v>
      </c>
      <c r="D567" s="4" t="s">
        <v>55</v>
      </c>
      <c r="E567" s="4" t="s">
        <v>122</v>
      </c>
      <c r="F567" s="4" t="s">
        <v>46</v>
      </c>
      <c r="G567" s="5">
        <v>45537</v>
      </c>
      <c r="H567" s="5">
        <v>45553</v>
      </c>
      <c r="I567" s="4">
        <v>16</v>
      </c>
      <c r="J567" s="4" t="s">
        <v>140</v>
      </c>
      <c r="K567" s="4" t="s">
        <v>167</v>
      </c>
      <c r="L567" s="4" t="s">
        <v>142</v>
      </c>
      <c r="M567" s="4" t="s">
        <v>95</v>
      </c>
      <c r="N567" s="4" t="s">
        <v>118</v>
      </c>
      <c r="O567" s="4" t="s">
        <v>520</v>
      </c>
      <c r="P567" s="4">
        <v>245</v>
      </c>
      <c r="Q567" s="4" t="s">
        <v>103</v>
      </c>
      <c r="R567" s="4" t="s">
        <v>51</v>
      </c>
      <c r="S567" s="4">
        <v>70387</v>
      </c>
      <c r="T567" s="4">
        <v>30896</v>
      </c>
      <c r="U567" s="4">
        <v>39491</v>
      </c>
      <c r="V567" s="4">
        <v>56455</v>
      </c>
      <c r="W567" s="4">
        <v>5123</v>
      </c>
      <c r="X567" s="4">
        <v>4093</v>
      </c>
      <c r="Y567" s="4" t="s">
        <v>41</v>
      </c>
      <c r="Z567" s="4">
        <v>54</v>
      </c>
      <c r="AA567" s="4">
        <v>4</v>
      </c>
      <c r="AB567" s="4" t="s">
        <v>104</v>
      </c>
    </row>
    <row r="568" spans="1:28" x14ac:dyDescent="0.25">
      <c r="A568" s="2" t="s">
        <v>1168</v>
      </c>
      <c r="B568" s="2" t="s">
        <v>1169</v>
      </c>
      <c r="C568" s="2">
        <v>41</v>
      </c>
      <c r="D568" s="2" t="s">
        <v>55</v>
      </c>
      <c r="E568" s="2" t="s">
        <v>31</v>
      </c>
      <c r="F568" s="2" t="s">
        <v>32</v>
      </c>
      <c r="G568" s="3">
        <v>45075</v>
      </c>
      <c r="H568" s="3">
        <v>45081</v>
      </c>
      <c r="I568" s="2">
        <v>6</v>
      </c>
      <c r="J568" s="2" t="s">
        <v>58</v>
      </c>
      <c r="K568" s="2" t="s">
        <v>59</v>
      </c>
      <c r="L568" s="2" t="s">
        <v>60</v>
      </c>
      <c r="M568" s="2" t="s">
        <v>83</v>
      </c>
      <c r="N568" s="2" t="s">
        <v>118</v>
      </c>
      <c r="O568" s="2" t="s">
        <v>406</v>
      </c>
      <c r="P568" s="2">
        <v>217</v>
      </c>
      <c r="Q568" s="2" t="s">
        <v>50</v>
      </c>
      <c r="R568" s="2" t="s">
        <v>40</v>
      </c>
      <c r="S568" s="2">
        <v>56736</v>
      </c>
      <c r="T568" s="2">
        <v>33450</v>
      </c>
      <c r="U568" s="2">
        <v>23286</v>
      </c>
      <c r="V568" s="2">
        <v>13971</v>
      </c>
      <c r="W568" s="2">
        <v>25508</v>
      </c>
      <c r="X568" s="2">
        <v>13603</v>
      </c>
      <c r="Y568" s="2" t="s">
        <v>41</v>
      </c>
      <c r="Z568" s="2">
        <v>51</v>
      </c>
      <c r="AA568" s="2">
        <v>2</v>
      </c>
      <c r="AB568" s="2" t="s">
        <v>104</v>
      </c>
    </row>
    <row r="569" spans="1:28" x14ac:dyDescent="0.25">
      <c r="A569" s="4" t="s">
        <v>1170</v>
      </c>
      <c r="B569" s="4" t="s">
        <v>372</v>
      </c>
      <c r="C569" s="4">
        <v>25</v>
      </c>
      <c r="D569" s="4" t="s">
        <v>30</v>
      </c>
      <c r="E569" s="4" t="s">
        <v>45</v>
      </c>
      <c r="F569" s="4" t="s">
        <v>57</v>
      </c>
      <c r="G569" s="5">
        <v>45546</v>
      </c>
      <c r="H569" s="5">
        <v>45562</v>
      </c>
      <c r="I569" s="4">
        <v>16</v>
      </c>
      <c r="J569" s="4" t="s">
        <v>58</v>
      </c>
      <c r="K569" s="4" t="s">
        <v>88</v>
      </c>
      <c r="L569" s="4" t="s">
        <v>60</v>
      </c>
      <c r="M569" s="4" t="s">
        <v>101</v>
      </c>
      <c r="N569" s="4" t="s">
        <v>37</v>
      </c>
      <c r="O569" s="4" t="s">
        <v>256</v>
      </c>
      <c r="P569" s="4">
        <v>233</v>
      </c>
      <c r="Q569" s="4" t="s">
        <v>50</v>
      </c>
      <c r="R569" s="4" t="s">
        <v>51</v>
      </c>
      <c r="S569" s="4">
        <v>140660</v>
      </c>
      <c r="T569" s="4">
        <v>83923</v>
      </c>
      <c r="U569" s="4">
        <v>56737</v>
      </c>
      <c r="V569" s="4">
        <v>120307</v>
      </c>
      <c r="W569" s="4">
        <v>4860</v>
      </c>
      <c r="X569" s="4">
        <v>12705</v>
      </c>
      <c r="Y569" s="4" t="s">
        <v>41</v>
      </c>
      <c r="Z569" s="4">
        <v>61</v>
      </c>
      <c r="AA569" s="4">
        <v>3</v>
      </c>
      <c r="AB569" s="4" t="s">
        <v>64</v>
      </c>
    </row>
    <row r="570" spans="1:28" x14ac:dyDescent="0.25">
      <c r="A570" s="2" t="s">
        <v>1171</v>
      </c>
      <c r="B570" s="2" t="s">
        <v>1133</v>
      </c>
      <c r="C570" s="2">
        <v>67</v>
      </c>
      <c r="D570" s="2" t="s">
        <v>30</v>
      </c>
      <c r="E570" s="2" t="s">
        <v>56</v>
      </c>
      <c r="F570" s="2" t="s">
        <v>80</v>
      </c>
      <c r="G570" s="3">
        <v>45625</v>
      </c>
      <c r="H570" s="3">
        <v>45634</v>
      </c>
      <c r="I570" s="2">
        <v>9</v>
      </c>
      <c r="J570" s="2" t="s">
        <v>202</v>
      </c>
      <c r="K570" s="2" t="s">
        <v>203</v>
      </c>
      <c r="L570" s="2" t="s">
        <v>204</v>
      </c>
      <c r="M570" s="2" t="s">
        <v>108</v>
      </c>
      <c r="N570" s="2" t="s">
        <v>62</v>
      </c>
      <c r="O570" s="2" t="s">
        <v>217</v>
      </c>
      <c r="P570" s="2">
        <v>49</v>
      </c>
      <c r="Q570" s="2" t="s">
        <v>39</v>
      </c>
      <c r="R570" s="2" t="s">
        <v>111</v>
      </c>
      <c r="S570" s="2">
        <v>51514</v>
      </c>
      <c r="T570" s="2">
        <v>32860</v>
      </c>
      <c r="U570" s="2">
        <v>18654</v>
      </c>
      <c r="V570" s="2">
        <v>34133</v>
      </c>
      <c r="W570" s="2">
        <v>4941</v>
      </c>
      <c r="X570" s="2">
        <v>9518</v>
      </c>
      <c r="Y570" s="2" t="s">
        <v>41</v>
      </c>
      <c r="Z570" s="2">
        <v>68</v>
      </c>
      <c r="AA570" s="2">
        <v>3.3</v>
      </c>
      <c r="AB570" s="2" t="s">
        <v>104</v>
      </c>
    </row>
    <row r="571" spans="1:28" x14ac:dyDescent="0.25">
      <c r="A571" s="4" t="s">
        <v>1172</v>
      </c>
      <c r="B571" s="4" t="s">
        <v>805</v>
      </c>
      <c r="C571" s="4">
        <v>28</v>
      </c>
      <c r="D571" s="4" t="s">
        <v>30</v>
      </c>
      <c r="E571" s="4" t="s">
        <v>31</v>
      </c>
      <c r="F571" s="4" t="s">
        <v>129</v>
      </c>
      <c r="G571" s="5">
        <v>45016</v>
      </c>
      <c r="H571" s="5">
        <v>45041</v>
      </c>
      <c r="I571" s="4">
        <v>25</v>
      </c>
      <c r="J571" s="4" t="s">
        <v>123</v>
      </c>
      <c r="K571" s="4" t="s">
        <v>251</v>
      </c>
      <c r="L571" s="4" t="s">
        <v>125</v>
      </c>
      <c r="M571" s="4" t="s">
        <v>95</v>
      </c>
      <c r="N571" s="4" t="s">
        <v>109</v>
      </c>
      <c r="O571" s="4" t="s">
        <v>259</v>
      </c>
      <c r="P571" s="4">
        <v>269</v>
      </c>
      <c r="Q571" s="4" t="s">
        <v>69</v>
      </c>
      <c r="R571" s="4" t="s">
        <v>51</v>
      </c>
      <c r="S571" s="4">
        <v>127867</v>
      </c>
      <c r="T571" s="4">
        <v>57543</v>
      </c>
      <c r="U571" s="4">
        <v>70324</v>
      </c>
      <c r="V571" s="4">
        <v>100068</v>
      </c>
      <c r="W571" s="4">
        <v>18676</v>
      </c>
      <c r="X571" s="4">
        <v>4275</v>
      </c>
      <c r="Y571" s="4" t="s">
        <v>41</v>
      </c>
      <c r="Z571" s="4">
        <v>83</v>
      </c>
      <c r="AA571" s="4">
        <v>2.5</v>
      </c>
      <c r="AB571" s="4" t="s">
        <v>42</v>
      </c>
    </row>
    <row r="572" spans="1:28" x14ac:dyDescent="0.25">
      <c r="A572" s="2" t="s">
        <v>1173</v>
      </c>
      <c r="B572" s="2" t="s">
        <v>701</v>
      </c>
      <c r="C572" s="2">
        <v>74</v>
      </c>
      <c r="D572" s="2" t="s">
        <v>30</v>
      </c>
      <c r="E572" s="2" t="s">
        <v>31</v>
      </c>
      <c r="F572" s="2" t="s">
        <v>46</v>
      </c>
      <c r="G572" s="3">
        <v>44662</v>
      </c>
      <c r="H572" s="3">
        <v>44675</v>
      </c>
      <c r="I572" s="2">
        <v>13</v>
      </c>
      <c r="J572" s="2" t="s">
        <v>58</v>
      </c>
      <c r="K572" s="2" t="s">
        <v>59</v>
      </c>
      <c r="L572" s="2" t="s">
        <v>60</v>
      </c>
      <c r="M572" s="2" t="s">
        <v>75</v>
      </c>
      <c r="N572" s="2" t="s">
        <v>37</v>
      </c>
      <c r="O572" s="2" t="s">
        <v>189</v>
      </c>
      <c r="P572" s="2">
        <v>165</v>
      </c>
      <c r="Q572" s="2" t="s">
        <v>39</v>
      </c>
      <c r="R572" s="2" t="s">
        <v>136</v>
      </c>
      <c r="S572" s="2">
        <v>16214</v>
      </c>
      <c r="T572" s="2">
        <v>0</v>
      </c>
      <c r="U572" s="2">
        <v>16214</v>
      </c>
      <c r="V572" s="2">
        <v>5092</v>
      </c>
      <c r="W572" s="2">
        <v>3453</v>
      </c>
      <c r="X572" s="2">
        <v>4617</v>
      </c>
      <c r="Y572" s="2" t="s">
        <v>41</v>
      </c>
      <c r="Z572" s="2">
        <v>86</v>
      </c>
      <c r="AA572" s="2">
        <v>3.8</v>
      </c>
      <c r="AB572" s="2" t="s">
        <v>104</v>
      </c>
    </row>
    <row r="573" spans="1:28" x14ac:dyDescent="0.25">
      <c r="A573" s="4" t="s">
        <v>1174</v>
      </c>
      <c r="B573" s="4" t="s">
        <v>1175</v>
      </c>
      <c r="C573" s="4">
        <v>22</v>
      </c>
      <c r="D573" s="4" t="s">
        <v>55</v>
      </c>
      <c r="E573" s="4" t="s">
        <v>87</v>
      </c>
      <c r="F573" s="4" t="s">
        <v>129</v>
      </c>
      <c r="G573" s="5">
        <v>45058</v>
      </c>
      <c r="H573" s="5">
        <v>45071</v>
      </c>
      <c r="I573" s="4">
        <v>13</v>
      </c>
      <c r="J573" s="4" t="s">
        <v>123</v>
      </c>
      <c r="K573" s="4" t="s">
        <v>124</v>
      </c>
      <c r="L573" s="4" t="s">
        <v>125</v>
      </c>
      <c r="M573" s="4" t="s">
        <v>108</v>
      </c>
      <c r="N573" s="4" t="s">
        <v>109</v>
      </c>
      <c r="O573" s="4" t="s">
        <v>627</v>
      </c>
      <c r="P573" s="4">
        <v>37</v>
      </c>
      <c r="Q573" s="4" t="s">
        <v>39</v>
      </c>
      <c r="R573" s="4" t="s">
        <v>136</v>
      </c>
      <c r="S573" s="4">
        <v>60234</v>
      </c>
      <c r="T573" s="4">
        <v>0</v>
      </c>
      <c r="U573" s="4">
        <v>60234</v>
      </c>
      <c r="V573" s="4">
        <v>41815</v>
      </c>
      <c r="W573" s="4">
        <v>14154</v>
      </c>
      <c r="X573" s="4">
        <v>2522</v>
      </c>
      <c r="Y573" s="4" t="s">
        <v>41</v>
      </c>
      <c r="Z573" s="4">
        <v>49</v>
      </c>
      <c r="AA573" s="4">
        <v>4</v>
      </c>
      <c r="AB573" s="4" t="s">
        <v>52</v>
      </c>
    </row>
    <row r="574" spans="1:28" x14ac:dyDescent="0.25">
      <c r="A574" s="2" t="s">
        <v>1176</v>
      </c>
      <c r="B574" s="2" t="s">
        <v>923</v>
      </c>
      <c r="C574" s="2">
        <v>71</v>
      </c>
      <c r="D574" s="2" t="s">
        <v>30</v>
      </c>
      <c r="E574" s="2" t="s">
        <v>56</v>
      </c>
      <c r="F574" s="2" t="s">
        <v>72</v>
      </c>
      <c r="G574" s="3">
        <v>45526</v>
      </c>
      <c r="H574" s="3">
        <v>45534</v>
      </c>
      <c r="I574" s="2">
        <v>8</v>
      </c>
      <c r="J574" s="2" t="s">
        <v>33</v>
      </c>
      <c r="K574" s="2" t="s">
        <v>107</v>
      </c>
      <c r="L574" s="2" t="s">
        <v>48</v>
      </c>
      <c r="M574" s="2" t="s">
        <v>36</v>
      </c>
      <c r="N574" s="2" t="s">
        <v>37</v>
      </c>
      <c r="O574" s="2" t="s">
        <v>509</v>
      </c>
      <c r="P574" s="2">
        <v>451</v>
      </c>
      <c r="Q574" s="2" t="s">
        <v>50</v>
      </c>
      <c r="R574" s="2" t="s">
        <v>136</v>
      </c>
      <c r="S574" s="2">
        <v>46062</v>
      </c>
      <c r="T574" s="2">
        <v>0</v>
      </c>
      <c r="U574" s="2">
        <v>46062</v>
      </c>
      <c r="V574" s="2">
        <v>15740</v>
      </c>
      <c r="W574" s="2">
        <v>13501</v>
      </c>
      <c r="X574" s="2">
        <v>14229</v>
      </c>
      <c r="Y574" s="2" t="s">
        <v>91</v>
      </c>
      <c r="Z574" s="2">
        <v>69</v>
      </c>
      <c r="AA574" s="2">
        <v>3.3</v>
      </c>
      <c r="AB574" s="2" t="s">
        <v>64</v>
      </c>
    </row>
    <row r="575" spans="1:28" x14ac:dyDescent="0.25">
      <c r="A575" s="4" t="s">
        <v>1177</v>
      </c>
      <c r="B575" s="4" t="s">
        <v>744</v>
      </c>
      <c r="C575" s="4">
        <v>42</v>
      </c>
      <c r="D575" s="4" t="s">
        <v>55</v>
      </c>
      <c r="E575" s="4" t="s">
        <v>56</v>
      </c>
      <c r="F575" s="4" t="s">
        <v>157</v>
      </c>
      <c r="G575" s="5">
        <v>45304</v>
      </c>
      <c r="H575" s="5">
        <v>45312</v>
      </c>
      <c r="I575" s="4">
        <v>8</v>
      </c>
      <c r="J575" s="4" t="s">
        <v>33</v>
      </c>
      <c r="K575" s="4" t="s">
        <v>174</v>
      </c>
      <c r="L575" s="4" t="s">
        <v>48</v>
      </c>
      <c r="M575" s="4" t="s">
        <v>108</v>
      </c>
      <c r="N575" s="4" t="s">
        <v>62</v>
      </c>
      <c r="O575" s="4" t="s">
        <v>161</v>
      </c>
      <c r="P575" s="4">
        <v>432</v>
      </c>
      <c r="Q575" s="4" t="s">
        <v>50</v>
      </c>
      <c r="R575" s="4" t="s">
        <v>136</v>
      </c>
      <c r="S575" s="4">
        <v>159830</v>
      </c>
      <c r="T575" s="4">
        <v>0</v>
      </c>
      <c r="U575" s="4">
        <v>159830</v>
      </c>
      <c r="V575" s="4">
        <v>138122</v>
      </c>
      <c r="W575" s="4">
        <v>11775</v>
      </c>
      <c r="X575" s="4">
        <v>7375</v>
      </c>
      <c r="Y575" s="4" t="s">
        <v>41</v>
      </c>
      <c r="Z575" s="4">
        <v>45</v>
      </c>
      <c r="AA575" s="4">
        <v>2</v>
      </c>
      <c r="AB575" s="4" t="s">
        <v>137</v>
      </c>
    </row>
    <row r="576" spans="1:28" x14ac:dyDescent="0.25">
      <c r="A576" s="2" t="s">
        <v>1178</v>
      </c>
      <c r="B576" s="2" t="s">
        <v>1179</v>
      </c>
      <c r="C576" s="2">
        <v>68</v>
      </c>
      <c r="D576" s="2" t="s">
        <v>55</v>
      </c>
      <c r="E576" s="2" t="s">
        <v>67</v>
      </c>
      <c r="F576" s="2" t="s">
        <v>46</v>
      </c>
      <c r="G576" s="3">
        <v>44774</v>
      </c>
      <c r="H576" s="3">
        <v>44799</v>
      </c>
      <c r="I576" s="2">
        <v>25</v>
      </c>
      <c r="J576" s="2" t="s">
        <v>33</v>
      </c>
      <c r="K576" s="2" t="s">
        <v>174</v>
      </c>
      <c r="L576" s="2" t="s">
        <v>48</v>
      </c>
      <c r="M576" s="2" t="s">
        <v>101</v>
      </c>
      <c r="N576" s="2" t="s">
        <v>37</v>
      </c>
      <c r="O576" s="2" t="s">
        <v>259</v>
      </c>
      <c r="P576" s="2">
        <v>446</v>
      </c>
      <c r="Q576" s="2" t="s">
        <v>103</v>
      </c>
      <c r="R576" s="2" t="s">
        <v>90</v>
      </c>
      <c r="S576" s="2">
        <v>69142</v>
      </c>
      <c r="T576" s="2">
        <v>53425</v>
      </c>
      <c r="U576" s="2">
        <v>15717</v>
      </c>
      <c r="V576" s="2">
        <v>33258</v>
      </c>
      <c r="W576" s="2">
        <v>20344</v>
      </c>
      <c r="X576" s="2">
        <v>14233</v>
      </c>
      <c r="Y576" s="2" t="s">
        <v>91</v>
      </c>
      <c r="Z576" s="2">
        <v>88</v>
      </c>
      <c r="AA576" s="2">
        <v>2.7</v>
      </c>
      <c r="AB576" s="2" t="s">
        <v>42</v>
      </c>
    </row>
    <row r="577" spans="1:28" x14ac:dyDescent="0.25">
      <c r="A577" s="4" t="s">
        <v>1180</v>
      </c>
      <c r="B577" s="4" t="s">
        <v>323</v>
      </c>
      <c r="C577" s="4">
        <v>58</v>
      </c>
      <c r="D577" s="4" t="s">
        <v>30</v>
      </c>
      <c r="E577" s="4" t="s">
        <v>122</v>
      </c>
      <c r="F577" s="4" t="s">
        <v>80</v>
      </c>
      <c r="G577" s="5">
        <v>45463</v>
      </c>
      <c r="H577" s="5">
        <v>45491</v>
      </c>
      <c r="I577" s="4">
        <v>28</v>
      </c>
      <c r="J577" s="4" t="s">
        <v>33</v>
      </c>
      <c r="K577" s="4" t="s">
        <v>107</v>
      </c>
      <c r="L577" s="4" t="s">
        <v>48</v>
      </c>
      <c r="M577" s="4" t="s">
        <v>75</v>
      </c>
      <c r="N577" s="4" t="s">
        <v>62</v>
      </c>
      <c r="O577" s="4" t="s">
        <v>171</v>
      </c>
      <c r="P577" s="4">
        <v>343</v>
      </c>
      <c r="Q577" s="4" t="s">
        <v>69</v>
      </c>
      <c r="R577" s="4" t="s">
        <v>40</v>
      </c>
      <c r="S577" s="4">
        <v>68194</v>
      </c>
      <c r="T577" s="4">
        <v>29299</v>
      </c>
      <c r="U577" s="4">
        <v>38895</v>
      </c>
      <c r="V577" s="4">
        <v>52379</v>
      </c>
      <c r="W577" s="4">
        <v>1791</v>
      </c>
      <c r="X577" s="4">
        <v>10830</v>
      </c>
      <c r="Y577" s="4" t="s">
        <v>41</v>
      </c>
      <c r="Z577" s="4">
        <v>91</v>
      </c>
      <c r="AA577" s="4">
        <v>2.1</v>
      </c>
      <c r="AB577" s="4" t="s">
        <v>137</v>
      </c>
    </row>
    <row r="578" spans="1:28" x14ac:dyDescent="0.25">
      <c r="A578" s="2" t="s">
        <v>1181</v>
      </c>
      <c r="B578" s="2" t="s">
        <v>1182</v>
      </c>
      <c r="C578" s="2">
        <v>50</v>
      </c>
      <c r="D578" s="2" t="s">
        <v>30</v>
      </c>
      <c r="E578" s="2" t="s">
        <v>45</v>
      </c>
      <c r="F578" s="2" t="s">
        <v>32</v>
      </c>
      <c r="G578" s="3">
        <v>45128</v>
      </c>
      <c r="H578" s="3">
        <v>45143</v>
      </c>
      <c r="I578" s="2">
        <v>15</v>
      </c>
      <c r="J578" s="2" t="s">
        <v>33</v>
      </c>
      <c r="K578" s="2" t="s">
        <v>197</v>
      </c>
      <c r="L578" s="2" t="s">
        <v>198</v>
      </c>
      <c r="M578" s="2" t="s">
        <v>83</v>
      </c>
      <c r="N578" s="2" t="s">
        <v>118</v>
      </c>
      <c r="O578" s="2" t="s">
        <v>647</v>
      </c>
      <c r="P578" s="2">
        <v>286</v>
      </c>
      <c r="Q578" s="2" t="s">
        <v>50</v>
      </c>
      <c r="R578" s="2" t="s">
        <v>111</v>
      </c>
      <c r="S578" s="2">
        <v>138726</v>
      </c>
      <c r="T578" s="2">
        <v>118391</v>
      </c>
      <c r="U578" s="2">
        <v>20335</v>
      </c>
      <c r="V578" s="2">
        <v>96367</v>
      </c>
      <c r="W578" s="2">
        <v>26590</v>
      </c>
      <c r="X578" s="2">
        <v>13860</v>
      </c>
      <c r="Y578" s="2" t="s">
        <v>41</v>
      </c>
      <c r="Z578" s="2">
        <v>61</v>
      </c>
      <c r="AA578" s="2">
        <v>3.1</v>
      </c>
      <c r="AB578" s="2" t="s">
        <v>42</v>
      </c>
    </row>
    <row r="579" spans="1:28" x14ac:dyDescent="0.25">
      <c r="A579" s="4" t="s">
        <v>1183</v>
      </c>
      <c r="B579" s="4" t="s">
        <v>1184</v>
      </c>
      <c r="C579" s="4">
        <v>45</v>
      </c>
      <c r="D579" s="4" t="s">
        <v>30</v>
      </c>
      <c r="E579" s="4" t="s">
        <v>56</v>
      </c>
      <c r="F579" s="4" t="s">
        <v>157</v>
      </c>
      <c r="G579" s="5">
        <v>45393</v>
      </c>
      <c r="H579" s="5">
        <v>45404</v>
      </c>
      <c r="I579" s="4">
        <v>11</v>
      </c>
      <c r="J579" s="4" t="s">
        <v>33</v>
      </c>
      <c r="K579" s="4" t="s">
        <v>233</v>
      </c>
      <c r="L579" s="4" t="s">
        <v>35</v>
      </c>
      <c r="M579" s="4" t="s">
        <v>143</v>
      </c>
      <c r="N579" s="4" t="s">
        <v>37</v>
      </c>
      <c r="O579" s="4" t="s">
        <v>168</v>
      </c>
      <c r="P579" s="4">
        <v>439</v>
      </c>
      <c r="Q579" s="4" t="s">
        <v>103</v>
      </c>
      <c r="R579" s="4" t="s">
        <v>136</v>
      </c>
      <c r="S579" s="4">
        <v>131882</v>
      </c>
      <c r="T579" s="4">
        <v>0</v>
      </c>
      <c r="U579" s="4">
        <v>131882</v>
      </c>
      <c r="V579" s="4">
        <v>93342</v>
      </c>
      <c r="W579" s="4">
        <v>27407</v>
      </c>
      <c r="X579" s="4">
        <v>7672</v>
      </c>
      <c r="Y579" s="4" t="s">
        <v>41</v>
      </c>
      <c r="Z579" s="4">
        <v>50</v>
      </c>
      <c r="AA579" s="4">
        <v>3</v>
      </c>
      <c r="AB579" s="4" t="s">
        <v>104</v>
      </c>
    </row>
    <row r="580" spans="1:28" x14ac:dyDescent="0.25">
      <c r="A580" s="2" t="s">
        <v>1185</v>
      </c>
      <c r="B580" s="2" t="s">
        <v>943</v>
      </c>
      <c r="C580" s="2">
        <v>44</v>
      </c>
      <c r="D580" s="2" t="s">
        <v>30</v>
      </c>
      <c r="E580" s="2" t="s">
        <v>154</v>
      </c>
      <c r="F580" s="2" t="s">
        <v>114</v>
      </c>
      <c r="G580" s="3">
        <v>44717</v>
      </c>
      <c r="H580" s="3">
        <v>44724</v>
      </c>
      <c r="I580" s="2">
        <v>7</v>
      </c>
      <c r="J580" s="2" t="s">
        <v>202</v>
      </c>
      <c r="K580" s="2" t="s">
        <v>203</v>
      </c>
      <c r="L580" s="2" t="s">
        <v>204</v>
      </c>
      <c r="M580" s="2" t="s">
        <v>101</v>
      </c>
      <c r="N580" s="2" t="s">
        <v>37</v>
      </c>
      <c r="O580" s="2" t="s">
        <v>455</v>
      </c>
      <c r="P580" s="2">
        <v>367</v>
      </c>
      <c r="Q580" s="2" t="s">
        <v>50</v>
      </c>
      <c r="R580" s="2" t="s">
        <v>51</v>
      </c>
      <c r="S580" s="2">
        <v>118080</v>
      </c>
      <c r="T580" s="2">
        <v>50903</v>
      </c>
      <c r="U580" s="2">
        <v>67177</v>
      </c>
      <c r="V580" s="2">
        <v>97746</v>
      </c>
      <c r="W580" s="2">
        <v>14000</v>
      </c>
      <c r="X580" s="2">
        <v>2679</v>
      </c>
      <c r="Y580" s="2" t="s">
        <v>41</v>
      </c>
      <c r="Z580" s="2">
        <v>92</v>
      </c>
      <c r="AA580" s="2">
        <v>4.5999999999999996</v>
      </c>
      <c r="AB580" s="2" t="s">
        <v>52</v>
      </c>
    </row>
    <row r="581" spans="1:28" x14ac:dyDescent="0.25">
      <c r="A581" s="4" t="s">
        <v>1186</v>
      </c>
      <c r="B581" s="4" t="s">
        <v>615</v>
      </c>
      <c r="C581" s="4">
        <v>15</v>
      </c>
      <c r="D581" s="4" t="s">
        <v>30</v>
      </c>
      <c r="E581" s="4" t="s">
        <v>31</v>
      </c>
      <c r="F581" s="4" t="s">
        <v>150</v>
      </c>
      <c r="G581" s="5">
        <v>44645</v>
      </c>
      <c r="H581" s="5">
        <v>44653</v>
      </c>
      <c r="I581" s="4">
        <v>8</v>
      </c>
      <c r="J581" s="4" t="s">
        <v>33</v>
      </c>
      <c r="K581" s="4" t="s">
        <v>99</v>
      </c>
      <c r="L581" s="4" t="s">
        <v>100</v>
      </c>
      <c r="M581" s="4" t="s">
        <v>134</v>
      </c>
      <c r="N581" s="4" t="s">
        <v>62</v>
      </c>
      <c r="O581" s="4" t="s">
        <v>256</v>
      </c>
      <c r="P581" s="4">
        <v>427</v>
      </c>
      <c r="Q581" s="4" t="s">
        <v>39</v>
      </c>
      <c r="R581" s="4" t="s">
        <v>40</v>
      </c>
      <c r="S581" s="4">
        <v>93013</v>
      </c>
      <c r="T581" s="4">
        <v>41262</v>
      </c>
      <c r="U581" s="4">
        <v>51751</v>
      </c>
      <c r="V581" s="4">
        <v>64200</v>
      </c>
      <c r="W581" s="4">
        <v>15429</v>
      </c>
      <c r="X581" s="4">
        <v>11115</v>
      </c>
      <c r="Y581" s="4" t="s">
        <v>41</v>
      </c>
      <c r="Z581" s="4">
        <v>41</v>
      </c>
      <c r="AA581" s="4">
        <v>4.5999999999999996</v>
      </c>
      <c r="AB581" s="4" t="s">
        <v>137</v>
      </c>
    </row>
    <row r="582" spans="1:28" x14ac:dyDescent="0.25">
      <c r="A582" s="2" t="s">
        <v>1187</v>
      </c>
      <c r="B582" s="2" t="s">
        <v>1128</v>
      </c>
      <c r="C582" s="2">
        <v>58</v>
      </c>
      <c r="D582" s="2" t="s">
        <v>55</v>
      </c>
      <c r="E582" s="2" t="s">
        <v>67</v>
      </c>
      <c r="F582" s="2" t="s">
        <v>129</v>
      </c>
      <c r="G582" s="3">
        <v>45624</v>
      </c>
      <c r="H582" s="3">
        <v>45643</v>
      </c>
      <c r="I582" s="2">
        <v>19</v>
      </c>
      <c r="J582" s="2" t="s">
        <v>115</v>
      </c>
      <c r="K582" s="2" t="s">
        <v>116</v>
      </c>
      <c r="L582" s="2" t="s">
        <v>117</v>
      </c>
      <c r="M582" s="2" t="s">
        <v>108</v>
      </c>
      <c r="N582" s="2" t="s">
        <v>118</v>
      </c>
      <c r="O582" s="2" t="s">
        <v>461</v>
      </c>
      <c r="P582" s="2">
        <v>221</v>
      </c>
      <c r="Q582" s="2" t="s">
        <v>50</v>
      </c>
      <c r="R582" s="2" t="s">
        <v>136</v>
      </c>
      <c r="S582" s="2">
        <v>90794</v>
      </c>
      <c r="T582" s="2">
        <v>0</v>
      </c>
      <c r="U582" s="2">
        <v>90794</v>
      </c>
      <c r="V582" s="2">
        <v>66526</v>
      </c>
      <c r="W582" s="2">
        <v>11490</v>
      </c>
      <c r="X582" s="2">
        <v>9353</v>
      </c>
      <c r="Y582" s="2" t="s">
        <v>91</v>
      </c>
      <c r="Z582" s="2">
        <v>84</v>
      </c>
      <c r="AA582" s="2">
        <v>2.4</v>
      </c>
      <c r="AB582" s="2" t="s">
        <v>64</v>
      </c>
    </row>
    <row r="583" spans="1:28" x14ac:dyDescent="0.25">
      <c r="A583" s="4" t="s">
        <v>1188</v>
      </c>
      <c r="B583" s="4" t="s">
        <v>240</v>
      </c>
      <c r="C583" s="4">
        <v>79</v>
      </c>
      <c r="D583" s="4" t="s">
        <v>55</v>
      </c>
      <c r="E583" s="4" t="s">
        <v>56</v>
      </c>
      <c r="F583" s="4" t="s">
        <v>94</v>
      </c>
      <c r="G583" s="5">
        <v>45536</v>
      </c>
      <c r="H583" s="5">
        <v>45554</v>
      </c>
      <c r="I583" s="4">
        <v>18</v>
      </c>
      <c r="J583" s="4" t="s">
        <v>33</v>
      </c>
      <c r="K583" s="4" t="s">
        <v>47</v>
      </c>
      <c r="L583" s="4" t="s">
        <v>48</v>
      </c>
      <c r="M583" s="4" t="s">
        <v>101</v>
      </c>
      <c r="N583" s="4" t="s">
        <v>109</v>
      </c>
      <c r="O583" s="4" t="s">
        <v>434</v>
      </c>
      <c r="P583" s="4">
        <v>421</v>
      </c>
      <c r="Q583" s="4" t="s">
        <v>39</v>
      </c>
      <c r="R583" s="4" t="s">
        <v>111</v>
      </c>
      <c r="S583" s="4">
        <v>110510</v>
      </c>
      <c r="T583" s="4">
        <v>81564</v>
      </c>
      <c r="U583" s="4">
        <v>28946</v>
      </c>
      <c r="V583" s="4">
        <v>75551</v>
      </c>
      <c r="W583" s="4">
        <v>19817</v>
      </c>
      <c r="X583" s="4">
        <v>14207</v>
      </c>
      <c r="Y583" s="4" t="s">
        <v>41</v>
      </c>
      <c r="Z583" s="4">
        <v>77</v>
      </c>
      <c r="AA583" s="4">
        <v>3.3</v>
      </c>
      <c r="AB583" s="4" t="s">
        <v>64</v>
      </c>
    </row>
    <row r="584" spans="1:28" x14ac:dyDescent="0.25">
      <c r="A584" s="2" t="s">
        <v>1189</v>
      </c>
      <c r="B584" s="2" t="s">
        <v>336</v>
      </c>
      <c r="C584" s="2">
        <v>62</v>
      </c>
      <c r="D584" s="2" t="s">
        <v>55</v>
      </c>
      <c r="E584" s="2" t="s">
        <v>45</v>
      </c>
      <c r="F584" s="2" t="s">
        <v>150</v>
      </c>
      <c r="G584" s="3">
        <v>44864</v>
      </c>
      <c r="H584" s="3">
        <v>44867</v>
      </c>
      <c r="I584" s="2">
        <v>3</v>
      </c>
      <c r="J584" s="2" t="s">
        <v>58</v>
      </c>
      <c r="K584" s="2" t="s">
        <v>88</v>
      </c>
      <c r="L584" s="2" t="s">
        <v>60</v>
      </c>
      <c r="M584" s="2" t="s">
        <v>134</v>
      </c>
      <c r="N584" s="2" t="s">
        <v>118</v>
      </c>
      <c r="O584" s="2" t="s">
        <v>321</v>
      </c>
      <c r="P584" s="2">
        <v>252</v>
      </c>
      <c r="Q584" s="2" t="s">
        <v>103</v>
      </c>
      <c r="R584" s="2" t="s">
        <v>40</v>
      </c>
      <c r="S584" s="2">
        <v>132469</v>
      </c>
      <c r="T584" s="2">
        <v>65300</v>
      </c>
      <c r="U584" s="2">
        <v>67169</v>
      </c>
      <c r="V584" s="2">
        <v>108873</v>
      </c>
      <c r="W584" s="2">
        <v>8051</v>
      </c>
      <c r="X584" s="2">
        <v>11342</v>
      </c>
      <c r="Y584" s="2" t="s">
        <v>41</v>
      </c>
      <c r="Z584" s="2">
        <v>59</v>
      </c>
      <c r="AA584" s="2">
        <v>3</v>
      </c>
      <c r="AB584" s="2" t="s">
        <v>42</v>
      </c>
    </row>
    <row r="585" spans="1:28" x14ac:dyDescent="0.25">
      <c r="A585" s="4" t="s">
        <v>1190</v>
      </c>
      <c r="B585" s="4" t="s">
        <v>1191</v>
      </c>
      <c r="C585" s="4">
        <v>57</v>
      </c>
      <c r="D585" s="4" t="s">
        <v>55</v>
      </c>
      <c r="E585" s="4" t="s">
        <v>45</v>
      </c>
      <c r="F585" s="4" t="s">
        <v>57</v>
      </c>
      <c r="G585" s="5">
        <v>44670</v>
      </c>
      <c r="H585" s="5">
        <v>44693</v>
      </c>
      <c r="I585" s="4">
        <v>23</v>
      </c>
      <c r="J585" s="4" t="s">
        <v>58</v>
      </c>
      <c r="K585" s="4" t="s">
        <v>88</v>
      </c>
      <c r="L585" s="4" t="s">
        <v>60</v>
      </c>
      <c r="M585" s="4" t="s">
        <v>36</v>
      </c>
      <c r="N585" s="4" t="s">
        <v>62</v>
      </c>
      <c r="O585" s="4" t="s">
        <v>520</v>
      </c>
      <c r="P585" s="4">
        <v>272</v>
      </c>
      <c r="Q585" s="4" t="s">
        <v>103</v>
      </c>
      <c r="R585" s="4" t="s">
        <v>40</v>
      </c>
      <c r="S585" s="4">
        <v>77494</v>
      </c>
      <c r="T585" s="4">
        <v>50427</v>
      </c>
      <c r="U585" s="4">
        <v>27067</v>
      </c>
      <c r="V585" s="4">
        <v>56018</v>
      </c>
      <c r="W585" s="4">
        <v>9152</v>
      </c>
      <c r="X585" s="4">
        <v>10355</v>
      </c>
      <c r="Y585" s="4" t="s">
        <v>91</v>
      </c>
      <c r="Z585" s="4">
        <v>99</v>
      </c>
      <c r="AA585" s="4">
        <v>3.5</v>
      </c>
      <c r="AB585" s="4" t="s">
        <v>104</v>
      </c>
    </row>
    <row r="586" spans="1:28" x14ac:dyDescent="0.25">
      <c r="A586" s="2" t="s">
        <v>1192</v>
      </c>
      <c r="B586" s="2" t="s">
        <v>913</v>
      </c>
      <c r="C586" s="2">
        <v>17</v>
      </c>
      <c r="D586" s="2" t="s">
        <v>30</v>
      </c>
      <c r="E586" s="2" t="s">
        <v>67</v>
      </c>
      <c r="F586" s="2" t="s">
        <v>114</v>
      </c>
      <c r="G586" s="3">
        <v>45342</v>
      </c>
      <c r="H586" s="3">
        <v>45365</v>
      </c>
      <c r="I586" s="2">
        <v>23</v>
      </c>
      <c r="J586" s="2" t="s">
        <v>33</v>
      </c>
      <c r="K586" s="2" t="s">
        <v>174</v>
      </c>
      <c r="L586" s="2" t="s">
        <v>48</v>
      </c>
      <c r="M586" s="2" t="s">
        <v>95</v>
      </c>
      <c r="N586" s="2" t="s">
        <v>109</v>
      </c>
      <c r="O586" s="2" t="s">
        <v>161</v>
      </c>
      <c r="P586" s="2">
        <v>182</v>
      </c>
      <c r="Q586" s="2" t="s">
        <v>39</v>
      </c>
      <c r="R586" s="2" t="s">
        <v>111</v>
      </c>
      <c r="S586" s="2">
        <v>92433</v>
      </c>
      <c r="T586" s="2">
        <v>62684</v>
      </c>
      <c r="U586" s="2">
        <v>29749</v>
      </c>
      <c r="V586" s="2">
        <v>71063</v>
      </c>
      <c r="W586" s="2">
        <v>17373</v>
      </c>
      <c r="X586" s="2">
        <v>1986</v>
      </c>
      <c r="Y586" s="2" t="s">
        <v>41</v>
      </c>
      <c r="Z586" s="2">
        <v>62</v>
      </c>
      <c r="AA586" s="2">
        <v>5</v>
      </c>
      <c r="AB586" s="2" t="s">
        <v>104</v>
      </c>
    </row>
    <row r="587" spans="1:28" x14ac:dyDescent="0.25">
      <c r="A587" s="4" t="s">
        <v>1193</v>
      </c>
      <c r="B587" s="4" t="s">
        <v>166</v>
      </c>
      <c r="C587" s="4">
        <v>17</v>
      </c>
      <c r="D587" s="4" t="s">
        <v>30</v>
      </c>
      <c r="E587" s="4" t="s">
        <v>122</v>
      </c>
      <c r="F587" s="4" t="s">
        <v>72</v>
      </c>
      <c r="G587" s="5">
        <v>44686</v>
      </c>
      <c r="H587" s="5">
        <v>44704</v>
      </c>
      <c r="I587" s="4">
        <v>18</v>
      </c>
      <c r="J587" s="4" t="s">
        <v>33</v>
      </c>
      <c r="K587" s="4" t="s">
        <v>197</v>
      </c>
      <c r="L587" s="4" t="s">
        <v>198</v>
      </c>
      <c r="M587" s="4" t="s">
        <v>36</v>
      </c>
      <c r="N587" s="4" t="s">
        <v>109</v>
      </c>
      <c r="O587" s="4" t="s">
        <v>194</v>
      </c>
      <c r="P587" s="4">
        <v>7</v>
      </c>
      <c r="Q587" s="4" t="s">
        <v>69</v>
      </c>
      <c r="R587" s="4" t="s">
        <v>136</v>
      </c>
      <c r="S587" s="4">
        <v>121418</v>
      </c>
      <c r="T587" s="4">
        <v>0</v>
      </c>
      <c r="U587" s="4">
        <v>121418</v>
      </c>
      <c r="V587" s="4">
        <v>105860</v>
      </c>
      <c r="W587" s="4">
        <v>11035</v>
      </c>
      <c r="X587" s="4">
        <v>953</v>
      </c>
      <c r="Y587" s="4" t="s">
        <v>41</v>
      </c>
      <c r="Z587" s="4">
        <v>51</v>
      </c>
      <c r="AA587" s="4">
        <v>2.6</v>
      </c>
      <c r="AB587" s="4" t="s">
        <v>42</v>
      </c>
    </row>
    <row r="588" spans="1:28" x14ac:dyDescent="0.25">
      <c r="A588" s="2" t="s">
        <v>1194</v>
      </c>
      <c r="B588" s="2" t="s">
        <v>687</v>
      </c>
      <c r="C588" s="2">
        <v>73</v>
      </c>
      <c r="D588" s="2" t="s">
        <v>55</v>
      </c>
      <c r="E588" s="2" t="s">
        <v>45</v>
      </c>
      <c r="F588" s="2" t="s">
        <v>157</v>
      </c>
      <c r="G588" s="3">
        <v>44878</v>
      </c>
      <c r="H588" s="3">
        <v>44898</v>
      </c>
      <c r="I588" s="2">
        <v>20</v>
      </c>
      <c r="J588" s="2" t="s">
        <v>58</v>
      </c>
      <c r="K588" s="2" t="s">
        <v>88</v>
      </c>
      <c r="L588" s="2" t="s">
        <v>60</v>
      </c>
      <c r="M588" s="2" t="s">
        <v>143</v>
      </c>
      <c r="N588" s="2" t="s">
        <v>37</v>
      </c>
      <c r="O588" s="2" t="s">
        <v>340</v>
      </c>
      <c r="P588" s="2">
        <v>77</v>
      </c>
      <c r="Q588" s="2" t="s">
        <v>103</v>
      </c>
      <c r="R588" s="2" t="s">
        <v>90</v>
      </c>
      <c r="S588" s="2">
        <v>48767</v>
      </c>
      <c r="T588" s="2">
        <v>41070</v>
      </c>
      <c r="U588" s="2">
        <v>7697</v>
      </c>
      <c r="V588" s="2">
        <v>15164</v>
      </c>
      <c r="W588" s="2">
        <v>18615</v>
      </c>
      <c r="X588" s="2">
        <v>13503</v>
      </c>
      <c r="Y588" s="2" t="s">
        <v>41</v>
      </c>
      <c r="Z588" s="2">
        <v>58</v>
      </c>
      <c r="AA588" s="2">
        <v>2.2999999999999998</v>
      </c>
      <c r="AB588" s="2" t="s">
        <v>64</v>
      </c>
    </row>
    <row r="589" spans="1:28" x14ac:dyDescent="0.25">
      <c r="A589" s="4" t="s">
        <v>1195</v>
      </c>
      <c r="B589" s="4" t="s">
        <v>754</v>
      </c>
      <c r="C589" s="4">
        <v>26</v>
      </c>
      <c r="D589" s="4" t="s">
        <v>55</v>
      </c>
      <c r="E589" s="4" t="s">
        <v>87</v>
      </c>
      <c r="F589" s="4" t="s">
        <v>32</v>
      </c>
      <c r="G589" s="5">
        <v>44879</v>
      </c>
      <c r="H589" s="5">
        <v>44899</v>
      </c>
      <c r="I589" s="4">
        <v>20</v>
      </c>
      <c r="J589" s="4" t="s">
        <v>33</v>
      </c>
      <c r="K589" s="4" t="s">
        <v>47</v>
      </c>
      <c r="L589" s="4" t="s">
        <v>48</v>
      </c>
      <c r="M589" s="4" t="s">
        <v>75</v>
      </c>
      <c r="N589" s="4" t="s">
        <v>37</v>
      </c>
      <c r="O589" s="4" t="s">
        <v>227</v>
      </c>
      <c r="P589" s="4">
        <v>343</v>
      </c>
      <c r="Q589" s="4" t="s">
        <v>69</v>
      </c>
      <c r="R589" s="4" t="s">
        <v>136</v>
      </c>
      <c r="S589" s="4">
        <v>87805</v>
      </c>
      <c r="T589" s="4">
        <v>0</v>
      </c>
      <c r="U589" s="4">
        <v>87805</v>
      </c>
      <c r="V589" s="4">
        <v>69545</v>
      </c>
      <c r="W589" s="4">
        <v>12983</v>
      </c>
      <c r="X589" s="4">
        <v>2816</v>
      </c>
      <c r="Y589" s="4" t="s">
        <v>41</v>
      </c>
      <c r="Z589" s="4">
        <v>71</v>
      </c>
      <c r="AA589" s="4">
        <v>2.6</v>
      </c>
      <c r="AB589" s="4" t="s">
        <v>137</v>
      </c>
    </row>
    <row r="590" spans="1:28" x14ac:dyDescent="0.25">
      <c r="A590" s="2" t="s">
        <v>1196</v>
      </c>
      <c r="B590" s="2" t="s">
        <v>970</v>
      </c>
      <c r="C590" s="2">
        <v>12</v>
      </c>
      <c r="D590" s="2" t="s">
        <v>30</v>
      </c>
      <c r="E590" s="2" t="s">
        <v>56</v>
      </c>
      <c r="F590" s="2" t="s">
        <v>94</v>
      </c>
      <c r="G590" s="3">
        <v>44748</v>
      </c>
      <c r="H590" s="3">
        <v>44770</v>
      </c>
      <c r="I590" s="2">
        <v>22</v>
      </c>
      <c r="J590" s="2" t="s">
        <v>33</v>
      </c>
      <c r="K590" s="2" t="s">
        <v>47</v>
      </c>
      <c r="L590" s="2" t="s">
        <v>48</v>
      </c>
      <c r="M590" s="2" t="s">
        <v>101</v>
      </c>
      <c r="N590" s="2" t="s">
        <v>37</v>
      </c>
      <c r="O590" s="2" t="s">
        <v>358</v>
      </c>
      <c r="P590" s="2">
        <v>145</v>
      </c>
      <c r="Q590" s="2" t="s">
        <v>50</v>
      </c>
      <c r="R590" s="2" t="s">
        <v>40</v>
      </c>
      <c r="S590" s="2">
        <v>155077</v>
      </c>
      <c r="T590" s="2">
        <v>105960</v>
      </c>
      <c r="U590" s="2">
        <v>49117</v>
      </c>
      <c r="V590" s="2">
        <v>122415</v>
      </c>
      <c r="W590" s="2">
        <v>26019</v>
      </c>
      <c r="X590" s="2">
        <v>3744</v>
      </c>
      <c r="Y590" s="2" t="s">
        <v>41</v>
      </c>
      <c r="Z590" s="2">
        <v>67</v>
      </c>
      <c r="AA590" s="2">
        <v>3.1</v>
      </c>
      <c r="AB590" s="2" t="s">
        <v>137</v>
      </c>
    </row>
    <row r="591" spans="1:28" x14ac:dyDescent="0.25">
      <c r="A591" s="4" t="s">
        <v>1197</v>
      </c>
      <c r="B591" s="4" t="s">
        <v>1198</v>
      </c>
      <c r="C591" s="4">
        <v>18</v>
      </c>
      <c r="D591" s="4" t="s">
        <v>30</v>
      </c>
      <c r="E591" s="4" t="s">
        <v>87</v>
      </c>
      <c r="F591" s="4" t="s">
        <v>72</v>
      </c>
      <c r="G591" s="5">
        <v>45358</v>
      </c>
      <c r="H591" s="5">
        <v>45368</v>
      </c>
      <c r="I591" s="4">
        <v>10</v>
      </c>
      <c r="J591" s="4" t="s">
        <v>33</v>
      </c>
      <c r="K591" s="4" t="s">
        <v>174</v>
      </c>
      <c r="L591" s="4" t="s">
        <v>48</v>
      </c>
      <c r="M591" s="4" t="s">
        <v>130</v>
      </c>
      <c r="N591" s="4" t="s">
        <v>62</v>
      </c>
      <c r="O591" s="4" t="s">
        <v>365</v>
      </c>
      <c r="P591" s="4">
        <v>158</v>
      </c>
      <c r="Q591" s="4" t="s">
        <v>39</v>
      </c>
      <c r="R591" s="4" t="s">
        <v>136</v>
      </c>
      <c r="S591" s="4">
        <v>37922</v>
      </c>
      <c r="T591" s="4">
        <v>0</v>
      </c>
      <c r="U591" s="4">
        <v>37922</v>
      </c>
      <c r="V591" s="4">
        <v>17571</v>
      </c>
      <c r="W591" s="4">
        <v>18507</v>
      </c>
      <c r="X591" s="4">
        <v>958</v>
      </c>
      <c r="Y591" s="4" t="s">
        <v>41</v>
      </c>
      <c r="Z591" s="4">
        <v>64</v>
      </c>
      <c r="AA591" s="4">
        <v>2.6</v>
      </c>
      <c r="AB591" s="4" t="s">
        <v>42</v>
      </c>
    </row>
    <row r="592" spans="1:28" x14ac:dyDescent="0.25">
      <c r="A592" s="2" t="s">
        <v>1199</v>
      </c>
      <c r="B592" s="2" t="s">
        <v>1175</v>
      </c>
      <c r="C592" s="2">
        <v>70</v>
      </c>
      <c r="D592" s="2" t="s">
        <v>55</v>
      </c>
      <c r="E592" s="2" t="s">
        <v>45</v>
      </c>
      <c r="F592" s="2" t="s">
        <v>57</v>
      </c>
      <c r="G592" s="3">
        <v>45001</v>
      </c>
      <c r="H592" s="3">
        <v>45005</v>
      </c>
      <c r="I592" s="2">
        <v>4</v>
      </c>
      <c r="J592" s="2" t="s">
        <v>33</v>
      </c>
      <c r="K592" s="2" t="s">
        <v>107</v>
      </c>
      <c r="L592" s="2" t="s">
        <v>48</v>
      </c>
      <c r="M592" s="2" t="s">
        <v>61</v>
      </c>
      <c r="N592" s="2" t="s">
        <v>118</v>
      </c>
      <c r="O592" s="2" t="s">
        <v>199</v>
      </c>
      <c r="P592" s="2">
        <v>254</v>
      </c>
      <c r="Q592" s="2" t="s">
        <v>39</v>
      </c>
      <c r="R592" s="2" t="s">
        <v>51</v>
      </c>
      <c r="S592" s="2">
        <v>20506</v>
      </c>
      <c r="T592" s="2">
        <v>13741</v>
      </c>
      <c r="U592" s="2">
        <v>6765</v>
      </c>
      <c r="V592" s="2">
        <v>9087</v>
      </c>
      <c r="W592" s="2">
        <v>2482</v>
      </c>
      <c r="X592" s="2">
        <v>6750</v>
      </c>
      <c r="Y592" s="2" t="s">
        <v>91</v>
      </c>
      <c r="Z592" s="2">
        <v>58</v>
      </c>
      <c r="AA592" s="2">
        <v>2</v>
      </c>
      <c r="AB592" s="2" t="s">
        <v>64</v>
      </c>
    </row>
    <row r="593" spans="1:28" x14ac:dyDescent="0.25">
      <c r="A593" s="4" t="s">
        <v>1200</v>
      </c>
      <c r="B593" s="4" t="s">
        <v>128</v>
      </c>
      <c r="C593" s="4">
        <v>27</v>
      </c>
      <c r="D593" s="4" t="s">
        <v>30</v>
      </c>
      <c r="E593" s="4" t="s">
        <v>31</v>
      </c>
      <c r="F593" s="4" t="s">
        <v>80</v>
      </c>
      <c r="G593" s="5">
        <v>45385</v>
      </c>
      <c r="H593" s="5">
        <v>45387</v>
      </c>
      <c r="I593" s="4">
        <v>2</v>
      </c>
      <c r="J593" s="4" t="s">
        <v>140</v>
      </c>
      <c r="K593" s="4" t="s">
        <v>141</v>
      </c>
      <c r="L593" s="4" t="s">
        <v>142</v>
      </c>
      <c r="M593" s="4" t="s">
        <v>101</v>
      </c>
      <c r="N593" s="4" t="s">
        <v>109</v>
      </c>
      <c r="O593" s="4" t="s">
        <v>326</v>
      </c>
      <c r="P593" s="4">
        <v>452</v>
      </c>
      <c r="Q593" s="4" t="s">
        <v>103</v>
      </c>
      <c r="R593" s="4" t="s">
        <v>51</v>
      </c>
      <c r="S593" s="4">
        <v>111538</v>
      </c>
      <c r="T593" s="4">
        <v>58308</v>
      </c>
      <c r="U593" s="4">
        <v>53230</v>
      </c>
      <c r="V593" s="4">
        <v>86196</v>
      </c>
      <c r="W593" s="4">
        <v>7713</v>
      </c>
      <c r="X593" s="4">
        <v>14896</v>
      </c>
      <c r="Y593" s="4" t="s">
        <v>91</v>
      </c>
      <c r="Z593" s="4">
        <v>92</v>
      </c>
      <c r="AA593" s="4">
        <v>3.2</v>
      </c>
      <c r="AB593" s="4" t="s">
        <v>52</v>
      </c>
    </row>
    <row r="594" spans="1:28" x14ac:dyDescent="0.25">
      <c r="A594" s="2" t="s">
        <v>1201</v>
      </c>
      <c r="B594" s="2" t="s">
        <v>193</v>
      </c>
      <c r="C594" s="2">
        <v>67</v>
      </c>
      <c r="D594" s="2" t="s">
        <v>30</v>
      </c>
      <c r="E594" s="2" t="s">
        <v>122</v>
      </c>
      <c r="F594" s="2" t="s">
        <v>114</v>
      </c>
      <c r="G594" s="3">
        <v>44647</v>
      </c>
      <c r="H594" s="3">
        <v>44670</v>
      </c>
      <c r="I594" s="2">
        <v>23</v>
      </c>
      <c r="J594" s="2" t="s">
        <v>33</v>
      </c>
      <c r="K594" s="2" t="s">
        <v>107</v>
      </c>
      <c r="L594" s="2" t="s">
        <v>48</v>
      </c>
      <c r="M594" s="2" t="s">
        <v>61</v>
      </c>
      <c r="N594" s="2" t="s">
        <v>62</v>
      </c>
      <c r="O594" s="2" t="s">
        <v>580</v>
      </c>
      <c r="P594" s="2">
        <v>82</v>
      </c>
      <c r="Q594" s="2" t="s">
        <v>103</v>
      </c>
      <c r="R594" s="2" t="s">
        <v>90</v>
      </c>
      <c r="S594" s="2">
        <v>79394</v>
      </c>
      <c r="T594" s="2">
        <v>70109</v>
      </c>
      <c r="U594" s="2">
        <v>9285</v>
      </c>
      <c r="V594" s="2">
        <v>53066</v>
      </c>
      <c r="W594" s="2">
        <v>18594</v>
      </c>
      <c r="X594" s="2">
        <v>5863</v>
      </c>
      <c r="Y594" s="2" t="s">
        <v>41</v>
      </c>
      <c r="Z594" s="2">
        <v>83</v>
      </c>
      <c r="AA594" s="2">
        <v>4.0999999999999996</v>
      </c>
      <c r="AB594" s="2" t="s">
        <v>137</v>
      </c>
    </row>
    <row r="595" spans="1:28" x14ac:dyDescent="0.25">
      <c r="A595" s="4" t="s">
        <v>1202</v>
      </c>
      <c r="B595" s="4" t="s">
        <v>523</v>
      </c>
      <c r="C595" s="4">
        <v>41</v>
      </c>
      <c r="D595" s="4" t="s">
        <v>30</v>
      </c>
      <c r="E595" s="4" t="s">
        <v>79</v>
      </c>
      <c r="F595" s="4" t="s">
        <v>157</v>
      </c>
      <c r="G595" s="5">
        <v>44806</v>
      </c>
      <c r="H595" s="5">
        <v>44819</v>
      </c>
      <c r="I595" s="4">
        <v>13</v>
      </c>
      <c r="J595" s="4" t="s">
        <v>115</v>
      </c>
      <c r="K595" s="4" t="s">
        <v>160</v>
      </c>
      <c r="L595" s="4" t="s">
        <v>117</v>
      </c>
      <c r="M595" s="4" t="s">
        <v>75</v>
      </c>
      <c r="N595" s="4" t="s">
        <v>37</v>
      </c>
      <c r="O595" s="4" t="s">
        <v>678</v>
      </c>
      <c r="P595" s="4">
        <v>266</v>
      </c>
      <c r="Q595" s="4" t="s">
        <v>69</v>
      </c>
      <c r="R595" s="4" t="s">
        <v>111</v>
      </c>
      <c r="S595" s="4">
        <v>139799</v>
      </c>
      <c r="T595" s="4">
        <v>85474</v>
      </c>
      <c r="U595" s="4">
        <v>54325</v>
      </c>
      <c r="V595" s="4">
        <v>130519</v>
      </c>
      <c r="W595" s="4">
        <v>4582</v>
      </c>
      <c r="X595" s="4">
        <v>2325</v>
      </c>
      <c r="Y595" s="4" t="s">
        <v>41</v>
      </c>
      <c r="Z595" s="4">
        <v>45</v>
      </c>
      <c r="AA595" s="4">
        <v>4.3</v>
      </c>
      <c r="AB595" s="4" t="s">
        <v>104</v>
      </c>
    </row>
    <row r="596" spans="1:28" x14ac:dyDescent="0.25">
      <c r="A596" s="2" t="s">
        <v>1203</v>
      </c>
      <c r="B596" s="2" t="s">
        <v>1204</v>
      </c>
      <c r="C596" s="2">
        <v>83</v>
      </c>
      <c r="D596" s="2" t="s">
        <v>30</v>
      </c>
      <c r="E596" s="2" t="s">
        <v>87</v>
      </c>
      <c r="F596" s="2" t="s">
        <v>129</v>
      </c>
      <c r="G596" s="3">
        <v>45467</v>
      </c>
      <c r="H596" s="3">
        <v>45487</v>
      </c>
      <c r="I596" s="2">
        <v>20</v>
      </c>
      <c r="J596" s="2" t="s">
        <v>33</v>
      </c>
      <c r="K596" s="2" t="s">
        <v>197</v>
      </c>
      <c r="L596" s="2" t="s">
        <v>198</v>
      </c>
      <c r="M596" s="2" t="s">
        <v>61</v>
      </c>
      <c r="N596" s="2" t="s">
        <v>109</v>
      </c>
      <c r="O596" s="2" t="s">
        <v>497</v>
      </c>
      <c r="P596" s="2">
        <v>292</v>
      </c>
      <c r="Q596" s="2" t="s">
        <v>69</v>
      </c>
      <c r="R596" s="2" t="s">
        <v>40</v>
      </c>
      <c r="S596" s="2">
        <v>130191</v>
      </c>
      <c r="T596" s="2">
        <v>65751</v>
      </c>
      <c r="U596" s="2">
        <v>64440</v>
      </c>
      <c r="V596" s="2">
        <v>94482</v>
      </c>
      <c r="W596" s="2">
        <v>29163</v>
      </c>
      <c r="X596" s="2">
        <v>4609</v>
      </c>
      <c r="Y596" s="2" t="s">
        <v>41</v>
      </c>
      <c r="Z596" s="2">
        <v>81</v>
      </c>
      <c r="AA596" s="2">
        <v>2.2000000000000002</v>
      </c>
      <c r="AB596" s="2" t="s">
        <v>137</v>
      </c>
    </row>
    <row r="597" spans="1:28" x14ac:dyDescent="0.25">
      <c r="A597" s="4" t="s">
        <v>1205</v>
      </c>
      <c r="B597" s="4" t="s">
        <v>821</v>
      </c>
      <c r="C597" s="4">
        <v>69</v>
      </c>
      <c r="D597" s="4" t="s">
        <v>55</v>
      </c>
      <c r="E597" s="4" t="s">
        <v>31</v>
      </c>
      <c r="F597" s="4" t="s">
        <v>129</v>
      </c>
      <c r="G597" s="5">
        <v>44960</v>
      </c>
      <c r="H597" s="5">
        <v>44971</v>
      </c>
      <c r="I597" s="4">
        <v>11</v>
      </c>
      <c r="J597" s="4" t="s">
        <v>33</v>
      </c>
      <c r="K597" s="4" t="s">
        <v>107</v>
      </c>
      <c r="L597" s="4" t="s">
        <v>48</v>
      </c>
      <c r="M597" s="4" t="s">
        <v>83</v>
      </c>
      <c r="N597" s="4" t="s">
        <v>62</v>
      </c>
      <c r="O597" s="4" t="s">
        <v>89</v>
      </c>
      <c r="P597" s="4">
        <v>271</v>
      </c>
      <c r="Q597" s="4" t="s">
        <v>50</v>
      </c>
      <c r="R597" s="4" t="s">
        <v>51</v>
      </c>
      <c r="S597" s="4">
        <v>65492</v>
      </c>
      <c r="T597" s="4">
        <v>27311</v>
      </c>
      <c r="U597" s="4">
        <v>38181</v>
      </c>
      <c r="V597" s="4">
        <v>47230</v>
      </c>
      <c r="W597" s="4">
        <v>5697</v>
      </c>
      <c r="X597" s="4">
        <v>9464</v>
      </c>
      <c r="Y597" s="4" t="s">
        <v>41</v>
      </c>
      <c r="Z597" s="4">
        <v>66</v>
      </c>
      <c r="AA597" s="4">
        <v>3.6</v>
      </c>
      <c r="AB597" s="4" t="s">
        <v>104</v>
      </c>
    </row>
    <row r="598" spans="1:28" x14ac:dyDescent="0.25">
      <c r="A598" s="2" t="s">
        <v>1206</v>
      </c>
      <c r="B598" s="2" t="s">
        <v>735</v>
      </c>
      <c r="C598" s="2">
        <v>46</v>
      </c>
      <c r="D598" s="2" t="s">
        <v>30</v>
      </c>
      <c r="E598" s="2" t="s">
        <v>122</v>
      </c>
      <c r="F598" s="2" t="s">
        <v>129</v>
      </c>
      <c r="G598" s="3">
        <v>44774</v>
      </c>
      <c r="H598" s="3">
        <v>44796</v>
      </c>
      <c r="I598" s="2">
        <v>22</v>
      </c>
      <c r="J598" s="2" t="s">
        <v>73</v>
      </c>
      <c r="K598" s="2" t="s">
        <v>74</v>
      </c>
      <c r="L598" s="2" t="s">
        <v>73</v>
      </c>
      <c r="M598" s="2" t="s">
        <v>108</v>
      </c>
      <c r="N598" s="2" t="s">
        <v>62</v>
      </c>
      <c r="O598" s="2" t="s">
        <v>464</v>
      </c>
      <c r="P598" s="2">
        <v>417</v>
      </c>
      <c r="Q598" s="2" t="s">
        <v>103</v>
      </c>
      <c r="R598" s="2" t="s">
        <v>51</v>
      </c>
      <c r="S598" s="2">
        <v>70411</v>
      </c>
      <c r="T598" s="2">
        <v>40070</v>
      </c>
      <c r="U598" s="2">
        <v>30341</v>
      </c>
      <c r="V598" s="2">
        <v>36363</v>
      </c>
      <c r="W598" s="2">
        <v>29082</v>
      </c>
      <c r="X598" s="2">
        <v>4178</v>
      </c>
      <c r="Y598" s="2" t="s">
        <v>91</v>
      </c>
      <c r="Z598" s="2">
        <v>81</v>
      </c>
      <c r="AA598" s="2">
        <v>4.5</v>
      </c>
      <c r="AB598" s="2" t="s">
        <v>137</v>
      </c>
    </row>
    <row r="599" spans="1:28" x14ac:dyDescent="0.25">
      <c r="A599" s="4" t="s">
        <v>1207</v>
      </c>
      <c r="B599" s="4" t="s">
        <v>760</v>
      </c>
      <c r="C599" s="4">
        <v>54</v>
      </c>
      <c r="D599" s="4" t="s">
        <v>30</v>
      </c>
      <c r="E599" s="4" t="s">
        <v>67</v>
      </c>
      <c r="F599" s="4" t="s">
        <v>150</v>
      </c>
      <c r="G599" s="5">
        <v>45048</v>
      </c>
      <c r="H599" s="5">
        <v>45070</v>
      </c>
      <c r="I599" s="4">
        <v>22</v>
      </c>
      <c r="J599" s="4" t="s">
        <v>33</v>
      </c>
      <c r="K599" s="4" t="s">
        <v>174</v>
      </c>
      <c r="L599" s="4" t="s">
        <v>48</v>
      </c>
      <c r="M599" s="4" t="s">
        <v>134</v>
      </c>
      <c r="N599" s="4" t="s">
        <v>118</v>
      </c>
      <c r="O599" s="4" t="s">
        <v>189</v>
      </c>
      <c r="P599" s="4">
        <v>471</v>
      </c>
      <c r="Q599" s="4" t="s">
        <v>39</v>
      </c>
      <c r="R599" s="4" t="s">
        <v>111</v>
      </c>
      <c r="S599" s="4">
        <v>184178</v>
      </c>
      <c r="T599" s="4">
        <v>118486</v>
      </c>
      <c r="U599" s="4">
        <v>65692</v>
      </c>
      <c r="V599" s="4">
        <v>145628</v>
      </c>
      <c r="W599" s="4">
        <v>29817</v>
      </c>
      <c r="X599" s="4">
        <v>6400</v>
      </c>
      <c r="Y599" s="4" t="s">
        <v>41</v>
      </c>
      <c r="Z599" s="4">
        <v>51</v>
      </c>
      <c r="AA599" s="4">
        <v>4.9000000000000004</v>
      </c>
      <c r="AB599" s="4" t="s">
        <v>137</v>
      </c>
    </row>
    <row r="600" spans="1:28" x14ac:dyDescent="0.25">
      <c r="A600" s="2" t="s">
        <v>1208</v>
      </c>
      <c r="B600" s="2" t="s">
        <v>149</v>
      </c>
      <c r="C600" s="2">
        <v>52</v>
      </c>
      <c r="D600" s="2" t="s">
        <v>55</v>
      </c>
      <c r="E600" s="2" t="s">
        <v>67</v>
      </c>
      <c r="F600" s="2" t="s">
        <v>46</v>
      </c>
      <c r="G600" s="3">
        <v>44856</v>
      </c>
      <c r="H600" s="3">
        <v>44858</v>
      </c>
      <c r="I600" s="2">
        <v>2</v>
      </c>
      <c r="J600" s="2" t="s">
        <v>33</v>
      </c>
      <c r="K600" s="2" t="s">
        <v>107</v>
      </c>
      <c r="L600" s="2" t="s">
        <v>48</v>
      </c>
      <c r="M600" s="2" t="s">
        <v>75</v>
      </c>
      <c r="N600" s="2" t="s">
        <v>109</v>
      </c>
      <c r="O600" s="2" t="s">
        <v>175</v>
      </c>
      <c r="P600" s="2">
        <v>431</v>
      </c>
      <c r="Q600" s="2" t="s">
        <v>50</v>
      </c>
      <c r="R600" s="2" t="s">
        <v>40</v>
      </c>
      <c r="S600" s="2">
        <v>145074</v>
      </c>
      <c r="T600" s="2">
        <v>78075</v>
      </c>
      <c r="U600" s="2">
        <v>66999</v>
      </c>
      <c r="V600" s="2">
        <v>111376</v>
      </c>
      <c r="W600" s="2">
        <v>14799</v>
      </c>
      <c r="X600" s="2">
        <v>14977</v>
      </c>
      <c r="Y600" s="2" t="s">
        <v>41</v>
      </c>
      <c r="Z600" s="2">
        <v>100</v>
      </c>
      <c r="AA600" s="2">
        <v>3.2</v>
      </c>
      <c r="AB600" s="2" t="s">
        <v>52</v>
      </c>
    </row>
    <row r="601" spans="1:28" x14ac:dyDescent="0.25">
      <c r="A601" s="4" t="s">
        <v>1209</v>
      </c>
      <c r="B601" s="4" t="s">
        <v>974</v>
      </c>
      <c r="C601" s="4">
        <v>56</v>
      </c>
      <c r="D601" s="4" t="s">
        <v>55</v>
      </c>
      <c r="E601" s="4" t="s">
        <v>31</v>
      </c>
      <c r="F601" s="4" t="s">
        <v>32</v>
      </c>
      <c r="G601" s="5">
        <v>45006</v>
      </c>
      <c r="H601" s="5">
        <v>45029</v>
      </c>
      <c r="I601" s="4">
        <v>23</v>
      </c>
      <c r="J601" s="4" t="s">
        <v>115</v>
      </c>
      <c r="K601" s="4" t="s">
        <v>160</v>
      </c>
      <c r="L601" s="4" t="s">
        <v>117</v>
      </c>
      <c r="M601" s="4" t="s">
        <v>61</v>
      </c>
      <c r="N601" s="4" t="s">
        <v>118</v>
      </c>
      <c r="O601" s="4" t="s">
        <v>681</v>
      </c>
      <c r="P601" s="4">
        <v>442</v>
      </c>
      <c r="Q601" s="4" t="s">
        <v>103</v>
      </c>
      <c r="R601" s="4" t="s">
        <v>136</v>
      </c>
      <c r="S601" s="4">
        <v>102040</v>
      </c>
      <c r="T601" s="4">
        <v>0</v>
      </c>
      <c r="U601" s="4">
        <v>102040</v>
      </c>
      <c r="V601" s="4">
        <v>85451</v>
      </c>
      <c r="W601" s="4">
        <v>7996</v>
      </c>
      <c r="X601" s="4">
        <v>6936</v>
      </c>
      <c r="Y601" s="4" t="s">
        <v>41</v>
      </c>
      <c r="Z601" s="4">
        <v>74</v>
      </c>
      <c r="AA601" s="4">
        <v>4</v>
      </c>
      <c r="AB601" s="4" t="s">
        <v>52</v>
      </c>
    </row>
    <row r="602" spans="1:28" x14ac:dyDescent="0.25">
      <c r="A602" s="2" t="s">
        <v>1210</v>
      </c>
      <c r="B602" s="2" t="s">
        <v>559</v>
      </c>
      <c r="C602" s="2">
        <v>57</v>
      </c>
      <c r="D602" s="2" t="s">
        <v>55</v>
      </c>
      <c r="E602" s="2" t="s">
        <v>31</v>
      </c>
      <c r="F602" s="2" t="s">
        <v>32</v>
      </c>
      <c r="G602" s="3">
        <v>45253</v>
      </c>
      <c r="H602" s="3">
        <v>45271</v>
      </c>
      <c r="I602" s="2">
        <v>18</v>
      </c>
      <c r="J602" s="2" t="s">
        <v>123</v>
      </c>
      <c r="K602" s="2" t="s">
        <v>124</v>
      </c>
      <c r="L602" s="2" t="s">
        <v>125</v>
      </c>
      <c r="M602" s="2" t="s">
        <v>75</v>
      </c>
      <c r="N602" s="2" t="s">
        <v>37</v>
      </c>
      <c r="O602" s="2" t="s">
        <v>331</v>
      </c>
      <c r="P602" s="2">
        <v>13</v>
      </c>
      <c r="Q602" s="2" t="s">
        <v>39</v>
      </c>
      <c r="R602" s="2" t="s">
        <v>111</v>
      </c>
      <c r="S602" s="2">
        <v>74632</v>
      </c>
      <c r="T602" s="2">
        <v>59136</v>
      </c>
      <c r="U602" s="2">
        <v>15496</v>
      </c>
      <c r="V602" s="2">
        <v>50178</v>
      </c>
      <c r="W602" s="2">
        <v>9956</v>
      </c>
      <c r="X602" s="2">
        <v>12722</v>
      </c>
      <c r="Y602" s="2" t="s">
        <v>41</v>
      </c>
      <c r="Z602" s="2">
        <v>91</v>
      </c>
      <c r="AA602" s="2">
        <v>2.6</v>
      </c>
      <c r="AB602" s="2" t="s">
        <v>137</v>
      </c>
    </row>
    <row r="603" spans="1:28" x14ac:dyDescent="0.25">
      <c r="A603" s="4" t="s">
        <v>1211</v>
      </c>
      <c r="B603" s="4" t="s">
        <v>166</v>
      </c>
      <c r="C603" s="4">
        <v>36</v>
      </c>
      <c r="D603" s="4" t="s">
        <v>55</v>
      </c>
      <c r="E603" s="4" t="s">
        <v>87</v>
      </c>
      <c r="F603" s="4" t="s">
        <v>80</v>
      </c>
      <c r="G603" s="5">
        <v>45648</v>
      </c>
      <c r="H603" s="5">
        <v>45657</v>
      </c>
      <c r="I603" s="4">
        <v>9</v>
      </c>
      <c r="J603" s="4" t="s">
        <v>33</v>
      </c>
      <c r="K603" s="4" t="s">
        <v>197</v>
      </c>
      <c r="L603" s="4" t="s">
        <v>198</v>
      </c>
      <c r="M603" s="4" t="s">
        <v>36</v>
      </c>
      <c r="N603" s="4" t="s">
        <v>62</v>
      </c>
      <c r="O603" s="4" t="s">
        <v>38</v>
      </c>
      <c r="P603" s="4">
        <v>472</v>
      </c>
      <c r="Q603" s="4" t="s">
        <v>69</v>
      </c>
      <c r="R603" s="4" t="s">
        <v>136</v>
      </c>
      <c r="S603" s="4">
        <v>48352</v>
      </c>
      <c r="T603" s="4">
        <v>0</v>
      </c>
      <c r="U603" s="4">
        <v>48352</v>
      </c>
      <c r="V603" s="4">
        <v>28579</v>
      </c>
      <c r="W603" s="4">
        <v>11266</v>
      </c>
      <c r="X603" s="4">
        <v>6344</v>
      </c>
      <c r="Y603" s="4" t="s">
        <v>41</v>
      </c>
      <c r="Z603" s="4">
        <v>53</v>
      </c>
      <c r="AA603" s="4">
        <v>2.9</v>
      </c>
      <c r="AB603" s="4" t="s">
        <v>104</v>
      </c>
    </row>
    <row r="604" spans="1:28" x14ac:dyDescent="0.25">
      <c r="A604" s="2" t="s">
        <v>1212</v>
      </c>
      <c r="B604" s="2" t="s">
        <v>1093</v>
      </c>
      <c r="C604" s="2">
        <v>45</v>
      </c>
      <c r="D604" s="2" t="s">
        <v>30</v>
      </c>
      <c r="E604" s="2" t="s">
        <v>87</v>
      </c>
      <c r="F604" s="2" t="s">
        <v>80</v>
      </c>
      <c r="G604" s="3">
        <v>44920</v>
      </c>
      <c r="H604" s="3">
        <v>44930</v>
      </c>
      <c r="I604" s="2">
        <v>10</v>
      </c>
      <c r="J604" s="2" t="s">
        <v>58</v>
      </c>
      <c r="K604" s="2" t="s">
        <v>59</v>
      </c>
      <c r="L604" s="2" t="s">
        <v>60</v>
      </c>
      <c r="M604" s="2" t="s">
        <v>75</v>
      </c>
      <c r="N604" s="2" t="s">
        <v>109</v>
      </c>
      <c r="O604" s="2" t="s">
        <v>560</v>
      </c>
      <c r="P604" s="2">
        <v>213</v>
      </c>
      <c r="Q604" s="2" t="s">
        <v>69</v>
      </c>
      <c r="R604" s="2" t="s">
        <v>51</v>
      </c>
      <c r="S604" s="2">
        <v>132629</v>
      </c>
      <c r="T604" s="2">
        <v>80898</v>
      </c>
      <c r="U604" s="2">
        <v>51731</v>
      </c>
      <c r="V604" s="2">
        <v>112395</v>
      </c>
      <c r="W604" s="2">
        <v>6186</v>
      </c>
      <c r="X604" s="2">
        <v>9702</v>
      </c>
      <c r="Y604" s="2" t="s">
        <v>41</v>
      </c>
      <c r="Z604" s="2">
        <v>94</v>
      </c>
      <c r="AA604" s="2">
        <v>4.7</v>
      </c>
      <c r="AB604" s="2" t="s">
        <v>104</v>
      </c>
    </row>
    <row r="605" spans="1:28" x14ac:dyDescent="0.25">
      <c r="A605" s="4" t="s">
        <v>1213</v>
      </c>
      <c r="B605" s="4" t="s">
        <v>1066</v>
      </c>
      <c r="C605" s="4">
        <v>61</v>
      </c>
      <c r="D605" s="4" t="s">
        <v>55</v>
      </c>
      <c r="E605" s="4" t="s">
        <v>122</v>
      </c>
      <c r="F605" s="4" t="s">
        <v>129</v>
      </c>
      <c r="G605" s="5">
        <v>45342</v>
      </c>
      <c r="H605" s="5">
        <v>45358</v>
      </c>
      <c r="I605" s="4">
        <v>16</v>
      </c>
      <c r="J605" s="4" t="s">
        <v>115</v>
      </c>
      <c r="K605" s="4" t="s">
        <v>116</v>
      </c>
      <c r="L605" s="4" t="s">
        <v>117</v>
      </c>
      <c r="M605" s="4" t="s">
        <v>143</v>
      </c>
      <c r="N605" s="4" t="s">
        <v>62</v>
      </c>
      <c r="O605" s="4" t="s">
        <v>950</v>
      </c>
      <c r="P605" s="4">
        <v>477</v>
      </c>
      <c r="Q605" s="4" t="s">
        <v>103</v>
      </c>
      <c r="R605" s="4" t="s">
        <v>51</v>
      </c>
      <c r="S605" s="4">
        <v>73677</v>
      </c>
      <c r="T605" s="4">
        <v>50394</v>
      </c>
      <c r="U605" s="4">
        <v>23283</v>
      </c>
      <c r="V605" s="4">
        <v>52666</v>
      </c>
      <c r="W605" s="4">
        <v>15658</v>
      </c>
      <c r="X605" s="4">
        <v>825</v>
      </c>
      <c r="Y605" s="4" t="s">
        <v>41</v>
      </c>
      <c r="Z605" s="4">
        <v>96</v>
      </c>
      <c r="AA605" s="4">
        <v>3</v>
      </c>
      <c r="AB605" s="4" t="s">
        <v>104</v>
      </c>
    </row>
    <row r="606" spans="1:28" x14ac:dyDescent="0.25">
      <c r="A606" s="2" t="s">
        <v>1214</v>
      </c>
      <c r="B606" s="2" t="s">
        <v>1060</v>
      </c>
      <c r="C606" s="2">
        <v>13</v>
      </c>
      <c r="D606" s="2" t="s">
        <v>55</v>
      </c>
      <c r="E606" s="2" t="s">
        <v>154</v>
      </c>
      <c r="F606" s="2" t="s">
        <v>72</v>
      </c>
      <c r="G606" s="3">
        <v>45176</v>
      </c>
      <c r="H606" s="3">
        <v>45198</v>
      </c>
      <c r="I606" s="2">
        <v>22</v>
      </c>
      <c r="J606" s="2" t="s">
        <v>115</v>
      </c>
      <c r="K606" s="2" t="s">
        <v>116</v>
      </c>
      <c r="L606" s="2" t="s">
        <v>117</v>
      </c>
      <c r="M606" s="2" t="s">
        <v>36</v>
      </c>
      <c r="N606" s="2" t="s">
        <v>109</v>
      </c>
      <c r="O606" s="2" t="s">
        <v>461</v>
      </c>
      <c r="P606" s="2">
        <v>365</v>
      </c>
      <c r="Q606" s="2" t="s">
        <v>69</v>
      </c>
      <c r="R606" s="2" t="s">
        <v>136</v>
      </c>
      <c r="S606" s="2">
        <v>150827</v>
      </c>
      <c r="T606" s="2">
        <v>0</v>
      </c>
      <c r="U606" s="2">
        <v>150827</v>
      </c>
      <c r="V606" s="2">
        <v>134695</v>
      </c>
      <c r="W606" s="2">
        <v>1522</v>
      </c>
      <c r="X606" s="2">
        <v>10688</v>
      </c>
      <c r="Y606" s="2" t="s">
        <v>41</v>
      </c>
      <c r="Z606" s="2">
        <v>63</v>
      </c>
      <c r="AA606" s="2">
        <v>4.5999999999999996</v>
      </c>
      <c r="AB606" s="2" t="s">
        <v>64</v>
      </c>
    </row>
    <row r="607" spans="1:28" x14ac:dyDescent="0.25">
      <c r="A607" s="4" t="s">
        <v>1215</v>
      </c>
      <c r="B607" s="4" t="s">
        <v>1216</v>
      </c>
      <c r="C607" s="4">
        <v>71</v>
      </c>
      <c r="D607" s="4" t="s">
        <v>55</v>
      </c>
      <c r="E607" s="4" t="s">
        <v>87</v>
      </c>
      <c r="F607" s="4" t="s">
        <v>80</v>
      </c>
      <c r="G607" s="5">
        <v>44903</v>
      </c>
      <c r="H607" s="5">
        <v>44905</v>
      </c>
      <c r="I607" s="4">
        <v>2</v>
      </c>
      <c r="J607" s="4" t="s">
        <v>73</v>
      </c>
      <c r="K607" s="4" t="s">
        <v>74</v>
      </c>
      <c r="L607" s="4" t="s">
        <v>73</v>
      </c>
      <c r="M607" s="4" t="s">
        <v>134</v>
      </c>
      <c r="N607" s="4" t="s">
        <v>37</v>
      </c>
      <c r="O607" s="4" t="s">
        <v>390</v>
      </c>
      <c r="P607" s="4">
        <v>21</v>
      </c>
      <c r="Q607" s="4" t="s">
        <v>50</v>
      </c>
      <c r="R607" s="4" t="s">
        <v>111</v>
      </c>
      <c r="S607" s="4">
        <v>48233</v>
      </c>
      <c r="T607" s="4">
        <v>30830</v>
      </c>
      <c r="U607" s="4">
        <v>17403</v>
      </c>
      <c r="V607" s="4">
        <v>26035</v>
      </c>
      <c r="W607" s="4">
        <v>11909</v>
      </c>
      <c r="X607" s="4">
        <v>9532</v>
      </c>
      <c r="Y607" s="4" t="s">
        <v>41</v>
      </c>
      <c r="Z607" s="4">
        <v>79</v>
      </c>
      <c r="AA607" s="4">
        <v>2</v>
      </c>
      <c r="AB607" s="4" t="s">
        <v>42</v>
      </c>
    </row>
    <row r="608" spans="1:28" x14ac:dyDescent="0.25">
      <c r="A608" s="2" t="s">
        <v>1217</v>
      </c>
      <c r="B608" s="2" t="s">
        <v>1218</v>
      </c>
      <c r="C608" s="2">
        <v>53</v>
      </c>
      <c r="D608" s="2" t="s">
        <v>55</v>
      </c>
      <c r="E608" s="2" t="s">
        <v>87</v>
      </c>
      <c r="F608" s="2" t="s">
        <v>114</v>
      </c>
      <c r="G608" s="3">
        <v>45357</v>
      </c>
      <c r="H608" s="3">
        <v>45359</v>
      </c>
      <c r="I608" s="2">
        <v>2</v>
      </c>
      <c r="J608" s="2" t="s">
        <v>140</v>
      </c>
      <c r="K608" s="2" t="s">
        <v>167</v>
      </c>
      <c r="L608" s="2" t="s">
        <v>142</v>
      </c>
      <c r="M608" s="2" t="s">
        <v>95</v>
      </c>
      <c r="N608" s="2" t="s">
        <v>118</v>
      </c>
      <c r="O608" s="2" t="s">
        <v>144</v>
      </c>
      <c r="P608" s="2">
        <v>209</v>
      </c>
      <c r="Q608" s="2" t="s">
        <v>50</v>
      </c>
      <c r="R608" s="2" t="s">
        <v>40</v>
      </c>
      <c r="S608" s="2">
        <v>127193</v>
      </c>
      <c r="T608" s="2">
        <v>69530</v>
      </c>
      <c r="U608" s="2">
        <v>57663</v>
      </c>
      <c r="V608" s="2">
        <v>95764</v>
      </c>
      <c r="W608" s="2">
        <v>24564</v>
      </c>
      <c r="X608" s="2">
        <v>4785</v>
      </c>
      <c r="Y608" s="2" t="s">
        <v>41</v>
      </c>
      <c r="Z608" s="2">
        <v>98</v>
      </c>
      <c r="AA608" s="2">
        <v>3.3</v>
      </c>
      <c r="AB608" s="2" t="s">
        <v>104</v>
      </c>
    </row>
    <row r="609" spans="1:28" x14ac:dyDescent="0.25">
      <c r="A609" s="4" t="s">
        <v>1219</v>
      </c>
      <c r="B609" s="4" t="s">
        <v>1220</v>
      </c>
      <c r="C609" s="4">
        <v>70</v>
      </c>
      <c r="D609" s="4" t="s">
        <v>55</v>
      </c>
      <c r="E609" s="4" t="s">
        <v>122</v>
      </c>
      <c r="F609" s="4" t="s">
        <v>129</v>
      </c>
      <c r="G609" s="5">
        <v>44781</v>
      </c>
      <c r="H609" s="5">
        <v>44789</v>
      </c>
      <c r="I609" s="4">
        <v>8</v>
      </c>
      <c r="J609" s="4" t="s">
        <v>202</v>
      </c>
      <c r="K609" s="4" t="s">
        <v>203</v>
      </c>
      <c r="L609" s="4" t="s">
        <v>204</v>
      </c>
      <c r="M609" s="4" t="s">
        <v>95</v>
      </c>
      <c r="N609" s="4" t="s">
        <v>62</v>
      </c>
      <c r="O609" s="4" t="s">
        <v>530</v>
      </c>
      <c r="P609" s="4">
        <v>411</v>
      </c>
      <c r="Q609" s="4" t="s">
        <v>39</v>
      </c>
      <c r="R609" s="4" t="s">
        <v>90</v>
      </c>
      <c r="S609" s="4">
        <v>39041</v>
      </c>
      <c r="T609" s="4">
        <v>32051</v>
      </c>
      <c r="U609" s="4">
        <v>6990</v>
      </c>
      <c r="V609" s="4">
        <v>24768</v>
      </c>
      <c r="W609" s="4">
        <v>1316</v>
      </c>
      <c r="X609" s="4">
        <v>12347</v>
      </c>
      <c r="Y609" s="4" t="s">
        <v>41</v>
      </c>
      <c r="Z609" s="4">
        <v>98</v>
      </c>
      <c r="AA609" s="4">
        <v>3.9</v>
      </c>
      <c r="AB609" s="4" t="s">
        <v>64</v>
      </c>
    </row>
    <row r="610" spans="1:28" x14ac:dyDescent="0.25">
      <c r="A610" s="2" t="s">
        <v>1221</v>
      </c>
      <c r="B610" s="2" t="s">
        <v>1222</v>
      </c>
      <c r="C610" s="2">
        <v>85</v>
      </c>
      <c r="D610" s="2" t="s">
        <v>30</v>
      </c>
      <c r="E610" s="2" t="s">
        <v>56</v>
      </c>
      <c r="F610" s="2" t="s">
        <v>72</v>
      </c>
      <c r="G610" s="3">
        <v>44811</v>
      </c>
      <c r="H610" s="3">
        <v>44813</v>
      </c>
      <c r="I610" s="2">
        <v>2</v>
      </c>
      <c r="J610" s="2" t="s">
        <v>140</v>
      </c>
      <c r="K610" s="2" t="s">
        <v>141</v>
      </c>
      <c r="L610" s="2" t="s">
        <v>142</v>
      </c>
      <c r="M610" s="2" t="s">
        <v>36</v>
      </c>
      <c r="N610" s="2" t="s">
        <v>109</v>
      </c>
      <c r="O610" s="2" t="s">
        <v>580</v>
      </c>
      <c r="P610" s="2">
        <v>2</v>
      </c>
      <c r="Q610" s="2" t="s">
        <v>103</v>
      </c>
      <c r="R610" s="2" t="s">
        <v>40</v>
      </c>
      <c r="S610" s="2">
        <v>76141</v>
      </c>
      <c r="T610" s="2">
        <v>39294</v>
      </c>
      <c r="U610" s="2">
        <v>36847</v>
      </c>
      <c r="V610" s="2">
        <v>60107</v>
      </c>
      <c r="W610" s="2">
        <v>2638</v>
      </c>
      <c r="X610" s="2">
        <v>12246</v>
      </c>
      <c r="Y610" s="2" t="s">
        <v>41</v>
      </c>
      <c r="Z610" s="2">
        <v>52</v>
      </c>
      <c r="AA610" s="2">
        <v>3.4</v>
      </c>
      <c r="AB610" s="2" t="s">
        <v>64</v>
      </c>
    </row>
    <row r="611" spans="1:28" x14ac:dyDescent="0.25">
      <c r="A611" s="4" t="s">
        <v>1223</v>
      </c>
      <c r="B611" s="4" t="s">
        <v>299</v>
      </c>
      <c r="C611" s="4">
        <v>82</v>
      </c>
      <c r="D611" s="4" t="s">
        <v>55</v>
      </c>
      <c r="E611" s="4" t="s">
        <v>87</v>
      </c>
      <c r="F611" s="4" t="s">
        <v>46</v>
      </c>
      <c r="G611" s="5">
        <v>44687</v>
      </c>
      <c r="H611" s="5">
        <v>44702</v>
      </c>
      <c r="I611" s="4">
        <v>15</v>
      </c>
      <c r="J611" s="4" t="s">
        <v>123</v>
      </c>
      <c r="K611" s="4" t="s">
        <v>124</v>
      </c>
      <c r="L611" s="4" t="s">
        <v>125</v>
      </c>
      <c r="M611" s="4" t="s">
        <v>130</v>
      </c>
      <c r="N611" s="4" t="s">
        <v>62</v>
      </c>
      <c r="O611" s="4" t="s">
        <v>647</v>
      </c>
      <c r="P611" s="4">
        <v>135</v>
      </c>
      <c r="Q611" s="4" t="s">
        <v>39</v>
      </c>
      <c r="R611" s="4" t="s">
        <v>51</v>
      </c>
      <c r="S611" s="4">
        <v>82222</v>
      </c>
      <c r="T611" s="4">
        <v>37531</v>
      </c>
      <c r="U611" s="4">
        <v>44691</v>
      </c>
      <c r="V611" s="4">
        <v>54635</v>
      </c>
      <c r="W611" s="4">
        <v>23936</v>
      </c>
      <c r="X611" s="4">
        <v>2531</v>
      </c>
      <c r="Y611" s="4" t="s">
        <v>41</v>
      </c>
      <c r="Z611" s="4">
        <v>88</v>
      </c>
      <c r="AA611" s="4">
        <v>5</v>
      </c>
      <c r="AB611" s="4" t="s">
        <v>64</v>
      </c>
    </row>
    <row r="612" spans="1:28" x14ac:dyDescent="0.25">
      <c r="A612" s="2" t="s">
        <v>1224</v>
      </c>
      <c r="B612" s="2" t="s">
        <v>898</v>
      </c>
      <c r="C612" s="2">
        <v>42</v>
      </c>
      <c r="D612" s="2" t="s">
        <v>30</v>
      </c>
      <c r="E612" s="2" t="s">
        <v>79</v>
      </c>
      <c r="F612" s="2" t="s">
        <v>32</v>
      </c>
      <c r="G612" s="3">
        <v>45435</v>
      </c>
      <c r="H612" s="3">
        <v>45444</v>
      </c>
      <c r="I612" s="2">
        <v>9</v>
      </c>
      <c r="J612" s="2" t="s">
        <v>58</v>
      </c>
      <c r="K612" s="2" t="s">
        <v>88</v>
      </c>
      <c r="L612" s="2" t="s">
        <v>60</v>
      </c>
      <c r="M612" s="2" t="s">
        <v>75</v>
      </c>
      <c r="N612" s="2" t="s">
        <v>62</v>
      </c>
      <c r="O612" s="2" t="s">
        <v>471</v>
      </c>
      <c r="P612" s="2">
        <v>387</v>
      </c>
      <c r="Q612" s="2" t="s">
        <v>39</v>
      </c>
      <c r="R612" s="2" t="s">
        <v>90</v>
      </c>
      <c r="S612" s="2">
        <v>36121</v>
      </c>
      <c r="T612" s="2">
        <v>31454</v>
      </c>
      <c r="U612" s="2">
        <v>4667</v>
      </c>
      <c r="V612" s="2">
        <v>21153</v>
      </c>
      <c r="W612" s="2">
        <v>3057</v>
      </c>
      <c r="X612" s="2">
        <v>8592</v>
      </c>
      <c r="Y612" s="2" t="s">
        <v>91</v>
      </c>
      <c r="Z612" s="2">
        <v>88</v>
      </c>
      <c r="AA612" s="2">
        <v>4.5</v>
      </c>
      <c r="AB612" s="2" t="s">
        <v>104</v>
      </c>
    </row>
    <row r="613" spans="1:28" x14ac:dyDescent="0.25">
      <c r="A613" s="4" t="s">
        <v>1225</v>
      </c>
      <c r="B613" s="4" t="s">
        <v>900</v>
      </c>
      <c r="C613" s="4">
        <v>6</v>
      </c>
      <c r="D613" s="4" t="s">
        <v>55</v>
      </c>
      <c r="E613" s="4" t="s">
        <v>45</v>
      </c>
      <c r="F613" s="4" t="s">
        <v>72</v>
      </c>
      <c r="G613" s="5">
        <v>45302</v>
      </c>
      <c r="H613" s="5">
        <v>45325</v>
      </c>
      <c r="I613" s="4">
        <v>23</v>
      </c>
      <c r="J613" s="4" t="s">
        <v>33</v>
      </c>
      <c r="K613" s="4" t="s">
        <v>233</v>
      </c>
      <c r="L613" s="4" t="s">
        <v>35</v>
      </c>
      <c r="M613" s="4" t="s">
        <v>101</v>
      </c>
      <c r="N613" s="4" t="s">
        <v>118</v>
      </c>
      <c r="O613" s="4" t="s">
        <v>416</v>
      </c>
      <c r="P613" s="4">
        <v>184</v>
      </c>
      <c r="Q613" s="4" t="s">
        <v>103</v>
      </c>
      <c r="R613" s="4" t="s">
        <v>136</v>
      </c>
      <c r="S613" s="4">
        <v>164343</v>
      </c>
      <c r="T613" s="4">
        <v>0</v>
      </c>
      <c r="U613" s="4">
        <v>164343</v>
      </c>
      <c r="V613" s="4">
        <v>135992</v>
      </c>
      <c r="W613" s="4">
        <v>10838</v>
      </c>
      <c r="X613" s="4">
        <v>13007</v>
      </c>
      <c r="Y613" s="4" t="s">
        <v>41</v>
      </c>
      <c r="Z613" s="4">
        <v>87</v>
      </c>
      <c r="AA613" s="4">
        <v>2.6</v>
      </c>
      <c r="AB613" s="4" t="s">
        <v>42</v>
      </c>
    </row>
    <row r="614" spans="1:28" x14ac:dyDescent="0.25">
      <c r="A614" s="2" t="s">
        <v>1226</v>
      </c>
      <c r="B614" s="2" t="s">
        <v>972</v>
      </c>
      <c r="C614" s="2">
        <v>50</v>
      </c>
      <c r="D614" s="2" t="s">
        <v>30</v>
      </c>
      <c r="E614" s="2" t="s">
        <v>87</v>
      </c>
      <c r="F614" s="2" t="s">
        <v>150</v>
      </c>
      <c r="G614" s="3">
        <v>45226</v>
      </c>
      <c r="H614" s="3">
        <v>45256</v>
      </c>
      <c r="I614" s="2">
        <v>30</v>
      </c>
      <c r="J614" s="2" t="s">
        <v>115</v>
      </c>
      <c r="K614" s="2" t="s">
        <v>116</v>
      </c>
      <c r="L614" s="2" t="s">
        <v>117</v>
      </c>
      <c r="M614" s="2" t="s">
        <v>83</v>
      </c>
      <c r="N614" s="2" t="s">
        <v>37</v>
      </c>
      <c r="O614" s="2" t="s">
        <v>560</v>
      </c>
      <c r="P614" s="2">
        <v>378</v>
      </c>
      <c r="Q614" s="2" t="s">
        <v>103</v>
      </c>
      <c r="R614" s="2" t="s">
        <v>111</v>
      </c>
      <c r="S614" s="2">
        <v>46913</v>
      </c>
      <c r="T614" s="2">
        <v>33516</v>
      </c>
      <c r="U614" s="2">
        <v>13397</v>
      </c>
      <c r="V614" s="2">
        <v>11417</v>
      </c>
      <c r="W614" s="2">
        <v>29618</v>
      </c>
      <c r="X614" s="2">
        <v>2784</v>
      </c>
      <c r="Y614" s="2" t="s">
        <v>41</v>
      </c>
      <c r="Z614" s="2">
        <v>49</v>
      </c>
      <c r="AA614" s="2">
        <v>3.2</v>
      </c>
      <c r="AB614" s="2" t="s">
        <v>104</v>
      </c>
    </row>
    <row r="615" spans="1:28" x14ac:dyDescent="0.25">
      <c r="A615" s="4" t="s">
        <v>1227</v>
      </c>
      <c r="B615" s="4" t="s">
        <v>1228</v>
      </c>
      <c r="C615" s="4">
        <v>24</v>
      </c>
      <c r="D615" s="4" t="s">
        <v>55</v>
      </c>
      <c r="E615" s="4" t="s">
        <v>31</v>
      </c>
      <c r="F615" s="4" t="s">
        <v>157</v>
      </c>
      <c r="G615" s="5">
        <v>44595</v>
      </c>
      <c r="H615" s="5">
        <v>44608</v>
      </c>
      <c r="I615" s="4">
        <v>13</v>
      </c>
      <c r="J615" s="4" t="s">
        <v>33</v>
      </c>
      <c r="K615" s="4" t="s">
        <v>174</v>
      </c>
      <c r="L615" s="4" t="s">
        <v>48</v>
      </c>
      <c r="M615" s="4" t="s">
        <v>134</v>
      </c>
      <c r="N615" s="4" t="s">
        <v>118</v>
      </c>
      <c r="O615" s="4" t="s">
        <v>151</v>
      </c>
      <c r="P615" s="4">
        <v>255</v>
      </c>
      <c r="Q615" s="4" t="s">
        <v>103</v>
      </c>
      <c r="R615" s="4" t="s">
        <v>40</v>
      </c>
      <c r="S615" s="4">
        <v>132244</v>
      </c>
      <c r="T615" s="4">
        <v>63914</v>
      </c>
      <c r="U615" s="4">
        <v>68330</v>
      </c>
      <c r="V615" s="4">
        <v>84566</v>
      </c>
      <c r="W615" s="4">
        <v>28190</v>
      </c>
      <c r="X615" s="4">
        <v>14488</v>
      </c>
      <c r="Y615" s="4" t="s">
        <v>41</v>
      </c>
      <c r="Z615" s="4">
        <v>78</v>
      </c>
      <c r="AA615" s="4">
        <v>4.2</v>
      </c>
      <c r="AB615" s="4" t="s">
        <v>137</v>
      </c>
    </row>
    <row r="616" spans="1:28" x14ac:dyDescent="0.25">
      <c r="A616" s="2" t="s">
        <v>1229</v>
      </c>
      <c r="B616" s="2" t="s">
        <v>1228</v>
      </c>
      <c r="C616" s="2">
        <v>67</v>
      </c>
      <c r="D616" s="2" t="s">
        <v>55</v>
      </c>
      <c r="E616" s="2" t="s">
        <v>45</v>
      </c>
      <c r="F616" s="2" t="s">
        <v>157</v>
      </c>
      <c r="G616" s="3">
        <v>44699</v>
      </c>
      <c r="H616" s="3">
        <v>44710</v>
      </c>
      <c r="I616" s="2">
        <v>11</v>
      </c>
      <c r="J616" s="2" t="s">
        <v>33</v>
      </c>
      <c r="K616" s="2" t="s">
        <v>174</v>
      </c>
      <c r="L616" s="2" t="s">
        <v>48</v>
      </c>
      <c r="M616" s="2" t="s">
        <v>134</v>
      </c>
      <c r="N616" s="2" t="s">
        <v>109</v>
      </c>
      <c r="O616" s="2" t="s">
        <v>266</v>
      </c>
      <c r="P616" s="2">
        <v>483</v>
      </c>
      <c r="Q616" s="2" t="s">
        <v>103</v>
      </c>
      <c r="R616" s="2" t="s">
        <v>40</v>
      </c>
      <c r="S616" s="2">
        <v>134949</v>
      </c>
      <c r="T616" s="2">
        <v>79546</v>
      </c>
      <c r="U616" s="2">
        <v>55403</v>
      </c>
      <c r="V616" s="2">
        <v>114142</v>
      </c>
      <c r="W616" s="2">
        <v>17072</v>
      </c>
      <c r="X616" s="2">
        <v>712</v>
      </c>
      <c r="Y616" s="2" t="s">
        <v>41</v>
      </c>
      <c r="Z616" s="2">
        <v>59</v>
      </c>
      <c r="AA616" s="2">
        <v>4.0999999999999996</v>
      </c>
      <c r="AB616" s="2" t="s">
        <v>137</v>
      </c>
    </row>
    <row r="617" spans="1:28" x14ac:dyDescent="0.25">
      <c r="A617" s="4" t="s">
        <v>1230</v>
      </c>
      <c r="B617" s="4" t="s">
        <v>1231</v>
      </c>
      <c r="C617" s="4">
        <v>81</v>
      </c>
      <c r="D617" s="4" t="s">
        <v>55</v>
      </c>
      <c r="E617" s="4" t="s">
        <v>79</v>
      </c>
      <c r="F617" s="4" t="s">
        <v>80</v>
      </c>
      <c r="G617" s="5">
        <v>45326</v>
      </c>
      <c r="H617" s="5">
        <v>45352</v>
      </c>
      <c r="I617" s="4">
        <v>26</v>
      </c>
      <c r="J617" s="4" t="s">
        <v>140</v>
      </c>
      <c r="K617" s="4" t="s">
        <v>141</v>
      </c>
      <c r="L617" s="4" t="s">
        <v>142</v>
      </c>
      <c r="M617" s="4" t="s">
        <v>101</v>
      </c>
      <c r="N617" s="4" t="s">
        <v>37</v>
      </c>
      <c r="O617" s="4" t="s">
        <v>76</v>
      </c>
      <c r="P617" s="4">
        <v>229</v>
      </c>
      <c r="Q617" s="4" t="s">
        <v>50</v>
      </c>
      <c r="R617" s="4" t="s">
        <v>111</v>
      </c>
      <c r="S617" s="4">
        <v>85635</v>
      </c>
      <c r="T617" s="4">
        <v>74763</v>
      </c>
      <c r="U617" s="4">
        <v>10872</v>
      </c>
      <c r="V617" s="4">
        <v>69516</v>
      </c>
      <c r="W617" s="4">
        <v>7863</v>
      </c>
      <c r="X617" s="4">
        <v>5844</v>
      </c>
      <c r="Y617" s="4" t="s">
        <v>41</v>
      </c>
      <c r="Z617" s="4">
        <v>80</v>
      </c>
      <c r="AA617" s="4">
        <v>4.7</v>
      </c>
      <c r="AB617" s="4" t="s">
        <v>137</v>
      </c>
    </row>
    <row r="618" spans="1:28" x14ac:dyDescent="0.25">
      <c r="A618" s="2" t="s">
        <v>1232</v>
      </c>
      <c r="B618" s="2" t="s">
        <v>1233</v>
      </c>
      <c r="C618" s="2">
        <v>76</v>
      </c>
      <c r="D618" s="2" t="s">
        <v>30</v>
      </c>
      <c r="E618" s="2" t="s">
        <v>45</v>
      </c>
      <c r="F618" s="2" t="s">
        <v>32</v>
      </c>
      <c r="G618" s="3">
        <v>44822</v>
      </c>
      <c r="H618" s="3">
        <v>44833</v>
      </c>
      <c r="I618" s="2">
        <v>11</v>
      </c>
      <c r="J618" s="2" t="s">
        <v>33</v>
      </c>
      <c r="K618" s="2" t="s">
        <v>278</v>
      </c>
      <c r="L618" s="2" t="s">
        <v>279</v>
      </c>
      <c r="M618" s="2" t="s">
        <v>101</v>
      </c>
      <c r="N618" s="2" t="s">
        <v>109</v>
      </c>
      <c r="O618" s="2" t="s">
        <v>102</v>
      </c>
      <c r="P618" s="2">
        <v>289</v>
      </c>
      <c r="Q618" s="2" t="s">
        <v>103</v>
      </c>
      <c r="R618" s="2" t="s">
        <v>90</v>
      </c>
      <c r="S618" s="2">
        <v>121126</v>
      </c>
      <c r="T618" s="2">
        <v>86635</v>
      </c>
      <c r="U618" s="2">
        <v>34491</v>
      </c>
      <c r="V618" s="2">
        <v>87171</v>
      </c>
      <c r="W618" s="2">
        <v>17743</v>
      </c>
      <c r="X618" s="2">
        <v>14929</v>
      </c>
      <c r="Y618" s="2" t="s">
        <v>91</v>
      </c>
      <c r="Z618" s="2">
        <v>60</v>
      </c>
      <c r="AA618" s="2">
        <v>2.2000000000000002</v>
      </c>
      <c r="AB618" s="2" t="s">
        <v>137</v>
      </c>
    </row>
    <row r="619" spans="1:28" x14ac:dyDescent="0.25">
      <c r="A619" s="4" t="s">
        <v>1234</v>
      </c>
      <c r="B619" s="4" t="s">
        <v>433</v>
      </c>
      <c r="C619" s="4">
        <v>39</v>
      </c>
      <c r="D619" s="4" t="s">
        <v>55</v>
      </c>
      <c r="E619" s="4" t="s">
        <v>87</v>
      </c>
      <c r="F619" s="4" t="s">
        <v>114</v>
      </c>
      <c r="G619" s="5">
        <v>44957</v>
      </c>
      <c r="H619" s="5">
        <v>44983</v>
      </c>
      <c r="I619" s="4">
        <v>26</v>
      </c>
      <c r="J619" s="4" t="s">
        <v>140</v>
      </c>
      <c r="K619" s="4" t="s">
        <v>167</v>
      </c>
      <c r="L619" s="4" t="s">
        <v>142</v>
      </c>
      <c r="M619" s="4" t="s">
        <v>95</v>
      </c>
      <c r="N619" s="4" t="s">
        <v>62</v>
      </c>
      <c r="O619" s="4" t="s">
        <v>256</v>
      </c>
      <c r="P619" s="4">
        <v>115</v>
      </c>
      <c r="Q619" s="4" t="s">
        <v>69</v>
      </c>
      <c r="R619" s="4" t="s">
        <v>136</v>
      </c>
      <c r="S619" s="4">
        <v>141516</v>
      </c>
      <c r="T619" s="4">
        <v>0</v>
      </c>
      <c r="U619" s="4">
        <v>141516</v>
      </c>
      <c r="V619" s="4">
        <v>98367</v>
      </c>
      <c r="W619" s="4">
        <v>28028</v>
      </c>
      <c r="X619" s="4">
        <v>10668</v>
      </c>
      <c r="Y619" s="4" t="s">
        <v>41</v>
      </c>
      <c r="Z619" s="4">
        <v>90</v>
      </c>
      <c r="AA619" s="4">
        <v>2.8</v>
      </c>
      <c r="AB619" s="4" t="s">
        <v>52</v>
      </c>
    </row>
    <row r="620" spans="1:28" x14ac:dyDescent="0.25">
      <c r="A620" s="2" t="s">
        <v>1235</v>
      </c>
      <c r="B620" s="2" t="s">
        <v>392</v>
      </c>
      <c r="C620" s="2">
        <v>82</v>
      </c>
      <c r="D620" s="2" t="s">
        <v>55</v>
      </c>
      <c r="E620" s="2" t="s">
        <v>31</v>
      </c>
      <c r="F620" s="2" t="s">
        <v>72</v>
      </c>
      <c r="G620" s="3">
        <v>44808</v>
      </c>
      <c r="H620" s="3">
        <v>44818</v>
      </c>
      <c r="I620" s="2">
        <v>10</v>
      </c>
      <c r="J620" s="2" t="s">
        <v>33</v>
      </c>
      <c r="K620" s="2" t="s">
        <v>197</v>
      </c>
      <c r="L620" s="2" t="s">
        <v>198</v>
      </c>
      <c r="M620" s="2" t="s">
        <v>75</v>
      </c>
      <c r="N620" s="2" t="s">
        <v>118</v>
      </c>
      <c r="O620" s="2" t="s">
        <v>126</v>
      </c>
      <c r="P620" s="2">
        <v>217</v>
      </c>
      <c r="Q620" s="2" t="s">
        <v>69</v>
      </c>
      <c r="R620" s="2" t="s">
        <v>136</v>
      </c>
      <c r="S620" s="2">
        <v>86893</v>
      </c>
      <c r="T620" s="2">
        <v>0</v>
      </c>
      <c r="U620" s="2">
        <v>86893</v>
      </c>
      <c r="V620" s="2">
        <v>73416</v>
      </c>
      <c r="W620" s="2">
        <v>7692</v>
      </c>
      <c r="X620" s="2">
        <v>2860</v>
      </c>
      <c r="Y620" s="2" t="s">
        <v>91</v>
      </c>
      <c r="Z620" s="2">
        <v>81</v>
      </c>
      <c r="AA620" s="2">
        <v>3.9</v>
      </c>
      <c r="AB620" s="2" t="s">
        <v>137</v>
      </c>
    </row>
    <row r="621" spans="1:28" x14ac:dyDescent="0.25">
      <c r="A621" s="4" t="s">
        <v>1236</v>
      </c>
      <c r="B621" s="4" t="s">
        <v>879</v>
      </c>
      <c r="C621" s="4">
        <v>64</v>
      </c>
      <c r="D621" s="4" t="s">
        <v>55</v>
      </c>
      <c r="E621" s="4" t="s">
        <v>87</v>
      </c>
      <c r="F621" s="4" t="s">
        <v>114</v>
      </c>
      <c r="G621" s="5">
        <v>44883</v>
      </c>
      <c r="H621" s="5">
        <v>44903</v>
      </c>
      <c r="I621" s="4">
        <v>20</v>
      </c>
      <c r="J621" s="4" t="s">
        <v>33</v>
      </c>
      <c r="K621" s="4" t="s">
        <v>107</v>
      </c>
      <c r="L621" s="4" t="s">
        <v>48</v>
      </c>
      <c r="M621" s="4" t="s">
        <v>36</v>
      </c>
      <c r="N621" s="4" t="s">
        <v>118</v>
      </c>
      <c r="O621" s="4" t="s">
        <v>119</v>
      </c>
      <c r="P621" s="4">
        <v>102</v>
      </c>
      <c r="Q621" s="4" t="s">
        <v>103</v>
      </c>
      <c r="R621" s="4" t="s">
        <v>136</v>
      </c>
      <c r="S621" s="4">
        <v>73669</v>
      </c>
      <c r="T621" s="4">
        <v>0</v>
      </c>
      <c r="U621" s="4">
        <v>73669</v>
      </c>
      <c r="V621" s="4">
        <v>47703</v>
      </c>
      <c r="W621" s="4">
        <v>20217</v>
      </c>
      <c r="X621" s="4">
        <v>2605</v>
      </c>
      <c r="Y621" s="4" t="s">
        <v>41</v>
      </c>
      <c r="Z621" s="4">
        <v>47</v>
      </c>
      <c r="AA621" s="4">
        <v>2.2000000000000002</v>
      </c>
      <c r="AB621" s="4" t="s">
        <v>52</v>
      </c>
    </row>
    <row r="622" spans="1:28" x14ac:dyDescent="0.25">
      <c r="A622" s="2" t="s">
        <v>1237</v>
      </c>
      <c r="B622" s="2" t="s">
        <v>1238</v>
      </c>
      <c r="C622" s="2">
        <v>52</v>
      </c>
      <c r="D622" s="2" t="s">
        <v>55</v>
      </c>
      <c r="E622" s="2" t="s">
        <v>45</v>
      </c>
      <c r="F622" s="2" t="s">
        <v>114</v>
      </c>
      <c r="G622" s="3">
        <v>44614</v>
      </c>
      <c r="H622" s="3">
        <v>44635</v>
      </c>
      <c r="I622" s="2">
        <v>21</v>
      </c>
      <c r="J622" s="2" t="s">
        <v>33</v>
      </c>
      <c r="K622" s="2" t="s">
        <v>81</v>
      </c>
      <c r="L622" s="2" t="s">
        <v>82</v>
      </c>
      <c r="M622" s="2" t="s">
        <v>108</v>
      </c>
      <c r="N622" s="2" t="s">
        <v>109</v>
      </c>
      <c r="O622" s="2" t="s">
        <v>379</v>
      </c>
      <c r="P622" s="2">
        <v>429</v>
      </c>
      <c r="Q622" s="2" t="s">
        <v>69</v>
      </c>
      <c r="R622" s="2" t="s">
        <v>136</v>
      </c>
      <c r="S622" s="2">
        <v>123188</v>
      </c>
      <c r="T622" s="2">
        <v>0</v>
      </c>
      <c r="U622" s="2">
        <v>123188</v>
      </c>
      <c r="V622" s="2">
        <v>89938</v>
      </c>
      <c r="W622" s="2">
        <v>19534</v>
      </c>
      <c r="X622" s="2">
        <v>12894</v>
      </c>
      <c r="Y622" s="2" t="s">
        <v>41</v>
      </c>
      <c r="Z622" s="2">
        <v>43</v>
      </c>
      <c r="AA622" s="2">
        <v>4.2</v>
      </c>
      <c r="AB622" s="2" t="s">
        <v>64</v>
      </c>
    </row>
    <row r="623" spans="1:28" x14ac:dyDescent="0.25">
      <c r="A623" s="4" t="s">
        <v>1239</v>
      </c>
      <c r="B623" s="4" t="s">
        <v>349</v>
      </c>
      <c r="C623" s="4">
        <v>13</v>
      </c>
      <c r="D623" s="4" t="s">
        <v>55</v>
      </c>
      <c r="E623" s="4" t="s">
        <v>154</v>
      </c>
      <c r="F623" s="4" t="s">
        <v>157</v>
      </c>
      <c r="G623" s="5">
        <v>45632</v>
      </c>
      <c r="H623" s="5">
        <v>45638</v>
      </c>
      <c r="I623" s="4">
        <v>6</v>
      </c>
      <c r="J623" s="4" t="s">
        <v>73</v>
      </c>
      <c r="K623" s="4" t="s">
        <v>74</v>
      </c>
      <c r="L623" s="4" t="s">
        <v>73</v>
      </c>
      <c r="M623" s="4" t="s">
        <v>95</v>
      </c>
      <c r="N623" s="4" t="s">
        <v>118</v>
      </c>
      <c r="O623" s="4" t="s">
        <v>282</v>
      </c>
      <c r="P623" s="4">
        <v>212</v>
      </c>
      <c r="Q623" s="4" t="s">
        <v>50</v>
      </c>
      <c r="R623" s="4" t="s">
        <v>90</v>
      </c>
      <c r="S623" s="4">
        <v>158659</v>
      </c>
      <c r="T623" s="4">
        <v>120169</v>
      </c>
      <c r="U623" s="4">
        <v>38490</v>
      </c>
      <c r="V623" s="4">
        <v>134094</v>
      </c>
      <c r="W623" s="4">
        <v>14125</v>
      </c>
      <c r="X623" s="4">
        <v>9431</v>
      </c>
      <c r="Y623" s="4" t="s">
        <v>41</v>
      </c>
      <c r="Z623" s="4">
        <v>65</v>
      </c>
      <c r="AA623" s="4">
        <v>4.0999999999999996</v>
      </c>
      <c r="AB623" s="4" t="s">
        <v>42</v>
      </c>
    </row>
    <row r="624" spans="1:28" x14ac:dyDescent="0.25">
      <c r="A624" s="2" t="s">
        <v>1240</v>
      </c>
      <c r="B624" s="2" t="s">
        <v>394</v>
      </c>
      <c r="C624" s="2">
        <v>31</v>
      </c>
      <c r="D624" s="2" t="s">
        <v>30</v>
      </c>
      <c r="E624" s="2" t="s">
        <v>154</v>
      </c>
      <c r="F624" s="2" t="s">
        <v>157</v>
      </c>
      <c r="G624" s="3">
        <v>45096</v>
      </c>
      <c r="H624" s="3">
        <v>45104</v>
      </c>
      <c r="I624" s="2">
        <v>8</v>
      </c>
      <c r="J624" s="2" t="s">
        <v>73</v>
      </c>
      <c r="K624" s="2" t="s">
        <v>74</v>
      </c>
      <c r="L624" s="2" t="s">
        <v>73</v>
      </c>
      <c r="M624" s="2" t="s">
        <v>75</v>
      </c>
      <c r="N624" s="2" t="s">
        <v>62</v>
      </c>
      <c r="O624" s="2" t="s">
        <v>1038</v>
      </c>
      <c r="P624" s="2">
        <v>246</v>
      </c>
      <c r="Q624" s="2" t="s">
        <v>69</v>
      </c>
      <c r="R624" s="2" t="s">
        <v>90</v>
      </c>
      <c r="S624" s="2">
        <v>94325</v>
      </c>
      <c r="T624" s="2">
        <v>83603</v>
      </c>
      <c r="U624" s="2">
        <v>10722</v>
      </c>
      <c r="V624" s="2">
        <v>62409</v>
      </c>
      <c r="W624" s="2">
        <v>25855</v>
      </c>
      <c r="X624" s="2">
        <v>4311</v>
      </c>
      <c r="Y624" s="2" t="s">
        <v>91</v>
      </c>
      <c r="Z624" s="2">
        <v>60</v>
      </c>
      <c r="AA624" s="2">
        <v>3</v>
      </c>
      <c r="AB624" s="2" t="s">
        <v>137</v>
      </c>
    </row>
    <row r="625" spans="1:28" x14ac:dyDescent="0.25">
      <c r="A625" s="4" t="s">
        <v>1241</v>
      </c>
      <c r="B625" s="4" t="s">
        <v>599</v>
      </c>
      <c r="C625" s="4">
        <v>42</v>
      </c>
      <c r="D625" s="4" t="s">
        <v>30</v>
      </c>
      <c r="E625" s="4" t="s">
        <v>122</v>
      </c>
      <c r="F625" s="4" t="s">
        <v>114</v>
      </c>
      <c r="G625" s="5">
        <v>44701</v>
      </c>
      <c r="H625" s="5">
        <v>44703</v>
      </c>
      <c r="I625" s="4">
        <v>2</v>
      </c>
      <c r="J625" s="4" t="s">
        <v>115</v>
      </c>
      <c r="K625" s="4" t="s">
        <v>160</v>
      </c>
      <c r="L625" s="4" t="s">
        <v>117</v>
      </c>
      <c r="M625" s="4" t="s">
        <v>130</v>
      </c>
      <c r="N625" s="4" t="s">
        <v>109</v>
      </c>
      <c r="O625" s="4" t="s">
        <v>89</v>
      </c>
      <c r="P625" s="4">
        <v>252</v>
      </c>
      <c r="Q625" s="4" t="s">
        <v>69</v>
      </c>
      <c r="R625" s="4" t="s">
        <v>136</v>
      </c>
      <c r="S625" s="4">
        <v>64651</v>
      </c>
      <c r="T625" s="4">
        <v>0</v>
      </c>
      <c r="U625" s="4">
        <v>64651</v>
      </c>
      <c r="V625" s="4">
        <v>26135</v>
      </c>
      <c r="W625" s="4">
        <v>20057</v>
      </c>
      <c r="X625" s="4">
        <v>14944</v>
      </c>
      <c r="Y625" s="4" t="s">
        <v>41</v>
      </c>
      <c r="Z625" s="4">
        <v>93</v>
      </c>
      <c r="AA625" s="4">
        <v>2.5</v>
      </c>
      <c r="AB625" s="4" t="s">
        <v>64</v>
      </c>
    </row>
    <row r="626" spans="1:28" x14ac:dyDescent="0.25">
      <c r="A626" s="2" t="s">
        <v>1242</v>
      </c>
      <c r="B626" s="2" t="s">
        <v>1243</v>
      </c>
      <c r="C626" s="2">
        <v>5</v>
      </c>
      <c r="D626" s="2" t="s">
        <v>30</v>
      </c>
      <c r="E626" s="2" t="s">
        <v>79</v>
      </c>
      <c r="F626" s="2" t="s">
        <v>94</v>
      </c>
      <c r="G626" s="3">
        <v>45328</v>
      </c>
      <c r="H626" s="3">
        <v>45345</v>
      </c>
      <c r="I626" s="2">
        <v>17</v>
      </c>
      <c r="J626" s="2" t="s">
        <v>115</v>
      </c>
      <c r="K626" s="2" t="s">
        <v>116</v>
      </c>
      <c r="L626" s="2" t="s">
        <v>117</v>
      </c>
      <c r="M626" s="2" t="s">
        <v>61</v>
      </c>
      <c r="N626" s="2" t="s">
        <v>118</v>
      </c>
      <c r="O626" s="2" t="s">
        <v>248</v>
      </c>
      <c r="P626" s="2">
        <v>168</v>
      </c>
      <c r="Q626" s="2" t="s">
        <v>50</v>
      </c>
      <c r="R626" s="2" t="s">
        <v>111</v>
      </c>
      <c r="S626" s="2">
        <v>67927</v>
      </c>
      <c r="T626" s="2">
        <v>41343</v>
      </c>
      <c r="U626" s="2">
        <v>26584</v>
      </c>
      <c r="V626" s="2">
        <v>36239</v>
      </c>
      <c r="W626" s="2">
        <v>22314</v>
      </c>
      <c r="X626" s="2">
        <v>5175</v>
      </c>
      <c r="Y626" s="2" t="s">
        <v>41</v>
      </c>
      <c r="Z626" s="2">
        <v>81</v>
      </c>
      <c r="AA626" s="2">
        <v>4</v>
      </c>
      <c r="AB626" s="2" t="s">
        <v>137</v>
      </c>
    </row>
    <row r="627" spans="1:28" x14ac:dyDescent="0.25">
      <c r="A627" s="4" t="s">
        <v>1244</v>
      </c>
      <c r="B627" s="4" t="s">
        <v>675</v>
      </c>
      <c r="C627" s="4">
        <v>19</v>
      </c>
      <c r="D627" s="4" t="s">
        <v>55</v>
      </c>
      <c r="E627" s="4" t="s">
        <v>67</v>
      </c>
      <c r="F627" s="4" t="s">
        <v>157</v>
      </c>
      <c r="G627" s="5">
        <v>44983</v>
      </c>
      <c r="H627" s="5">
        <v>44990</v>
      </c>
      <c r="I627" s="4">
        <v>7</v>
      </c>
      <c r="J627" s="4" t="s">
        <v>33</v>
      </c>
      <c r="K627" s="4" t="s">
        <v>278</v>
      </c>
      <c r="L627" s="4" t="s">
        <v>279</v>
      </c>
      <c r="M627" s="4" t="s">
        <v>61</v>
      </c>
      <c r="N627" s="4" t="s">
        <v>118</v>
      </c>
      <c r="O627" s="4" t="s">
        <v>416</v>
      </c>
      <c r="P627" s="4">
        <v>28</v>
      </c>
      <c r="Q627" s="4" t="s">
        <v>39</v>
      </c>
      <c r="R627" s="4" t="s">
        <v>51</v>
      </c>
      <c r="S627" s="4">
        <v>88819</v>
      </c>
      <c r="T627" s="4">
        <v>43785</v>
      </c>
      <c r="U627" s="4">
        <v>45034</v>
      </c>
      <c r="V627" s="4">
        <v>71147</v>
      </c>
      <c r="W627" s="4">
        <v>8104</v>
      </c>
      <c r="X627" s="4">
        <v>8873</v>
      </c>
      <c r="Y627" s="4" t="s">
        <v>41</v>
      </c>
      <c r="Z627" s="4">
        <v>51</v>
      </c>
      <c r="AA627" s="4">
        <v>4.5999999999999996</v>
      </c>
      <c r="AB627" s="4" t="s">
        <v>64</v>
      </c>
    </row>
    <row r="628" spans="1:28" x14ac:dyDescent="0.25">
      <c r="A628" s="2" t="s">
        <v>1245</v>
      </c>
      <c r="B628" s="2" t="s">
        <v>1246</v>
      </c>
      <c r="C628" s="2">
        <v>46</v>
      </c>
      <c r="D628" s="2" t="s">
        <v>30</v>
      </c>
      <c r="E628" s="2" t="s">
        <v>67</v>
      </c>
      <c r="F628" s="2" t="s">
        <v>72</v>
      </c>
      <c r="G628" s="3">
        <v>44900</v>
      </c>
      <c r="H628" s="3">
        <v>44930</v>
      </c>
      <c r="I628" s="2">
        <v>30</v>
      </c>
      <c r="J628" s="2" t="s">
        <v>33</v>
      </c>
      <c r="K628" s="2" t="s">
        <v>174</v>
      </c>
      <c r="L628" s="2" t="s">
        <v>48</v>
      </c>
      <c r="M628" s="2" t="s">
        <v>75</v>
      </c>
      <c r="N628" s="2" t="s">
        <v>118</v>
      </c>
      <c r="O628" s="2" t="s">
        <v>365</v>
      </c>
      <c r="P628" s="2">
        <v>316</v>
      </c>
      <c r="Q628" s="2" t="s">
        <v>69</v>
      </c>
      <c r="R628" s="2" t="s">
        <v>90</v>
      </c>
      <c r="S628" s="2">
        <v>36380</v>
      </c>
      <c r="T628" s="2">
        <v>32161</v>
      </c>
      <c r="U628" s="2">
        <v>4219</v>
      </c>
      <c r="V628" s="2">
        <v>13178</v>
      </c>
      <c r="W628" s="2">
        <v>21292</v>
      </c>
      <c r="X628" s="2">
        <v>1319</v>
      </c>
      <c r="Y628" s="2" t="s">
        <v>41</v>
      </c>
      <c r="Z628" s="2">
        <v>59</v>
      </c>
      <c r="AA628" s="2">
        <v>3.3</v>
      </c>
      <c r="AB628" s="2" t="s">
        <v>42</v>
      </c>
    </row>
    <row r="629" spans="1:28" x14ac:dyDescent="0.25">
      <c r="A629" s="4" t="s">
        <v>1247</v>
      </c>
      <c r="B629" s="4" t="s">
        <v>1248</v>
      </c>
      <c r="C629" s="4">
        <v>11</v>
      </c>
      <c r="D629" s="4" t="s">
        <v>30</v>
      </c>
      <c r="E629" s="4" t="s">
        <v>31</v>
      </c>
      <c r="F629" s="4" t="s">
        <v>32</v>
      </c>
      <c r="G629" s="5">
        <v>45428</v>
      </c>
      <c r="H629" s="5">
        <v>45452</v>
      </c>
      <c r="I629" s="4">
        <v>24</v>
      </c>
      <c r="J629" s="4" t="s">
        <v>58</v>
      </c>
      <c r="K629" s="4" t="s">
        <v>88</v>
      </c>
      <c r="L629" s="4" t="s">
        <v>60</v>
      </c>
      <c r="M629" s="4" t="s">
        <v>134</v>
      </c>
      <c r="N629" s="4" t="s">
        <v>37</v>
      </c>
      <c r="O629" s="4" t="s">
        <v>428</v>
      </c>
      <c r="P629" s="4">
        <v>395</v>
      </c>
      <c r="Q629" s="4" t="s">
        <v>69</v>
      </c>
      <c r="R629" s="4" t="s">
        <v>90</v>
      </c>
      <c r="S629" s="4">
        <v>98874</v>
      </c>
      <c r="T629" s="4">
        <v>86914</v>
      </c>
      <c r="U629" s="4">
        <v>11960</v>
      </c>
      <c r="V629" s="4">
        <v>84180</v>
      </c>
      <c r="W629" s="4">
        <v>5647</v>
      </c>
      <c r="X629" s="4">
        <v>4804</v>
      </c>
      <c r="Y629" s="4" t="s">
        <v>41</v>
      </c>
      <c r="Z629" s="4">
        <v>91</v>
      </c>
      <c r="AA629" s="4">
        <v>4.7</v>
      </c>
      <c r="AB629" s="4" t="s">
        <v>104</v>
      </c>
    </row>
    <row r="630" spans="1:28" x14ac:dyDescent="0.25">
      <c r="A630" s="2" t="s">
        <v>1249</v>
      </c>
      <c r="B630" s="2" t="s">
        <v>1250</v>
      </c>
      <c r="C630" s="2">
        <v>65</v>
      </c>
      <c r="D630" s="2" t="s">
        <v>55</v>
      </c>
      <c r="E630" s="2" t="s">
        <v>122</v>
      </c>
      <c r="F630" s="2" t="s">
        <v>157</v>
      </c>
      <c r="G630" s="3">
        <v>44738</v>
      </c>
      <c r="H630" s="3">
        <v>44762</v>
      </c>
      <c r="I630" s="2">
        <v>24</v>
      </c>
      <c r="J630" s="2" t="s">
        <v>73</v>
      </c>
      <c r="K630" s="2" t="s">
        <v>74</v>
      </c>
      <c r="L630" s="2" t="s">
        <v>73</v>
      </c>
      <c r="M630" s="2" t="s">
        <v>101</v>
      </c>
      <c r="N630" s="2" t="s">
        <v>118</v>
      </c>
      <c r="O630" s="2" t="s">
        <v>246</v>
      </c>
      <c r="P630" s="2">
        <v>360</v>
      </c>
      <c r="Q630" s="2" t="s">
        <v>103</v>
      </c>
      <c r="R630" s="2" t="s">
        <v>90</v>
      </c>
      <c r="S630" s="2">
        <v>58568</v>
      </c>
      <c r="T630" s="2">
        <v>47054</v>
      </c>
      <c r="U630" s="2">
        <v>11514</v>
      </c>
      <c r="V630" s="2">
        <v>45185</v>
      </c>
      <c r="W630" s="2">
        <v>8060</v>
      </c>
      <c r="X630" s="2">
        <v>1567</v>
      </c>
      <c r="Y630" s="2" t="s">
        <v>91</v>
      </c>
      <c r="Z630" s="2">
        <v>71</v>
      </c>
      <c r="AA630" s="2">
        <v>3.3</v>
      </c>
      <c r="AB630" s="2" t="s">
        <v>137</v>
      </c>
    </row>
    <row r="631" spans="1:28" x14ac:dyDescent="0.25">
      <c r="A631" s="4" t="s">
        <v>1251</v>
      </c>
      <c r="B631" s="4" t="s">
        <v>1228</v>
      </c>
      <c r="C631" s="4">
        <v>6</v>
      </c>
      <c r="D631" s="4" t="s">
        <v>55</v>
      </c>
      <c r="E631" s="4" t="s">
        <v>56</v>
      </c>
      <c r="F631" s="4" t="s">
        <v>46</v>
      </c>
      <c r="G631" s="5">
        <v>45138</v>
      </c>
      <c r="H631" s="5">
        <v>45162</v>
      </c>
      <c r="I631" s="4">
        <v>24</v>
      </c>
      <c r="J631" s="4" t="s">
        <v>33</v>
      </c>
      <c r="K631" s="4" t="s">
        <v>174</v>
      </c>
      <c r="L631" s="4" t="s">
        <v>48</v>
      </c>
      <c r="M631" s="4" t="s">
        <v>134</v>
      </c>
      <c r="N631" s="4" t="s">
        <v>62</v>
      </c>
      <c r="O631" s="4" t="s">
        <v>543</v>
      </c>
      <c r="P631" s="4">
        <v>121</v>
      </c>
      <c r="Q631" s="4" t="s">
        <v>103</v>
      </c>
      <c r="R631" s="4" t="s">
        <v>90</v>
      </c>
      <c r="S631" s="4">
        <v>59982</v>
      </c>
      <c r="T631" s="4">
        <v>46047</v>
      </c>
      <c r="U631" s="4">
        <v>13935</v>
      </c>
      <c r="V631" s="4">
        <v>16566</v>
      </c>
      <c r="W631" s="4">
        <v>29623</v>
      </c>
      <c r="X631" s="4">
        <v>9727</v>
      </c>
      <c r="Y631" s="4" t="s">
        <v>41</v>
      </c>
      <c r="Z631" s="4">
        <v>90</v>
      </c>
      <c r="AA631" s="4">
        <v>2.7</v>
      </c>
      <c r="AB631" s="4" t="s">
        <v>104</v>
      </c>
    </row>
    <row r="632" spans="1:28" x14ac:dyDescent="0.25">
      <c r="A632" s="2" t="s">
        <v>1252</v>
      </c>
      <c r="B632" s="2" t="s">
        <v>542</v>
      </c>
      <c r="C632" s="2">
        <v>16</v>
      </c>
      <c r="D632" s="2" t="s">
        <v>30</v>
      </c>
      <c r="E632" s="2" t="s">
        <v>87</v>
      </c>
      <c r="F632" s="2" t="s">
        <v>150</v>
      </c>
      <c r="G632" s="3">
        <v>44897</v>
      </c>
      <c r="H632" s="3">
        <v>44909</v>
      </c>
      <c r="I632" s="2">
        <v>12</v>
      </c>
      <c r="J632" s="2" t="s">
        <v>58</v>
      </c>
      <c r="K632" s="2" t="s">
        <v>88</v>
      </c>
      <c r="L632" s="2" t="s">
        <v>60</v>
      </c>
      <c r="M632" s="2" t="s">
        <v>75</v>
      </c>
      <c r="N632" s="2" t="s">
        <v>109</v>
      </c>
      <c r="O632" s="2" t="s">
        <v>222</v>
      </c>
      <c r="P632" s="2">
        <v>209</v>
      </c>
      <c r="Q632" s="2" t="s">
        <v>39</v>
      </c>
      <c r="R632" s="2" t="s">
        <v>51</v>
      </c>
      <c r="S632" s="2">
        <v>135022</v>
      </c>
      <c r="T632" s="2">
        <v>85090</v>
      </c>
      <c r="U632" s="2">
        <v>49932</v>
      </c>
      <c r="V632" s="2">
        <v>110324</v>
      </c>
      <c r="W632" s="2">
        <v>13193</v>
      </c>
      <c r="X632" s="2">
        <v>8159</v>
      </c>
      <c r="Y632" s="2" t="s">
        <v>91</v>
      </c>
      <c r="Z632" s="2">
        <v>83</v>
      </c>
      <c r="AA632" s="2">
        <v>4.3</v>
      </c>
      <c r="AB632" s="2" t="s">
        <v>137</v>
      </c>
    </row>
    <row r="633" spans="1:28" x14ac:dyDescent="0.25">
      <c r="A633" s="4" t="s">
        <v>1253</v>
      </c>
      <c r="B633" s="4" t="s">
        <v>1254</v>
      </c>
      <c r="C633" s="4">
        <v>57</v>
      </c>
      <c r="D633" s="4" t="s">
        <v>30</v>
      </c>
      <c r="E633" s="4" t="s">
        <v>67</v>
      </c>
      <c r="F633" s="4" t="s">
        <v>157</v>
      </c>
      <c r="G633" s="5">
        <v>45080</v>
      </c>
      <c r="H633" s="5">
        <v>45109</v>
      </c>
      <c r="I633" s="4">
        <v>29</v>
      </c>
      <c r="J633" s="4" t="s">
        <v>140</v>
      </c>
      <c r="K633" s="4" t="s">
        <v>141</v>
      </c>
      <c r="L633" s="4" t="s">
        <v>142</v>
      </c>
      <c r="M633" s="4" t="s">
        <v>95</v>
      </c>
      <c r="N633" s="4" t="s">
        <v>37</v>
      </c>
      <c r="O633" s="4" t="s">
        <v>681</v>
      </c>
      <c r="P633" s="4">
        <v>442</v>
      </c>
      <c r="Q633" s="4" t="s">
        <v>39</v>
      </c>
      <c r="R633" s="4" t="s">
        <v>90</v>
      </c>
      <c r="S633" s="4">
        <v>128899</v>
      </c>
      <c r="T633" s="4">
        <v>100495</v>
      </c>
      <c r="U633" s="4">
        <v>28404</v>
      </c>
      <c r="V633" s="4">
        <v>95034</v>
      </c>
      <c r="W633" s="4">
        <v>17592</v>
      </c>
      <c r="X633" s="4">
        <v>14585</v>
      </c>
      <c r="Y633" s="4" t="s">
        <v>41</v>
      </c>
      <c r="Z633" s="4">
        <v>93</v>
      </c>
      <c r="AA633" s="4">
        <v>4.2</v>
      </c>
      <c r="AB633" s="4" t="s">
        <v>42</v>
      </c>
    </row>
    <row r="634" spans="1:28" x14ac:dyDescent="0.25">
      <c r="A634" s="2" t="s">
        <v>1255</v>
      </c>
      <c r="B634" s="2" t="s">
        <v>637</v>
      </c>
      <c r="C634" s="2">
        <v>55</v>
      </c>
      <c r="D634" s="2" t="s">
        <v>55</v>
      </c>
      <c r="E634" s="2" t="s">
        <v>67</v>
      </c>
      <c r="F634" s="2" t="s">
        <v>157</v>
      </c>
      <c r="G634" s="3">
        <v>45588</v>
      </c>
      <c r="H634" s="3">
        <v>45606</v>
      </c>
      <c r="I634" s="2">
        <v>18</v>
      </c>
      <c r="J634" s="2" t="s">
        <v>33</v>
      </c>
      <c r="K634" s="2" t="s">
        <v>197</v>
      </c>
      <c r="L634" s="2" t="s">
        <v>198</v>
      </c>
      <c r="M634" s="2" t="s">
        <v>36</v>
      </c>
      <c r="N634" s="2" t="s">
        <v>62</v>
      </c>
      <c r="O634" s="2" t="s">
        <v>84</v>
      </c>
      <c r="P634" s="2">
        <v>341</v>
      </c>
      <c r="Q634" s="2" t="s">
        <v>39</v>
      </c>
      <c r="R634" s="2" t="s">
        <v>40</v>
      </c>
      <c r="S634" s="2">
        <v>115401</v>
      </c>
      <c r="T634" s="2">
        <v>71497</v>
      </c>
      <c r="U634" s="2">
        <v>43904</v>
      </c>
      <c r="V634" s="2">
        <v>92791</v>
      </c>
      <c r="W634" s="2">
        <v>17029</v>
      </c>
      <c r="X634" s="2">
        <v>2415</v>
      </c>
      <c r="Y634" s="2" t="s">
        <v>41</v>
      </c>
      <c r="Z634" s="2">
        <v>75</v>
      </c>
      <c r="AA634" s="2">
        <v>4.8</v>
      </c>
      <c r="AB634" s="2" t="s">
        <v>42</v>
      </c>
    </row>
    <row r="635" spans="1:28" x14ac:dyDescent="0.25">
      <c r="A635" s="4" t="s">
        <v>1256</v>
      </c>
      <c r="B635" s="4" t="s">
        <v>1257</v>
      </c>
      <c r="C635" s="4">
        <v>33</v>
      </c>
      <c r="D635" s="4" t="s">
        <v>30</v>
      </c>
      <c r="E635" s="4" t="s">
        <v>67</v>
      </c>
      <c r="F635" s="4" t="s">
        <v>157</v>
      </c>
      <c r="G635" s="5">
        <v>45024</v>
      </c>
      <c r="H635" s="5">
        <v>45045</v>
      </c>
      <c r="I635" s="4">
        <v>21</v>
      </c>
      <c r="J635" s="4" t="s">
        <v>33</v>
      </c>
      <c r="K635" s="4" t="s">
        <v>107</v>
      </c>
      <c r="L635" s="4" t="s">
        <v>48</v>
      </c>
      <c r="M635" s="4" t="s">
        <v>61</v>
      </c>
      <c r="N635" s="4" t="s">
        <v>62</v>
      </c>
      <c r="O635" s="4" t="s">
        <v>205</v>
      </c>
      <c r="P635" s="4">
        <v>254</v>
      </c>
      <c r="Q635" s="4" t="s">
        <v>39</v>
      </c>
      <c r="R635" s="4" t="s">
        <v>90</v>
      </c>
      <c r="S635" s="4">
        <v>110994</v>
      </c>
      <c r="T635" s="4">
        <v>76681</v>
      </c>
      <c r="U635" s="4">
        <v>34313</v>
      </c>
      <c r="V635" s="4">
        <v>85361</v>
      </c>
      <c r="W635" s="4">
        <v>8924</v>
      </c>
      <c r="X635" s="4">
        <v>12883</v>
      </c>
      <c r="Y635" s="4" t="s">
        <v>41</v>
      </c>
      <c r="Z635" s="4">
        <v>80</v>
      </c>
      <c r="AA635" s="4">
        <v>2.2999999999999998</v>
      </c>
      <c r="AB635" s="4" t="s">
        <v>64</v>
      </c>
    </row>
    <row r="636" spans="1:28" x14ac:dyDescent="0.25">
      <c r="A636" s="2" t="s">
        <v>1258</v>
      </c>
      <c r="B636" s="2" t="s">
        <v>1259</v>
      </c>
      <c r="C636" s="2">
        <v>8</v>
      </c>
      <c r="D636" s="2" t="s">
        <v>30</v>
      </c>
      <c r="E636" s="2" t="s">
        <v>56</v>
      </c>
      <c r="F636" s="2" t="s">
        <v>32</v>
      </c>
      <c r="G636" s="3">
        <v>44942</v>
      </c>
      <c r="H636" s="3">
        <v>44969</v>
      </c>
      <c r="I636" s="2">
        <v>27</v>
      </c>
      <c r="J636" s="2" t="s">
        <v>202</v>
      </c>
      <c r="K636" s="2" t="s">
        <v>203</v>
      </c>
      <c r="L636" s="2" t="s">
        <v>204</v>
      </c>
      <c r="M636" s="2" t="s">
        <v>134</v>
      </c>
      <c r="N636" s="2" t="s">
        <v>37</v>
      </c>
      <c r="O636" s="2" t="s">
        <v>230</v>
      </c>
      <c r="P636" s="2">
        <v>484</v>
      </c>
      <c r="Q636" s="2" t="s">
        <v>50</v>
      </c>
      <c r="R636" s="2" t="s">
        <v>111</v>
      </c>
      <c r="S636" s="2">
        <v>44885</v>
      </c>
      <c r="T636" s="2">
        <v>31552</v>
      </c>
      <c r="U636" s="2">
        <v>13333</v>
      </c>
      <c r="V636" s="2">
        <v>7770</v>
      </c>
      <c r="W636" s="2">
        <v>23866</v>
      </c>
      <c r="X636" s="2">
        <v>10290</v>
      </c>
      <c r="Y636" s="2" t="s">
        <v>41</v>
      </c>
      <c r="Z636" s="2">
        <v>59</v>
      </c>
      <c r="AA636" s="2">
        <v>3.3</v>
      </c>
      <c r="AB636" s="2" t="s">
        <v>42</v>
      </c>
    </row>
    <row r="637" spans="1:28" x14ac:dyDescent="0.25">
      <c r="A637" s="4" t="s">
        <v>1260</v>
      </c>
      <c r="B637" s="4" t="s">
        <v>330</v>
      </c>
      <c r="C637" s="4">
        <v>83</v>
      </c>
      <c r="D637" s="4" t="s">
        <v>55</v>
      </c>
      <c r="E637" s="4" t="s">
        <v>87</v>
      </c>
      <c r="F637" s="4" t="s">
        <v>57</v>
      </c>
      <c r="G637" s="5">
        <v>45585</v>
      </c>
      <c r="H637" s="5">
        <v>45596</v>
      </c>
      <c r="I637" s="4">
        <v>11</v>
      </c>
      <c r="J637" s="4" t="s">
        <v>58</v>
      </c>
      <c r="K637" s="4" t="s">
        <v>88</v>
      </c>
      <c r="L637" s="4" t="s">
        <v>60</v>
      </c>
      <c r="M637" s="4" t="s">
        <v>134</v>
      </c>
      <c r="N637" s="4" t="s">
        <v>37</v>
      </c>
      <c r="O637" s="4" t="s">
        <v>285</v>
      </c>
      <c r="P637" s="4">
        <v>395</v>
      </c>
      <c r="Q637" s="4" t="s">
        <v>69</v>
      </c>
      <c r="R637" s="4" t="s">
        <v>111</v>
      </c>
      <c r="S637" s="4">
        <v>129723</v>
      </c>
      <c r="T637" s="4">
        <v>92621</v>
      </c>
      <c r="U637" s="4">
        <v>37102</v>
      </c>
      <c r="V637" s="4">
        <v>97026</v>
      </c>
      <c r="W637" s="4">
        <v>23441</v>
      </c>
      <c r="X637" s="4">
        <v>8533</v>
      </c>
      <c r="Y637" s="4" t="s">
        <v>41</v>
      </c>
      <c r="Z637" s="4">
        <v>88</v>
      </c>
      <c r="AA637" s="4">
        <v>4.7</v>
      </c>
      <c r="AB637" s="4" t="s">
        <v>137</v>
      </c>
    </row>
    <row r="638" spans="1:28" x14ac:dyDescent="0.25">
      <c r="A638" s="2" t="s">
        <v>1261</v>
      </c>
      <c r="B638" s="2" t="s">
        <v>78</v>
      </c>
      <c r="C638" s="2">
        <v>16</v>
      </c>
      <c r="D638" s="2" t="s">
        <v>55</v>
      </c>
      <c r="E638" s="2" t="s">
        <v>31</v>
      </c>
      <c r="F638" s="2" t="s">
        <v>157</v>
      </c>
      <c r="G638" s="3">
        <v>45493</v>
      </c>
      <c r="H638" s="3">
        <v>45506</v>
      </c>
      <c r="I638" s="2">
        <v>13</v>
      </c>
      <c r="J638" s="2" t="s">
        <v>33</v>
      </c>
      <c r="K638" s="2" t="s">
        <v>47</v>
      </c>
      <c r="L638" s="2" t="s">
        <v>48</v>
      </c>
      <c r="M638" s="2" t="s">
        <v>101</v>
      </c>
      <c r="N638" s="2" t="s">
        <v>37</v>
      </c>
      <c r="O638" s="2" t="s">
        <v>300</v>
      </c>
      <c r="P638" s="2">
        <v>159</v>
      </c>
      <c r="Q638" s="2" t="s">
        <v>103</v>
      </c>
      <c r="R638" s="2" t="s">
        <v>40</v>
      </c>
      <c r="S638" s="2">
        <v>118968</v>
      </c>
      <c r="T638" s="2">
        <v>68767</v>
      </c>
      <c r="U638" s="2">
        <v>50201</v>
      </c>
      <c r="V638" s="2">
        <v>112638</v>
      </c>
      <c r="W638" s="2">
        <v>4111</v>
      </c>
      <c r="X638" s="2">
        <v>668</v>
      </c>
      <c r="Y638" s="2" t="s">
        <v>41</v>
      </c>
      <c r="Z638" s="2">
        <v>41</v>
      </c>
      <c r="AA638" s="2">
        <v>4.8</v>
      </c>
      <c r="AB638" s="2" t="s">
        <v>137</v>
      </c>
    </row>
    <row r="639" spans="1:28" x14ac:dyDescent="0.25">
      <c r="A639" s="4" t="s">
        <v>1262</v>
      </c>
      <c r="B639" s="4" t="s">
        <v>612</v>
      </c>
      <c r="C639" s="4">
        <v>28</v>
      </c>
      <c r="D639" s="4" t="s">
        <v>30</v>
      </c>
      <c r="E639" s="4" t="s">
        <v>79</v>
      </c>
      <c r="F639" s="4" t="s">
        <v>72</v>
      </c>
      <c r="G639" s="5">
        <v>45356</v>
      </c>
      <c r="H639" s="5">
        <v>45382</v>
      </c>
      <c r="I639" s="4">
        <v>26</v>
      </c>
      <c r="J639" s="4" t="s">
        <v>33</v>
      </c>
      <c r="K639" s="4" t="s">
        <v>99</v>
      </c>
      <c r="L639" s="4" t="s">
        <v>100</v>
      </c>
      <c r="M639" s="4" t="s">
        <v>134</v>
      </c>
      <c r="N639" s="4" t="s">
        <v>62</v>
      </c>
      <c r="O639" s="4" t="s">
        <v>96</v>
      </c>
      <c r="P639" s="4">
        <v>90</v>
      </c>
      <c r="Q639" s="4" t="s">
        <v>103</v>
      </c>
      <c r="R639" s="4" t="s">
        <v>136</v>
      </c>
      <c r="S639" s="4">
        <v>58436</v>
      </c>
      <c r="T639" s="4">
        <v>0</v>
      </c>
      <c r="U639" s="4">
        <v>58436</v>
      </c>
      <c r="V639" s="4">
        <v>47662</v>
      </c>
      <c r="W639" s="4">
        <v>2304</v>
      </c>
      <c r="X639" s="4">
        <v>5256</v>
      </c>
      <c r="Y639" s="4" t="s">
        <v>41</v>
      </c>
      <c r="Z639" s="4">
        <v>83</v>
      </c>
      <c r="AA639" s="4">
        <v>2.5</v>
      </c>
      <c r="AB639" s="4" t="s">
        <v>104</v>
      </c>
    </row>
    <row r="640" spans="1:28" x14ac:dyDescent="0.25">
      <c r="A640" s="2" t="s">
        <v>1263</v>
      </c>
      <c r="B640" s="2" t="s">
        <v>1264</v>
      </c>
      <c r="C640" s="2">
        <v>67</v>
      </c>
      <c r="D640" s="2" t="s">
        <v>55</v>
      </c>
      <c r="E640" s="2" t="s">
        <v>122</v>
      </c>
      <c r="F640" s="2" t="s">
        <v>114</v>
      </c>
      <c r="G640" s="3">
        <v>44923</v>
      </c>
      <c r="H640" s="3">
        <v>44948</v>
      </c>
      <c r="I640" s="2">
        <v>25</v>
      </c>
      <c r="J640" s="2" t="s">
        <v>115</v>
      </c>
      <c r="K640" s="2" t="s">
        <v>116</v>
      </c>
      <c r="L640" s="2" t="s">
        <v>117</v>
      </c>
      <c r="M640" s="2" t="s">
        <v>134</v>
      </c>
      <c r="N640" s="2" t="s">
        <v>109</v>
      </c>
      <c r="O640" s="2" t="s">
        <v>627</v>
      </c>
      <c r="P640" s="2">
        <v>444</v>
      </c>
      <c r="Q640" s="2" t="s">
        <v>103</v>
      </c>
      <c r="R640" s="2" t="s">
        <v>40</v>
      </c>
      <c r="S640" s="2">
        <v>162488</v>
      </c>
      <c r="T640" s="2">
        <v>69945</v>
      </c>
      <c r="U640" s="2">
        <v>92543</v>
      </c>
      <c r="V640" s="2">
        <v>121566</v>
      </c>
      <c r="W640" s="2">
        <v>27490</v>
      </c>
      <c r="X640" s="2">
        <v>11981</v>
      </c>
      <c r="Y640" s="2" t="s">
        <v>91</v>
      </c>
      <c r="Z640" s="2">
        <v>87</v>
      </c>
      <c r="AA640" s="2">
        <v>4.9000000000000004</v>
      </c>
      <c r="AB640" s="2" t="s">
        <v>42</v>
      </c>
    </row>
    <row r="641" spans="1:28" x14ac:dyDescent="0.25">
      <c r="A641" s="4" t="s">
        <v>1265</v>
      </c>
      <c r="B641" s="4" t="s">
        <v>1266</v>
      </c>
      <c r="C641" s="4">
        <v>61</v>
      </c>
      <c r="D641" s="4" t="s">
        <v>30</v>
      </c>
      <c r="E641" s="4" t="s">
        <v>45</v>
      </c>
      <c r="F641" s="4" t="s">
        <v>114</v>
      </c>
      <c r="G641" s="5">
        <v>44604</v>
      </c>
      <c r="H641" s="5">
        <v>44627</v>
      </c>
      <c r="I641" s="4">
        <v>23</v>
      </c>
      <c r="J641" s="4" t="s">
        <v>202</v>
      </c>
      <c r="K641" s="4" t="s">
        <v>225</v>
      </c>
      <c r="L641" s="4" t="s">
        <v>226</v>
      </c>
      <c r="M641" s="4" t="s">
        <v>75</v>
      </c>
      <c r="N641" s="4" t="s">
        <v>62</v>
      </c>
      <c r="O641" s="4" t="s">
        <v>448</v>
      </c>
      <c r="P641" s="4">
        <v>18</v>
      </c>
      <c r="Q641" s="4" t="s">
        <v>50</v>
      </c>
      <c r="R641" s="4" t="s">
        <v>111</v>
      </c>
      <c r="S641" s="4">
        <v>121665</v>
      </c>
      <c r="T641" s="4">
        <v>82590</v>
      </c>
      <c r="U641" s="4">
        <v>39075</v>
      </c>
      <c r="V641" s="4">
        <v>115691</v>
      </c>
      <c r="W641" s="4">
        <v>3193</v>
      </c>
      <c r="X641" s="4">
        <v>1567</v>
      </c>
      <c r="Y641" s="4" t="s">
        <v>41</v>
      </c>
      <c r="Z641" s="4">
        <v>62</v>
      </c>
      <c r="AA641" s="4">
        <v>3.4</v>
      </c>
      <c r="AB641" s="4" t="s">
        <v>42</v>
      </c>
    </row>
    <row r="642" spans="1:28" x14ac:dyDescent="0.25">
      <c r="A642" s="2" t="s">
        <v>1267</v>
      </c>
      <c r="B642" s="2" t="s">
        <v>870</v>
      </c>
      <c r="C642" s="2">
        <v>22</v>
      </c>
      <c r="D642" s="2" t="s">
        <v>55</v>
      </c>
      <c r="E642" s="2" t="s">
        <v>122</v>
      </c>
      <c r="F642" s="2" t="s">
        <v>129</v>
      </c>
      <c r="G642" s="3">
        <v>44738</v>
      </c>
      <c r="H642" s="3">
        <v>44757</v>
      </c>
      <c r="I642" s="2">
        <v>19</v>
      </c>
      <c r="J642" s="2" t="s">
        <v>123</v>
      </c>
      <c r="K642" s="2" t="s">
        <v>124</v>
      </c>
      <c r="L642" s="2" t="s">
        <v>125</v>
      </c>
      <c r="M642" s="2" t="s">
        <v>83</v>
      </c>
      <c r="N642" s="2" t="s">
        <v>118</v>
      </c>
      <c r="O642" s="2" t="s">
        <v>492</v>
      </c>
      <c r="P642" s="2">
        <v>245</v>
      </c>
      <c r="Q642" s="2" t="s">
        <v>69</v>
      </c>
      <c r="R642" s="2" t="s">
        <v>40</v>
      </c>
      <c r="S642" s="2">
        <v>128622</v>
      </c>
      <c r="T642" s="2">
        <v>60410</v>
      </c>
      <c r="U642" s="2">
        <v>68212</v>
      </c>
      <c r="V642" s="2">
        <v>113332</v>
      </c>
      <c r="W642" s="2">
        <v>4796</v>
      </c>
      <c r="X642" s="2">
        <v>9669</v>
      </c>
      <c r="Y642" s="2" t="s">
        <v>91</v>
      </c>
      <c r="Z642" s="2">
        <v>48</v>
      </c>
      <c r="AA642" s="2">
        <v>4.2</v>
      </c>
      <c r="AB642" s="2" t="s">
        <v>137</v>
      </c>
    </row>
    <row r="643" spans="1:28" x14ac:dyDescent="0.25">
      <c r="A643" s="4" t="s">
        <v>1268</v>
      </c>
      <c r="B643" s="4" t="s">
        <v>1269</v>
      </c>
      <c r="C643" s="4">
        <v>12</v>
      </c>
      <c r="D643" s="4" t="s">
        <v>55</v>
      </c>
      <c r="E643" s="4" t="s">
        <v>56</v>
      </c>
      <c r="F643" s="4" t="s">
        <v>94</v>
      </c>
      <c r="G643" s="5">
        <v>45106</v>
      </c>
      <c r="H643" s="5">
        <v>45125</v>
      </c>
      <c r="I643" s="4">
        <v>19</v>
      </c>
      <c r="J643" s="4" t="s">
        <v>202</v>
      </c>
      <c r="K643" s="4" t="s">
        <v>225</v>
      </c>
      <c r="L643" s="4" t="s">
        <v>226</v>
      </c>
      <c r="M643" s="4" t="s">
        <v>134</v>
      </c>
      <c r="N643" s="4" t="s">
        <v>109</v>
      </c>
      <c r="O643" s="4" t="s">
        <v>248</v>
      </c>
      <c r="P643" s="4">
        <v>441</v>
      </c>
      <c r="Q643" s="4" t="s">
        <v>103</v>
      </c>
      <c r="R643" s="4" t="s">
        <v>40</v>
      </c>
      <c r="S643" s="4">
        <v>89912</v>
      </c>
      <c r="T643" s="4">
        <v>48878</v>
      </c>
      <c r="U643" s="4">
        <v>41034</v>
      </c>
      <c r="V643" s="4">
        <v>54457</v>
      </c>
      <c r="W643" s="4">
        <v>22759</v>
      </c>
      <c r="X643" s="4">
        <v>8278</v>
      </c>
      <c r="Y643" s="4" t="s">
        <v>91</v>
      </c>
      <c r="Z643" s="4">
        <v>64</v>
      </c>
      <c r="AA643" s="4">
        <v>3.7</v>
      </c>
      <c r="AB643" s="4" t="s">
        <v>42</v>
      </c>
    </row>
    <row r="644" spans="1:28" x14ac:dyDescent="0.25">
      <c r="A644" s="2" t="s">
        <v>1270</v>
      </c>
      <c r="B644" s="2" t="s">
        <v>418</v>
      </c>
      <c r="C644" s="2">
        <v>23</v>
      </c>
      <c r="D644" s="2" t="s">
        <v>55</v>
      </c>
      <c r="E644" s="2" t="s">
        <v>154</v>
      </c>
      <c r="F644" s="2" t="s">
        <v>157</v>
      </c>
      <c r="G644" s="3">
        <v>45540</v>
      </c>
      <c r="H644" s="3">
        <v>45557</v>
      </c>
      <c r="I644" s="2">
        <v>17</v>
      </c>
      <c r="J644" s="2" t="s">
        <v>202</v>
      </c>
      <c r="K644" s="2" t="s">
        <v>203</v>
      </c>
      <c r="L644" s="2" t="s">
        <v>204</v>
      </c>
      <c r="M644" s="2" t="s">
        <v>143</v>
      </c>
      <c r="N644" s="2" t="s">
        <v>109</v>
      </c>
      <c r="O644" s="2" t="s">
        <v>390</v>
      </c>
      <c r="P644" s="2">
        <v>481</v>
      </c>
      <c r="Q644" s="2" t="s">
        <v>39</v>
      </c>
      <c r="R644" s="2" t="s">
        <v>136</v>
      </c>
      <c r="S644" s="2">
        <v>131351</v>
      </c>
      <c r="T644" s="2">
        <v>0</v>
      </c>
      <c r="U644" s="2">
        <v>131351</v>
      </c>
      <c r="V644" s="2">
        <v>111533</v>
      </c>
      <c r="W644" s="2">
        <v>2955</v>
      </c>
      <c r="X644" s="2">
        <v>12826</v>
      </c>
      <c r="Y644" s="2" t="s">
        <v>91</v>
      </c>
      <c r="Z644" s="2">
        <v>60</v>
      </c>
      <c r="AA644" s="2">
        <v>4.3</v>
      </c>
      <c r="AB644" s="2" t="s">
        <v>104</v>
      </c>
    </row>
    <row r="645" spans="1:28" x14ac:dyDescent="0.25">
      <c r="A645" s="4" t="s">
        <v>1271</v>
      </c>
      <c r="B645" s="4" t="s">
        <v>629</v>
      </c>
      <c r="C645" s="4">
        <v>55</v>
      </c>
      <c r="D645" s="4" t="s">
        <v>30</v>
      </c>
      <c r="E645" s="4" t="s">
        <v>31</v>
      </c>
      <c r="F645" s="4" t="s">
        <v>129</v>
      </c>
      <c r="G645" s="5">
        <v>45543</v>
      </c>
      <c r="H645" s="5">
        <v>45563</v>
      </c>
      <c r="I645" s="4">
        <v>20</v>
      </c>
      <c r="J645" s="4" t="s">
        <v>202</v>
      </c>
      <c r="K645" s="4" t="s">
        <v>225</v>
      </c>
      <c r="L645" s="4" t="s">
        <v>226</v>
      </c>
      <c r="M645" s="4" t="s">
        <v>143</v>
      </c>
      <c r="N645" s="4" t="s">
        <v>109</v>
      </c>
      <c r="O645" s="4" t="s">
        <v>259</v>
      </c>
      <c r="P645" s="4">
        <v>148</v>
      </c>
      <c r="Q645" s="4" t="s">
        <v>103</v>
      </c>
      <c r="R645" s="4" t="s">
        <v>90</v>
      </c>
      <c r="S645" s="4">
        <v>144018</v>
      </c>
      <c r="T645" s="4">
        <v>89277</v>
      </c>
      <c r="U645" s="4">
        <v>54741</v>
      </c>
      <c r="V645" s="4">
        <v>118440</v>
      </c>
      <c r="W645" s="4">
        <v>20654</v>
      </c>
      <c r="X645" s="4">
        <v>1006</v>
      </c>
      <c r="Y645" s="4" t="s">
        <v>91</v>
      </c>
      <c r="Z645" s="4">
        <v>97</v>
      </c>
      <c r="AA645" s="4">
        <v>4.3</v>
      </c>
      <c r="AB645" s="4" t="s">
        <v>104</v>
      </c>
    </row>
    <row r="646" spans="1:28" x14ac:dyDescent="0.25">
      <c r="A646" s="2" t="s">
        <v>1272</v>
      </c>
      <c r="B646" s="2" t="s">
        <v>1273</v>
      </c>
      <c r="C646" s="2">
        <v>55</v>
      </c>
      <c r="D646" s="2" t="s">
        <v>30</v>
      </c>
      <c r="E646" s="2" t="s">
        <v>87</v>
      </c>
      <c r="F646" s="2" t="s">
        <v>80</v>
      </c>
      <c r="G646" s="3">
        <v>45183</v>
      </c>
      <c r="H646" s="3">
        <v>45210</v>
      </c>
      <c r="I646" s="2">
        <v>27</v>
      </c>
      <c r="J646" s="2" t="s">
        <v>33</v>
      </c>
      <c r="K646" s="2" t="s">
        <v>99</v>
      </c>
      <c r="L646" s="2" t="s">
        <v>100</v>
      </c>
      <c r="M646" s="2" t="s">
        <v>95</v>
      </c>
      <c r="N646" s="2" t="s">
        <v>118</v>
      </c>
      <c r="O646" s="2" t="s">
        <v>681</v>
      </c>
      <c r="P646" s="2">
        <v>250</v>
      </c>
      <c r="Q646" s="2" t="s">
        <v>103</v>
      </c>
      <c r="R646" s="2" t="s">
        <v>51</v>
      </c>
      <c r="S646" s="2">
        <v>64628</v>
      </c>
      <c r="T646" s="2">
        <v>39257</v>
      </c>
      <c r="U646" s="2">
        <v>25371</v>
      </c>
      <c r="V646" s="2">
        <v>40983</v>
      </c>
      <c r="W646" s="2">
        <v>16378</v>
      </c>
      <c r="X646" s="2">
        <v>6022</v>
      </c>
      <c r="Y646" s="2" t="s">
        <v>41</v>
      </c>
      <c r="Z646" s="2">
        <v>74</v>
      </c>
      <c r="AA646" s="2">
        <v>3.6</v>
      </c>
      <c r="AB646" s="2" t="s">
        <v>104</v>
      </c>
    </row>
    <row r="647" spans="1:28" x14ac:dyDescent="0.25">
      <c r="A647" s="4" t="s">
        <v>1274</v>
      </c>
      <c r="B647" s="4" t="s">
        <v>1275</v>
      </c>
      <c r="C647" s="4">
        <v>39</v>
      </c>
      <c r="D647" s="4" t="s">
        <v>30</v>
      </c>
      <c r="E647" s="4" t="s">
        <v>31</v>
      </c>
      <c r="F647" s="4" t="s">
        <v>80</v>
      </c>
      <c r="G647" s="5">
        <v>45225</v>
      </c>
      <c r="H647" s="5">
        <v>45255</v>
      </c>
      <c r="I647" s="4">
        <v>30</v>
      </c>
      <c r="J647" s="4" t="s">
        <v>73</v>
      </c>
      <c r="K647" s="4" t="s">
        <v>74</v>
      </c>
      <c r="L647" s="4" t="s">
        <v>73</v>
      </c>
      <c r="M647" s="4" t="s">
        <v>61</v>
      </c>
      <c r="N647" s="4" t="s">
        <v>118</v>
      </c>
      <c r="O647" s="4" t="s">
        <v>543</v>
      </c>
      <c r="P647" s="4">
        <v>423</v>
      </c>
      <c r="Q647" s="4" t="s">
        <v>50</v>
      </c>
      <c r="R647" s="4" t="s">
        <v>51</v>
      </c>
      <c r="S647" s="4">
        <v>131803</v>
      </c>
      <c r="T647" s="4">
        <v>79201</v>
      </c>
      <c r="U647" s="4">
        <v>52602</v>
      </c>
      <c r="V647" s="4">
        <v>112882</v>
      </c>
      <c r="W647" s="4">
        <v>10126</v>
      </c>
      <c r="X647" s="4">
        <v>4823</v>
      </c>
      <c r="Y647" s="4" t="s">
        <v>41</v>
      </c>
      <c r="Z647" s="4">
        <v>79</v>
      </c>
      <c r="AA647" s="4">
        <v>4.7</v>
      </c>
      <c r="AB647" s="4" t="s">
        <v>64</v>
      </c>
    </row>
    <row r="648" spans="1:28" x14ac:dyDescent="0.25">
      <c r="A648" s="2" t="s">
        <v>1276</v>
      </c>
      <c r="B648" s="2" t="s">
        <v>527</v>
      </c>
      <c r="C648" s="2">
        <v>29</v>
      </c>
      <c r="D648" s="2" t="s">
        <v>30</v>
      </c>
      <c r="E648" s="2" t="s">
        <v>45</v>
      </c>
      <c r="F648" s="2" t="s">
        <v>32</v>
      </c>
      <c r="G648" s="3">
        <v>45509</v>
      </c>
      <c r="H648" s="3">
        <v>45528</v>
      </c>
      <c r="I648" s="2">
        <v>19</v>
      </c>
      <c r="J648" s="2" t="s">
        <v>202</v>
      </c>
      <c r="K648" s="2" t="s">
        <v>225</v>
      </c>
      <c r="L648" s="2" t="s">
        <v>226</v>
      </c>
      <c r="M648" s="2" t="s">
        <v>36</v>
      </c>
      <c r="N648" s="2" t="s">
        <v>118</v>
      </c>
      <c r="O648" s="2" t="s">
        <v>595</v>
      </c>
      <c r="P648" s="2">
        <v>307</v>
      </c>
      <c r="Q648" s="2" t="s">
        <v>50</v>
      </c>
      <c r="R648" s="2" t="s">
        <v>40</v>
      </c>
      <c r="S648" s="2">
        <v>156792</v>
      </c>
      <c r="T648" s="2">
        <v>85499</v>
      </c>
      <c r="U648" s="2">
        <v>71293</v>
      </c>
      <c r="V648" s="2">
        <v>135273</v>
      </c>
      <c r="W648" s="2">
        <v>13287</v>
      </c>
      <c r="X648" s="2">
        <v>4524</v>
      </c>
      <c r="Y648" s="2" t="s">
        <v>41</v>
      </c>
      <c r="Z648" s="2">
        <v>76</v>
      </c>
      <c r="AA648" s="2">
        <v>3.4</v>
      </c>
      <c r="AB648" s="2" t="s">
        <v>52</v>
      </c>
    </row>
    <row r="649" spans="1:28" x14ac:dyDescent="0.25">
      <c r="A649" s="4" t="s">
        <v>1277</v>
      </c>
      <c r="B649" s="4" t="s">
        <v>876</v>
      </c>
      <c r="C649" s="4">
        <v>82</v>
      </c>
      <c r="D649" s="4" t="s">
        <v>55</v>
      </c>
      <c r="E649" s="4" t="s">
        <v>79</v>
      </c>
      <c r="F649" s="4" t="s">
        <v>157</v>
      </c>
      <c r="G649" s="5">
        <v>45333</v>
      </c>
      <c r="H649" s="5">
        <v>45360</v>
      </c>
      <c r="I649" s="4">
        <v>27</v>
      </c>
      <c r="J649" s="4" t="s">
        <v>33</v>
      </c>
      <c r="K649" s="4" t="s">
        <v>99</v>
      </c>
      <c r="L649" s="4" t="s">
        <v>100</v>
      </c>
      <c r="M649" s="4" t="s">
        <v>130</v>
      </c>
      <c r="N649" s="4" t="s">
        <v>62</v>
      </c>
      <c r="O649" s="4" t="s">
        <v>168</v>
      </c>
      <c r="P649" s="4">
        <v>476</v>
      </c>
      <c r="Q649" s="4" t="s">
        <v>103</v>
      </c>
      <c r="R649" s="4" t="s">
        <v>111</v>
      </c>
      <c r="S649" s="4">
        <v>186192</v>
      </c>
      <c r="T649" s="4">
        <v>140265</v>
      </c>
      <c r="U649" s="4">
        <v>45927</v>
      </c>
      <c r="V649" s="4">
        <v>149348</v>
      </c>
      <c r="W649" s="4">
        <v>20122</v>
      </c>
      <c r="X649" s="4">
        <v>13953</v>
      </c>
      <c r="Y649" s="4" t="s">
        <v>41</v>
      </c>
      <c r="Z649" s="4">
        <v>57</v>
      </c>
      <c r="AA649" s="4">
        <v>2.2000000000000002</v>
      </c>
      <c r="AB649" s="4" t="s">
        <v>137</v>
      </c>
    </row>
    <row r="650" spans="1:28" x14ac:dyDescent="0.25">
      <c r="A650" s="2" t="s">
        <v>1278</v>
      </c>
      <c r="B650" s="2" t="s">
        <v>790</v>
      </c>
      <c r="C650" s="2">
        <v>81</v>
      </c>
      <c r="D650" s="2" t="s">
        <v>55</v>
      </c>
      <c r="E650" s="2" t="s">
        <v>87</v>
      </c>
      <c r="F650" s="2" t="s">
        <v>114</v>
      </c>
      <c r="G650" s="3">
        <v>45354</v>
      </c>
      <c r="H650" s="3">
        <v>45365</v>
      </c>
      <c r="I650" s="2">
        <v>11</v>
      </c>
      <c r="J650" s="2" t="s">
        <v>33</v>
      </c>
      <c r="K650" s="2" t="s">
        <v>34</v>
      </c>
      <c r="L650" s="2" t="s">
        <v>35</v>
      </c>
      <c r="M650" s="2" t="s">
        <v>143</v>
      </c>
      <c r="N650" s="2" t="s">
        <v>62</v>
      </c>
      <c r="O650" s="2" t="s">
        <v>497</v>
      </c>
      <c r="P650" s="2">
        <v>22</v>
      </c>
      <c r="Q650" s="2" t="s">
        <v>69</v>
      </c>
      <c r="R650" s="2" t="s">
        <v>136</v>
      </c>
      <c r="S650" s="2">
        <v>64109</v>
      </c>
      <c r="T650" s="2">
        <v>0</v>
      </c>
      <c r="U650" s="2">
        <v>64109</v>
      </c>
      <c r="V650" s="2">
        <v>33170</v>
      </c>
      <c r="W650" s="2">
        <v>18972</v>
      </c>
      <c r="X650" s="2">
        <v>9269</v>
      </c>
      <c r="Y650" s="2" t="s">
        <v>91</v>
      </c>
      <c r="Z650" s="2">
        <v>46</v>
      </c>
      <c r="AA650" s="2">
        <v>4.8</v>
      </c>
      <c r="AB650" s="2" t="s">
        <v>137</v>
      </c>
    </row>
    <row r="651" spans="1:28" x14ac:dyDescent="0.25">
      <c r="A651" s="4" t="s">
        <v>1279</v>
      </c>
      <c r="B651" s="4" t="s">
        <v>1280</v>
      </c>
      <c r="C651" s="4">
        <v>77</v>
      </c>
      <c r="D651" s="4" t="s">
        <v>55</v>
      </c>
      <c r="E651" s="4" t="s">
        <v>122</v>
      </c>
      <c r="F651" s="4" t="s">
        <v>157</v>
      </c>
      <c r="G651" s="5">
        <v>45253</v>
      </c>
      <c r="H651" s="5">
        <v>45273</v>
      </c>
      <c r="I651" s="4">
        <v>20</v>
      </c>
      <c r="J651" s="4" t="s">
        <v>140</v>
      </c>
      <c r="K651" s="4" t="s">
        <v>167</v>
      </c>
      <c r="L651" s="4" t="s">
        <v>142</v>
      </c>
      <c r="M651" s="4" t="s">
        <v>108</v>
      </c>
      <c r="N651" s="4" t="s">
        <v>109</v>
      </c>
      <c r="O651" s="4" t="s">
        <v>595</v>
      </c>
      <c r="P651" s="4">
        <v>317</v>
      </c>
      <c r="Q651" s="4" t="s">
        <v>50</v>
      </c>
      <c r="R651" s="4" t="s">
        <v>51</v>
      </c>
      <c r="S651" s="4">
        <v>132345</v>
      </c>
      <c r="T651" s="4">
        <v>53849</v>
      </c>
      <c r="U651" s="4">
        <v>78496</v>
      </c>
      <c r="V651" s="4">
        <v>97681</v>
      </c>
      <c r="W651" s="4">
        <v>28550</v>
      </c>
      <c r="X651" s="4">
        <v>4372</v>
      </c>
      <c r="Y651" s="4" t="s">
        <v>41</v>
      </c>
      <c r="Z651" s="4">
        <v>88</v>
      </c>
      <c r="AA651" s="4">
        <v>2.7</v>
      </c>
      <c r="AB651" s="4" t="s">
        <v>137</v>
      </c>
    </row>
    <row r="652" spans="1:28" x14ac:dyDescent="0.25">
      <c r="A652" s="2" t="s">
        <v>1281</v>
      </c>
      <c r="B652" s="2" t="s">
        <v>960</v>
      </c>
      <c r="C652" s="2">
        <v>83</v>
      </c>
      <c r="D652" s="2" t="s">
        <v>55</v>
      </c>
      <c r="E652" s="2" t="s">
        <v>154</v>
      </c>
      <c r="F652" s="2" t="s">
        <v>157</v>
      </c>
      <c r="G652" s="3">
        <v>45114</v>
      </c>
      <c r="H652" s="3">
        <v>45140</v>
      </c>
      <c r="I652" s="2">
        <v>26</v>
      </c>
      <c r="J652" s="2" t="s">
        <v>33</v>
      </c>
      <c r="K652" s="2" t="s">
        <v>174</v>
      </c>
      <c r="L652" s="2" t="s">
        <v>48</v>
      </c>
      <c r="M652" s="2" t="s">
        <v>36</v>
      </c>
      <c r="N652" s="2" t="s">
        <v>109</v>
      </c>
      <c r="O652" s="2" t="s">
        <v>164</v>
      </c>
      <c r="P652" s="2">
        <v>124</v>
      </c>
      <c r="Q652" s="2" t="s">
        <v>103</v>
      </c>
      <c r="R652" s="2" t="s">
        <v>51</v>
      </c>
      <c r="S652" s="2">
        <v>62007</v>
      </c>
      <c r="T652" s="2">
        <v>26800</v>
      </c>
      <c r="U652" s="2">
        <v>35207</v>
      </c>
      <c r="V652" s="2">
        <v>48422</v>
      </c>
      <c r="W652" s="2">
        <v>6686</v>
      </c>
      <c r="X652" s="2">
        <v>4110</v>
      </c>
      <c r="Y652" s="2" t="s">
        <v>41</v>
      </c>
      <c r="Z652" s="2">
        <v>59</v>
      </c>
      <c r="AA652" s="2">
        <v>3.3</v>
      </c>
      <c r="AB652" s="2" t="s">
        <v>42</v>
      </c>
    </row>
    <row r="653" spans="1:28" x14ac:dyDescent="0.25">
      <c r="A653" s="4" t="s">
        <v>1282</v>
      </c>
      <c r="B653" s="4" t="s">
        <v>1283</v>
      </c>
      <c r="C653" s="4">
        <v>62</v>
      </c>
      <c r="D653" s="4" t="s">
        <v>55</v>
      </c>
      <c r="E653" s="4" t="s">
        <v>31</v>
      </c>
      <c r="F653" s="4" t="s">
        <v>157</v>
      </c>
      <c r="G653" s="5">
        <v>44729</v>
      </c>
      <c r="H653" s="5">
        <v>44743</v>
      </c>
      <c r="I653" s="4">
        <v>14</v>
      </c>
      <c r="J653" s="4" t="s">
        <v>33</v>
      </c>
      <c r="K653" s="4" t="s">
        <v>107</v>
      </c>
      <c r="L653" s="4" t="s">
        <v>48</v>
      </c>
      <c r="M653" s="4" t="s">
        <v>143</v>
      </c>
      <c r="N653" s="4" t="s">
        <v>37</v>
      </c>
      <c r="O653" s="4" t="s">
        <v>1000</v>
      </c>
      <c r="P653" s="4">
        <v>12</v>
      </c>
      <c r="Q653" s="4" t="s">
        <v>50</v>
      </c>
      <c r="R653" s="4" t="s">
        <v>40</v>
      </c>
      <c r="S653" s="4">
        <v>167384</v>
      </c>
      <c r="T653" s="4">
        <v>84142</v>
      </c>
      <c r="U653" s="4">
        <v>83242</v>
      </c>
      <c r="V653" s="4">
        <v>133848</v>
      </c>
      <c r="W653" s="4">
        <v>15308</v>
      </c>
      <c r="X653" s="4">
        <v>13436</v>
      </c>
      <c r="Y653" s="4" t="s">
        <v>91</v>
      </c>
      <c r="Z653" s="4">
        <v>72</v>
      </c>
      <c r="AA653" s="4">
        <v>3.8</v>
      </c>
      <c r="AB653" s="4" t="s">
        <v>137</v>
      </c>
    </row>
    <row r="654" spans="1:28" x14ac:dyDescent="0.25">
      <c r="A654" s="2" t="s">
        <v>1284</v>
      </c>
      <c r="B654" s="2" t="s">
        <v>1285</v>
      </c>
      <c r="C654" s="2">
        <v>52</v>
      </c>
      <c r="D654" s="2" t="s">
        <v>55</v>
      </c>
      <c r="E654" s="2" t="s">
        <v>56</v>
      </c>
      <c r="F654" s="2" t="s">
        <v>72</v>
      </c>
      <c r="G654" s="3">
        <v>45335</v>
      </c>
      <c r="H654" s="3">
        <v>45341</v>
      </c>
      <c r="I654" s="2">
        <v>6</v>
      </c>
      <c r="J654" s="2" t="s">
        <v>115</v>
      </c>
      <c r="K654" s="2" t="s">
        <v>116</v>
      </c>
      <c r="L654" s="2" t="s">
        <v>117</v>
      </c>
      <c r="M654" s="2" t="s">
        <v>61</v>
      </c>
      <c r="N654" s="2" t="s">
        <v>118</v>
      </c>
      <c r="O654" s="2" t="s">
        <v>68</v>
      </c>
      <c r="P654" s="2">
        <v>141</v>
      </c>
      <c r="Q654" s="2" t="s">
        <v>39</v>
      </c>
      <c r="R654" s="2" t="s">
        <v>136</v>
      </c>
      <c r="S654" s="2">
        <v>93644</v>
      </c>
      <c r="T654" s="2">
        <v>0</v>
      </c>
      <c r="U654" s="2">
        <v>93644</v>
      </c>
      <c r="V654" s="2">
        <v>65527</v>
      </c>
      <c r="W654" s="2">
        <v>13433</v>
      </c>
      <c r="X654" s="2">
        <v>10337</v>
      </c>
      <c r="Y654" s="2" t="s">
        <v>41</v>
      </c>
      <c r="Z654" s="2">
        <v>83</v>
      </c>
      <c r="AA654" s="2">
        <v>4.8</v>
      </c>
      <c r="AB654" s="2" t="s">
        <v>64</v>
      </c>
    </row>
    <row r="655" spans="1:28" x14ac:dyDescent="0.25">
      <c r="A655" s="4" t="s">
        <v>1286</v>
      </c>
      <c r="B655" s="4" t="s">
        <v>229</v>
      </c>
      <c r="C655" s="4">
        <v>62</v>
      </c>
      <c r="D655" s="4" t="s">
        <v>55</v>
      </c>
      <c r="E655" s="4" t="s">
        <v>67</v>
      </c>
      <c r="F655" s="4" t="s">
        <v>72</v>
      </c>
      <c r="G655" s="5">
        <v>45268</v>
      </c>
      <c r="H655" s="5">
        <v>45280</v>
      </c>
      <c r="I655" s="4">
        <v>12</v>
      </c>
      <c r="J655" s="4" t="s">
        <v>115</v>
      </c>
      <c r="K655" s="4" t="s">
        <v>116</v>
      </c>
      <c r="L655" s="4" t="s">
        <v>117</v>
      </c>
      <c r="M655" s="4" t="s">
        <v>83</v>
      </c>
      <c r="N655" s="4" t="s">
        <v>37</v>
      </c>
      <c r="O655" s="4" t="s">
        <v>352</v>
      </c>
      <c r="P655" s="4">
        <v>46</v>
      </c>
      <c r="Q655" s="4" t="s">
        <v>103</v>
      </c>
      <c r="R655" s="4" t="s">
        <v>136</v>
      </c>
      <c r="S655" s="4">
        <v>113187</v>
      </c>
      <c r="T655" s="4">
        <v>0</v>
      </c>
      <c r="U655" s="4">
        <v>113187</v>
      </c>
      <c r="V655" s="4">
        <v>96286</v>
      </c>
      <c r="W655" s="4">
        <v>8489</v>
      </c>
      <c r="X655" s="4">
        <v>4909</v>
      </c>
      <c r="Y655" s="4" t="s">
        <v>41</v>
      </c>
      <c r="Z655" s="4">
        <v>56</v>
      </c>
      <c r="AA655" s="4">
        <v>3.4</v>
      </c>
      <c r="AB655" s="4" t="s">
        <v>64</v>
      </c>
    </row>
    <row r="656" spans="1:28" x14ac:dyDescent="0.25">
      <c r="A656" s="2" t="s">
        <v>1287</v>
      </c>
      <c r="B656" s="2" t="s">
        <v>1179</v>
      </c>
      <c r="C656" s="2">
        <v>71</v>
      </c>
      <c r="D656" s="2" t="s">
        <v>55</v>
      </c>
      <c r="E656" s="2" t="s">
        <v>122</v>
      </c>
      <c r="F656" s="2" t="s">
        <v>114</v>
      </c>
      <c r="G656" s="3">
        <v>45308</v>
      </c>
      <c r="H656" s="3">
        <v>45310</v>
      </c>
      <c r="I656" s="2">
        <v>2</v>
      </c>
      <c r="J656" s="2" t="s">
        <v>73</v>
      </c>
      <c r="K656" s="2" t="s">
        <v>74</v>
      </c>
      <c r="L656" s="2" t="s">
        <v>73</v>
      </c>
      <c r="M656" s="2" t="s">
        <v>143</v>
      </c>
      <c r="N656" s="2" t="s">
        <v>62</v>
      </c>
      <c r="O656" s="2" t="s">
        <v>259</v>
      </c>
      <c r="P656" s="2">
        <v>26</v>
      </c>
      <c r="Q656" s="2" t="s">
        <v>50</v>
      </c>
      <c r="R656" s="2" t="s">
        <v>90</v>
      </c>
      <c r="S656" s="2">
        <v>161695</v>
      </c>
      <c r="T656" s="2">
        <v>111237</v>
      </c>
      <c r="U656" s="2">
        <v>50458</v>
      </c>
      <c r="V656" s="2">
        <v>142692</v>
      </c>
      <c r="W656" s="2">
        <v>9360</v>
      </c>
      <c r="X656" s="2">
        <v>7923</v>
      </c>
      <c r="Y656" s="2" t="s">
        <v>41</v>
      </c>
      <c r="Z656" s="2">
        <v>57</v>
      </c>
      <c r="AA656" s="2">
        <v>4.5999999999999996</v>
      </c>
      <c r="AB656" s="2" t="s">
        <v>64</v>
      </c>
    </row>
    <row r="657" spans="1:28" x14ac:dyDescent="0.25">
      <c r="A657" s="4" t="s">
        <v>1288</v>
      </c>
      <c r="B657" s="4" t="s">
        <v>1204</v>
      </c>
      <c r="C657" s="4">
        <v>44</v>
      </c>
      <c r="D657" s="4" t="s">
        <v>55</v>
      </c>
      <c r="E657" s="4" t="s">
        <v>56</v>
      </c>
      <c r="F657" s="4" t="s">
        <v>32</v>
      </c>
      <c r="G657" s="5">
        <v>44750</v>
      </c>
      <c r="H657" s="5">
        <v>44770</v>
      </c>
      <c r="I657" s="4">
        <v>20</v>
      </c>
      <c r="J657" s="4" t="s">
        <v>33</v>
      </c>
      <c r="K657" s="4" t="s">
        <v>197</v>
      </c>
      <c r="L657" s="4" t="s">
        <v>198</v>
      </c>
      <c r="M657" s="4" t="s">
        <v>143</v>
      </c>
      <c r="N657" s="4" t="s">
        <v>118</v>
      </c>
      <c r="O657" s="4" t="s">
        <v>96</v>
      </c>
      <c r="P657" s="4">
        <v>483</v>
      </c>
      <c r="Q657" s="4" t="s">
        <v>103</v>
      </c>
      <c r="R657" s="4" t="s">
        <v>40</v>
      </c>
      <c r="S657" s="4">
        <v>84326</v>
      </c>
      <c r="T657" s="4">
        <v>48976</v>
      </c>
      <c r="U657" s="4">
        <v>35350</v>
      </c>
      <c r="V657" s="4">
        <v>66930</v>
      </c>
      <c r="W657" s="4">
        <v>1563</v>
      </c>
      <c r="X657" s="4">
        <v>13733</v>
      </c>
      <c r="Y657" s="4" t="s">
        <v>91</v>
      </c>
      <c r="Z657" s="4">
        <v>89</v>
      </c>
      <c r="AA657" s="4">
        <v>2.2999999999999998</v>
      </c>
      <c r="AB657" s="4" t="s">
        <v>64</v>
      </c>
    </row>
    <row r="658" spans="1:28" x14ac:dyDescent="0.25">
      <c r="A658" s="2" t="s">
        <v>1289</v>
      </c>
      <c r="B658" s="2" t="s">
        <v>940</v>
      </c>
      <c r="C658" s="2">
        <v>64</v>
      </c>
      <c r="D658" s="2" t="s">
        <v>30</v>
      </c>
      <c r="E658" s="2" t="s">
        <v>154</v>
      </c>
      <c r="F658" s="2" t="s">
        <v>129</v>
      </c>
      <c r="G658" s="3">
        <v>45654</v>
      </c>
      <c r="H658" s="3">
        <v>45657</v>
      </c>
      <c r="I658" s="2">
        <v>3</v>
      </c>
      <c r="J658" s="2" t="s">
        <v>123</v>
      </c>
      <c r="K658" s="2" t="s">
        <v>124</v>
      </c>
      <c r="L658" s="2" t="s">
        <v>125</v>
      </c>
      <c r="M658" s="2" t="s">
        <v>130</v>
      </c>
      <c r="N658" s="2" t="s">
        <v>118</v>
      </c>
      <c r="O658" s="2" t="s">
        <v>181</v>
      </c>
      <c r="P658" s="2">
        <v>263</v>
      </c>
      <c r="Q658" s="2" t="s">
        <v>69</v>
      </c>
      <c r="R658" s="2" t="s">
        <v>51</v>
      </c>
      <c r="S658" s="2">
        <v>148673</v>
      </c>
      <c r="T658" s="2">
        <v>66918</v>
      </c>
      <c r="U658" s="2">
        <v>81755</v>
      </c>
      <c r="V658" s="2">
        <v>137254</v>
      </c>
      <c r="W658" s="2">
        <v>2862</v>
      </c>
      <c r="X658" s="2">
        <v>6952</v>
      </c>
      <c r="Y658" s="2" t="s">
        <v>41</v>
      </c>
      <c r="Z658" s="2">
        <v>94</v>
      </c>
      <c r="AA658" s="2">
        <v>2.4</v>
      </c>
      <c r="AB658" s="2" t="s">
        <v>42</v>
      </c>
    </row>
    <row r="659" spans="1:28" x14ac:dyDescent="0.25">
      <c r="A659" s="4" t="s">
        <v>1290</v>
      </c>
      <c r="B659" s="4" t="s">
        <v>1291</v>
      </c>
      <c r="C659" s="4">
        <v>78</v>
      </c>
      <c r="D659" s="4" t="s">
        <v>30</v>
      </c>
      <c r="E659" s="4" t="s">
        <v>87</v>
      </c>
      <c r="F659" s="4" t="s">
        <v>32</v>
      </c>
      <c r="G659" s="5">
        <v>45493</v>
      </c>
      <c r="H659" s="5">
        <v>45499</v>
      </c>
      <c r="I659" s="4">
        <v>6</v>
      </c>
      <c r="J659" s="4" t="s">
        <v>33</v>
      </c>
      <c r="K659" s="4" t="s">
        <v>34</v>
      </c>
      <c r="L659" s="4" t="s">
        <v>35</v>
      </c>
      <c r="M659" s="4" t="s">
        <v>143</v>
      </c>
      <c r="N659" s="4" t="s">
        <v>62</v>
      </c>
      <c r="O659" s="4" t="s">
        <v>230</v>
      </c>
      <c r="P659" s="4">
        <v>70</v>
      </c>
      <c r="Q659" s="4" t="s">
        <v>69</v>
      </c>
      <c r="R659" s="4" t="s">
        <v>136</v>
      </c>
      <c r="S659" s="4">
        <v>162219</v>
      </c>
      <c r="T659" s="4">
        <v>0</v>
      </c>
      <c r="U659" s="4">
        <v>162219</v>
      </c>
      <c r="V659" s="4">
        <v>125788</v>
      </c>
      <c r="W659" s="4">
        <v>18330</v>
      </c>
      <c r="X659" s="4">
        <v>13588</v>
      </c>
      <c r="Y659" s="4" t="s">
        <v>41</v>
      </c>
      <c r="Z659" s="4">
        <v>65</v>
      </c>
      <c r="AA659" s="4">
        <v>3.7</v>
      </c>
      <c r="AB659" s="4" t="s">
        <v>137</v>
      </c>
    </row>
    <row r="660" spans="1:28" x14ac:dyDescent="0.25">
      <c r="A660" s="2" t="s">
        <v>1292</v>
      </c>
      <c r="B660" s="2" t="s">
        <v>325</v>
      </c>
      <c r="C660" s="2">
        <v>64</v>
      </c>
      <c r="D660" s="2" t="s">
        <v>30</v>
      </c>
      <c r="E660" s="2" t="s">
        <v>67</v>
      </c>
      <c r="F660" s="2" t="s">
        <v>46</v>
      </c>
      <c r="G660" s="3">
        <v>45634</v>
      </c>
      <c r="H660" s="3">
        <v>45657</v>
      </c>
      <c r="I660" s="2">
        <v>23</v>
      </c>
      <c r="J660" s="2" t="s">
        <v>33</v>
      </c>
      <c r="K660" s="2" t="s">
        <v>81</v>
      </c>
      <c r="L660" s="2" t="s">
        <v>82</v>
      </c>
      <c r="M660" s="2" t="s">
        <v>75</v>
      </c>
      <c r="N660" s="2" t="s">
        <v>37</v>
      </c>
      <c r="O660" s="2" t="s">
        <v>548</v>
      </c>
      <c r="P660" s="2">
        <v>106</v>
      </c>
      <c r="Q660" s="2" t="s">
        <v>69</v>
      </c>
      <c r="R660" s="2" t="s">
        <v>51</v>
      </c>
      <c r="S660" s="2">
        <v>136761</v>
      </c>
      <c r="T660" s="2">
        <v>79502</v>
      </c>
      <c r="U660" s="2">
        <v>57259</v>
      </c>
      <c r="V660" s="2">
        <v>101338</v>
      </c>
      <c r="W660" s="2">
        <v>28588</v>
      </c>
      <c r="X660" s="2">
        <v>5389</v>
      </c>
      <c r="Y660" s="2" t="s">
        <v>41</v>
      </c>
      <c r="Z660" s="2">
        <v>64</v>
      </c>
      <c r="AA660" s="2">
        <v>2.9</v>
      </c>
      <c r="AB660" s="2" t="s">
        <v>104</v>
      </c>
    </row>
    <row r="661" spans="1:28" x14ac:dyDescent="0.25">
      <c r="A661" s="4" t="s">
        <v>1293</v>
      </c>
      <c r="B661" s="4" t="s">
        <v>547</v>
      </c>
      <c r="C661" s="4">
        <v>30</v>
      </c>
      <c r="D661" s="4" t="s">
        <v>55</v>
      </c>
      <c r="E661" s="4" t="s">
        <v>31</v>
      </c>
      <c r="F661" s="4" t="s">
        <v>114</v>
      </c>
      <c r="G661" s="5">
        <v>44863</v>
      </c>
      <c r="H661" s="5">
        <v>44878</v>
      </c>
      <c r="I661" s="4">
        <v>15</v>
      </c>
      <c r="J661" s="4" t="s">
        <v>33</v>
      </c>
      <c r="K661" s="4" t="s">
        <v>278</v>
      </c>
      <c r="L661" s="4" t="s">
        <v>279</v>
      </c>
      <c r="M661" s="4" t="s">
        <v>134</v>
      </c>
      <c r="N661" s="4" t="s">
        <v>37</v>
      </c>
      <c r="O661" s="4" t="s">
        <v>678</v>
      </c>
      <c r="P661" s="4">
        <v>9</v>
      </c>
      <c r="Q661" s="4" t="s">
        <v>39</v>
      </c>
      <c r="R661" s="4" t="s">
        <v>111</v>
      </c>
      <c r="S661" s="4">
        <v>99612</v>
      </c>
      <c r="T661" s="4">
        <v>81071</v>
      </c>
      <c r="U661" s="4">
        <v>18541</v>
      </c>
      <c r="V661" s="4">
        <v>71301</v>
      </c>
      <c r="W661" s="4">
        <v>16950</v>
      </c>
      <c r="X661" s="4">
        <v>7041</v>
      </c>
      <c r="Y661" s="4" t="s">
        <v>41</v>
      </c>
      <c r="Z661" s="4">
        <v>53</v>
      </c>
      <c r="AA661" s="4">
        <v>3.4</v>
      </c>
      <c r="AB661" s="4" t="s">
        <v>137</v>
      </c>
    </row>
    <row r="662" spans="1:28" x14ac:dyDescent="0.25">
      <c r="A662" s="2" t="s">
        <v>1294</v>
      </c>
      <c r="B662" s="2" t="s">
        <v>1295</v>
      </c>
      <c r="C662" s="2">
        <v>23</v>
      </c>
      <c r="D662" s="2" t="s">
        <v>55</v>
      </c>
      <c r="E662" s="2" t="s">
        <v>79</v>
      </c>
      <c r="F662" s="2" t="s">
        <v>80</v>
      </c>
      <c r="G662" s="3">
        <v>44670</v>
      </c>
      <c r="H662" s="3">
        <v>44682</v>
      </c>
      <c r="I662" s="2">
        <v>12</v>
      </c>
      <c r="J662" s="2" t="s">
        <v>33</v>
      </c>
      <c r="K662" s="2" t="s">
        <v>107</v>
      </c>
      <c r="L662" s="2" t="s">
        <v>48</v>
      </c>
      <c r="M662" s="2" t="s">
        <v>108</v>
      </c>
      <c r="N662" s="2" t="s">
        <v>62</v>
      </c>
      <c r="O662" s="2" t="s">
        <v>326</v>
      </c>
      <c r="P662" s="2">
        <v>182</v>
      </c>
      <c r="Q662" s="2" t="s">
        <v>103</v>
      </c>
      <c r="R662" s="2" t="s">
        <v>90</v>
      </c>
      <c r="S662" s="2">
        <v>143397</v>
      </c>
      <c r="T662" s="2">
        <v>94362</v>
      </c>
      <c r="U662" s="2">
        <v>49035</v>
      </c>
      <c r="V662" s="2">
        <v>130687</v>
      </c>
      <c r="W662" s="2">
        <v>3220</v>
      </c>
      <c r="X662" s="2">
        <v>6275</v>
      </c>
      <c r="Y662" s="2" t="s">
        <v>41</v>
      </c>
      <c r="Z662" s="2">
        <v>50</v>
      </c>
      <c r="AA662" s="2">
        <v>2</v>
      </c>
      <c r="AB662" s="2" t="s">
        <v>104</v>
      </c>
    </row>
    <row r="663" spans="1:28" x14ac:dyDescent="0.25">
      <c r="A663" s="4" t="s">
        <v>1296</v>
      </c>
      <c r="B663" s="4" t="s">
        <v>1243</v>
      </c>
      <c r="C663" s="4">
        <v>39</v>
      </c>
      <c r="D663" s="4" t="s">
        <v>55</v>
      </c>
      <c r="E663" s="4" t="s">
        <v>122</v>
      </c>
      <c r="F663" s="4" t="s">
        <v>94</v>
      </c>
      <c r="G663" s="5">
        <v>45009</v>
      </c>
      <c r="H663" s="5">
        <v>45030</v>
      </c>
      <c r="I663" s="4">
        <v>21</v>
      </c>
      <c r="J663" s="4" t="s">
        <v>202</v>
      </c>
      <c r="K663" s="4" t="s">
        <v>225</v>
      </c>
      <c r="L663" s="4" t="s">
        <v>226</v>
      </c>
      <c r="M663" s="4" t="s">
        <v>130</v>
      </c>
      <c r="N663" s="4" t="s">
        <v>37</v>
      </c>
      <c r="O663" s="4" t="s">
        <v>390</v>
      </c>
      <c r="P663" s="4">
        <v>409</v>
      </c>
      <c r="Q663" s="4" t="s">
        <v>103</v>
      </c>
      <c r="R663" s="4" t="s">
        <v>136</v>
      </c>
      <c r="S663" s="4">
        <v>108382</v>
      </c>
      <c r="T663" s="4">
        <v>0</v>
      </c>
      <c r="U663" s="4">
        <v>108382</v>
      </c>
      <c r="V663" s="4">
        <v>90601</v>
      </c>
      <c r="W663" s="4">
        <v>10336</v>
      </c>
      <c r="X663" s="4">
        <v>6528</v>
      </c>
      <c r="Y663" s="4" t="s">
        <v>41</v>
      </c>
      <c r="Z663" s="4">
        <v>77</v>
      </c>
      <c r="AA663" s="4">
        <v>2.4</v>
      </c>
      <c r="AB663" s="4" t="s">
        <v>137</v>
      </c>
    </row>
    <row r="664" spans="1:28" x14ac:dyDescent="0.25">
      <c r="A664" s="2" t="s">
        <v>1297</v>
      </c>
      <c r="B664" s="2" t="s">
        <v>275</v>
      </c>
      <c r="C664" s="2">
        <v>60</v>
      </c>
      <c r="D664" s="2" t="s">
        <v>55</v>
      </c>
      <c r="E664" s="2" t="s">
        <v>56</v>
      </c>
      <c r="F664" s="2" t="s">
        <v>129</v>
      </c>
      <c r="G664" s="3">
        <v>45335</v>
      </c>
      <c r="H664" s="3">
        <v>45346</v>
      </c>
      <c r="I664" s="2">
        <v>11</v>
      </c>
      <c r="J664" s="2" t="s">
        <v>33</v>
      </c>
      <c r="K664" s="2" t="s">
        <v>107</v>
      </c>
      <c r="L664" s="2" t="s">
        <v>48</v>
      </c>
      <c r="M664" s="2" t="s">
        <v>143</v>
      </c>
      <c r="N664" s="2" t="s">
        <v>109</v>
      </c>
      <c r="O664" s="2" t="s">
        <v>365</v>
      </c>
      <c r="P664" s="2">
        <v>316</v>
      </c>
      <c r="Q664" s="2" t="s">
        <v>103</v>
      </c>
      <c r="R664" s="2" t="s">
        <v>136</v>
      </c>
      <c r="S664" s="2">
        <v>118651</v>
      </c>
      <c r="T664" s="2">
        <v>0</v>
      </c>
      <c r="U664" s="2">
        <v>118651</v>
      </c>
      <c r="V664" s="2">
        <v>108389</v>
      </c>
      <c r="W664" s="2">
        <v>8216</v>
      </c>
      <c r="X664" s="2">
        <v>1186</v>
      </c>
      <c r="Y664" s="2" t="s">
        <v>41</v>
      </c>
      <c r="Z664" s="2">
        <v>48</v>
      </c>
      <c r="AA664" s="2">
        <v>2.6</v>
      </c>
      <c r="AB664" s="2" t="s">
        <v>42</v>
      </c>
    </row>
    <row r="665" spans="1:28" x14ac:dyDescent="0.25">
      <c r="A665" s="4" t="s">
        <v>1298</v>
      </c>
      <c r="B665" s="4" t="s">
        <v>1107</v>
      </c>
      <c r="C665" s="4">
        <v>24</v>
      </c>
      <c r="D665" s="4" t="s">
        <v>30</v>
      </c>
      <c r="E665" s="4" t="s">
        <v>79</v>
      </c>
      <c r="F665" s="4" t="s">
        <v>32</v>
      </c>
      <c r="G665" s="5">
        <v>44563</v>
      </c>
      <c r="H665" s="5">
        <v>44566</v>
      </c>
      <c r="I665" s="4">
        <v>3</v>
      </c>
      <c r="J665" s="4" t="s">
        <v>123</v>
      </c>
      <c r="K665" s="4" t="s">
        <v>124</v>
      </c>
      <c r="L665" s="4" t="s">
        <v>125</v>
      </c>
      <c r="M665" s="4" t="s">
        <v>134</v>
      </c>
      <c r="N665" s="4" t="s">
        <v>37</v>
      </c>
      <c r="O665" s="4" t="s">
        <v>199</v>
      </c>
      <c r="P665" s="4">
        <v>240</v>
      </c>
      <c r="Q665" s="4" t="s">
        <v>39</v>
      </c>
      <c r="R665" s="4" t="s">
        <v>111</v>
      </c>
      <c r="S665" s="4">
        <v>54298</v>
      </c>
      <c r="T665" s="4">
        <v>45801</v>
      </c>
      <c r="U665" s="4">
        <v>8497</v>
      </c>
      <c r="V665" s="4">
        <v>34946</v>
      </c>
      <c r="W665" s="4">
        <v>3620</v>
      </c>
      <c r="X665" s="4">
        <v>11467</v>
      </c>
      <c r="Y665" s="4" t="s">
        <v>41</v>
      </c>
      <c r="Z665" s="4">
        <v>86</v>
      </c>
      <c r="AA665" s="4">
        <v>4.9000000000000004</v>
      </c>
      <c r="AB665" s="4" t="s">
        <v>137</v>
      </c>
    </row>
    <row r="666" spans="1:28" x14ac:dyDescent="0.25">
      <c r="A666" s="2" t="s">
        <v>1299</v>
      </c>
      <c r="B666" s="2" t="s">
        <v>1300</v>
      </c>
      <c r="C666" s="2">
        <v>76</v>
      </c>
      <c r="D666" s="2" t="s">
        <v>30</v>
      </c>
      <c r="E666" s="2" t="s">
        <v>45</v>
      </c>
      <c r="F666" s="2" t="s">
        <v>94</v>
      </c>
      <c r="G666" s="3">
        <v>44880</v>
      </c>
      <c r="H666" s="3">
        <v>44902</v>
      </c>
      <c r="I666" s="2">
        <v>22</v>
      </c>
      <c r="J666" s="2" t="s">
        <v>33</v>
      </c>
      <c r="K666" s="2" t="s">
        <v>278</v>
      </c>
      <c r="L666" s="2" t="s">
        <v>279</v>
      </c>
      <c r="M666" s="2" t="s">
        <v>134</v>
      </c>
      <c r="N666" s="2" t="s">
        <v>109</v>
      </c>
      <c r="O666" s="2" t="s">
        <v>151</v>
      </c>
      <c r="P666" s="2">
        <v>223</v>
      </c>
      <c r="Q666" s="2" t="s">
        <v>103</v>
      </c>
      <c r="R666" s="2" t="s">
        <v>136</v>
      </c>
      <c r="S666" s="2">
        <v>118706</v>
      </c>
      <c r="T666" s="2">
        <v>0</v>
      </c>
      <c r="U666" s="2">
        <v>118706</v>
      </c>
      <c r="V666" s="2">
        <v>91023</v>
      </c>
      <c r="W666" s="2">
        <v>17673</v>
      </c>
      <c r="X666" s="2">
        <v>5424</v>
      </c>
      <c r="Y666" s="2" t="s">
        <v>41</v>
      </c>
      <c r="Z666" s="2">
        <v>65</v>
      </c>
      <c r="AA666" s="2">
        <v>2.2000000000000002</v>
      </c>
      <c r="AB666" s="2" t="s">
        <v>42</v>
      </c>
    </row>
    <row r="667" spans="1:28" x14ac:dyDescent="0.25">
      <c r="A667" s="4" t="s">
        <v>1301</v>
      </c>
      <c r="B667" s="4" t="s">
        <v>491</v>
      </c>
      <c r="C667" s="4">
        <v>18</v>
      </c>
      <c r="D667" s="4" t="s">
        <v>55</v>
      </c>
      <c r="E667" s="4" t="s">
        <v>31</v>
      </c>
      <c r="F667" s="4" t="s">
        <v>32</v>
      </c>
      <c r="G667" s="5">
        <v>45071</v>
      </c>
      <c r="H667" s="5">
        <v>45086</v>
      </c>
      <c r="I667" s="4">
        <v>15</v>
      </c>
      <c r="J667" s="4" t="s">
        <v>140</v>
      </c>
      <c r="K667" s="4" t="s">
        <v>141</v>
      </c>
      <c r="L667" s="4" t="s">
        <v>142</v>
      </c>
      <c r="M667" s="4" t="s">
        <v>75</v>
      </c>
      <c r="N667" s="4" t="s">
        <v>118</v>
      </c>
      <c r="O667" s="4" t="s">
        <v>171</v>
      </c>
      <c r="P667" s="4">
        <v>215</v>
      </c>
      <c r="Q667" s="4" t="s">
        <v>50</v>
      </c>
      <c r="R667" s="4" t="s">
        <v>136</v>
      </c>
      <c r="S667" s="4">
        <v>42815</v>
      </c>
      <c r="T667" s="4">
        <v>0</v>
      </c>
      <c r="U667" s="4">
        <v>42815</v>
      </c>
      <c r="V667" s="4">
        <v>26267</v>
      </c>
      <c r="W667" s="4">
        <v>8946</v>
      </c>
      <c r="X667" s="4">
        <v>3161</v>
      </c>
      <c r="Y667" s="4" t="s">
        <v>41</v>
      </c>
      <c r="Z667" s="4">
        <v>82</v>
      </c>
      <c r="AA667" s="4">
        <v>2.2000000000000002</v>
      </c>
      <c r="AB667" s="4" t="s">
        <v>52</v>
      </c>
    </row>
    <row r="668" spans="1:28" x14ac:dyDescent="0.25">
      <c r="A668" s="2" t="s">
        <v>1302</v>
      </c>
      <c r="B668" s="2" t="s">
        <v>659</v>
      </c>
      <c r="C668" s="2">
        <v>60</v>
      </c>
      <c r="D668" s="2" t="s">
        <v>30</v>
      </c>
      <c r="E668" s="2" t="s">
        <v>67</v>
      </c>
      <c r="F668" s="2" t="s">
        <v>129</v>
      </c>
      <c r="G668" s="3">
        <v>45410</v>
      </c>
      <c r="H668" s="3">
        <v>45426</v>
      </c>
      <c r="I668" s="2">
        <v>16</v>
      </c>
      <c r="J668" s="2" t="s">
        <v>123</v>
      </c>
      <c r="K668" s="2" t="s">
        <v>251</v>
      </c>
      <c r="L668" s="2" t="s">
        <v>125</v>
      </c>
      <c r="M668" s="2" t="s">
        <v>95</v>
      </c>
      <c r="N668" s="2" t="s">
        <v>62</v>
      </c>
      <c r="O668" s="2" t="s">
        <v>543</v>
      </c>
      <c r="P668" s="2">
        <v>250</v>
      </c>
      <c r="Q668" s="2" t="s">
        <v>103</v>
      </c>
      <c r="R668" s="2" t="s">
        <v>111</v>
      </c>
      <c r="S668" s="2">
        <v>85359</v>
      </c>
      <c r="T668" s="2">
        <v>58551</v>
      </c>
      <c r="U668" s="2">
        <v>26808</v>
      </c>
      <c r="V668" s="2">
        <v>61106</v>
      </c>
      <c r="W668" s="2">
        <v>14281</v>
      </c>
      <c r="X668" s="2">
        <v>7546</v>
      </c>
      <c r="Y668" s="2" t="s">
        <v>41</v>
      </c>
      <c r="Z668" s="2">
        <v>50</v>
      </c>
      <c r="AA668" s="2">
        <v>3</v>
      </c>
      <c r="AB668" s="2" t="s">
        <v>42</v>
      </c>
    </row>
    <row r="669" spans="1:28" x14ac:dyDescent="0.25">
      <c r="A669" s="4" t="s">
        <v>1303</v>
      </c>
      <c r="B669" s="4" t="s">
        <v>764</v>
      </c>
      <c r="C669" s="4">
        <v>53</v>
      </c>
      <c r="D669" s="4" t="s">
        <v>55</v>
      </c>
      <c r="E669" s="4" t="s">
        <v>56</v>
      </c>
      <c r="F669" s="4" t="s">
        <v>157</v>
      </c>
      <c r="G669" s="5">
        <v>44730</v>
      </c>
      <c r="H669" s="5">
        <v>44756</v>
      </c>
      <c r="I669" s="4">
        <v>26</v>
      </c>
      <c r="J669" s="4" t="s">
        <v>123</v>
      </c>
      <c r="K669" s="4" t="s">
        <v>251</v>
      </c>
      <c r="L669" s="4" t="s">
        <v>125</v>
      </c>
      <c r="M669" s="4" t="s">
        <v>75</v>
      </c>
      <c r="N669" s="4" t="s">
        <v>37</v>
      </c>
      <c r="O669" s="4" t="s">
        <v>227</v>
      </c>
      <c r="P669" s="4">
        <v>479</v>
      </c>
      <c r="Q669" s="4" t="s">
        <v>39</v>
      </c>
      <c r="R669" s="4" t="s">
        <v>90</v>
      </c>
      <c r="S669" s="4">
        <v>26163</v>
      </c>
      <c r="T669" s="4">
        <v>16745</v>
      </c>
      <c r="U669" s="4">
        <v>9418</v>
      </c>
      <c r="V669" s="4">
        <v>5547</v>
      </c>
      <c r="W669" s="4">
        <v>16440</v>
      </c>
      <c r="X669" s="4">
        <v>3409</v>
      </c>
      <c r="Y669" s="4" t="s">
        <v>41</v>
      </c>
      <c r="Z669" s="4">
        <v>63</v>
      </c>
      <c r="AA669" s="4">
        <v>4</v>
      </c>
      <c r="AB669" s="4" t="s">
        <v>52</v>
      </c>
    </row>
    <row r="670" spans="1:28" x14ac:dyDescent="0.25">
      <c r="A670" s="2" t="s">
        <v>1304</v>
      </c>
      <c r="B670" s="2" t="s">
        <v>1109</v>
      </c>
      <c r="C670" s="2">
        <v>16</v>
      </c>
      <c r="D670" s="2" t="s">
        <v>55</v>
      </c>
      <c r="E670" s="2" t="s">
        <v>154</v>
      </c>
      <c r="F670" s="2" t="s">
        <v>46</v>
      </c>
      <c r="G670" s="3">
        <v>45238</v>
      </c>
      <c r="H670" s="3">
        <v>45242</v>
      </c>
      <c r="I670" s="2">
        <v>4</v>
      </c>
      <c r="J670" s="2" t="s">
        <v>33</v>
      </c>
      <c r="K670" s="2" t="s">
        <v>197</v>
      </c>
      <c r="L670" s="2" t="s">
        <v>198</v>
      </c>
      <c r="M670" s="2" t="s">
        <v>36</v>
      </c>
      <c r="N670" s="2" t="s">
        <v>62</v>
      </c>
      <c r="O670" s="2" t="s">
        <v>464</v>
      </c>
      <c r="P670" s="2">
        <v>421</v>
      </c>
      <c r="Q670" s="2" t="s">
        <v>39</v>
      </c>
      <c r="R670" s="2" t="s">
        <v>40</v>
      </c>
      <c r="S670" s="2">
        <v>145383</v>
      </c>
      <c r="T670" s="2">
        <v>69813</v>
      </c>
      <c r="U670" s="2">
        <v>75570</v>
      </c>
      <c r="V670" s="2">
        <v>107462</v>
      </c>
      <c r="W670" s="2">
        <v>28007</v>
      </c>
      <c r="X670" s="2">
        <v>8534</v>
      </c>
      <c r="Y670" s="2" t="s">
        <v>41</v>
      </c>
      <c r="Z670" s="2">
        <v>93</v>
      </c>
      <c r="AA670" s="2">
        <v>3.6</v>
      </c>
      <c r="AB670" s="2" t="s">
        <v>42</v>
      </c>
    </row>
    <row r="671" spans="1:28" x14ac:dyDescent="0.25">
      <c r="A671" s="4" t="s">
        <v>1305</v>
      </c>
      <c r="B671" s="4" t="s">
        <v>1046</v>
      </c>
      <c r="C671" s="4">
        <v>13</v>
      </c>
      <c r="D671" s="4" t="s">
        <v>30</v>
      </c>
      <c r="E671" s="4" t="s">
        <v>79</v>
      </c>
      <c r="F671" s="4" t="s">
        <v>129</v>
      </c>
      <c r="G671" s="5">
        <v>45616</v>
      </c>
      <c r="H671" s="5">
        <v>45620</v>
      </c>
      <c r="I671" s="4">
        <v>4</v>
      </c>
      <c r="J671" s="4" t="s">
        <v>33</v>
      </c>
      <c r="K671" s="4" t="s">
        <v>174</v>
      </c>
      <c r="L671" s="4" t="s">
        <v>48</v>
      </c>
      <c r="M671" s="4" t="s">
        <v>61</v>
      </c>
      <c r="N671" s="4" t="s">
        <v>118</v>
      </c>
      <c r="O671" s="4" t="s">
        <v>184</v>
      </c>
      <c r="P671" s="4">
        <v>437</v>
      </c>
      <c r="Q671" s="4" t="s">
        <v>50</v>
      </c>
      <c r="R671" s="4" t="s">
        <v>40</v>
      </c>
      <c r="S671" s="4">
        <v>167806</v>
      </c>
      <c r="T671" s="4">
        <v>115033</v>
      </c>
      <c r="U671" s="4">
        <v>52773</v>
      </c>
      <c r="V671" s="4">
        <v>128905</v>
      </c>
      <c r="W671" s="4">
        <v>27550</v>
      </c>
      <c r="X671" s="4">
        <v>7913</v>
      </c>
      <c r="Y671" s="4" t="s">
        <v>41</v>
      </c>
      <c r="Z671" s="4">
        <v>81</v>
      </c>
      <c r="AA671" s="4">
        <v>4.0999999999999996</v>
      </c>
      <c r="AB671" s="4" t="s">
        <v>137</v>
      </c>
    </row>
    <row r="672" spans="1:28" x14ac:dyDescent="0.25">
      <c r="A672" s="2" t="s">
        <v>1306</v>
      </c>
      <c r="B672" s="2" t="s">
        <v>1307</v>
      </c>
      <c r="C672" s="2">
        <v>44</v>
      </c>
      <c r="D672" s="2" t="s">
        <v>30</v>
      </c>
      <c r="E672" s="2" t="s">
        <v>31</v>
      </c>
      <c r="F672" s="2" t="s">
        <v>32</v>
      </c>
      <c r="G672" s="3">
        <v>45506</v>
      </c>
      <c r="H672" s="3">
        <v>45511</v>
      </c>
      <c r="I672" s="2">
        <v>5</v>
      </c>
      <c r="J672" s="2" t="s">
        <v>140</v>
      </c>
      <c r="K672" s="2" t="s">
        <v>141</v>
      </c>
      <c r="L672" s="2" t="s">
        <v>142</v>
      </c>
      <c r="M672" s="2" t="s">
        <v>36</v>
      </c>
      <c r="N672" s="2" t="s">
        <v>62</v>
      </c>
      <c r="O672" s="2" t="s">
        <v>520</v>
      </c>
      <c r="P672" s="2">
        <v>76</v>
      </c>
      <c r="Q672" s="2" t="s">
        <v>69</v>
      </c>
      <c r="R672" s="2" t="s">
        <v>111</v>
      </c>
      <c r="S672" s="2">
        <v>57393</v>
      </c>
      <c r="T672" s="2">
        <v>39299</v>
      </c>
      <c r="U672" s="2">
        <v>18094</v>
      </c>
      <c r="V672" s="2">
        <v>38058</v>
      </c>
      <c r="W672" s="2">
        <v>5893</v>
      </c>
      <c r="X672" s="2">
        <v>12341</v>
      </c>
      <c r="Y672" s="2" t="s">
        <v>41</v>
      </c>
      <c r="Z672" s="2">
        <v>60</v>
      </c>
      <c r="AA672" s="2">
        <v>3.7</v>
      </c>
      <c r="AB672" s="2" t="s">
        <v>137</v>
      </c>
    </row>
    <row r="673" spans="1:28" x14ac:dyDescent="0.25">
      <c r="A673" s="4" t="s">
        <v>1308</v>
      </c>
      <c r="B673" s="4" t="s">
        <v>1309</v>
      </c>
      <c r="C673" s="4">
        <v>20</v>
      </c>
      <c r="D673" s="4" t="s">
        <v>30</v>
      </c>
      <c r="E673" s="4" t="s">
        <v>31</v>
      </c>
      <c r="F673" s="4" t="s">
        <v>150</v>
      </c>
      <c r="G673" s="5">
        <v>44631</v>
      </c>
      <c r="H673" s="5">
        <v>44643</v>
      </c>
      <c r="I673" s="4">
        <v>12</v>
      </c>
      <c r="J673" s="4" t="s">
        <v>123</v>
      </c>
      <c r="K673" s="4" t="s">
        <v>124</v>
      </c>
      <c r="L673" s="4" t="s">
        <v>125</v>
      </c>
      <c r="M673" s="4" t="s">
        <v>61</v>
      </c>
      <c r="N673" s="4" t="s">
        <v>118</v>
      </c>
      <c r="O673" s="4" t="s">
        <v>76</v>
      </c>
      <c r="P673" s="4">
        <v>17</v>
      </c>
      <c r="Q673" s="4" t="s">
        <v>50</v>
      </c>
      <c r="R673" s="4" t="s">
        <v>111</v>
      </c>
      <c r="S673" s="4">
        <v>94479</v>
      </c>
      <c r="T673" s="4">
        <v>75347</v>
      </c>
      <c r="U673" s="4">
        <v>19132</v>
      </c>
      <c r="V673" s="4">
        <v>53906</v>
      </c>
      <c r="W673" s="4">
        <v>27624</v>
      </c>
      <c r="X673" s="4">
        <v>8652</v>
      </c>
      <c r="Y673" s="4" t="s">
        <v>41</v>
      </c>
      <c r="Z673" s="4">
        <v>85</v>
      </c>
      <c r="AA673" s="4">
        <v>4.5999999999999996</v>
      </c>
      <c r="AB673" s="4" t="s">
        <v>137</v>
      </c>
    </row>
    <row r="674" spans="1:28" x14ac:dyDescent="0.25">
      <c r="A674" s="2" t="s">
        <v>1310</v>
      </c>
      <c r="B674" s="2" t="s">
        <v>1311</v>
      </c>
      <c r="C674" s="2">
        <v>59</v>
      </c>
      <c r="D674" s="2" t="s">
        <v>30</v>
      </c>
      <c r="E674" s="2" t="s">
        <v>154</v>
      </c>
      <c r="F674" s="2" t="s">
        <v>57</v>
      </c>
      <c r="G674" s="3">
        <v>44898</v>
      </c>
      <c r="H674" s="3">
        <v>44907</v>
      </c>
      <c r="I674" s="2">
        <v>9</v>
      </c>
      <c r="J674" s="2" t="s">
        <v>33</v>
      </c>
      <c r="K674" s="2" t="s">
        <v>81</v>
      </c>
      <c r="L674" s="2" t="s">
        <v>82</v>
      </c>
      <c r="M674" s="2" t="s">
        <v>83</v>
      </c>
      <c r="N674" s="2" t="s">
        <v>118</v>
      </c>
      <c r="O674" s="2" t="s">
        <v>548</v>
      </c>
      <c r="P674" s="2">
        <v>453</v>
      </c>
      <c r="Q674" s="2" t="s">
        <v>39</v>
      </c>
      <c r="R674" s="2" t="s">
        <v>40</v>
      </c>
      <c r="S674" s="2">
        <v>171603</v>
      </c>
      <c r="T674" s="2">
        <v>115350</v>
      </c>
      <c r="U674" s="2">
        <v>56253</v>
      </c>
      <c r="V674" s="2">
        <v>139423</v>
      </c>
      <c r="W674" s="2">
        <v>20789</v>
      </c>
      <c r="X674" s="2">
        <v>8615</v>
      </c>
      <c r="Y674" s="2" t="s">
        <v>41</v>
      </c>
      <c r="Z674" s="2">
        <v>66</v>
      </c>
      <c r="AA674" s="2">
        <v>2.1</v>
      </c>
      <c r="AB674" s="2" t="s">
        <v>104</v>
      </c>
    </row>
    <row r="675" spans="1:28" x14ac:dyDescent="0.25">
      <c r="A675" s="4" t="s">
        <v>1312</v>
      </c>
      <c r="B675" s="4" t="s">
        <v>796</v>
      </c>
      <c r="C675" s="4">
        <v>48</v>
      </c>
      <c r="D675" s="4" t="s">
        <v>30</v>
      </c>
      <c r="E675" s="4" t="s">
        <v>45</v>
      </c>
      <c r="F675" s="4" t="s">
        <v>57</v>
      </c>
      <c r="G675" s="5">
        <v>44776</v>
      </c>
      <c r="H675" s="5">
        <v>44792</v>
      </c>
      <c r="I675" s="4">
        <v>16</v>
      </c>
      <c r="J675" s="4" t="s">
        <v>202</v>
      </c>
      <c r="K675" s="4" t="s">
        <v>225</v>
      </c>
      <c r="L675" s="4" t="s">
        <v>226</v>
      </c>
      <c r="M675" s="4" t="s">
        <v>61</v>
      </c>
      <c r="N675" s="4" t="s">
        <v>109</v>
      </c>
      <c r="O675" s="4" t="s">
        <v>434</v>
      </c>
      <c r="P675" s="4">
        <v>141</v>
      </c>
      <c r="Q675" s="4" t="s">
        <v>103</v>
      </c>
      <c r="R675" s="4" t="s">
        <v>51</v>
      </c>
      <c r="S675" s="4">
        <v>85737</v>
      </c>
      <c r="T675" s="4">
        <v>45997</v>
      </c>
      <c r="U675" s="4">
        <v>39740</v>
      </c>
      <c r="V675" s="4">
        <v>56553</v>
      </c>
      <c r="W675" s="4">
        <v>15252</v>
      </c>
      <c r="X675" s="4">
        <v>13110</v>
      </c>
      <c r="Y675" s="4" t="s">
        <v>41</v>
      </c>
      <c r="Z675" s="4">
        <v>75</v>
      </c>
      <c r="AA675" s="4">
        <v>2.9</v>
      </c>
      <c r="AB675" s="4" t="s">
        <v>137</v>
      </c>
    </row>
    <row r="676" spans="1:28" x14ac:dyDescent="0.25">
      <c r="A676" s="2" t="s">
        <v>1313</v>
      </c>
      <c r="B676" s="2" t="s">
        <v>1314</v>
      </c>
      <c r="C676" s="2">
        <v>47</v>
      </c>
      <c r="D676" s="2" t="s">
        <v>55</v>
      </c>
      <c r="E676" s="2" t="s">
        <v>67</v>
      </c>
      <c r="F676" s="2" t="s">
        <v>72</v>
      </c>
      <c r="G676" s="3">
        <v>44690</v>
      </c>
      <c r="H676" s="3">
        <v>44706</v>
      </c>
      <c r="I676" s="2">
        <v>16</v>
      </c>
      <c r="J676" s="2" t="s">
        <v>33</v>
      </c>
      <c r="K676" s="2" t="s">
        <v>81</v>
      </c>
      <c r="L676" s="2" t="s">
        <v>82</v>
      </c>
      <c r="M676" s="2" t="s">
        <v>101</v>
      </c>
      <c r="N676" s="2" t="s">
        <v>109</v>
      </c>
      <c r="O676" s="2" t="s">
        <v>379</v>
      </c>
      <c r="P676" s="2">
        <v>115</v>
      </c>
      <c r="Q676" s="2" t="s">
        <v>103</v>
      </c>
      <c r="R676" s="2" t="s">
        <v>136</v>
      </c>
      <c r="S676" s="2">
        <v>121361</v>
      </c>
      <c r="T676" s="2">
        <v>0</v>
      </c>
      <c r="U676" s="2">
        <v>121361</v>
      </c>
      <c r="V676" s="2">
        <v>83717</v>
      </c>
      <c r="W676" s="2">
        <v>22366</v>
      </c>
      <c r="X676" s="2">
        <v>14461</v>
      </c>
      <c r="Y676" s="2" t="s">
        <v>41</v>
      </c>
      <c r="Z676" s="2">
        <v>82</v>
      </c>
      <c r="AA676" s="2">
        <v>4.7</v>
      </c>
      <c r="AB676" s="2" t="s">
        <v>52</v>
      </c>
    </row>
    <row r="677" spans="1:28" x14ac:dyDescent="0.25">
      <c r="A677" s="4" t="s">
        <v>1315</v>
      </c>
      <c r="B677" s="4" t="s">
        <v>1316</v>
      </c>
      <c r="C677" s="4">
        <v>5</v>
      </c>
      <c r="D677" s="4" t="s">
        <v>55</v>
      </c>
      <c r="E677" s="4" t="s">
        <v>122</v>
      </c>
      <c r="F677" s="4" t="s">
        <v>32</v>
      </c>
      <c r="G677" s="5">
        <v>45482</v>
      </c>
      <c r="H677" s="5">
        <v>45490</v>
      </c>
      <c r="I677" s="4">
        <v>8</v>
      </c>
      <c r="J677" s="4" t="s">
        <v>115</v>
      </c>
      <c r="K677" s="4" t="s">
        <v>116</v>
      </c>
      <c r="L677" s="4" t="s">
        <v>117</v>
      </c>
      <c r="M677" s="4" t="s">
        <v>108</v>
      </c>
      <c r="N677" s="4" t="s">
        <v>62</v>
      </c>
      <c r="O677" s="4" t="s">
        <v>161</v>
      </c>
      <c r="P677" s="4">
        <v>275</v>
      </c>
      <c r="Q677" s="4" t="s">
        <v>103</v>
      </c>
      <c r="R677" s="4" t="s">
        <v>90</v>
      </c>
      <c r="S677" s="4">
        <v>181504</v>
      </c>
      <c r="T677" s="4">
        <v>150770</v>
      </c>
      <c r="U677" s="4">
        <v>30734</v>
      </c>
      <c r="V677" s="4">
        <v>136531</v>
      </c>
      <c r="W677" s="4">
        <v>29460</v>
      </c>
      <c r="X677" s="4">
        <v>12505</v>
      </c>
      <c r="Y677" s="4" t="s">
        <v>41</v>
      </c>
      <c r="Z677" s="4">
        <v>71</v>
      </c>
      <c r="AA677" s="4">
        <v>5</v>
      </c>
      <c r="AB677" s="4" t="s">
        <v>64</v>
      </c>
    </row>
    <row r="678" spans="1:28" x14ac:dyDescent="0.25">
      <c r="A678" s="2" t="s">
        <v>1317</v>
      </c>
      <c r="B678" s="2" t="s">
        <v>173</v>
      </c>
      <c r="C678" s="2">
        <v>41</v>
      </c>
      <c r="D678" s="2" t="s">
        <v>55</v>
      </c>
      <c r="E678" s="2" t="s">
        <v>31</v>
      </c>
      <c r="F678" s="2" t="s">
        <v>114</v>
      </c>
      <c r="G678" s="3">
        <v>45234</v>
      </c>
      <c r="H678" s="3">
        <v>45240</v>
      </c>
      <c r="I678" s="2">
        <v>6</v>
      </c>
      <c r="J678" s="2" t="s">
        <v>33</v>
      </c>
      <c r="K678" s="2" t="s">
        <v>99</v>
      </c>
      <c r="L678" s="2" t="s">
        <v>100</v>
      </c>
      <c r="M678" s="2" t="s">
        <v>130</v>
      </c>
      <c r="N678" s="2" t="s">
        <v>37</v>
      </c>
      <c r="O678" s="2" t="s">
        <v>49</v>
      </c>
      <c r="P678" s="2">
        <v>332</v>
      </c>
      <c r="Q678" s="2" t="s">
        <v>39</v>
      </c>
      <c r="R678" s="2" t="s">
        <v>111</v>
      </c>
      <c r="S678" s="2">
        <v>19924</v>
      </c>
      <c r="T678" s="2">
        <v>12965</v>
      </c>
      <c r="U678" s="2">
        <v>6959</v>
      </c>
      <c r="V678" s="2">
        <v>10423</v>
      </c>
      <c r="W678" s="2">
        <v>4259</v>
      </c>
      <c r="X678" s="2">
        <v>2627</v>
      </c>
      <c r="Y678" s="2" t="s">
        <v>41</v>
      </c>
      <c r="Z678" s="2">
        <v>56</v>
      </c>
      <c r="AA678" s="2">
        <v>3.2</v>
      </c>
      <c r="AB678" s="2" t="s">
        <v>137</v>
      </c>
    </row>
    <row r="679" spans="1:28" x14ac:dyDescent="0.25">
      <c r="A679" s="4" t="s">
        <v>1318</v>
      </c>
      <c r="B679" s="4" t="s">
        <v>675</v>
      </c>
      <c r="C679" s="4">
        <v>51</v>
      </c>
      <c r="D679" s="4" t="s">
        <v>55</v>
      </c>
      <c r="E679" s="4" t="s">
        <v>79</v>
      </c>
      <c r="F679" s="4" t="s">
        <v>46</v>
      </c>
      <c r="G679" s="5">
        <v>44702</v>
      </c>
      <c r="H679" s="5">
        <v>44705</v>
      </c>
      <c r="I679" s="4">
        <v>3</v>
      </c>
      <c r="J679" s="4" t="s">
        <v>140</v>
      </c>
      <c r="K679" s="4" t="s">
        <v>141</v>
      </c>
      <c r="L679" s="4" t="s">
        <v>142</v>
      </c>
      <c r="M679" s="4" t="s">
        <v>130</v>
      </c>
      <c r="N679" s="4" t="s">
        <v>109</v>
      </c>
      <c r="O679" s="4" t="s">
        <v>161</v>
      </c>
      <c r="P679" s="4">
        <v>495</v>
      </c>
      <c r="Q679" s="4" t="s">
        <v>39</v>
      </c>
      <c r="R679" s="4" t="s">
        <v>90</v>
      </c>
      <c r="S679" s="4">
        <v>142451</v>
      </c>
      <c r="T679" s="4">
        <v>118206</v>
      </c>
      <c r="U679" s="4">
        <v>24245</v>
      </c>
      <c r="V679" s="4">
        <v>123303</v>
      </c>
      <c r="W679" s="4">
        <v>12060</v>
      </c>
      <c r="X679" s="4">
        <v>2489</v>
      </c>
      <c r="Y679" s="4" t="s">
        <v>41</v>
      </c>
      <c r="Z679" s="4">
        <v>69</v>
      </c>
      <c r="AA679" s="4">
        <v>3.5</v>
      </c>
      <c r="AB679" s="4" t="s">
        <v>137</v>
      </c>
    </row>
    <row r="680" spans="1:28" x14ac:dyDescent="0.25">
      <c r="A680" s="2" t="s">
        <v>1319</v>
      </c>
      <c r="B680" s="2" t="s">
        <v>323</v>
      </c>
      <c r="C680" s="2">
        <v>40</v>
      </c>
      <c r="D680" s="2" t="s">
        <v>55</v>
      </c>
      <c r="E680" s="2" t="s">
        <v>45</v>
      </c>
      <c r="F680" s="2" t="s">
        <v>157</v>
      </c>
      <c r="G680" s="3">
        <v>45285</v>
      </c>
      <c r="H680" s="3">
        <v>45291</v>
      </c>
      <c r="I680" s="2">
        <v>6</v>
      </c>
      <c r="J680" s="2" t="s">
        <v>115</v>
      </c>
      <c r="K680" s="2" t="s">
        <v>116</v>
      </c>
      <c r="L680" s="2" t="s">
        <v>117</v>
      </c>
      <c r="M680" s="2" t="s">
        <v>75</v>
      </c>
      <c r="N680" s="2" t="s">
        <v>118</v>
      </c>
      <c r="O680" s="2" t="s">
        <v>321</v>
      </c>
      <c r="P680" s="2">
        <v>412</v>
      </c>
      <c r="Q680" s="2" t="s">
        <v>69</v>
      </c>
      <c r="R680" s="2" t="s">
        <v>90</v>
      </c>
      <c r="S680" s="2">
        <v>61237</v>
      </c>
      <c r="T680" s="2">
        <v>46334</v>
      </c>
      <c r="U680" s="2">
        <v>14903</v>
      </c>
      <c r="V680" s="2">
        <v>47543</v>
      </c>
      <c r="W680" s="2">
        <v>5777</v>
      </c>
      <c r="X680" s="2">
        <v>6104</v>
      </c>
      <c r="Y680" s="2" t="s">
        <v>41</v>
      </c>
      <c r="Z680" s="2">
        <v>52</v>
      </c>
      <c r="AA680" s="2">
        <v>3.4</v>
      </c>
      <c r="AB680" s="2" t="s">
        <v>52</v>
      </c>
    </row>
    <row r="681" spans="1:28" x14ac:dyDescent="0.25">
      <c r="A681" s="4" t="s">
        <v>1320</v>
      </c>
      <c r="B681" s="4" t="s">
        <v>1321</v>
      </c>
      <c r="C681" s="4">
        <v>54</v>
      </c>
      <c r="D681" s="4" t="s">
        <v>30</v>
      </c>
      <c r="E681" s="4" t="s">
        <v>56</v>
      </c>
      <c r="F681" s="4" t="s">
        <v>94</v>
      </c>
      <c r="G681" s="5">
        <v>45386</v>
      </c>
      <c r="H681" s="5">
        <v>45393</v>
      </c>
      <c r="I681" s="4">
        <v>7</v>
      </c>
      <c r="J681" s="4" t="s">
        <v>123</v>
      </c>
      <c r="K681" s="4" t="s">
        <v>124</v>
      </c>
      <c r="L681" s="4" t="s">
        <v>125</v>
      </c>
      <c r="M681" s="4" t="s">
        <v>101</v>
      </c>
      <c r="N681" s="4" t="s">
        <v>37</v>
      </c>
      <c r="O681" s="4" t="s">
        <v>520</v>
      </c>
      <c r="P681" s="4">
        <v>500</v>
      </c>
      <c r="Q681" s="4" t="s">
        <v>39</v>
      </c>
      <c r="R681" s="4" t="s">
        <v>111</v>
      </c>
      <c r="S681" s="4">
        <v>148013</v>
      </c>
      <c r="T681" s="4">
        <v>97649</v>
      </c>
      <c r="U681" s="4">
        <v>50364</v>
      </c>
      <c r="V681" s="4">
        <v>125023</v>
      </c>
      <c r="W681" s="4">
        <v>13690</v>
      </c>
      <c r="X681" s="4">
        <v>5779</v>
      </c>
      <c r="Y681" s="4" t="s">
        <v>91</v>
      </c>
      <c r="Z681" s="4">
        <v>68</v>
      </c>
      <c r="AA681" s="4">
        <v>2.6</v>
      </c>
      <c r="AB681" s="4" t="s">
        <v>42</v>
      </c>
    </row>
    <row r="682" spans="1:28" x14ac:dyDescent="0.25">
      <c r="A682" s="2" t="s">
        <v>1322</v>
      </c>
      <c r="B682" s="2" t="s">
        <v>263</v>
      </c>
      <c r="C682" s="2">
        <v>52</v>
      </c>
      <c r="D682" s="2" t="s">
        <v>30</v>
      </c>
      <c r="E682" s="2" t="s">
        <v>67</v>
      </c>
      <c r="F682" s="2" t="s">
        <v>57</v>
      </c>
      <c r="G682" s="3">
        <v>45207</v>
      </c>
      <c r="H682" s="3">
        <v>45235</v>
      </c>
      <c r="I682" s="2">
        <v>28</v>
      </c>
      <c r="J682" s="2" t="s">
        <v>33</v>
      </c>
      <c r="K682" s="2" t="s">
        <v>107</v>
      </c>
      <c r="L682" s="2" t="s">
        <v>48</v>
      </c>
      <c r="M682" s="2" t="s">
        <v>143</v>
      </c>
      <c r="N682" s="2" t="s">
        <v>62</v>
      </c>
      <c r="O682" s="2" t="s">
        <v>259</v>
      </c>
      <c r="P682" s="2">
        <v>288</v>
      </c>
      <c r="Q682" s="2" t="s">
        <v>69</v>
      </c>
      <c r="R682" s="2" t="s">
        <v>51</v>
      </c>
      <c r="S682" s="2">
        <v>68994</v>
      </c>
      <c r="T682" s="2">
        <v>30076</v>
      </c>
      <c r="U682" s="2">
        <v>38918</v>
      </c>
      <c r="V682" s="2">
        <v>40591</v>
      </c>
      <c r="W682" s="2">
        <v>16513</v>
      </c>
      <c r="X682" s="2">
        <v>8599</v>
      </c>
      <c r="Y682" s="2" t="s">
        <v>41</v>
      </c>
      <c r="Z682" s="2">
        <v>90</v>
      </c>
      <c r="AA682" s="2">
        <v>4.5</v>
      </c>
      <c r="AB682" s="2" t="s">
        <v>52</v>
      </c>
    </row>
    <row r="683" spans="1:28" x14ac:dyDescent="0.25">
      <c r="A683" s="4" t="s">
        <v>1323</v>
      </c>
      <c r="B683" s="4" t="s">
        <v>294</v>
      </c>
      <c r="C683" s="4">
        <v>73</v>
      </c>
      <c r="D683" s="4" t="s">
        <v>30</v>
      </c>
      <c r="E683" s="4" t="s">
        <v>79</v>
      </c>
      <c r="F683" s="4" t="s">
        <v>57</v>
      </c>
      <c r="G683" s="5">
        <v>44780</v>
      </c>
      <c r="H683" s="5">
        <v>44782</v>
      </c>
      <c r="I683" s="4">
        <v>2</v>
      </c>
      <c r="J683" s="4" t="s">
        <v>58</v>
      </c>
      <c r="K683" s="4" t="s">
        <v>59</v>
      </c>
      <c r="L683" s="4" t="s">
        <v>60</v>
      </c>
      <c r="M683" s="4" t="s">
        <v>134</v>
      </c>
      <c r="N683" s="4" t="s">
        <v>37</v>
      </c>
      <c r="O683" s="4" t="s">
        <v>181</v>
      </c>
      <c r="P683" s="4">
        <v>175</v>
      </c>
      <c r="Q683" s="4" t="s">
        <v>103</v>
      </c>
      <c r="R683" s="4" t="s">
        <v>90</v>
      </c>
      <c r="S683" s="4">
        <v>163419</v>
      </c>
      <c r="T683" s="4">
        <v>113170</v>
      </c>
      <c r="U683" s="4">
        <v>50249</v>
      </c>
      <c r="V683" s="4">
        <v>144188</v>
      </c>
      <c r="W683" s="4">
        <v>12920</v>
      </c>
      <c r="X683" s="4">
        <v>1730</v>
      </c>
      <c r="Y683" s="4" t="s">
        <v>41</v>
      </c>
      <c r="Z683" s="4">
        <v>41</v>
      </c>
      <c r="AA683" s="4">
        <v>2.1</v>
      </c>
      <c r="AB683" s="4" t="s">
        <v>52</v>
      </c>
    </row>
    <row r="684" spans="1:28" x14ac:dyDescent="0.25">
      <c r="A684" s="2" t="s">
        <v>1324</v>
      </c>
      <c r="B684" s="2" t="s">
        <v>466</v>
      </c>
      <c r="C684" s="2">
        <v>16</v>
      </c>
      <c r="D684" s="2" t="s">
        <v>55</v>
      </c>
      <c r="E684" s="2" t="s">
        <v>56</v>
      </c>
      <c r="F684" s="2" t="s">
        <v>80</v>
      </c>
      <c r="G684" s="3">
        <v>44794</v>
      </c>
      <c r="H684" s="3">
        <v>44798</v>
      </c>
      <c r="I684" s="2">
        <v>4</v>
      </c>
      <c r="J684" s="2" t="s">
        <v>140</v>
      </c>
      <c r="K684" s="2" t="s">
        <v>167</v>
      </c>
      <c r="L684" s="2" t="s">
        <v>142</v>
      </c>
      <c r="M684" s="2" t="s">
        <v>95</v>
      </c>
      <c r="N684" s="2" t="s">
        <v>62</v>
      </c>
      <c r="O684" s="2" t="s">
        <v>530</v>
      </c>
      <c r="P684" s="2">
        <v>109</v>
      </c>
      <c r="Q684" s="2" t="s">
        <v>69</v>
      </c>
      <c r="R684" s="2" t="s">
        <v>40</v>
      </c>
      <c r="S684" s="2">
        <v>38462</v>
      </c>
      <c r="T684" s="2">
        <v>25919</v>
      </c>
      <c r="U684" s="2">
        <v>12543</v>
      </c>
      <c r="V684" s="2">
        <v>17865</v>
      </c>
      <c r="W684" s="2">
        <v>10060</v>
      </c>
      <c r="X684" s="2">
        <v>5603</v>
      </c>
      <c r="Y684" s="2" t="s">
        <v>91</v>
      </c>
      <c r="Z684" s="2">
        <v>85</v>
      </c>
      <c r="AA684" s="2">
        <v>3.6</v>
      </c>
      <c r="AB684" s="2" t="s">
        <v>42</v>
      </c>
    </row>
    <row r="685" spans="1:28" x14ac:dyDescent="0.25">
      <c r="A685" s="4" t="s">
        <v>1325</v>
      </c>
      <c r="B685" s="4" t="s">
        <v>1121</v>
      </c>
      <c r="C685" s="4">
        <v>43</v>
      </c>
      <c r="D685" s="4" t="s">
        <v>30</v>
      </c>
      <c r="E685" s="4" t="s">
        <v>56</v>
      </c>
      <c r="F685" s="4" t="s">
        <v>114</v>
      </c>
      <c r="G685" s="5">
        <v>44645</v>
      </c>
      <c r="H685" s="5">
        <v>44655</v>
      </c>
      <c r="I685" s="4">
        <v>10</v>
      </c>
      <c r="J685" s="4" t="s">
        <v>33</v>
      </c>
      <c r="K685" s="4" t="s">
        <v>81</v>
      </c>
      <c r="L685" s="4" t="s">
        <v>82</v>
      </c>
      <c r="M685" s="4" t="s">
        <v>95</v>
      </c>
      <c r="N685" s="4" t="s">
        <v>118</v>
      </c>
      <c r="O685" s="4" t="s">
        <v>208</v>
      </c>
      <c r="P685" s="4">
        <v>36</v>
      </c>
      <c r="Q685" s="4" t="s">
        <v>69</v>
      </c>
      <c r="R685" s="4" t="s">
        <v>51</v>
      </c>
      <c r="S685" s="4">
        <v>19713</v>
      </c>
      <c r="T685" s="4">
        <v>10660</v>
      </c>
      <c r="U685" s="4">
        <v>9053</v>
      </c>
      <c r="V685" s="4">
        <v>6051</v>
      </c>
      <c r="W685" s="4">
        <v>4500</v>
      </c>
      <c r="X685" s="4">
        <v>8314</v>
      </c>
      <c r="Y685" s="4" t="s">
        <v>41</v>
      </c>
      <c r="Z685" s="4">
        <v>74</v>
      </c>
      <c r="AA685" s="4">
        <v>2.2999999999999998</v>
      </c>
      <c r="AB685" s="4" t="s">
        <v>64</v>
      </c>
    </row>
    <row r="686" spans="1:28" x14ac:dyDescent="0.25">
      <c r="A686" s="2" t="s">
        <v>1326</v>
      </c>
      <c r="B686" s="2" t="s">
        <v>1327</v>
      </c>
      <c r="C686" s="2">
        <v>36</v>
      </c>
      <c r="D686" s="2" t="s">
        <v>55</v>
      </c>
      <c r="E686" s="2" t="s">
        <v>45</v>
      </c>
      <c r="F686" s="2" t="s">
        <v>129</v>
      </c>
      <c r="G686" s="3">
        <v>44941</v>
      </c>
      <c r="H686" s="3">
        <v>44962</v>
      </c>
      <c r="I686" s="2">
        <v>21</v>
      </c>
      <c r="J686" s="2" t="s">
        <v>33</v>
      </c>
      <c r="K686" s="2" t="s">
        <v>278</v>
      </c>
      <c r="L686" s="2" t="s">
        <v>279</v>
      </c>
      <c r="M686" s="2" t="s">
        <v>130</v>
      </c>
      <c r="N686" s="2" t="s">
        <v>37</v>
      </c>
      <c r="O686" s="2" t="s">
        <v>678</v>
      </c>
      <c r="P686" s="2">
        <v>87</v>
      </c>
      <c r="Q686" s="2" t="s">
        <v>39</v>
      </c>
      <c r="R686" s="2" t="s">
        <v>111</v>
      </c>
      <c r="S686" s="2">
        <v>41519</v>
      </c>
      <c r="T686" s="2">
        <v>32094</v>
      </c>
      <c r="U686" s="2">
        <v>9425</v>
      </c>
      <c r="V686" s="2">
        <v>6385</v>
      </c>
      <c r="W686" s="2">
        <v>23328</v>
      </c>
      <c r="X686" s="2">
        <v>9068</v>
      </c>
      <c r="Y686" s="2" t="s">
        <v>41</v>
      </c>
      <c r="Z686" s="2">
        <v>93</v>
      </c>
      <c r="AA686" s="2">
        <v>2.6</v>
      </c>
      <c r="AB686" s="2" t="s">
        <v>42</v>
      </c>
    </row>
    <row r="687" spans="1:28" x14ac:dyDescent="0.25">
      <c r="A687" s="4" t="s">
        <v>1328</v>
      </c>
      <c r="B687" s="4" t="s">
        <v>1329</v>
      </c>
      <c r="C687" s="4">
        <v>60</v>
      </c>
      <c r="D687" s="4" t="s">
        <v>55</v>
      </c>
      <c r="E687" s="4" t="s">
        <v>67</v>
      </c>
      <c r="F687" s="4" t="s">
        <v>32</v>
      </c>
      <c r="G687" s="5">
        <v>45642</v>
      </c>
      <c r="H687" s="5">
        <v>45652</v>
      </c>
      <c r="I687" s="4">
        <v>10</v>
      </c>
      <c r="J687" s="4" t="s">
        <v>58</v>
      </c>
      <c r="K687" s="4" t="s">
        <v>88</v>
      </c>
      <c r="L687" s="4" t="s">
        <v>60</v>
      </c>
      <c r="M687" s="4" t="s">
        <v>108</v>
      </c>
      <c r="N687" s="4" t="s">
        <v>37</v>
      </c>
      <c r="O687" s="4" t="s">
        <v>326</v>
      </c>
      <c r="P687" s="4">
        <v>138</v>
      </c>
      <c r="Q687" s="4" t="s">
        <v>39</v>
      </c>
      <c r="R687" s="4" t="s">
        <v>51</v>
      </c>
      <c r="S687" s="4">
        <v>71810</v>
      </c>
      <c r="T687" s="4">
        <v>42691</v>
      </c>
      <c r="U687" s="4">
        <v>29119</v>
      </c>
      <c r="V687" s="4">
        <v>37675</v>
      </c>
      <c r="W687" s="4">
        <v>24163</v>
      </c>
      <c r="X687" s="4">
        <v>7384</v>
      </c>
      <c r="Y687" s="4" t="s">
        <v>41</v>
      </c>
      <c r="Z687" s="4">
        <v>47</v>
      </c>
      <c r="AA687" s="4">
        <v>3.2</v>
      </c>
      <c r="AB687" s="4" t="s">
        <v>64</v>
      </c>
    </row>
    <row r="688" spans="1:28" x14ac:dyDescent="0.25">
      <c r="A688" s="2" t="s">
        <v>1330</v>
      </c>
      <c r="B688" s="2" t="s">
        <v>1331</v>
      </c>
      <c r="C688" s="2">
        <v>21</v>
      </c>
      <c r="D688" s="2" t="s">
        <v>55</v>
      </c>
      <c r="E688" s="2" t="s">
        <v>56</v>
      </c>
      <c r="F688" s="2" t="s">
        <v>32</v>
      </c>
      <c r="G688" s="3">
        <v>44833</v>
      </c>
      <c r="H688" s="3">
        <v>44856</v>
      </c>
      <c r="I688" s="2">
        <v>23</v>
      </c>
      <c r="J688" s="2" t="s">
        <v>33</v>
      </c>
      <c r="K688" s="2" t="s">
        <v>197</v>
      </c>
      <c r="L688" s="2" t="s">
        <v>198</v>
      </c>
      <c r="M688" s="2" t="s">
        <v>61</v>
      </c>
      <c r="N688" s="2" t="s">
        <v>62</v>
      </c>
      <c r="O688" s="2" t="s">
        <v>230</v>
      </c>
      <c r="P688" s="2">
        <v>69</v>
      </c>
      <c r="Q688" s="2" t="s">
        <v>39</v>
      </c>
      <c r="R688" s="2" t="s">
        <v>136</v>
      </c>
      <c r="S688" s="2">
        <v>57114</v>
      </c>
      <c r="T688" s="2">
        <v>0</v>
      </c>
      <c r="U688" s="2">
        <v>57114</v>
      </c>
      <c r="V688" s="2">
        <v>34520</v>
      </c>
      <c r="W688" s="2">
        <v>19827</v>
      </c>
      <c r="X688" s="2">
        <v>546</v>
      </c>
      <c r="Y688" s="2" t="s">
        <v>41</v>
      </c>
      <c r="Z688" s="2">
        <v>93</v>
      </c>
      <c r="AA688" s="2">
        <v>4.0999999999999996</v>
      </c>
      <c r="AB688" s="2" t="s">
        <v>137</v>
      </c>
    </row>
    <row r="689" spans="1:28" x14ac:dyDescent="0.25">
      <c r="A689" s="4" t="s">
        <v>1332</v>
      </c>
      <c r="B689" s="4" t="s">
        <v>840</v>
      </c>
      <c r="C689" s="4">
        <v>31</v>
      </c>
      <c r="D689" s="4" t="s">
        <v>30</v>
      </c>
      <c r="E689" s="4" t="s">
        <v>154</v>
      </c>
      <c r="F689" s="4" t="s">
        <v>129</v>
      </c>
      <c r="G689" s="5">
        <v>44814</v>
      </c>
      <c r="H689" s="5">
        <v>44842</v>
      </c>
      <c r="I689" s="4">
        <v>28</v>
      </c>
      <c r="J689" s="4" t="s">
        <v>58</v>
      </c>
      <c r="K689" s="4" t="s">
        <v>88</v>
      </c>
      <c r="L689" s="4" t="s">
        <v>60</v>
      </c>
      <c r="M689" s="4" t="s">
        <v>108</v>
      </c>
      <c r="N689" s="4" t="s">
        <v>37</v>
      </c>
      <c r="O689" s="4" t="s">
        <v>492</v>
      </c>
      <c r="P689" s="4">
        <v>228</v>
      </c>
      <c r="Q689" s="4" t="s">
        <v>39</v>
      </c>
      <c r="R689" s="4" t="s">
        <v>40</v>
      </c>
      <c r="S689" s="4">
        <v>81285</v>
      </c>
      <c r="T689" s="4">
        <v>53728</v>
      </c>
      <c r="U689" s="4">
        <v>27557</v>
      </c>
      <c r="V689" s="4">
        <v>59206</v>
      </c>
      <c r="W689" s="4">
        <v>13753</v>
      </c>
      <c r="X689" s="4">
        <v>6286</v>
      </c>
      <c r="Y689" s="4" t="s">
        <v>41</v>
      </c>
      <c r="Z689" s="4">
        <v>82</v>
      </c>
      <c r="AA689" s="4">
        <v>2.7</v>
      </c>
      <c r="AB689" s="4" t="s">
        <v>137</v>
      </c>
    </row>
    <row r="690" spans="1:28" x14ac:dyDescent="0.25">
      <c r="A690" s="2" t="s">
        <v>1333</v>
      </c>
      <c r="B690" s="2" t="s">
        <v>1334</v>
      </c>
      <c r="C690" s="2">
        <v>11</v>
      </c>
      <c r="D690" s="2" t="s">
        <v>30</v>
      </c>
      <c r="E690" s="2" t="s">
        <v>122</v>
      </c>
      <c r="F690" s="2" t="s">
        <v>114</v>
      </c>
      <c r="G690" s="3">
        <v>45511</v>
      </c>
      <c r="H690" s="3">
        <v>45517</v>
      </c>
      <c r="I690" s="2">
        <v>6</v>
      </c>
      <c r="J690" s="2" t="s">
        <v>33</v>
      </c>
      <c r="K690" s="2" t="s">
        <v>197</v>
      </c>
      <c r="L690" s="2" t="s">
        <v>198</v>
      </c>
      <c r="M690" s="2" t="s">
        <v>83</v>
      </c>
      <c r="N690" s="2" t="s">
        <v>118</v>
      </c>
      <c r="O690" s="2" t="s">
        <v>126</v>
      </c>
      <c r="P690" s="2">
        <v>57</v>
      </c>
      <c r="Q690" s="2" t="s">
        <v>50</v>
      </c>
      <c r="R690" s="2" t="s">
        <v>40</v>
      </c>
      <c r="S690" s="2">
        <v>96847</v>
      </c>
      <c r="T690" s="2">
        <v>61083</v>
      </c>
      <c r="U690" s="2">
        <v>35764</v>
      </c>
      <c r="V690" s="2">
        <v>79303</v>
      </c>
      <c r="W690" s="2">
        <v>10153</v>
      </c>
      <c r="X690" s="2">
        <v>3400</v>
      </c>
      <c r="Y690" s="2" t="s">
        <v>41</v>
      </c>
      <c r="Z690" s="2">
        <v>88</v>
      </c>
      <c r="AA690" s="2">
        <v>3.6</v>
      </c>
      <c r="AB690" s="2" t="s">
        <v>42</v>
      </c>
    </row>
    <row r="691" spans="1:28" x14ac:dyDescent="0.25">
      <c r="A691" s="4" t="s">
        <v>1335</v>
      </c>
      <c r="B691" s="4" t="s">
        <v>1336</v>
      </c>
      <c r="C691" s="4">
        <v>43</v>
      </c>
      <c r="D691" s="4" t="s">
        <v>55</v>
      </c>
      <c r="E691" s="4" t="s">
        <v>87</v>
      </c>
      <c r="F691" s="4" t="s">
        <v>32</v>
      </c>
      <c r="G691" s="5">
        <v>45126</v>
      </c>
      <c r="H691" s="5">
        <v>45153</v>
      </c>
      <c r="I691" s="4">
        <v>27</v>
      </c>
      <c r="J691" s="4" t="s">
        <v>33</v>
      </c>
      <c r="K691" s="4" t="s">
        <v>174</v>
      </c>
      <c r="L691" s="4" t="s">
        <v>48</v>
      </c>
      <c r="M691" s="4" t="s">
        <v>134</v>
      </c>
      <c r="N691" s="4" t="s">
        <v>109</v>
      </c>
      <c r="O691" s="4" t="s">
        <v>256</v>
      </c>
      <c r="P691" s="4">
        <v>225</v>
      </c>
      <c r="Q691" s="4" t="s">
        <v>39</v>
      </c>
      <c r="R691" s="4" t="s">
        <v>90</v>
      </c>
      <c r="S691" s="4">
        <v>100705</v>
      </c>
      <c r="T691" s="4">
        <v>67035</v>
      </c>
      <c r="U691" s="4">
        <v>33670</v>
      </c>
      <c r="V691" s="4">
        <v>66452</v>
      </c>
      <c r="W691" s="4">
        <v>22142</v>
      </c>
      <c r="X691" s="4">
        <v>8461</v>
      </c>
      <c r="Y691" s="4" t="s">
        <v>41</v>
      </c>
      <c r="Z691" s="4">
        <v>72</v>
      </c>
      <c r="AA691" s="4">
        <v>3.9</v>
      </c>
      <c r="AB691" s="4" t="s">
        <v>64</v>
      </c>
    </row>
    <row r="692" spans="1:28" x14ac:dyDescent="0.25">
      <c r="A692" s="2" t="s">
        <v>1337</v>
      </c>
      <c r="B692" s="2" t="s">
        <v>1338</v>
      </c>
      <c r="C692" s="2">
        <v>52</v>
      </c>
      <c r="D692" s="2" t="s">
        <v>30</v>
      </c>
      <c r="E692" s="2" t="s">
        <v>56</v>
      </c>
      <c r="F692" s="2" t="s">
        <v>46</v>
      </c>
      <c r="G692" s="3">
        <v>45619</v>
      </c>
      <c r="H692" s="3">
        <v>45645</v>
      </c>
      <c r="I692" s="2">
        <v>26</v>
      </c>
      <c r="J692" s="2" t="s">
        <v>58</v>
      </c>
      <c r="K692" s="2" t="s">
        <v>59</v>
      </c>
      <c r="L692" s="2" t="s">
        <v>60</v>
      </c>
      <c r="M692" s="2" t="s">
        <v>130</v>
      </c>
      <c r="N692" s="2" t="s">
        <v>62</v>
      </c>
      <c r="O692" s="2" t="s">
        <v>520</v>
      </c>
      <c r="P692" s="2">
        <v>124</v>
      </c>
      <c r="Q692" s="2" t="s">
        <v>50</v>
      </c>
      <c r="R692" s="2" t="s">
        <v>136</v>
      </c>
      <c r="S692" s="2">
        <v>111161</v>
      </c>
      <c r="T692" s="2">
        <v>0</v>
      </c>
      <c r="U692" s="2">
        <v>111161</v>
      </c>
      <c r="V692" s="2">
        <v>69040</v>
      </c>
      <c r="W692" s="2">
        <v>25829</v>
      </c>
      <c r="X692" s="2">
        <v>11451</v>
      </c>
      <c r="Y692" s="2" t="s">
        <v>41</v>
      </c>
      <c r="Z692" s="2">
        <v>80</v>
      </c>
      <c r="AA692" s="2">
        <v>3.5</v>
      </c>
      <c r="AB692" s="2" t="s">
        <v>42</v>
      </c>
    </row>
    <row r="693" spans="1:28" x14ac:dyDescent="0.25">
      <c r="A693" s="4" t="s">
        <v>1339</v>
      </c>
      <c r="B693" s="4" t="s">
        <v>603</v>
      </c>
      <c r="C693" s="4">
        <v>7</v>
      </c>
      <c r="D693" s="4" t="s">
        <v>30</v>
      </c>
      <c r="E693" s="4" t="s">
        <v>67</v>
      </c>
      <c r="F693" s="4" t="s">
        <v>72</v>
      </c>
      <c r="G693" s="5">
        <v>45260</v>
      </c>
      <c r="H693" s="5">
        <v>45261</v>
      </c>
      <c r="I693" s="4">
        <v>1</v>
      </c>
      <c r="J693" s="4" t="s">
        <v>33</v>
      </c>
      <c r="K693" s="4" t="s">
        <v>174</v>
      </c>
      <c r="L693" s="4" t="s">
        <v>48</v>
      </c>
      <c r="M693" s="4" t="s">
        <v>143</v>
      </c>
      <c r="N693" s="4" t="s">
        <v>62</v>
      </c>
      <c r="O693" s="4" t="s">
        <v>538</v>
      </c>
      <c r="P693" s="4">
        <v>129</v>
      </c>
      <c r="Q693" s="4" t="s">
        <v>50</v>
      </c>
      <c r="R693" s="4" t="s">
        <v>51</v>
      </c>
      <c r="S693" s="4">
        <v>89403</v>
      </c>
      <c r="T693" s="4">
        <v>38338</v>
      </c>
      <c r="U693" s="4">
        <v>51065</v>
      </c>
      <c r="V693" s="4">
        <v>57289</v>
      </c>
      <c r="W693" s="4">
        <v>21606</v>
      </c>
      <c r="X693" s="4">
        <v>7085</v>
      </c>
      <c r="Y693" s="4" t="s">
        <v>41</v>
      </c>
      <c r="Z693" s="4">
        <v>52</v>
      </c>
      <c r="AA693" s="4">
        <v>4.7</v>
      </c>
      <c r="AB693" s="4" t="s">
        <v>52</v>
      </c>
    </row>
    <row r="694" spans="1:28" x14ac:dyDescent="0.25">
      <c r="A694" s="2" t="s">
        <v>1340</v>
      </c>
      <c r="B694" s="2" t="s">
        <v>1341</v>
      </c>
      <c r="C694" s="2">
        <v>50</v>
      </c>
      <c r="D694" s="2" t="s">
        <v>30</v>
      </c>
      <c r="E694" s="2" t="s">
        <v>31</v>
      </c>
      <c r="F694" s="2" t="s">
        <v>94</v>
      </c>
      <c r="G694" s="3">
        <v>45244</v>
      </c>
      <c r="H694" s="3">
        <v>45260</v>
      </c>
      <c r="I694" s="2">
        <v>16</v>
      </c>
      <c r="J694" s="2" t="s">
        <v>73</v>
      </c>
      <c r="K694" s="2" t="s">
        <v>74</v>
      </c>
      <c r="L694" s="2" t="s">
        <v>73</v>
      </c>
      <c r="M694" s="2" t="s">
        <v>75</v>
      </c>
      <c r="N694" s="2" t="s">
        <v>62</v>
      </c>
      <c r="O694" s="2" t="s">
        <v>580</v>
      </c>
      <c r="P694" s="2">
        <v>290</v>
      </c>
      <c r="Q694" s="2" t="s">
        <v>39</v>
      </c>
      <c r="R694" s="2" t="s">
        <v>40</v>
      </c>
      <c r="S694" s="2">
        <v>145463</v>
      </c>
      <c r="T694" s="2">
        <v>78568</v>
      </c>
      <c r="U694" s="2">
        <v>66895</v>
      </c>
      <c r="V694" s="2">
        <v>112671</v>
      </c>
      <c r="W694" s="2">
        <v>29395</v>
      </c>
      <c r="X694" s="2">
        <v>1218</v>
      </c>
      <c r="Y694" s="2" t="s">
        <v>41</v>
      </c>
      <c r="Z694" s="2">
        <v>87</v>
      </c>
      <c r="AA694" s="2">
        <v>2.2000000000000002</v>
      </c>
      <c r="AB694" s="2" t="s">
        <v>42</v>
      </c>
    </row>
    <row r="695" spans="1:28" x14ac:dyDescent="0.25">
      <c r="A695" s="4" t="s">
        <v>1342</v>
      </c>
      <c r="B695" s="4" t="s">
        <v>716</v>
      </c>
      <c r="C695" s="4">
        <v>33</v>
      </c>
      <c r="D695" s="4" t="s">
        <v>55</v>
      </c>
      <c r="E695" s="4" t="s">
        <v>31</v>
      </c>
      <c r="F695" s="4" t="s">
        <v>80</v>
      </c>
      <c r="G695" s="5">
        <v>44760</v>
      </c>
      <c r="H695" s="5">
        <v>44762</v>
      </c>
      <c r="I695" s="4">
        <v>2</v>
      </c>
      <c r="J695" s="4" t="s">
        <v>140</v>
      </c>
      <c r="K695" s="4" t="s">
        <v>167</v>
      </c>
      <c r="L695" s="4" t="s">
        <v>142</v>
      </c>
      <c r="M695" s="4" t="s">
        <v>101</v>
      </c>
      <c r="N695" s="4" t="s">
        <v>37</v>
      </c>
      <c r="O695" s="4" t="s">
        <v>161</v>
      </c>
      <c r="P695" s="4">
        <v>330</v>
      </c>
      <c r="Q695" s="4" t="s">
        <v>103</v>
      </c>
      <c r="R695" s="4" t="s">
        <v>40</v>
      </c>
      <c r="S695" s="4">
        <v>47523</v>
      </c>
      <c r="T695" s="4">
        <v>20342</v>
      </c>
      <c r="U695" s="4">
        <v>27181</v>
      </c>
      <c r="V695" s="4">
        <v>29505</v>
      </c>
      <c r="W695" s="4">
        <v>12167</v>
      </c>
      <c r="X695" s="4">
        <v>4378</v>
      </c>
      <c r="Y695" s="4" t="s">
        <v>41</v>
      </c>
      <c r="Z695" s="4">
        <v>78</v>
      </c>
      <c r="AA695" s="4">
        <v>3.6</v>
      </c>
      <c r="AB695" s="4" t="s">
        <v>64</v>
      </c>
    </row>
    <row r="696" spans="1:28" x14ac:dyDescent="0.25">
      <c r="A696" s="2" t="s">
        <v>1343</v>
      </c>
      <c r="B696" s="2" t="s">
        <v>1344</v>
      </c>
      <c r="C696" s="2">
        <v>40</v>
      </c>
      <c r="D696" s="2" t="s">
        <v>55</v>
      </c>
      <c r="E696" s="2" t="s">
        <v>122</v>
      </c>
      <c r="F696" s="2" t="s">
        <v>150</v>
      </c>
      <c r="G696" s="3">
        <v>45005</v>
      </c>
      <c r="H696" s="3">
        <v>45031</v>
      </c>
      <c r="I696" s="2">
        <v>26</v>
      </c>
      <c r="J696" s="2" t="s">
        <v>33</v>
      </c>
      <c r="K696" s="2" t="s">
        <v>81</v>
      </c>
      <c r="L696" s="2" t="s">
        <v>82</v>
      </c>
      <c r="M696" s="2" t="s">
        <v>36</v>
      </c>
      <c r="N696" s="2" t="s">
        <v>62</v>
      </c>
      <c r="O696" s="2" t="s">
        <v>295</v>
      </c>
      <c r="P696" s="2">
        <v>118</v>
      </c>
      <c r="Q696" s="2" t="s">
        <v>50</v>
      </c>
      <c r="R696" s="2" t="s">
        <v>90</v>
      </c>
      <c r="S696" s="2">
        <v>150421</v>
      </c>
      <c r="T696" s="2">
        <v>124247</v>
      </c>
      <c r="U696" s="2">
        <v>26174</v>
      </c>
      <c r="V696" s="2">
        <v>116963</v>
      </c>
      <c r="W696" s="2">
        <v>23818</v>
      </c>
      <c r="X696" s="2">
        <v>6217</v>
      </c>
      <c r="Y696" s="2" t="s">
        <v>41</v>
      </c>
      <c r="Z696" s="2">
        <v>50</v>
      </c>
      <c r="AA696" s="2">
        <v>2.1</v>
      </c>
      <c r="AB696" s="2" t="s">
        <v>104</v>
      </c>
    </row>
    <row r="697" spans="1:28" x14ac:dyDescent="0.25">
      <c r="A697" s="4" t="s">
        <v>1345</v>
      </c>
      <c r="B697" s="4" t="s">
        <v>1346</v>
      </c>
      <c r="C697" s="4">
        <v>7</v>
      </c>
      <c r="D697" s="4" t="s">
        <v>30</v>
      </c>
      <c r="E697" s="4" t="s">
        <v>31</v>
      </c>
      <c r="F697" s="4" t="s">
        <v>129</v>
      </c>
      <c r="G697" s="5">
        <v>44883</v>
      </c>
      <c r="H697" s="5">
        <v>44891</v>
      </c>
      <c r="I697" s="4">
        <v>8</v>
      </c>
      <c r="J697" s="4" t="s">
        <v>33</v>
      </c>
      <c r="K697" s="4" t="s">
        <v>197</v>
      </c>
      <c r="L697" s="4" t="s">
        <v>198</v>
      </c>
      <c r="M697" s="4" t="s">
        <v>61</v>
      </c>
      <c r="N697" s="4" t="s">
        <v>109</v>
      </c>
      <c r="O697" s="4" t="s">
        <v>678</v>
      </c>
      <c r="P697" s="4">
        <v>152</v>
      </c>
      <c r="Q697" s="4" t="s">
        <v>103</v>
      </c>
      <c r="R697" s="4" t="s">
        <v>90</v>
      </c>
      <c r="S697" s="4">
        <v>143454</v>
      </c>
      <c r="T697" s="4">
        <v>87428</v>
      </c>
      <c r="U697" s="4">
        <v>56026</v>
      </c>
      <c r="V697" s="4">
        <v>122825</v>
      </c>
      <c r="W697" s="4">
        <v>8393</v>
      </c>
      <c r="X697" s="4">
        <v>10635</v>
      </c>
      <c r="Y697" s="4" t="s">
        <v>41</v>
      </c>
      <c r="Z697" s="4">
        <v>86</v>
      </c>
      <c r="AA697" s="4">
        <v>2.6</v>
      </c>
      <c r="AB697" s="4" t="s">
        <v>52</v>
      </c>
    </row>
    <row r="698" spans="1:28" x14ac:dyDescent="0.25">
      <c r="A698" s="2" t="s">
        <v>1347</v>
      </c>
      <c r="B698" s="2" t="s">
        <v>1348</v>
      </c>
      <c r="C698" s="2">
        <v>24</v>
      </c>
      <c r="D698" s="2" t="s">
        <v>55</v>
      </c>
      <c r="E698" s="2" t="s">
        <v>154</v>
      </c>
      <c r="F698" s="2" t="s">
        <v>150</v>
      </c>
      <c r="G698" s="3">
        <v>45336</v>
      </c>
      <c r="H698" s="3">
        <v>45337</v>
      </c>
      <c r="I698" s="2">
        <v>1</v>
      </c>
      <c r="J698" s="2" t="s">
        <v>123</v>
      </c>
      <c r="K698" s="2" t="s">
        <v>124</v>
      </c>
      <c r="L698" s="2" t="s">
        <v>125</v>
      </c>
      <c r="M698" s="2" t="s">
        <v>130</v>
      </c>
      <c r="N698" s="2" t="s">
        <v>109</v>
      </c>
      <c r="O698" s="2" t="s">
        <v>376</v>
      </c>
      <c r="P698" s="2">
        <v>44</v>
      </c>
      <c r="Q698" s="2" t="s">
        <v>39</v>
      </c>
      <c r="R698" s="2" t="s">
        <v>40</v>
      </c>
      <c r="S698" s="2">
        <v>38917</v>
      </c>
      <c r="T698" s="2">
        <v>20641</v>
      </c>
      <c r="U698" s="2">
        <v>18276</v>
      </c>
      <c r="V698" s="2">
        <v>24192</v>
      </c>
      <c r="W698" s="2">
        <v>6037</v>
      </c>
      <c r="X698" s="2">
        <v>7300</v>
      </c>
      <c r="Y698" s="2" t="s">
        <v>41</v>
      </c>
      <c r="Z698" s="2">
        <v>50</v>
      </c>
      <c r="AA698" s="2">
        <v>2.8</v>
      </c>
      <c r="AB698" s="2" t="s">
        <v>42</v>
      </c>
    </row>
    <row r="699" spans="1:28" x14ac:dyDescent="0.25">
      <c r="A699" s="4" t="s">
        <v>1349</v>
      </c>
      <c r="B699" s="4" t="s">
        <v>1350</v>
      </c>
      <c r="C699" s="4">
        <v>72</v>
      </c>
      <c r="D699" s="4" t="s">
        <v>30</v>
      </c>
      <c r="E699" s="4" t="s">
        <v>87</v>
      </c>
      <c r="F699" s="4" t="s">
        <v>129</v>
      </c>
      <c r="G699" s="5">
        <v>45653</v>
      </c>
      <c r="H699" s="5">
        <v>45657</v>
      </c>
      <c r="I699" s="4">
        <v>4</v>
      </c>
      <c r="J699" s="4" t="s">
        <v>33</v>
      </c>
      <c r="K699" s="4" t="s">
        <v>278</v>
      </c>
      <c r="L699" s="4" t="s">
        <v>279</v>
      </c>
      <c r="M699" s="4" t="s">
        <v>83</v>
      </c>
      <c r="N699" s="4" t="s">
        <v>37</v>
      </c>
      <c r="O699" s="4" t="s">
        <v>530</v>
      </c>
      <c r="P699" s="4">
        <v>429</v>
      </c>
      <c r="Q699" s="4" t="s">
        <v>103</v>
      </c>
      <c r="R699" s="4" t="s">
        <v>136</v>
      </c>
      <c r="S699" s="4">
        <v>109980</v>
      </c>
      <c r="T699" s="4">
        <v>0</v>
      </c>
      <c r="U699" s="4">
        <v>109980</v>
      </c>
      <c r="V699" s="4">
        <v>87766</v>
      </c>
      <c r="W699" s="4">
        <v>9527</v>
      </c>
      <c r="X699" s="4">
        <v>10433</v>
      </c>
      <c r="Y699" s="4" t="s">
        <v>41</v>
      </c>
      <c r="Z699" s="4">
        <v>91</v>
      </c>
      <c r="AA699" s="4">
        <v>4.3</v>
      </c>
      <c r="AB699" s="4" t="s">
        <v>104</v>
      </c>
    </row>
    <row r="700" spans="1:28" x14ac:dyDescent="0.25">
      <c r="A700" s="2" t="s">
        <v>1351</v>
      </c>
      <c r="B700" s="2" t="s">
        <v>450</v>
      </c>
      <c r="C700" s="2">
        <v>42</v>
      </c>
      <c r="D700" s="2" t="s">
        <v>30</v>
      </c>
      <c r="E700" s="2" t="s">
        <v>87</v>
      </c>
      <c r="F700" s="2" t="s">
        <v>157</v>
      </c>
      <c r="G700" s="3">
        <v>44798</v>
      </c>
      <c r="H700" s="3">
        <v>44824</v>
      </c>
      <c r="I700" s="2">
        <v>26</v>
      </c>
      <c r="J700" s="2" t="s">
        <v>140</v>
      </c>
      <c r="K700" s="2" t="s">
        <v>141</v>
      </c>
      <c r="L700" s="2" t="s">
        <v>142</v>
      </c>
      <c r="M700" s="2" t="s">
        <v>61</v>
      </c>
      <c r="N700" s="2" t="s">
        <v>62</v>
      </c>
      <c r="O700" s="2" t="s">
        <v>96</v>
      </c>
      <c r="P700" s="2">
        <v>203</v>
      </c>
      <c r="Q700" s="2" t="s">
        <v>39</v>
      </c>
      <c r="R700" s="2" t="s">
        <v>90</v>
      </c>
      <c r="S700" s="2">
        <v>159398</v>
      </c>
      <c r="T700" s="2">
        <v>133844</v>
      </c>
      <c r="U700" s="2">
        <v>25554</v>
      </c>
      <c r="V700" s="2">
        <v>140778</v>
      </c>
      <c r="W700" s="2">
        <v>6891</v>
      </c>
      <c r="X700" s="2">
        <v>9331</v>
      </c>
      <c r="Y700" s="2" t="s">
        <v>41</v>
      </c>
      <c r="Z700" s="2">
        <v>43</v>
      </c>
      <c r="AA700" s="2">
        <v>3.5</v>
      </c>
      <c r="AB700" s="2" t="s">
        <v>42</v>
      </c>
    </row>
    <row r="701" spans="1:28" x14ac:dyDescent="0.25">
      <c r="A701" s="4" t="s">
        <v>1352</v>
      </c>
      <c r="B701" s="4" t="s">
        <v>1353</v>
      </c>
      <c r="C701" s="4">
        <v>35</v>
      </c>
      <c r="D701" s="4" t="s">
        <v>55</v>
      </c>
      <c r="E701" s="4" t="s">
        <v>45</v>
      </c>
      <c r="F701" s="4" t="s">
        <v>94</v>
      </c>
      <c r="G701" s="5">
        <v>44753</v>
      </c>
      <c r="H701" s="5">
        <v>44762</v>
      </c>
      <c r="I701" s="4">
        <v>9</v>
      </c>
      <c r="J701" s="4" t="s">
        <v>140</v>
      </c>
      <c r="K701" s="4" t="s">
        <v>167</v>
      </c>
      <c r="L701" s="4" t="s">
        <v>142</v>
      </c>
      <c r="M701" s="4" t="s">
        <v>75</v>
      </c>
      <c r="N701" s="4" t="s">
        <v>109</v>
      </c>
      <c r="O701" s="4" t="s">
        <v>548</v>
      </c>
      <c r="P701" s="4">
        <v>219</v>
      </c>
      <c r="Q701" s="4" t="s">
        <v>103</v>
      </c>
      <c r="R701" s="4" t="s">
        <v>40</v>
      </c>
      <c r="S701" s="4">
        <v>84681</v>
      </c>
      <c r="T701" s="4">
        <v>51624</v>
      </c>
      <c r="U701" s="4">
        <v>33057</v>
      </c>
      <c r="V701" s="4">
        <v>41624</v>
      </c>
      <c r="W701" s="4">
        <v>27308</v>
      </c>
      <c r="X701" s="4">
        <v>13443</v>
      </c>
      <c r="Y701" s="4" t="s">
        <v>91</v>
      </c>
      <c r="Z701" s="4">
        <v>49</v>
      </c>
      <c r="AA701" s="4">
        <v>3.9</v>
      </c>
      <c r="AB701" s="4" t="s">
        <v>104</v>
      </c>
    </row>
    <row r="702" spans="1:28" x14ac:dyDescent="0.25">
      <c r="A702" s="2" t="s">
        <v>1354</v>
      </c>
      <c r="B702" s="2" t="s">
        <v>191</v>
      </c>
      <c r="C702" s="2">
        <v>15</v>
      </c>
      <c r="D702" s="2" t="s">
        <v>30</v>
      </c>
      <c r="E702" s="2" t="s">
        <v>87</v>
      </c>
      <c r="F702" s="2" t="s">
        <v>129</v>
      </c>
      <c r="G702" s="3">
        <v>45127</v>
      </c>
      <c r="H702" s="3">
        <v>45155</v>
      </c>
      <c r="I702" s="2">
        <v>28</v>
      </c>
      <c r="J702" s="2" t="s">
        <v>33</v>
      </c>
      <c r="K702" s="2" t="s">
        <v>47</v>
      </c>
      <c r="L702" s="2" t="s">
        <v>48</v>
      </c>
      <c r="M702" s="2" t="s">
        <v>130</v>
      </c>
      <c r="N702" s="2" t="s">
        <v>62</v>
      </c>
      <c r="O702" s="2" t="s">
        <v>38</v>
      </c>
      <c r="P702" s="2">
        <v>442</v>
      </c>
      <c r="Q702" s="2" t="s">
        <v>69</v>
      </c>
      <c r="R702" s="2" t="s">
        <v>90</v>
      </c>
      <c r="S702" s="2">
        <v>110019</v>
      </c>
      <c r="T702" s="2">
        <v>68739</v>
      </c>
      <c r="U702" s="2">
        <v>41280</v>
      </c>
      <c r="V702" s="2">
        <v>89540</v>
      </c>
      <c r="W702" s="2">
        <v>6404</v>
      </c>
      <c r="X702" s="2">
        <v>12911</v>
      </c>
      <c r="Y702" s="2" t="s">
        <v>41</v>
      </c>
      <c r="Z702" s="2">
        <v>100</v>
      </c>
      <c r="AA702" s="2">
        <v>4.4000000000000004</v>
      </c>
      <c r="AB702" s="2" t="s">
        <v>137</v>
      </c>
    </row>
    <row r="703" spans="1:28" x14ac:dyDescent="0.25">
      <c r="A703" s="4" t="s">
        <v>1355</v>
      </c>
      <c r="B703" s="4" t="s">
        <v>240</v>
      </c>
      <c r="C703" s="4">
        <v>52</v>
      </c>
      <c r="D703" s="4" t="s">
        <v>55</v>
      </c>
      <c r="E703" s="4" t="s">
        <v>122</v>
      </c>
      <c r="F703" s="4" t="s">
        <v>129</v>
      </c>
      <c r="G703" s="5">
        <v>45285</v>
      </c>
      <c r="H703" s="5">
        <v>45296</v>
      </c>
      <c r="I703" s="4">
        <v>11</v>
      </c>
      <c r="J703" s="4" t="s">
        <v>115</v>
      </c>
      <c r="K703" s="4" t="s">
        <v>116</v>
      </c>
      <c r="L703" s="4" t="s">
        <v>117</v>
      </c>
      <c r="M703" s="4" t="s">
        <v>75</v>
      </c>
      <c r="N703" s="4" t="s">
        <v>118</v>
      </c>
      <c r="O703" s="4" t="s">
        <v>471</v>
      </c>
      <c r="P703" s="4">
        <v>82</v>
      </c>
      <c r="Q703" s="4" t="s">
        <v>69</v>
      </c>
      <c r="R703" s="4" t="s">
        <v>51</v>
      </c>
      <c r="S703" s="4">
        <v>80823</v>
      </c>
      <c r="T703" s="4">
        <v>43890</v>
      </c>
      <c r="U703" s="4">
        <v>36933</v>
      </c>
      <c r="V703" s="4">
        <v>43782</v>
      </c>
      <c r="W703" s="4">
        <v>20672</v>
      </c>
      <c r="X703" s="4">
        <v>11446</v>
      </c>
      <c r="Y703" s="4" t="s">
        <v>41</v>
      </c>
      <c r="Z703" s="4">
        <v>98</v>
      </c>
      <c r="AA703" s="4">
        <v>4.3</v>
      </c>
      <c r="AB703" s="4" t="s">
        <v>64</v>
      </c>
    </row>
    <row r="704" spans="1:28" x14ac:dyDescent="0.25">
      <c r="A704" s="2" t="s">
        <v>1356</v>
      </c>
      <c r="B704" s="2" t="s">
        <v>339</v>
      </c>
      <c r="C704" s="2">
        <v>69</v>
      </c>
      <c r="D704" s="2" t="s">
        <v>55</v>
      </c>
      <c r="E704" s="2" t="s">
        <v>45</v>
      </c>
      <c r="F704" s="2" t="s">
        <v>114</v>
      </c>
      <c r="G704" s="3">
        <v>45522</v>
      </c>
      <c r="H704" s="3">
        <v>45524</v>
      </c>
      <c r="I704" s="2">
        <v>2</v>
      </c>
      <c r="J704" s="2" t="s">
        <v>202</v>
      </c>
      <c r="K704" s="2" t="s">
        <v>225</v>
      </c>
      <c r="L704" s="2" t="s">
        <v>226</v>
      </c>
      <c r="M704" s="2" t="s">
        <v>83</v>
      </c>
      <c r="N704" s="2" t="s">
        <v>62</v>
      </c>
      <c r="O704" s="2" t="s">
        <v>321</v>
      </c>
      <c r="P704" s="2">
        <v>26</v>
      </c>
      <c r="Q704" s="2" t="s">
        <v>69</v>
      </c>
      <c r="R704" s="2" t="s">
        <v>136</v>
      </c>
      <c r="S704" s="2">
        <v>92222</v>
      </c>
      <c r="T704" s="2">
        <v>0</v>
      </c>
      <c r="U704" s="2">
        <v>92222</v>
      </c>
      <c r="V704" s="2">
        <v>69385</v>
      </c>
      <c r="W704" s="2">
        <v>13382</v>
      </c>
      <c r="X704" s="2">
        <v>6158</v>
      </c>
      <c r="Y704" s="2" t="s">
        <v>91</v>
      </c>
      <c r="Z704" s="2">
        <v>86</v>
      </c>
      <c r="AA704" s="2">
        <v>3.5</v>
      </c>
      <c r="AB704" s="2" t="s">
        <v>42</v>
      </c>
    </row>
    <row r="705" spans="1:28" x14ac:dyDescent="0.25">
      <c r="A705" s="4" t="s">
        <v>1357</v>
      </c>
      <c r="B705" s="4" t="s">
        <v>245</v>
      </c>
      <c r="C705" s="4">
        <v>53</v>
      </c>
      <c r="D705" s="4" t="s">
        <v>55</v>
      </c>
      <c r="E705" s="4" t="s">
        <v>31</v>
      </c>
      <c r="F705" s="4" t="s">
        <v>114</v>
      </c>
      <c r="G705" s="5">
        <v>44867</v>
      </c>
      <c r="H705" s="5">
        <v>44893</v>
      </c>
      <c r="I705" s="4">
        <v>26</v>
      </c>
      <c r="J705" s="4" t="s">
        <v>140</v>
      </c>
      <c r="K705" s="4" t="s">
        <v>167</v>
      </c>
      <c r="L705" s="4" t="s">
        <v>142</v>
      </c>
      <c r="M705" s="4" t="s">
        <v>61</v>
      </c>
      <c r="N705" s="4" t="s">
        <v>118</v>
      </c>
      <c r="O705" s="4" t="s">
        <v>497</v>
      </c>
      <c r="P705" s="4">
        <v>188</v>
      </c>
      <c r="Q705" s="4" t="s">
        <v>50</v>
      </c>
      <c r="R705" s="4" t="s">
        <v>40</v>
      </c>
      <c r="S705" s="4">
        <v>130304</v>
      </c>
      <c r="T705" s="4">
        <v>76554</v>
      </c>
      <c r="U705" s="4">
        <v>53750</v>
      </c>
      <c r="V705" s="4">
        <v>103389</v>
      </c>
      <c r="W705" s="4">
        <v>24907</v>
      </c>
      <c r="X705" s="4">
        <v>1186</v>
      </c>
      <c r="Y705" s="4" t="s">
        <v>91</v>
      </c>
      <c r="Z705" s="4">
        <v>53</v>
      </c>
      <c r="AA705" s="4">
        <v>2.7</v>
      </c>
      <c r="AB705" s="4" t="s">
        <v>42</v>
      </c>
    </row>
    <row r="706" spans="1:28" x14ac:dyDescent="0.25">
      <c r="A706" s="2" t="s">
        <v>1358</v>
      </c>
      <c r="B706" s="2" t="s">
        <v>771</v>
      </c>
      <c r="C706" s="2">
        <v>76</v>
      </c>
      <c r="D706" s="2" t="s">
        <v>30</v>
      </c>
      <c r="E706" s="2" t="s">
        <v>45</v>
      </c>
      <c r="F706" s="2" t="s">
        <v>57</v>
      </c>
      <c r="G706" s="3">
        <v>45638</v>
      </c>
      <c r="H706" s="3">
        <v>45644</v>
      </c>
      <c r="I706" s="2">
        <v>6</v>
      </c>
      <c r="J706" s="2" t="s">
        <v>140</v>
      </c>
      <c r="K706" s="2" t="s">
        <v>141</v>
      </c>
      <c r="L706" s="2" t="s">
        <v>142</v>
      </c>
      <c r="M706" s="2" t="s">
        <v>130</v>
      </c>
      <c r="N706" s="2" t="s">
        <v>118</v>
      </c>
      <c r="O706" s="2" t="s">
        <v>396</v>
      </c>
      <c r="P706" s="2">
        <v>444</v>
      </c>
      <c r="Q706" s="2" t="s">
        <v>103</v>
      </c>
      <c r="R706" s="2" t="s">
        <v>136</v>
      </c>
      <c r="S706" s="2">
        <v>163074</v>
      </c>
      <c r="T706" s="2">
        <v>0</v>
      </c>
      <c r="U706" s="2">
        <v>163074</v>
      </c>
      <c r="V706" s="2">
        <v>143562</v>
      </c>
      <c r="W706" s="2">
        <v>5071</v>
      </c>
      <c r="X706" s="2">
        <v>9606</v>
      </c>
      <c r="Y706" s="2" t="s">
        <v>41</v>
      </c>
      <c r="Z706" s="2">
        <v>56</v>
      </c>
      <c r="AA706" s="2">
        <v>3.9</v>
      </c>
      <c r="AB706" s="2" t="s">
        <v>52</v>
      </c>
    </row>
    <row r="707" spans="1:28" x14ac:dyDescent="0.25">
      <c r="A707" s="4" t="s">
        <v>1359</v>
      </c>
      <c r="B707" s="4" t="s">
        <v>1360</v>
      </c>
      <c r="C707" s="4">
        <v>75</v>
      </c>
      <c r="D707" s="4" t="s">
        <v>30</v>
      </c>
      <c r="E707" s="4" t="s">
        <v>87</v>
      </c>
      <c r="F707" s="4" t="s">
        <v>32</v>
      </c>
      <c r="G707" s="5">
        <v>45618</v>
      </c>
      <c r="H707" s="5">
        <v>45625</v>
      </c>
      <c r="I707" s="4">
        <v>7</v>
      </c>
      <c r="J707" s="4" t="s">
        <v>115</v>
      </c>
      <c r="K707" s="4" t="s">
        <v>116</v>
      </c>
      <c r="L707" s="4" t="s">
        <v>117</v>
      </c>
      <c r="M707" s="4" t="s">
        <v>75</v>
      </c>
      <c r="N707" s="4" t="s">
        <v>62</v>
      </c>
      <c r="O707" s="4" t="s">
        <v>63</v>
      </c>
      <c r="P707" s="4">
        <v>125</v>
      </c>
      <c r="Q707" s="4" t="s">
        <v>39</v>
      </c>
      <c r="R707" s="4" t="s">
        <v>90</v>
      </c>
      <c r="S707" s="4">
        <v>75891</v>
      </c>
      <c r="T707" s="4">
        <v>62063</v>
      </c>
      <c r="U707" s="4">
        <v>13828</v>
      </c>
      <c r="V707" s="4">
        <v>42093</v>
      </c>
      <c r="W707" s="4">
        <v>23827</v>
      </c>
      <c r="X707" s="4">
        <v>7054</v>
      </c>
      <c r="Y707" s="4" t="s">
        <v>41</v>
      </c>
      <c r="Z707" s="4">
        <v>81</v>
      </c>
      <c r="AA707" s="4">
        <v>4</v>
      </c>
      <c r="AB707" s="4" t="s">
        <v>52</v>
      </c>
    </row>
    <row r="708" spans="1:28" x14ac:dyDescent="0.25">
      <c r="A708" s="2" t="s">
        <v>1361</v>
      </c>
      <c r="B708" s="2" t="s">
        <v>625</v>
      </c>
      <c r="C708" s="2">
        <v>25</v>
      </c>
      <c r="D708" s="2" t="s">
        <v>55</v>
      </c>
      <c r="E708" s="2" t="s">
        <v>31</v>
      </c>
      <c r="F708" s="2" t="s">
        <v>114</v>
      </c>
      <c r="G708" s="3">
        <v>44829</v>
      </c>
      <c r="H708" s="3">
        <v>44841</v>
      </c>
      <c r="I708" s="2">
        <v>12</v>
      </c>
      <c r="J708" s="2" t="s">
        <v>202</v>
      </c>
      <c r="K708" s="2" t="s">
        <v>225</v>
      </c>
      <c r="L708" s="2" t="s">
        <v>226</v>
      </c>
      <c r="M708" s="2" t="s">
        <v>61</v>
      </c>
      <c r="N708" s="2" t="s">
        <v>62</v>
      </c>
      <c r="O708" s="2" t="s">
        <v>471</v>
      </c>
      <c r="P708" s="2">
        <v>43</v>
      </c>
      <c r="Q708" s="2" t="s">
        <v>103</v>
      </c>
      <c r="R708" s="2" t="s">
        <v>90</v>
      </c>
      <c r="S708" s="2">
        <v>132380</v>
      </c>
      <c r="T708" s="2">
        <v>85650</v>
      </c>
      <c r="U708" s="2">
        <v>46730</v>
      </c>
      <c r="V708" s="2">
        <v>107284</v>
      </c>
      <c r="W708" s="2">
        <v>10555</v>
      </c>
      <c r="X708" s="2">
        <v>10848</v>
      </c>
      <c r="Y708" s="2" t="s">
        <v>41</v>
      </c>
      <c r="Z708" s="2">
        <v>63</v>
      </c>
      <c r="AA708" s="2">
        <v>4.3</v>
      </c>
      <c r="AB708" s="2" t="s">
        <v>104</v>
      </c>
    </row>
    <row r="709" spans="1:28" x14ac:dyDescent="0.25">
      <c r="A709" s="4" t="s">
        <v>1362</v>
      </c>
      <c r="B709" s="4" t="s">
        <v>785</v>
      </c>
      <c r="C709" s="4">
        <v>34</v>
      </c>
      <c r="D709" s="4" t="s">
        <v>30</v>
      </c>
      <c r="E709" s="4" t="s">
        <v>45</v>
      </c>
      <c r="F709" s="4" t="s">
        <v>94</v>
      </c>
      <c r="G709" s="5">
        <v>44944</v>
      </c>
      <c r="H709" s="5">
        <v>44954</v>
      </c>
      <c r="I709" s="4">
        <v>10</v>
      </c>
      <c r="J709" s="4" t="s">
        <v>115</v>
      </c>
      <c r="K709" s="4" t="s">
        <v>160</v>
      </c>
      <c r="L709" s="4" t="s">
        <v>117</v>
      </c>
      <c r="M709" s="4" t="s">
        <v>36</v>
      </c>
      <c r="N709" s="4" t="s">
        <v>37</v>
      </c>
      <c r="O709" s="4" t="s">
        <v>63</v>
      </c>
      <c r="P709" s="4">
        <v>211</v>
      </c>
      <c r="Q709" s="4" t="s">
        <v>50</v>
      </c>
      <c r="R709" s="4" t="s">
        <v>136</v>
      </c>
      <c r="S709" s="4">
        <v>178030</v>
      </c>
      <c r="T709" s="4">
        <v>0</v>
      </c>
      <c r="U709" s="4">
        <v>178030</v>
      </c>
      <c r="V709" s="4">
        <v>139474</v>
      </c>
      <c r="W709" s="4">
        <v>19864</v>
      </c>
      <c r="X709" s="4">
        <v>13848</v>
      </c>
      <c r="Y709" s="4" t="s">
        <v>41</v>
      </c>
      <c r="Z709" s="4">
        <v>98</v>
      </c>
      <c r="AA709" s="4">
        <v>2.1</v>
      </c>
      <c r="AB709" s="4" t="s">
        <v>64</v>
      </c>
    </row>
    <row r="710" spans="1:28" x14ac:dyDescent="0.25">
      <c r="A710" s="2" t="s">
        <v>1363</v>
      </c>
      <c r="B710" s="2" t="s">
        <v>1364</v>
      </c>
      <c r="C710" s="2">
        <v>52</v>
      </c>
      <c r="D710" s="2" t="s">
        <v>55</v>
      </c>
      <c r="E710" s="2" t="s">
        <v>154</v>
      </c>
      <c r="F710" s="2" t="s">
        <v>46</v>
      </c>
      <c r="G710" s="3">
        <v>45241</v>
      </c>
      <c r="H710" s="3">
        <v>45265</v>
      </c>
      <c r="I710" s="2">
        <v>24</v>
      </c>
      <c r="J710" s="2" t="s">
        <v>140</v>
      </c>
      <c r="K710" s="2" t="s">
        <v>141</v>
      </c>
      <c r="L710" s="2" t="s">
        <v>142</v>
      </c>
      <c r="M710" s="2" t="s">
        <v>101</v>
      </c>
      <c r="N710" s="2" t="s">
        <v>62</v>
      </c>
      <c r="O710" s="2" t="s">
        <v>497</v>
      </c>
      <c r="P710" s="2">
        <v>149</v>
      </c>
      <c r="Q710" s="2" t="s">
        <v>69</v>
      </c>
      <c r="R710" s="2" t="s">
        <v>136</v>
      </c>
      <c r="S710" s="2">
        <v>81561</v>
      </c>
      <c r="T710" s="2">
        <v>0</v>
      </c>
      <c r="U710" s="2">
        <v>81561</v>
      </c>
      <c r="V710" s="2">
        <v>67604</v>
      </c>
      <c r="W710" s="2">
        <v>7705</v>
      </c>
      <c r="X710" s="2">
        <v>4041</v>
      </c>
      <c r="Y710" s="2" t="s">
        <v>41</v>
      </c>
      <c r="Z710" s="2">
        <v>92</v>
      </c>
      <c r="AA710" s="2">
        <v>3.1</v>
      </c>
      <c r="AB710" s="2" t="s">
        <v>42</v>
      </c>
    </row>
    <row r="711" spans="1:28" x14ac:dyDescent="0.25">
      <c r="A711" s="4" t="s">
        <v>1365</v>
      </c>
      <c r="B711" s="4" t="s">
        <v>1300</v>
      </c>
      <c r="C711" s="4">
        <v>45</v>
      </c>
      <c r="D711" s="4" t="s">
        <v>55</v>
      </c>
      <c r="E711" s="4" t="s">
        <v>67</v>
      </c>
      <c r="F711" s="4" t="s">
        <v>32</v>
      </c>
      <c r="G711" s="5">
        <v>44851</v>
      </c>
      <c r="H711" s="5">
        <v>44877</v>
      </c>
      <c r="I711" s="4">
        <v>26</v>
      </c>
      <c r="J711" s="4" t="s">
        <v>33</v>
      </c>
      <c r="K711" s="4" t="s">
        <v>34</v>
      </c>
      <c r="L711" s="4" t="s">
        <v>35</v>
      </c>
      <c r="M711" s="4" t="s">
        <v>36</v>
      </c>
      <c r="N711" s="4" t="s">
        <v>37</v>
      </c>
      <c r="O711" s="4" t="s">
        <v>96</v>
      </c>
      <c r="P711" s="4">
        <v>370</v>
      </c>
      <c r="Q711" s="4" t="s">
        <v>69</v>
      </c>
      <c r="R711" s="4" t="s">
        <v>51</v>
      </c>
      <c r="S711" s="4">
        <v>44770</v>
      </c>
      <c r="T711" s="4">
        <v>25877</v>
      </c>
      <c r="U711" s="4">
        <v>18893</v>
      </c>
      <c r="V711" s="4">
        <v>17669</v>
      </c>
      <c r="W711" s="4">
        <v>20872</v>
      </c>
      <c r="X711" s="4">
        <v>3754</v>
      </c>
      <c r="Y711" s="4" t="s">
        <v>41</v>
      </c>
      <c r="Z711" s="4">
        <v>52</v>
      </c>
      <c r="AA711" s="4">
        <v>3.5</v>
      </c>
      <c r="AB711" s="4" t="s">
        <v>64</v>
      </c>
    </row>
    <row r="712" spans="1:28" x14ac:dyDescent="0.25">
      <c r="A712" s="2" t="s">
        <v>1366</v>
      </c>
      <c r="B712" s="2" t="s">
        <v>987</v>
      </c>
      <c r="C712" s="2">
        <v>33</v>
      </c>
      <c r="D712" s="2" t="s">
        <v>55</v>
      </c>
      <c r="E712" s="2" t="s">
        <v>67</v>
      </c>
      <c r="F712" s="2" t="s">
        <v>57</v>
      </c>
      <c r="G712" s="3">
        <v>44719</v>
      </c>
      <c r="H712" s="3">
        <v>44722</v>
      </c>
      <c r="I712" s="2">
        <v>3</v>
      </c>
      <c r="J712" s="2" t="s">
        <v>33</v>
      </c>
      <c r="K712" s="2" t="s">
        <v>233</v>
      </c>
      <c r="L712" s="2" t="s">
        <v>35</v>
      </c>
      <c r="M712" s="2" t="s">
        <v>83</v>
      </c>
      <c r="N712" s="2" t="s">
        <v>118</v>
      </c>
      <c r="O712" s="2" t="s">
        <v>376</v>
      </c>
      <c r="P712" s="2">
        <v>237</v>
      </c>
      <c r="Q712" s="2" t="s">
        <v>103</v>
      </c>
      <c r="R712" s="2" t="s">
        <v>51</v>
      </c>
      <c r="S712" s="2">
        <v>146449</v>
      </c>
      <c r="T712" s="2">
        <v>67749</v>
      </c>
      <c r="U712" s="2">
        <v>78700</v>
      </c>
      <c r="V712" s="2">
        <v>142487</v>
      </c>
      <c r="W712" s="2">
        <v>1274</v>
      </c>
      <c r="X712" s="2">
        <v>674</v>
      </c>
      <c r="Y712" s="2" t="s">
        <v>91</v>
      </c>
      <c r="Z712" s="2">
        <v>91</v>
      </c>
      <c r="AA712" s="2">
        <v>2.1</v>
      </c>
      <c r="AB712" s="2" t="s">
        <v>104</v>
      </c>
    </row>
    <row r="713" spans="1:28" x14ac:dyDescent="0.25">
      <c r="A713" s="4" t="s">
        <v>1367</v>
      </c>
      <c r="B713" s="4" t="s">
        <v>1153</v>
      </c>
      <c r="C713" s="4">
        <v>19</v>
      </c>
      <c r="D713" s="4" t="s">
        <v>55</v>
      </c>
      <c r="E713" s="4" t="s">
        <v>122</v>
      </c>
      <c r="F713" s="4" t="s">
        <v>32</v>
      </c>
      <c r="G713" s="5">
        <v>45334</v>
      </c>
      <c r="H713" s="5">
        <v>45345</v>
      </c>
      <c r="I713" s="4">
        <v>11</v>
      </c>
      <c r="J713" s="4" t="s">
        <v>33</v>
      </c>
      <c r="K713" s="4" t="s">
        <v>174</v>
      </c>
      <c r="L713" s="4" t="s">
        <v>48</v>
      </c>
      <c r="M713" s="4" t="s">
        <v>134</v>
      </c>
      <c r="N713" s="4" t="s">
        <v>118</v>
      </c>
      <c r="O713" s="4" t="s">
        <v>520</v>
      </c>
      <c r="P713" s="4">
        <v>492</v>
      </c>
      <c r="Q713" s="4" t="s">
        <v>103</v>
      </c>
      <c r="R713" s="4" t="s">
        <v>90</v>
      </c>
      <c r="S713" s="4">
        <v>84716</v>
      </c>
      <c r="T713" s="4">
        <v>54233</v>
      </c>
      <c r="U713" s="4">
        <v>30483</v>
      </c>
      <c r="V713" s="4">
        <v>61020</v>
      </c>
      <c r="W713" s="4">
        <v>13837</v>
      </c>
      <c r="X713" s="4">
        <v>6527</v>
      </c>
      <c r="Y713" s="4" t="s">
        <v>91</v>
      </c>
      <c r="Z713" s="4">
        <v>59</v>
      </c>
      <c r="AA713" s="4">
        <v>3.8</v>
      </c>
      <c r="AB713" s="4" t="s">
        <v>104</v>
      </c>
    </row>
    <row r="714" spans="1:28" x14ac:dyDescent="0.25">
      <c r="A714" s="2" t="s">
        <v>1368</v>
      </c>
      <c r="B714" s="2" t="s">
        <v>805</v>
      </c>
      <c r="C714" s="2">
        <v>78</v>
      </c>
      <c r="D714" s="2" t="s">
        <v>30</v>
      </c>
      <c r="E714" s="2" t="s">
        <v>56</v>
      </c>
      <c r="F714" s="2" t="s">
        <v>94</v>
      </c>
      <c r="G714" s="3">
        <v>45160</v>
      </c>
      <c r="H714" s="3">
        <v>45168</v>
      </c>
      <c r="I714" s="2">
        <v>8</v>
      </c>
      <c r="J714" s="2" t="s">
        <v>73</v>
      </c>
      <c r="K714" s="2" t="s">
        <v>74</v>
      </c>
      <c r="L714" s="2" t="s">
        <v>73</v>
      </c>
      <c r="M714" s="2" t="s">
        <v>75</v>
      </c>
      <c r="N714" s="2" t="s">
        <v>37</v>
      </c>
      <c r="O714" s="2" t="s">
        <v>497</v>
      </c>
      <c r="P714" s="2">
        <v>301</v>
      </c>
      <c r="Q714" s="2" t="s">
        <v>39</v>
      </c>
      <c r="R714" s="2" t="s">
        <v>111</v>
      </c>
      <c r="S714" s="2">
        <v>78273</v>
      </c>
      <c r="T714" s="2">
        <v>69074</v>
      </c>
      <c r="U714" s="2">
        <v>9199</v>
      </c>
      <c r="V714" s="2">
        <v>56040</v>
      </c>
      <c r="W714" s="2">
        <v>6590</v>
      </c>
      <c r="X714" s="2">
        <v>13852</v>
      </c>
      <c r="Y714" s="2" t="s">
        <v>41</v>
      </c>
      <c r="Z714" s="2">
        <v>72</v>
      </c>
      <c r="AA714" s="2">
        <v>2.4</v>
      </c>
      <c r="AB714" s="2" t="s">
        <v>64</v>
      </c>
    </row>
    <row r="715" spans="1:28" x14ac:dyDescent="0.25">
      <c r="A715" s="4" t="s">
        <v>1369</v>
      </c>
      <c r="B715" s="4" t="s">
        <v>475</v>
      </c>
      <c r="C715" s="4">
        <v>47</v>
      </c>
      <c r="D715" s="4" t="s">
        <v>30</v>
      </c>
      <c r="E715" s="4" t="s">
        <v>67</v>
      </c>
      <c r="F715" s="4" t="s">
        <v>157</v>
      </c>
      <c r="G715" s="5">
        <v>44750</v>
      </c>
      <c r="H715" s="5">
        <v>44759</v>
      </c>
      <c r="I715" s="4">
        <v>9</v>
      </c>
      <c r="J715" s="4" t="s">
        <v>33</v>
      </c>
      <c r="K715" s="4" t="s">
        <v>197</v>
      </c>
      <c r="L715" s="4" t="s">
        <v>198</v>
      </c>
      <c r="M715" s="4" t="s">
        <v>143</v>
      </c>
      <c r="N715" s="4" t="s">
        <v>37</v>
      </c>
      <c r="O715" s="4" t="s">
        <v>300</v>
      </c>
      <c r="P715" s="4">
        <v>323</v>
      </c>
      <c r="Q715" s="4" t="s">
        <v>69</v>
      </c>
      <c r="R715" s="4" t="s">
        <v>136</v>
      </c>
      <c r="S715" s="4">
        <v>95422</v>
      </c>
      <c r="T715" s="4">
        <v>0</v>
      </c>
      <c r="U715" s="4">
        <v>95422</v>
      </c>
      <c r="V715" s="4">
        <v>67298</v>
      </c>
      <c r="W715" s="4">
        <v>17134</v>
      </c>
      <c r="X715" s="4">
        <v>6979</v>
      </c>
      <c r="Y715" s="4" t="s">
        <v>41</v>
      </c>
      <c r="Z715" s="4">
        <v>90</v>
      </c>
      <c r="AA715" s="4">
        <v>4.2</v>
      </c>
      <c r="AB715" s="4" t="s">
        <v>42</v>
      </c>
    </row>
    <row r="716" spans="1:28" x14ac:dyDescent="0.25">
      <c r="A716" s="2" t="s">
        <v>1370</v>
      </c>
      <c r="B716" s="2" t="s">
        <v>1371</v>
      </c>
      <c r="C716" s="2">
        <v>19</v>
      </c>
      <c r="D716" s="2" t="s">
        <v>55</v>
      </c>
      <c r="E716" s="2" t="s">
        <v>67</v>
      </c>
      <c r="F716" s="2" t="s">
        <v>57</v>
      </c>
      <c r="G716" s="3">
        <v>44648</v>
      </c>
      <c r="H716" s="3">
        <v>44655</v>
      </c>
      <c r="I716" s="2">
        <v>7</v>
      </c>
      <c r="J716" s="2" t="s">
        <v>33</v>
      </c>
      <c r="K716" s="2" t="s">
        <v>197</v>
      </c>
      <c r="L716" s="2" t="s">
        <v>198</v>
      </c>
      <c r="M716" s="2" t="s">
        <v>61</v>
      </c>
      <c r="N716" s="2" t="s">
        <v>118</v>
      </c>
      <c r="O716" s="2" t="s">
        <v>171</v>
      </c>
      <c r="P716" s="2">
        <v>453</v>
      </c>
      <c r="Q716" s="2" t="s">
        <v>69</v>
      </c>
      <c r="R716" s="2" t="s">
        <v>90</v>
      </c>
      <c r="S716" s="2">
        <v>128261</v>
      </c>
      <c r="T716" s="2">
        <v>79753</v>
      </c>
      <c r="U716" s="2">
        <v>48508</v>
      </c>
      <c r="V716" s="2">
        <v>106262</v>
      </c>
      <c r="W716" s="2">
        <v>6046</v>
      </c>
      <c r="X716" s="2">
        <v>11721</v>
      </c>
      <c r="Y716" s="2" t="s">
        <v>41</v>
      </c>
      <c r="Z716" s="2">
        <v>53</v>
      </c>
      <c r="AA716" s="2">
        <v>2.2999999999999998</v>
      </c>
      <c r="AB716" s="2" t="s">
        <v>64</v>
      </c>
    </row>
    <row r="717" spans="1:28" x14ac:dyDescent="0.25">
      <c r="A717" s="4" t="s">
        <v>1372</v>
      </c>
      <c r="B717" s="4" t="s">
        <v>657</v>
      </c>
      <c r="C717" s="4">
        <v>37</v>
      </c>
      <c r="D717" s="4" t="s">
        <v>30</v>
      </c>
      <c r="E717" s="4" t="s">
        <v>45</v>
      </c>
      <c r="F717" s="4" t="s">
        <v>57</v>
      </c>
      <c r="G717" s="5">
        <v>45442</v>
      </c>
      <c r="H717" s="5">
        <v>45459</v>
      </c>
      <c r="I717" s="4">
        <v>17</v>
      </c>
      <c r="J717" s="4" t="s">
        <v>33</v>
      </c>
      <c r="K717" s="4" t="s">
        <v>99</v>
      </c>
      <c r="L717" s="4" t="s">
        <v>100</v>
      </c>
      <c r="M717" s="4" t="s">
        <v>108</v>
      </c>
      <c r="N717" s="4" t="s">
        <v>62</v>
      </c>
      <c r="O717" s="4" t="s">
        <v>189</v>
      </c>
      <c r="P717" s="4">
        <v>218</v>
      </c>
      <c r="Q717" s="4" t="s">
        <v>39</v>
      </c>
      <c r="R717" s="4" t="s">
        <v>51</v>
      </c>
      <c r="S717" s="4">
        <v>95242</v>
      </c>
      <c r="T717" s="4">
        <v>46394</v>
      </c>
      <c r="U717" s="4">
        <v>48848</v>
      </c>
      <c r="V717" s="4">
        <v>60275</v>
      </c>
      <c r="W717" s="4">
        <v>18186</v>
      </c>
      <c r="X717" s="4">
        <v>14121</v>
      </c>
      <c r="Y717" s="4" t="s">
        <v>41</v>
      </c>
      <c r="Z717" s="4">
        <v>47</v>
      </c>
      <c r="AA717" s="4">
        <v>2.7</v>
      </c>
      <c r="AB717" s="4" t="s">
        <v>42</v>
      </c>
    </row>
    <row r="718" spans="1:28" x14ac:dyDescent="0.25">
      <c r="A718" s="2" t="s">
        <v>1373</v>
      </c>
      <c r="B718" s="2" t="s">
        <v>599</v>
      </c>
      <c r="C718" s="2">
        <v>62</v>
      </c>
      <c r="D718" s="2" t="s">
        <v>55</v>
      </c>
      <c r="E718" s="2" t="s">
        <v>45</v>
      </c>
      <c r="F718" s="2" t="s">
        <v>46</v>
      </c>
      <c r="G718" s="3">
        <v>45048</v>
      </c>
      <c r="H718" s="3">
        <v>45064</v>
      </c>
      <c r="I718" s="2">
        <v>16</v>
      </c>
      <c r="J718" s="2" t="s">
        <v>33</v>
      </c>
      <c r="K718" s="2" t="s">
        <v>99</v>
      </c>
      <c r="L718" s="2" t="s">
        <v>100</v>
      </c>
      <c r="M718" s="2" t="s">
        <v>143</v>
      </c>
      <c r="N718" s="2" t="s">
        <v>37</v>
      </c>
      <c r="O718" s="2" t="s">
        <v>1038</v>
      </c>
      <c r="P718" s="2">
        <v>120</v>
      </c>
      <c r="Q718" s="2" t="s">
        <v>50</v>
      </c>
      <c r="R718" s="2" t="s">
        <v>51</v>
      </c>
      <c r="S718" s="2">
        <v>46003</v>
      </c>
      <c r="T718" s="2">
        <v>24633</v>
      </c>
      <c r="U718" s="2">
        <v>21370</v>
      </c>
      <c r="V718" s="2">
        <v>37541</v>
      </c>
      <c r="W718" s="2">
        <v>2749</v>
      </c>
      <c r="X718" s="2">
        <v>2178</v>
      </c>
      <c r="Y718" s="2" t="s">
        <v>41</v>
      </c>
      <c r="Z718" s="2">
        <v>78</v>
      </c>
      <c r="AA718" s="2">
        <v>4.5</v>
      </c>
      <c r="AB718" s="2" t="s">
        <v>42</v>
      </c>
    </row>
    <row r="719" spans="1:28" x14ac:dyDescent="0.25">
      <c r="A719" s="4" t="s">
        <v>1374</v>
      </c>
      <c r="B719" s="4" t="s">
        <v>1375</v>
      </c>
      <c r="C719" s="4">
        <v>79</v>
      </c>
      <c r="D719" s="4" t="s">
        <v>55</v>
      </c>
      <c r="E719" s="4" t="s">
        <v>79</v>
      </c>
      <c r="F719" s="4" t="s">
        <v>46</v>
      </c>
      <c r="G719" s="5">
        <v>44934</v>
      </c>
      <c r="H719" s="5">
        <v>44964</v>
      </c>
      <c r="I719" s="4">
        <v>30</v>
      </c>
      <c r="J719" s="4" t="s">
        <v>123</v>
      </c>
      <c r="K719" s="4" t="s">
        <v>251</v>
      </c>
      <c r="L719" s="4" t="s">
        <v>125</v>
      </c>
      <c r="M719" s="4" t="s">
        <v>134</v>
      </c>
      <c r="N719" s="4" t="s">
        <v>109</v>
      </c>
      <c r="O719" s="4" t="s">
        <v>431</v>
      </c>
      <c r="P719" s="4">
        <v>362</v>
      </c>
      <c r="Q719" s="4" t="s">
        <v>103</v>
      </c>
      <c r="R719" s="4" t="s">
        <v>51</v>
      </c>
      <c r="S719" s="4">
        <v>149241</v>
      </c>
      <c r="T719" s="4">
        <v>96870</v>
      </c>
      <c r="U719" s="4">
        <v>52371</v>
      </c>
      <c r="V719" s="4">
        <v>103531</v>
      </c>
      <c r="W719" s="4">
        <v>29494</v>
      </c>
      <c r="X719" s="4">
        <v>13288</v>
      </c>
      <c r="Y719" s="4" t="s">
        <v>41</v>
      </c>
      <c r="Z719" s="4">
        <v>88</v>
      </c>
      <c r="AA719" s="4">
        <v>3.8</v>
      </c>
      <c r="AB719" s="4" t="s">
        <v>137</v>
      </c>
    </row>
    <row r="720" spans="1:28" x14ac:dyDescent="0.25">
      <c r="A720" s="2" t="s">
        <v>1376</v>
      </c>
      <c r="B720" s="2" t="s">
        <v>612</v>
      </c>
      <c r="C720" s="2">
        <v>42</v>
      </c>
      <c r="D720" s="2" t="s">
        <v>55</v>
      </c>
      <c r="E720" s="2" t="s">
        <v>45</v>
      </c>
      <c r="F720" s="2" t="s">
        <v>72</v>
      </c>
      <c r="G720" s="3">
        <v>45348</v>
      </c>
      <c r="H720" s="3">
        <v>45369</v>
      </c>
      <c r="I720" s="2">
        <v>21</v>
      </c>
      <c r="J720" s="2" t="s">
        <v>33</v>
      </c>
      <c r="K720" s="2" t="s">
        <v>278</v>
      </c>
      <c r="L720" s="2" t="s">
        <v>279</v>
      </c>
      <c r="M720" s="2" t="s">
        <v>143</v>
      </c>
      <c r="N720" s="2" t="s">
        <v>118</v>
      </c>
      <c r="O720" s="2" t="s">
        <v>520</v>
      </c>
      <c r="P720" s="2">
        <v>151</v>
      </c>
      <c r="Q720" s="2" t="s">
        <v>69</v>
      </c>
      <c r="R720" s="2" t="s">
        <v>51</v>
      </c>
      <c r="S720" s="2">
        <v>118548</v>
      </c>
      <c r="T720" s="2">
        <v>81322</v>
      </c>
      <c r="U720" s="2">
        <v>37226</v>
      </c>
      <c r="V720" s="2">
        <v>86158</v>
      </c>
      <c r="W720" s="2">
        <v>19660</v>
      </c>
      <c r="X720" s="2">
        <v>10638</v>
      </c>
      <c r="Y720" s="2" t="s">
        <v>41</v>
      </c>
      <c r="Z720" s="2">
        <v>46</v>
      </c>
      <c r="AA720" s="2">
        <v>2.6</v>
      </c>
      <c r="AB720" s="2" t="s">
        <v>64</v>
      </c>
    </row>
    <row r="721" spans="1:28" x14ac:dyDescent="0.25">
      <c r="A721" s="4" t="s">
        <v>1377</v>
      </c>
      <c r="B721" s="4" t="s">
        <v>1046</v>
      </c>
      <c r="C721" s="4">
        <v>60</v>
      </c>
      <c r="D721" s="4" t="s">
        <v>30</v>
      </c>
      <c r="E721" s="4" t="s">
        <v>122</v>
      </c>
      <c r="F721" s="4" t="s">
        <v>114</v>
      </c>
      <c r="G721" s="5">
        <v>44609</v>
      </c>
      <c r="H721" s="5">
        <v>44627</v>
      </c>
      <c r="I721" s="4">
        <v>18</v>
      </c>
      <c r="J721" s="4" t="s">
        <v>33</v>
      </c>
      <c r="K721" s="4" t="s">
        <v>174</v>
      </c>
      <c r="L721" s="4" t="s">
        <v>48</v>
      </c>
      <c r="M721" s="4" t="s">
        <v>108</v>
      </c>
      <c r="N721" s="4" t="s">
        <v>62</v>
      </c>
      <c r="O721" s="4" t="s">
        <v>352</v>
      </c>
      <c r="P721" s="4">
        <v>498</v>
      </c>
      <c r="Q721" s="4" t="s">
        <v>69</v>
      </c>
      <c r="R721" s="4" t="s">
        <v>111</v>
      </c>
      <c r="S721" s="4">
        <v>83214</v>
      </c>
      <c r="T721" s="4">
        <v>63950</v>
      </c>
      <c r="U721" s="4">
        <v>19264</v>
      </c>
      <c r="V721" s="4">
        <v>50590</v>
      </c>
      <c r="W721" s="4">
        <v>25552</v>
      </c>
      <c r="X721" s="4">
        <v>4037</v>
      </c>
      <c r="Y721" s="4" t="s">
        <v>41</v>
      </c>
      <c r="Z721" s="4">
        <v>54</v>
      </c>
      <c r="AA721" s="4">
        <v>3.6</v>
      </c>
      <c r="AB721" s="4" t="s">
        <v>64</v>
      </c>
    </row>
    <row r="722" spans="1:28" x14ac:dyDescent="0.25">
      <c r="A722" s="2" t="s">
        <v>1378</v>
      </c>
      <c r="B722" s="2" t="s">
        <v>1379</v>
      </c>
      <c r="C722" s="2">
        <v>51</v>
      </c>
      <c r="D722" s="2" t="s">
        <v>55</v>
      </c>
      <c r="E722" s="2" t="s">
        <v>154</v>
      </c>
      <c r="F722" s="2" t="s">
        <v>94</v>
      </c>
      <c r="G722" s="3">
        <v>44597</v>
      </c>
      <c r="H722" s="3">
        <v>44624</v>
      </c>
      <c r="I722" s="2">
        <v>27</v>
      </c>
      <c r="J722" s="2" t="s">
        <v>58</v>
      </c>
      <c r="K722" s="2" t="s">
        <v>59</v>
      </c>
      <c r="L722" s="2" t="s">
        <v>60</v>
      </c>
      <c r="M722" s="2" t="s">
        <v>95</v>
      </c>
      <c r="N722" s="2" t="s">
        <v>37</v>
      </c>
      <c r="O722" s="2" t="s">
        <v>241</v>
      </c>
      <c r="P722" s="2">
        <v>462</v>
      </c>
      <c r="Q722" s="2" t="s">
        <v>103</v>
      </c>
      <c r="R722" s="2" t="s">
        <v>136</v>
      </c>
      <c r="S722" s="2">
        <v>47233</v>
      </c>
      <c r="T722" s="2">
        <v>0</v>
      </c>
      <c r="U722" s="2">
        <v>47233</v>
      </c>
      <c r="V722" s="2">
        <v>12848</v>
      </c>
      <c r="W722" s="2">
        <v>18997</v>
      </c>
      <c r="X722" s="2">
        <v>13682</v>
      </c>
      <c r="Y722" s="2" t="s">
        <v>41</v>
      </c>
      <c r="Z722" s="2">
        <v>88</v>
      </c>
      <c r="AA722" s="2">
        <v>3.1</v>
      </c>
      <c r="AB722" s="2" t="s">
        <v>64</v>
      </c>
    </row>
    <row r="723" spans="1:28" x14ac:dyDescent="0.25">
      <c r="A723" s="4" t="s">
        <v>1380</v>
      </c>
      <c r="B723" s="4" t="s">
        <v>1381</v>
      </c>
      <c r="C723" s="4">
        <v>16</v>
      </c>
      <c r="D723" s="4" t="s">
        <v>30</v>
      </c>
      <c r="E723" s="4" t="s">
        <v>67</v>
      </c>
      <c r="F723" s="4" t="s">
        <v>80</v>
      </c>
      <c r="G723" s="5">
        <v>45395</v>
      </c>
      <c r="H723" s="5">
        <v>45416</v>
      </c>
      <c r="I723" s="4">
        <v>21</v>
      </c>
      <c r="J723" s="4" t="s">
        <v>202</v>
      </c>
      <c r="K723" s="4" t="s">
        <v>203</v>
      </c>
      <c r="L723" s="4" t="s">
        <v>204</v>
      </c>
      <c r="M723" s="4" t="s">
        <v>130</v>
      </c>
      <c r="N723" s="4" t="s">
        <v>37</v>
      </c>
      <c r="O723" s="4" t="s">
        <v>376</v>
      </c>
      <c r="P723" s="4">
        <v>345</v>
      </c>
      <c r="Q723" s="4" t="s">
        <v>39</v>
      </c>
      <c r="R723" s="4" t="s">
        <v>40</v>
      </c>
      <c r="S723" s="4">
        <v>167945</v>
      </c>
      <c r="T723" s="4">
        <v>116578</v>
      </c>
      <c r="U723" s="4">
        <v>51367</v>
      </c>
      <c r="V723" s="4">
        <v>143544</v>
      </c>
      <c r="W723" s="4">
        <v>11279</v>
      </c>
      <c r="X723" s="4">
        <v>9863</v>
      </c>
      <c r="Y723" s="4" t="s">
        <v>41</v>
      </c>
      <c r="Z723" s="4">
        <v>56</v>
      </c>
      <c r="AA723" s="4">
        <v>4.5</v>
      </c>
      <c r="AB723" s="4" t="s">
        <v>52</v>
      </c>
    </row>
    <row r="724" spans="1:28" x14ac:dyDescent="0.25">
      <c r="A724" s="2" t="s">
        <v>1382</v>
      </c>
      <c r="B724" s="2" t="s">
        <v>1383</v>
      </c>
      <c r="C724" s="2">
        <v>24</v>
      </c>
      <c r="D724" s="2" t="s">
        <v>55</v>
      </c>
      <c r="E724" s="2" t="s">
        <v>79</v>
      </c>
      <c r="F724" s="2" t="s">
        <v>94</v>
      </c>
      <c r="G724" s="3">
        <v>45118</v>
      </c>
      <c r="H724" s="3">
        <v>45139</v>
      </c>
      <c r="I724" s="2">
        <v>21</v>
      </c>
      <c r="J724" s="2" t="s">
        <v>33</v>
      </c>
      <c r="K724" s="2" t="s">
        <v>197</v>
      </c>
      <c r="L724" s="2" t="s">
        <v>198</v>
      </c>
      <c r="M724" s="2" t="s">
        <v>143</v>
      </c>
      <c r="N724" s="2" t="s">
        <v>37</v>
      </c>
      <c r="O724" s="2" t="s">
        <v>151</v>
      </c>
      <c r="P724" s="2">
        <v>4</v>
      </c>
      <c r="Q724" s="2" t="s">
        <v>103</v>
      </c>
      <c r="R724" s="2" t="s">
        <v>51</v>
      </c>
      <c r="S724" s="2">
        <v>123644</v>
      </c>
      <c r="T724" s="2">
        <v>53789</v>
      </c>
      <c r="U724" s="2">
        <v>69855</v>
      </c>
      <c r="V724" s="2">
        <v>107412</v>
      </c>
      <c r="W724" s="2">
        <v>13756</v>
      </c>
      <c r="X724" s="2">
        <v>1525</v>
      </c>
      <c r="Y724" s="2" t="s">
        <v>41</v>
      </c>
      <c r="Z724" s="2">
        <v>64</v>
      </c>
      <c r="AA724" s="2">
        <v>3.5</v>
      </c>
      <c r="AB724" s="2" t="s">
        <v>104</v>
      </c>
    </row>
    <row r="725" spans="1:28" x14ac:dyDescent="0.25">
      <c r="A725" s="4" t="s">
        <v>1384</v>
      </c>
      <c r="B725" s="4" t="s">
        <v>617</v>
      </c>
      <c r="C725" s="4">
        <v>83</v>
      </c>
      <c r="D725" s="4" t="s">
        <v>30</v>
      </c>
      <c r="E725" s="4" t="s">
        <v>122</v>
      </c>
      <c r="F725" s="4" t="s">
        <v>57</v>
      </c>
      <c r="G725" s="5">
        <v>44697</v>
      </c>
      <c r="H725" s="5">
        <v>44710</v>
      </c>
      <c r="I725" s="4">
        <v>13</v>
      </c>
      <c r="J725" s="4" t="s">
        <v>202</v>
      </c>
      <c r="K725" s="4" t="s">
        <v>225</v>
      </c>
      <c r="L725" s="4" t="s">
        <v>226</v>
      </c>
      <c r="M725" s="4" t="s">
        <v>101</v>
      </c>
      <c r="N725" s="4" t="s">
        <v>118</v>
      </c>
      <c r="O725" s="4" t="s">
        <v>161</v>
      </c>
      <c r="P725" s="4">
        <v>323</v>
      </c>
      <c r="Q725" s="4" t="s">
        <v>69</v>
      </c>
      <c r="R725" s="4" t="s">
        <v>136</v>
      </c>
      <c r="S725" s="4">
        <v>44220</v>
      </c>
      <c r="T725" s="4">
        <v>0</v>
      </c>
      <c r="U725" s="4">
        <v>44220</v>
      </c>
      <c r="V725" s="4">
        <v>19240</v>
      </c>
      <c r="W725" s="4">
        <v>15848</v>
      </c>
      <c r="X725" s="4">
        <v>7181</v>
      </c>
      <c r="Y725" s="4" t="s">
        <v>41</v>
      </c>
      <c r="Z725" s="4">
        <v>73</v>
      </c>
      <c r="AA725" s="4">
        <v>2.6</v>
      </c>
      <c r="AB725" s="4" t="s">
        <v>42</v>
      </c>
    </row>
    <row r="726" spans="1:28" x14ac:dyDescent="0.25">
      <c r="A726" s="2" t="s">
        <v>1385</v>
      </c>
      <c r="B726" s="2" t="s">
        <v>216</v>
      </c>
      <c r="C726" s="2">
        <v>85</v>
      </c>
      <c r="D726" s="2" t="s">
        <v>55</v>
      </c>
      <c r="E726" s="2" t="s">
        <v>122</v>
      </c>
      <c r="F726" s="2" t="s">
        <v>80</v>
      </c>
      <c r="G726" s="3">
        <v>45013</v>
      </c>
      <c r="H726" s="3">
        <v>45034</v>
      </c>
      <c r="I726" s="2">
        <v>21</v>
      </c>
      <c r="J726" s="2" t="s">
        <v>140</v>
      </c>
      <c r="K726" s="2" t="s">
        <v>167</v>
      </c>
      <c r="L726" s="2" t="s">
        <v>142</v>
      </c>
      <c r="M726" s="2" t="s">
        <v>130</v>
      </c>
      <c r="N726" s="2" t="s">
        <v>37</v>
      </c>
      <c r="O726" s="2" t="s">
        <v>189</v>
      </c>
      <c r="P726" s="2">
        <v>307</v>
      </c>
      <c r="Q726" s="2" t="s">
        <v>50</v>
      </c>
      <c r="R726" s="2" t="s">
        <v>111</v>
      </c>
      <c r="S726" s="2">
        <v>66836</v>
      </c>
      <c r="T726" s="2">
        <v>57855</v>
      </c>
      <c r="U726" s="2">
        <v>8981</v>
      </c>
      <c r="V726" s="2">
        <v>47549</v>
      </c>
      <c r="W726" s="2">
        <v>2906</v>
      </c>
      <c r="X726" s="2">
        <v>12203</v>
      </c>
      <c r="Y726" s="2" t="s">
        <v>41</v>
      </c>
      <c r="Z726" s="2">
        <v>88</v>
      </c>
      <c r="AA726" s="2">
        <v>4.5999999999999996</v>
      </c>
      <c r="AB726" s="2" t="s">
        <v>64</v>
      </c>
    </row>
    <row r="727" spans="1:28" x14ac:dyDescent="0.25">
      <c r="A727" s="4" t="s">
        <v>1386</v>
      </c>
      <c r="B727" s="4" t="s">
        <v>180</v>
      </c>
      <c r="C727" s="4">
        <v>49</v>
      </c>
      <c r="D727" s="4" t="s">
        <v>55</v>
      </c>
      <c r="E727" s="4" t="s">
        <v>56</v>
      </c>
      <c r="F727" s="4" t="s">
        <v>150</v>
      </c>
      <c r="G727" s="5">
        <v>45533</v>
      </c>
      <c r="H727" s="5">
        <v>45563</v>
      </c>
      <c r="I727" s="4">
        <v>30</v>
      </c>
      <c r="J727" s="4" t="s">
        <v>115</v>
      </c>
      <c r="K727" s="4" t="s">
        <v>116</v>
      </c>
      <c r="L727" s="4" t="s">
        <v>117</v>
      </c>
      <c r="M727" s="4" t="s">
        <v>143</v>
      </c>
      <c r="N727" s="4" t="s">
        <v>62</v>
      </c>
      <c r="O727" s="4" t="s">
        <v>246</v>
      </c>
      <c r="P727" s="4">
        <v>204</v>
      </c>
      <c r="Q727" s="4" t="s">
        <v>50</v>
      </c>
      <c r="R727" s="4" t="s">
        <v>90</v>
      </c>
      <c r="S727" s="4">
        <v>71728</v>
      </c>
      <c r="T727" s="4">
        <v>48032</v>
      </c>
      <c r="U727" s="4">
        <v>23696</v>
      </c>
      <c r="V727" s="4">
        <v>56188</v>
      </c>
      <c r="W727" s="4">
        <v>7502</v>
      </c>
      <c r="X727" s="4">
        <v>3820</v>
      </c>
      <c r="Y727" s="4" t="s">
        <v>41</v>
      </c>
      <c r="Z727" s="4">
        <v>99</v>
      </c>
      <c r="AA727" s="4">
        <v>2.9</v>
      </c>
      <c r="AB727" s="4" t="s">
        <v>64</v>
      </c>
    </row>
    <row r="728" spans="1:28" x14ac:dyDescent="0.25">
      <c r="A728" s="2" t="s">
        <v>1387</v>
      </c>
      <c r="B728" s="2" t="s">
        <v>629</v>
      </c>
      <c r="C728" s="2">
        <v>56</v>
      </c>
      <c r="D728" s="2" t="s">
        <v>55</v>
      </c>
      <c r="E728" s="2" t="s">
        <v>87</v>
      </c>
      <c r="F728" s="2" t="s">
        <v>94</v>
      </c>
      <c r="G728" s="3">
        <v>44724</v>
      </c>
      <c r="H728" s="3">
        <v>44739</v>
      </c>
      <c r="I728" s="2">
        <v>15</v>
      </c>
      <c r="J728" s="2" t="s">
        <v>123</v>
      </c>
      <c r="K728" s="2" t="s">
        <v>251</v>
      </c>
      <c r="L728" s="2" t="s">
        <v>125</v>
      </c>
      <c r="M728" s="2" t="s">
        <v>143</v>
      </c>
      <c r="N728" s="2" t="s">
        <v>62</v>
      </c>
      <c r="O728" s="2" t="s">
        <v>337</v>
      </c>
      <c r="P728" s="2">
        <v>84</v>
      </c>
      <c r="Q728" s="2" t="s">
        <v>69</v>
      </c>
      <c r="R728" s="2" t="s">
        <v>111</v>
      </c>
      <c r="S728" s="2">
        <v>59442</v>
      </c>
      <c r="T728" s="2">
        <v>39909</v>
      </c>
      <c r="U728" s="2">
        <v>19533</v>
      </c>
      <c r="V728" s="2">
        <v>34522</v>
      </c>
      <c r="W728" s="2">
        <v>8171</v>
      </c>
      <c r="X728" s="2">
        <v>12793</v>
      </c>
      <c r="Y728" s="2" t="s">
        <v>41</v>
      </c>
      <c r="Z728" s="2">
        <v>82</v>
      </c>
      <c r="AA728" s="2">
        <v>3</v>
      </c>
      <c r="AB728" s="2" t="s">
        <v>137</v>
      </c>
    </row>
    <row r="729" spans="1:28" x14ac:dyDescent="0.25">
      <c r="A729" s="4" t="s">
        <v>1388</v>
      </c>
      <c r="B729" s="4" t="s">
        <v>370</v>
      </c>
      <c r="C729" s="4">
        <v>78</v>
      </c>
      <c r="D729" s="4" t="s">
        <v>30</v>
      </c>
      <c r="E729" s="4" t="s">
        <v>67</v>
      </c>
      <c r="F729" s="4" t="s">
        <v>157</v>
      </c>
      <c r="G729" s="5">
        <v>44951</v>
      </c>
      <c r="H729" s="5">
        <v>44958</v>
      </c>
      <c r="I729" s="4">
        <v>7</v>
      </c>
      <c r="J729" s="4" t="s">
        <v>33</v>
      </c>
      <c r="K729" s="4" t="s">
        <v>107</v>
      </c>
      <c r="L729" s="4" t="s">
        <v>48</v>
      </c>
      <c r="M729" s="4" t="s">
        <v>75</v>
      </c>
      <c r="N729" s="4" t="s">
        <v>118</v>
      </c>
      <c r="O729" s="4" t="s">
        <v>471</v>
      </c>
      <c r="P729" s="4">
        <v>304</v>
      </c>
      <c r="Q729" s="4" t="s">
        <v>69</v>
      </c>
      <c r="R729" s="4" t="s">
        <v>40</v>
      </c>
      <c r="S729" s="4">
        <v>98790</v>
      </c>
      <c r="T729" s="4">
        <v>48230</v>
      </c>
      <c r="U729" s="4">
        <v>50560</v>
      </c>
      <c r="V729" s="4">
        <v>89678</v>
      </c>
      <c r="W729" s="4">
        <v>2565</v>
      </c>
      <c r="X729" s="4">
        <v>2807</v>
      </c>
      <c r="Y729" s="4" t="s">
        <v>91</v>
      </c>
      <c r="Z729" s="4">
        <v>92</v>
      </c>
      <c r="AA729" s="4">
        <v>2.2999999999999998</v>
      </c>
      <c r="AB729" s="4" t="s">
        <v>52</v>
      </c>
    </row>
    <row r="730" spans="1:28" x14ac:dyDescent="0.25">
      <c r="A730" s="2" t="s">
        <v>1389</v>
      </c>
      <c r="B730" s="2" t="s">
        <v>1030</v>
      </c>
      <c r="C730" s="2">
        <v>35</v>
      </c>
      <c r="D730" s="2" t="s">
        <v>30</v>
      </c>
      <c r="E730" s="2" t="s">
        <v>31</v>
      </c>
      <c r="F730" s="2" t="s">
        <v>46</v>
      </c>
      <c r="G730" s="3">
        <v>44770</v>
      </c>
      <c r="H730" s="3">
        <v>44783</v>
      </c>
      <c r="I730" s="2">
        <v>13</v>
      </c>
      <c r="J730" s="2" t="s">
        <v>33</v>
      </c>
      <c r="K730" s="2" t="s">
        <v>174</v>
      </c>
      <c r="L730" s="2" t="s">
        <v>48</v>
      </c>
      <c r="M730" s="2" t="s">
        <v>36</v>
      </c>
      <c r="N730" s="2" t="s">
        <v>109</v>
      </c>
      <c r="O730" s="2" t="s">
        <v>189</v>
      </c>
      <c r="P730" s="2">
        <v>342</v>
      </c>
      <c r="Q730" s="2" t="s">
        <v>39</v>
      </c>
      <c r="R730" s="2" t="s">
        <v>40</v>
      </c>
      <c r="S730" s="2">
        <v>42151</v>
      </c>
      <c r="T730" s="2">
        <v>24942</v>
      </c>
      <c r="U730" s="2">
        <v>17209</v>
      </c>
      <c r="V730" s="2">
        <v>24707</v>
      </c>
      <c r="W730" s="2">
        <v>1459</v>
      </c>
      <c r="X730" s="2">
        <v>14163</v>
      </c>
      <c r="Y730" s="2" t="s">
        <v>41</v>
      </c>
      <c r="Z730" s="2">
        <v>97</v>
      </c>
      <c r="AA730" s="2">
        <v>4.5</v>
      </c>
      <c r="AB730" s="2" t="s">
        <v>42</v>
      </c>
    </row>
    <row r="731" spans="1:28" x14ac:dyDescent="0.25">
      <c r="A731" s="4" t="s">
        <v>1390</v>
      </c>
      <c r="B731" s="4" t="s">
        <v>1391</v>
      </c>
      <c r="C731" s="4">
        <v>18</v>
      </c>
      <c r="D731" s="4" t="s">
        <v>55</v>
      </c>
      <c r="E731" s="4" t="s">
        <v>79</v>
      </c>
      <c r="F731" s="4" t="s">
        <v>94</v>
      </c>
      <c r="G731" s="5">
        <v>45421</v>
      </c>
      <c r="H731" s="5">
        <v>45427</v>
      </c>
      <c r="I731" s="4">
        <v>6</v>
      </c>
      <c r="J731" s="4" t="s">
        <v>33</v>
      </c>
      <c r="K731" s="4" t="s">
        <v>278</v>
      </c>
      <c r="L731" s="4" t="s">
        <v>279</v>
      </c>
      <c r="M731" s="4" t="s">
        <v>95</v>
      </c>
      <c r="N731" s="4" t="s">
        <v>37</v>
      </c>
      <c r="O731" s="4" t="s">
        <v>271</v>
      </c>
      <c r="P731" s="4">
        <v>120</v>
      </c>
      <c r="Q731" s="4" t="s">
        <v>103</v>
      </c>
      <c r="R731" s="4" t="s">
        <v>40</v>
      </c>
      <c r="S731" s="4">
        <v>171655</v>
      </c>
      <c r="T731" s="4">
        <v>112335</v>
      </c>
      <c r="U731" s="4">
        <v>59320</v>
      </c>
      <c r="V731" s="4">
        <v>146389</v>
      </c>
      <c r="W731" s="4">
        <v>8963</v>
      </c>
      <c r="X731" s="4">
        <v>14862</v>
      </c>
      <c r="Y731" s="4" t="s">
        <v>41</v>
      </c>
      <c r="Z731" s="4">
        <v>83</v>
      </c>
      <c r="AA731" s="4">
        <v>5</v>
      </c>
      <c r="AB731" s="4" t="s">
        <v>137</v>
      </c>
    </row>
    <row r="732" spans="1:28" x14ac:dyDescent="0.25">
      <c r="A732" s="2" t="s">
        <v>1392</v>
      </c>
      <c r="B732" s="2" t="s">
        <v>1321</v>
      </c>
      <c r="C732" s="2">
        <v>34</v>
      </c>
      <c r="D732" s="2" t="s">
        <v>30</v>
      </c>
      <c r="E732" s="2" t="s">
        <v>122</v>
      </c>
      <c r="F732" s="2" t="s">
        <v>150</v>
      </c>
      <c r="G732" s="3">
        <v>45439</v>
      </c>
      <c r="H732" s="3">
        <v>45452</v>
      </c>
      <c r="I732" s="2">
        <v>13</v>
      </c>
      <c r="J732" s="2" t="s">
        <v>33</v>
      </c>
      <c r="K732" s="2" t="s">
        <v>34</v>
      </c>
      <c r="L732" s="2" t="s">
        <v>35</v>
      </c>
      <c r="M732" s="2" t="s">
        <v>83</v>
      </c>
      <c r="N732" s="2" t="s">
        <v>62</v>
      </c>
      <c r="O732" s="2" t="s">
        <v>448</v>
      </c>
      <c r="P732" s="2">
        <v>121</v>
      </c>
      <c r="Q732" s="2" t="s">
        <v>103</v>
      </c>
      <c r="R732" s="2" t="s">
        <v>51</v>
      </c>
      <c r="S732" s="2">
        <v>86706</v>
      </c>
      <c r="T732" s="2">
        <v>44179</v>
      </c>
      <c r="U732" s="2">
        <v>42527</v>
      </c>
      <c r="V732" s="2">
        <v>43415</v>
      </c>
      <c r="W732" s="2">
        <v>29183</v>
      </c>
      <c r="X732" s="2">
        <v>13482</v>
      </c>
      <c r="Y732" s="2" t="s">
        <v>91</v>
      </c>
      <c r="Z732" s="2">
        <v>74</v>
      </c>
      <c r="AA732" s="2">
        <v>2.4</v>
      </c>
      <c r="AB732" s="2" t="s">
        <v>64</v>
      </c>
    </row>
    <row r="733" spans="1:28" x14ac:dyDescent="0.25">
      <c r="A733" s="4" t="s">
        <v>1393</v>
      </c>
      <c r="B733" s="4" t="s">
        <v>564</v>
      </c>
      <c r="C733" s="4">
        <v>85</v>
      </c>
      <c r="D733" s="4" t="s">
        <v>30</v>
      </c>
      <c r="E733" s="4" t="s">
        <v>45</v>
      </c>
      <c r="F733" s="4" t="s">
        <v>129</v>
      </c>
      <c r="G733" s="5">
        <v>44738</v>
      </c>
      <c r="H733" s="5">
        <v>44751</v>
      </c>
      <c r="I733" s="4">
        <v>13</v>
      </c>
      <c r="J733" s="4" t="s">
        <v>58</v>
      </c>
      <c r="K733" s="4" t="s">
        <v>88</v>
      </c>
      <c r="L733" s="4" t="s">
        <v>60</v>
      </c>
      <c r="M733" s="4" t="s">
        <v>95</v>
      </c>
      <c r="N733" s="4" t="s">
        <v>37</v>
      </c>
      <c r="O733" s="4" t="s">
        <v>161</v>
      </c>
      <c r="P733" s="4">
        <v>208</v>
      </c>
      <c r="Q733" s="4" t="s">
        <v>39</v>
      </c>
      <c r="R733" s="4" t="s">
        <v>90</v>
      </c>
      <c r="S733" s="4">
        <v>179443</v>
      </c>
      <c r="T733" s="4">
        <v>111582</v>
      </c>
      <c r="U733" s="4">
        <v>67861</v>
      </c>
      <c r="V733" s="4">
        <v>142058</v>
      </c>
      <c r="W733" s="4">
        <v>22341</v>
      </c>
      <c r="X733" s="4">
        <v>13117</v>
      </c>
      <c r="Y733" s="4" t="s">
        <v>41</v>
      </c>
      <c r="Z733" s="4">
        <v>60</v>
      </c>
      <c r="AA733" s="4">
        <v>3.7</v>
      </c>
      <c r="AB733" s="4" t="s">
        <v>137</v>
      </c>
    </row>
    <row r="734" spans="1:28" x14ac:dyDescent="0.25">
      <c r="A734" s="2" t="s">
        <v>1394</v>
      </c>
      <c r="B734" s="2" t="s">
        <v>847</v>
      </c>
      <c r="C734" s="2">
        <v>10</v>
      </c>
      <c r="D734" s="2" t="s">
        <v>30</v>
      </c>
      <c r="E734" s="2" t="s">
        <v>31</v>
      </c>
      <c r="F734" s="2" t="s">
        <v>114</v>
      </c>
      <c r="G734" s="3">
        <v>45153</v>
      </c>
      <c r="H734" s="3">
        <v>45179</v>
      </c>
      <c r="I734" s="2">
        <v>26</v>
      </c>
      <c r="J734" s="2" t="s">
        <v>33</v>
      </c>
      <c r="K734" s="2" t="s">
        <v>99</v>
      </c>
      <c r="L734" s="2" t="s">
        <v>100</v>
      </c>
      <c r="M734" s="2" t="s">
        <v>143</v>
      </c>
      <c r="N734" s="2" t="s">
        <v>109</v>
      </c>
      <c r="O734" s="2" t="s">
        <v>300</v>
      </c>
      <c r="P734" s="2">
        <v>409</v>
      </c>
      <c r="Q734" s="2" t="s">
        <v>69</v>
      </c>
      <c r="R734" s="2" t="s">
        <v>51</v>
      </c>
      <c r="S734" s="2">
        <v>107175</v>
      </c>
      <c r="T734" s="2">
        <v>56797</v>
      </c>
      <c r="U734" s="2">
        <v>50378</v>
      </c>
      <c r="V734" s="2">
        <v>65240</v>
      </c>
      <c r="W734" s="2">
        <v>22702</v>
      </c>
      <c r="X734" s="2">
        <v>14291</v>
      </c>
      <c r="Y734" s="2" t="s">
        <v>41</v>
      </c>
      <c r="Z734" s="2">
        <v>85</v>
      </c>
      <c r="AA734" s="2">
        <v>4.0999999999999996</v>
      </c>
      <c r="AB734" s="2" t="s">
        <v>42</v>
      </c>
    </row>
    <row r="735" spans="1:28" x14ac:dyDescent="0.25">
      <c r="A735" s="4" t="s">
        <v>1395</v>
      </c>
      <c r="B735" s="4" t="s">
        <v>1046</v>
      </c>
      <c r="C735" s="4">
        <v>43</v>
      </c>
      <c r="D735" s="4" t="s">
        <v>30</v>
      </c>
      <c r="E735" s="4" t="s">
        <v>56</v>
      </c>
      <c r="F735" s="4" t="s">
        <v>157</v>
      </c>
      <c r="G735" s="5">
        <v>45142</v>
      </c>
      <c r="H735" s="5">
        <v>45154</v>
      </c>
      <c r="I735" s="4">
        <v>12</v>
      </c>
      <c r="J735" s="4" t="s">
        <v>33</v>
      </c>
      <c r="K735" s="4" t="s">
        <v>107</v>
      </c>
      <c r="L735" s="4" t="s">
        <v>48</v>
      </c>
      <c r="M735" s="4" t="s">
        <v>75</v>
      </c>
      <c r="N735" s="4" t="s">
        <v>37</v>
      </c>
      <c r="O735" s="4" t="s">
        <v>631</v>
      </c>
      <c r="P735" s="4">
        <v>47</v>
      </c>
      <c r="Q735" s="4" t="s">
        <v>50</v>
      </c>
      <c r="R735" s="4" t="s">
        <v>40</v>
      </c>
      <c r="S735" s="4">
        <v>96747</v>
      </c>
      <c r="T735" s="4">
        <v>50033</v>
      </c>
      <c r="U735" s="4">
        <v>46714</v>
      </c>
      <c r="V735" s="4">
        <v>66677</v>
      </c>
      <c r="W735" s="4">
        <v>18824</v>
      </c>
      <c r="X735" s="4">
        <v>7080</v>
      </c>
      <c r="Y735" s="4" t="s">
        <v>41</v>
      </c>
      <c r="Z735" s="4">
        <v>89</v>
      </c>
      <c r="AA735" s="4">
        <v>4.9000000000000004</v>
      </c>
      <c r="AB735" s="4" t="s">
        <v>64</v>
      </c>
    </row>
    <row r="736" spans="1:28" x14ac:dyDescent="0.25">
      <c r="A736" s="2" t="s">
        <v>1396</v>
      </c>
      <c r="B736" s="2" t="s">
        <v>893</v>
      </c>
      <c r="C736" s="2">
        <v>62</v>
      </c>
      <c r="D736" s="2" t="s">
        <v>30</v>
      </c>
      <c r="E736" s="2" t="s">
        <v>67</v>
      </c>
      <c r="F736" s="2" t="s">
        <v>157</v>
      </c>
      <c r="G736" s="3">
        <v>44692</v>
      </c>
      <c r="H736" s="3">
        <v>44716</v>
      </c>
      <c r="I736" s="2">
        <v>24</v>
      </c>
      <c r="J736" s="2" t="s">
        <v>33</v>
      </c>
      <c r="K736" s="2" t="s">
        <v>107</v>
      </c>
      <c r="L736" s="2" t="s">
        <v>48</v>
      </c>
      <c r="M736" s="2" t="s">
        <v>101</v>
      </c>
      <c r="N736" s="2" t="s">
        <v>37</v>
      </c>
      <c r="O736" s="2" t="s">
        <v>285</v>
      </c>
      <c r="P736" s="2">
        <v>77</v>
      </c>
      <c r="Q736" s="2" t="s">
        <v>103</v>
      </c>
      <c r="R736" s="2" t="s">
        <v>51</v>
      </c>
      <c r="S736" s="2">
        <v>176001</v>
      </c>
      <c r="T736" s="2">
        <v>114597</v>
      </c>
      <c r="U736" s="2">
        <v>61404</v>
      </c>
      <c r="V736" s="2">
        <v>135344</v>
      </c>
      <c r="W736" s="2">
        <v>24545</v>
      </c>
      <c r="X736" s="2">
        <v>14352</v>
      </c>
      <c r="Y736" s="2" t="s">
        <v>91</v>
      </c>
      <c r="Z736" s="2">
        <v>73</v>
      </c>
      <c r="AA736" s="2">
        <v>3.7</v>
      </c>
      <c r="AB736" s="2" t="s">
        <v>137</v>
      </c>
    </row>
    <row r="737" spans="1:28" x14ac:dyDescent="0.25">
      <c r="A737" s="4" t="s">
        <v>1397</v>
      </c>
      <c r="B737" s="4" t="s">
        <v>1398</v>
      </c>
      <c r="C737" s="4">
        <v>73</v>
      </c>
      <c r="D737" s="4" t="s">
        <v>30</v>
      </c>
      <c r="E737" s="4" t="s">
        <v>122</v>
      </c>
      <c r="F737" s="4" t="s">
        <v>114</v>
      </c>
      <c r="G737" s="5">
        <v>44943</v>
      </c>
      <c r="H737" s="5">
        <v>44965</v>
      </c>
      <c r="I737" s="4">
        <v>22</v>
      </c>
      <c r="J737" s="4" t="s">
        <v>73</v>
      </c>
      <c r="K737" s="4" t="s">
        <v>74</v>
      </c>
      <c r="L737" s="4" t="s">
        <v>73</v>
      </c>
      <c r="M737" s="4" t="s">
        <v>130</v>
      </c>
      <c r="N737" s="4" t="s">
        <v>118</v>
      </c>
      <c r="O737" s="4" t="s">
        <v>300</v>
      </c>
      <c r="P737" s="4">
        <v>387</v>
      </c>
      <c r="Q737" s="4" t="s">
        <v>103</v>
      </c>
      <c r="R737" s="4" t="s">
        <v>111</v>
      </c>
      <c r="S737" s="4">
        <v>124259</v>
      </c>
      <c r="T737" s="4">
        <v>75697</v>
      </c>
      <c r="U737" s="4">
        <v>48562</v>
      </c>
      <c r="V737" s="4">
        <v>91999</v>
      </c>
      <c r="W737" s="4">
        <v>23466</v>
      </c>
      <c r="X737" s="4">
        <v>7981</v>
      </c>
      <c r="Y737" s="4" t="s">
        <v>91</v>
      </c>
      <c r="Z737" s="4">
        <v>57</v>
      </c>
      <c r="AA737" s="4">
        <v>4.7</v>
      </c>
      <c r="AB737" s="4" t="s">
        <v>64</v>
      </c>
    </row>
    <row r="738" spans="1:28" x14ac:dyDescent="0.25">
      <c r="A738" s="2" t="s">
        <v>1399</v>
      </c>
      <c r="B738" s="2" t="s">
        <v>1400</v>
      </c>
      <c r="C738" s="2">
        <v>52</v>
      </c>
      <c r="D738" s="2" t="s">
        <v>30</v>
      </c>
      <c r="E738" s="2" t="s">
        <v>79</v>
      </c>
      <c r="F738" s="2" t="s">
        <v>129</v>
      </c>
      <c r="G738" s="3">
        <v>45634</v>
      </c>
      <c r="H738" s="3">
        <v>45647</v>
      </c>
      <c r="I738" s="2">
        <v>13</v>
      </c>
      <c r="J738" s="2" t="s">
        <v>33</v>
      </c>
      <c r="K738" s="2" t="s">
        <v>107</v>
      </c>
      <c r="L738" s="2" t="s">
        <v>48</v>
      </c>
      <c r="M738" s="2" t="s">
        <v>108</v>
      </c>
      <c r="N738" s="2" t="s">
        <v>109</v>
      </c>
      <c r="O738" s="2" t="s">
        <v>406</v>
      </c>
      <c r="P738" s="2">
        <v>424</v>
      </c>
      <c r="Q738" s="2" t="s">
        <v>50</v>
      </c>
      <c r="R738" s="2" t="s">
        <v>40</v>
      </c>
      <c r="S738" s="2">
        <v>98967</v>
      </c>
      <c r="T738" s="2">
        <v>61538</v>
      </c>
      <c r="U738" s="2">
        <v>37429</v>
      </c>
      <c r="V738" s="2">
        <v>69651</v>
      </c>
      <c r="W738" s="2">
        <v>21773</v>
      </c>
      <c r="X738" s="2">
        <v>2680</v>
      </c>
      <c r="Y738" s="2" t="s">
        <v>41</v>
      </c>
      <c r="Z738" s="2">
        <v>90</v>
      </c>
      <c r="AA738" s="2">
        <v>3.2</v>
      </c>
      <c r="AB738" s="2" t="s">
        <v>64</v>
      </c>
    </row>
    <row r="739" spans="1:28" x14ac:dyDescent="0.25">
      <c r="A739" s="4" t="s">
        <v>1401</v>
      </c>
      <c r="B739" s="4" t="s">
        <v>1402</v>
      </c>
      <c r="C739" s="4">
        <v>74</v>
      </c>
      <c r="D739" s="4" t="s">
        <v>55</v>
      </c>
      <c r="E739" s="4" t="s">
        <v>45</v>
      </c>
      <c r="F739" s="4" t="s">
        <v>114</v>
      </c>
      <c r="G739" s="5">
        <v>44898</v>
      </c>
      <c r="H739" s="5">
        <v>44907</v>
      </c>
      <c r="I739" s="4">
        <v>9</v>
      </c>
      <c r="J739" s="4" t="s">
        <v>202</v>
      </c>
      <c r="K739" s="4" t="s">
        <v>203</v>
      </c>
      <c r="L739" s="4" t="s">
        <v>204</v>
      </c>
      <c r="M739" s="4" t="s">
        <v>143</v>
      </c>
      <c r="N739" s="4" t="s">
        <v>118</v>
      </c>
      <c r="O739" s="4" t="s">
        <v>591</v>
      </c>
      <c r="P739" s="4">
        <v>468</v>
      </c>
      <c r="Q739" s="4" t="s">
        <v>50</v>
      </c>
      <c r="R739" s="4" t="s">
        <v>111</v>
      </c>
      <c r="S739" s="4">
        <v>75933</v>
      </c>
      <c r="T739" s="4">
        <v>67111</v>
      </c>
      <c r="U739" s="4">
        <v>8822</v>
      </c>
      <c r="V739" s="4">
        <v>48956</v>
      </c>
      <c r="W739" s="4">
        <v>19856</v>
      </c>
      <c r="X739" s="4">
        <v>3315</v>
      </c>
      <c r="Y739" s="4" t="s">
        <v>41</v>
      </c>
      <c r="Z739" s="4">
        <v>84</v>
      </c>
      <c r="AA739" s="4">
        <v>2.7</v>
      </c>
      <c r="AB739" s="4" t="s">
        <v>42</v>
      </c>
    </row>
    <row r="740" spans="1:28" x14ac:dyDescent="0.25">
      <c r="A740" s="2" t="s">
        <v>1403</v>
      </c>
      <c r="B740" s="2" t="s">
        <v>1013</v>
      </c>
      <c r="C740" s="2">
        <v>18</v>
      </c>
      <c r="D740" s="2" t="s">
        <v>55</v>
      </c>
      <c r="E740" s="2" t="s">
        <v>56</v>
      </c>
      <c r="F740" s="2" t="s">
        <v>94</v>
      </c>
      <c r="G740" s="3">
        <v>45363</v>
      </c>
      <c r="H740" s="3">
        <v>45375</v>
      </c>
      <c r="I740" s="2">
        <v>12</v>
      </c>
      <c r="J740" s="2" t="s">
        <v>58</v>
      </c>
      <c r="K740" s="2" t="s">
        <v>88</v>
      </c>
      <c r="L740" s="2" t="s">
        <v>60</v>
      </c>
      <c r="M740" s="2" t="s">
        <v>83</v>
      </c>
      <c r="N740" s="2" t="s">
        <v>118</v>
      </c>
      <c r="O740" s="2" t="s">
        <v>285</v>
      </c>
      <c r="P740" s="2">
        <v>167</v>
      </c>
      <c r="Q740" s="2" t="s">
        <v>69</v>
      </c>
      <c r="R740" s="2" t="s">
        <v>51</v>
      </c>
      <c r="S740" s="2">
        <v>126117</v>
      </c>
      <c r="T740" s="2">
        <v>81656</v>
      </c>
      <c r="U740" s="2">
        <v>44461</v>
      </c>
      <c r="V740" s="2">
        <v>89001</v>
      </c>
      <c r="W740" s="2">
        <v>25772</v>
      </c>
      <c r="X740" s="2">
        <v>8491</v>
      </c>
      <c r="Y740" s="2" t="s">
        <v>41</v>
      </c>
      <c r="Z740" s="2">
        <v>52</v>
      </c>
      <c r="AA740" s="2">
        <v>2.9</v>
      </c>
      <c r="AB740" s="2" t="s">
        <v>42</v>
      </c>
    </row>
    <row r="741" spans="1:28" x14ac:dyDescent="0.25">
      <c r="A741" s="4" t="s">
        <v>1404</v>
      </c>
      <c r="B741" s="4" t="s">
        <v>1405</v>
      </c>
      <c r="C741" s="4">
        <v>78</v>
      </c>
      <c r="D741" s="4" t="s">
        <v>55</v>
      </c>
      <c r="E741" s="4" t="s">
        <v>56</v>
      </c>
      <c r="F741" s="4" t="s">
        <v>150</v>
      </c>
      <c r="G741" s="5">
        <v>45553</v>
      </c>
      <c r="H741" s="5">
        <v>45559</v>
      </c>
      <c r="I741" s="4">
        <v>6</v>
      </c>
      <c r="J741" s="4" t="s">
        <v>33</v>
      </c>
      <c r="K741" s="4" t="s">
        <v>197</v>
      </c>
      <c r="L741" s="4" t="s">
        <v>198</v>
      </c>
      <c r="M741" s="4" t="s">
        <v>75</v>
      </c>
      <c r="N741" s="4" t="s">
        <v>118</v>
      </c>
      <c r="O741" s="4" t="s">
        <v>382</v>
      </c>
      <c r="P741" s="4">
        <v>138</v>
      </c>
      <c r="Q741" s="4" t="s">
        <v>69</v>
      </c>
      <c r="R741" s="4" t="s">
        <v>90</v>
      </c>
      <c r="S741" s="4">
        <v>118348</v>
      </c>
      <c r="T741" s="4">
        <v>74141</v>
      </c>
      <c r="U741" s="4">
        <v>44207</v>
      </c>
      <c r="V741" s="4">
        <v>100479</v>
      </c>
      <c r="W741" s="4">
        <v>7887</v>
      </c>
      <c r="X741" s="4">
        <v>6963</v>
      </c>
      <c r="Y741" s="4" t="s">
        <v>41</v>
      </c>
      <c r="Z741" s="4">
        <v>46</v>
      </c>
      <c r="AA741" s="4">
        <v>3</v>
      </c>
      <c r="AB741" s="4" t="s">
        <v>52</v>
      </c>
    </row>
    <row r="742" spans="1:28" x14ac:dyDescent="0.25">
      <c r="A742" s="2" t="s">
        <v>1406</v>
      </c>
      <c r="B742" s="2" t="s">
        <v>1091</v>
      </c>
      <c r="C742" s="2">
        <v>32</v>
      </c>
      <c r="D742" s="2" t="s">
        <v>55</v>
      </c>
      <c r="E742" s="2" t="s">
        <v>45</v>
      </c>
      <c r="F742" s="2" t="s">
        <v>72</v>
      </c>
      <c r="G742" s="3">
        <v>45001</v>
      </c>
      <c r="H742" s="3">
        <v>45028</v>
      </c>
      <c r="I742" s="2">
        <v>27</v>
      </c>
      <c r="J742" s="2" t="s">
        <v>33</v>
      </c>
      <c r="K742" s="2" t="s">
        <v>81</v>
      </c>
      <c r="L742" s="2" t="s">
        <v>82</v>
      </c>
      <c r="M742" s="2" t="s">
        <v>75</v>
      </c>
      <c r="N742" s="2" t="s">
        <v>62</v>
      </c>
      <c r="O742" s="2" t="s">
        <v>126</v>
      </c>
      <c r="P742" s="2">
        <v>230</v>
      </c>
      <c r="Q742" s="2" t="s">
        <v>50</v>
      </c>
      <c r="R742" s="2" t="s">
        <v>90</v>
      </c>
      <c r="S742" s="2">
        <v>37130</v>
      </c>
      <c r="T742" s="2">
        <v>30043</v>
      </c>
      <c r="U742" s="2">
        <v>7087</v>
      </c>
      <c r="V742" s="2">
        <v>9209</v>
      </c>
      <c r="W742" s="2">
        <v>21341</v>
      </c>
      <c r="X742" s="2">
        <v>4854</v>
      </c>
      <c r="Y742" s="2" t="s">
        <v>41</v>
      </c>
      <c r="Z742" s="2">
        <v>46</v>
      </c>
      <c r="AA742" s="2">
        <v>2.9</v>
      </c>
      <c r="AB742" s="2" t="s">
        <v>104</v>
      </c>
    </row>
    <row r="743" spans="1:28" x14ac:dyDescent="0.25">
      <c r="A743" s="4" t="s">
        <v>1407</v>
      </c>
      <c r="B743" s="4" t="s">
        <v>970</v>
      </c>
      <c r="C743" s="4">
        <v>27</v>
      </c>
      <c r="D743" s="4" t="s">
        <v>30</v>
      </c>
      <c r="E743" s="4" t="s">
        <v>67</v>
      </c>
      <c r="F743" s="4" t="s">
        <v>72</v>
      </c>
      <c r="G743" s="5">
        <v>45645</v>
      </c>
      <c r="H743" s="5">
        <v>45649</v>
      </c>
      <c r="I743" s="4">
        <v>4</v>
      </c>
      <c r="J743" s="4" t="s">
        <v>33</v>
      </c>
      <c r="K743" s="4" t="s">
        <v>278</v>
      </c>
      <c r="L743" s="4" t="s">
        <v>279</v>
      </c>
      <c r="M743" s="4" t="s">
        <v>83</v>
      </c>
      <c r="N743" s="4" t="s">
        <v>62</v>
      </c>
      <c r="O743" s="4" t="s">
        <v>147</v>
      </c>
      <c r="P743" s="4">
        <v>388</v>
      </c>
      <c r="Q743" s="4" t="s">
        <v>103</v>
      </c>
      <c r="R743" s="4" t="s">
        <v>90</v>
      </c>
      <c r="S743" s="4">
        <v>94098</v>
      </c>
      <c r="T743" s="4">
        <v>80304</v>
      </c>
      <c r="U743" s="4">
        <v>13794</v>
      </c>
      <c r="V743" s="4">
        <v>76219</v>
      </c>
      <c r="W743" s="4">
        <v>12828</v>
      </c>
      <c r="X743" s="4">
        <v>2626</v>
      </c>
      <c r="Y743" s="4" t="s">
        <v>41</v>
      </c>
      <c r="Z743" s="4">
        <v>94</v>
      </c>
      <c r="AA743" s="4">
        <v>4.3</v>
      </c>
      <c r="AB743" s="4" t="s">
        <v>137</v>
      </c>
    </row>
    <row r="744" spans="1:28" x14ac:dyDescent="0.25">
      <c r="A744" s="2" t="s">
        <v>1408</v>
      </c>
      <c r="B744" s="2" t="s">
        <v>646</v>
      </c>
      <c r="C744" s="2">
        <v>47</v>
      </c>
      <c r="D744" s="2" t="s">
        <v>30</v>
      </c>
      <c r="E744" s="2" t="s">
        <v>67</v>
      </c>
      <c r="F744" s="2" t="s">
        <v>57</v>
      </c>
      <c r="G744" s="3">
        <v>45226</v>
      </c>
      <c r="H744" s="3">
        <v>45254</v>
      </c>
      <c r="I744" s="2">
        <v>28</v>
      </c>
      <c r="J744" s="2" t="s">
        <v>33</v>
      </c>
      <c r="K744" s="2" t="s">
        <v>278</v>
      </c>
      <c r="L744" s="2" t="s">
        <v>279</v>
      </c>
      <c r="M744" s="2" t="s">
        <v>108</v>
      </c>
      <c r="N744" s="2" t="s">
        <v>37</v>
      </c>
      <c r="O744" s="2" t="s">
        <v>96</v>
      </c>
      <c r="P744" s="2">
        <v>144</v>
      </c>
      <c r="Q744" s="2" t="s">
        <v>50</v>
      </c>
      <c r="R744" s="2" t="s">
        <v>40</v>
      </c>
      <c r="S744" s="2">
        <v>73713</v>
      </c>
      <c r="T744" s="2">
        <v>40768</v>
      </c>
      <c r="U744" s="2">
        <v>32945</v>
      </c>
      <c r="V744" s="2">
        <v>41233</v>
      </c>
      <c r="W744" s="2">
        <v>17145</v>
      </c>
      <c r="X744" s="2">
        <v>12068</v>
      </c>
      <c r="Y744" s="2" t="s">
        <v>41</v>
      </c>
      <c r="Z744" s="2">
        <v>97</v>
      </c>
      <c r="AA744" s="2">
        <v>4</v>
      </c>
      <c r="AB744" s="2" t="s">
        <v>42</v>
      </c>
    </row>
    <row r="745" spans="1:28" x14ac:dyDescent="0.25">
      <c r="A745" s="4" t="s">
        <v>1409</v>
      </c>
      <c r="B745" s="4" t="s">
        <v>1410</v>
      </c>
      <c r="C745" s="4">
        <v>80</v>
      </c>
      <c r="D745" s="4" t="s">
        <v>30</v>
      </c>
      <c r="E745" s="4" t="s">
        <v>45</v>
      </c>
      <c r="F745" s="4" t="s">
        <v>80</v>
      </c>
      <c r="G745" s="5">
        <v>45151</v>
      </c>
      <c r="H745" s="5">
        <v>45157</v>
      </c>
      <c r="I745" s="4">
        <v>6</v>
      </c>
      <c r="J745" s="4" t="s">
        <v>202</v>
      </c>
      <c r="K745" s="4" t="s">
        <v>225</v>
      </c>
      <c r="L745" s="4" t="s">
        <v>226</v>
      </c>
      <c r="M745" s="4" t="s">
        <v>134</v>
      </c>
      <c r="N745" s="4" t="s">
        <v>62</v>
      </c>
      <c r="O745" s="4" t="s">
        <v>230</v>
      </c>
      <c r="P745" s="4">
        <v>171</v>
      </c>
      <c r="Q745" s="4" t="s">
        <v>69</v>
      </c>
      <c r="R745" s="4" t="s">
        <v>40</v>
      </c>
      <c r="S745" s="4">
        <v>38553</v>
      </c>
      <c r="T745" s="4">
        <v>17225</v>
      </c>
      <c r="U745" s="4">
        <v>21328</v>
      </c>
      <c r="V745" s="4">
        <v>6640</v>
      </c>
      <c r="W745" s="4">
        <v>29917</v>
      </c>
      <c r="X745" s="4">
        <v>1145</v>
      </c>
      <c r="Y745" s="4" t="s">
        <v>41</v>
      </c>
      <c r="Z745" s="4">
        <v>80</v>
      </c>
      <c r="AA745" s="4">
        <v>2.7</v>
      </c>
      <c r="AB745" s="4" t="s">
        <v>64</v>
      </c>
    </row>
    <row r="746" spans="1:28" x14ac:dyDescent="0.25">
      <c r="A746" s="2" t="s">
        <v>1411</v>
      </c>
      <c r="B746" s="2" t="s">
        <v>207</v>
      </c>
      <c r="C746" s="2">
        <v>21</v>
      </c>
      <c r="D746" s="2" t="s">
        <v>55</v>
      </c>
      <c r="E746" s="2" t="s">
        <v>45</v>
      </c>
      <c r="F746" s="2" t="s">
        <v>80</v>
      </c>
      <c r="G746" s="3">
        <v>44703</v>
      </c>
      <c r="H746" s="3">
        <v>44710</v>
      </c>
      <c r="I746" s="2">
        <v>7</v>
      </c>
      <c r="J746" s="2" t="s">
        <v>123</v>
      </c>
      <c r="K746" s="2" t="s">
        <v>251</v>
      </c>
      <c r="L746" s="2" t="s">
        <v>125</v>
      </c>
      <c r="M746" s="2" t="s">
        <v>95</v>
      </c>
      <c r="N746" s="2" t="s">
        <v>37</v>
      </c>
      <c r="O746" s="2" t="s">
        <v>194</v>
      </c>
      <c r="P746" s="2">
        <v>105</v>
      </c>
      <c r="Q746" s="2" t="s">
        <v>103</v>
      </c>
      <c r="R746" s="2" t="s">
        <v>51</v>
      </c>
      <c r="S746" s="2">
        <v>81065</v>
      </c>
      <c r="T746" s="2">
        <v>39801</v>
      </c>
      <c r="U746" s="2">
        <v>41264</v>
      </c>
      <c r="V746" s="2">
        <v>52749</v>
      </c>
      <c r="W746" s="2">
        <v>23347</v>
      </c>
      <c r="X746" s="2">
        <v>2144</v>
      </c>
      <c r="Y746" s="2" t="s">
        <v>41</v>
      </c>
      <c r="Z746" s="2">
        <v>73</v>
      </c>
      <c r="AA746" s="2">
        <v>3.9</v>
      </c>
      <c r="AB746" s="2" t="s">
        <v>137</v>
      </c>
    </row>
    <row r="747" spans="1:28" x14ac:dyDescent="0.25">
      <c r="A747" s="4" t="s">
        <v>1412</v>
      </c>
      <c r="B747" s="4" t="s">
        <v>1413</v>
      </c>
      <c r="C747" s="4">
        <v>67</v>
      </c>
      <c r="D747" s="4" t="s">
        <v>55</v>
      </c>
      <c r="E747" s="4" t="s">
        <v>87</v>
      </c>
      <c r="F747" s="4" t="s">
        <v>32</v>
      </c>
      <c r="G747" s="5">
        <v>45428</v>
      </c>
      <c r="H747" s="5">
        <v>45443</v>
      </c>
      <c r="I747" s="4">
        <v>15</v>
      </c>
      <c r="J747" s="4" t="s">
        <v>33</v>
      </c>
      <c r="K747" s="4" t="s">
        <v>107</v>
      </c>
      <c r="L747" s="4" t="s">
        <v>48</v>
      </c>
      <c r="M747" s="4" t="s">
        <v>108</v>
      </c>
      <c r="N747" s="4" t="s">
        <v>109</v>
      </c>
      <c r="O747" s="4" t="s">
        <v>208</v>
      </c>
      <c r="P747" s="4">
        <v>188</v>
      </c>
      <c r="Q747" s="4" t="s">
        <v>39</v>
      </c>
      <c r="R747" s="4" t="s">
        <v>136</v>
      </c>
      <c r="S747" s="4">
        <v>94774</v>
      </c>
      <c r="T747" s="4">
        <v>0</v>
      </c>
      <c r="U747" s="4">
        <v>94774</v>
      </c>
      <c r="V747" s="4">
        <v>80474</v>
      </c>
      <c r="W747" s="4">
        <v>7853</v>
      </c>
      <c r="X747" s="4">
        <v>1640</v>
      </c>
      <c r="Y747" s="4" t="s">
        <v>41</v>
      </c>
      <c r="Z747" s="4">
        <v>92</v>
      </c>
      <c r="AA747" s="4">
        <v>2.5</v>
      </c>
      <c r="AB747" s="4" t="s">
        <v>42</v>
      </c>
    </row>
    <row r="748" spans="1:28" x14ac:dyDescent="0.25">
      <c r="A748" s="2" t="s">
        <v>1414</v>
      </c>
      <c r="B748" s="2" t="s">
        <v>401</v>
      </c>
      <c r="C748" s="2">
        <v>22</v>
      </c>
      <c r="D748" s="2" t="s">
        <v>55</v>
      </c>
      <c r="E748" s="2" t="s">
        <v>56</v>
      </c>
      <c r="F748" s="2" t="s">
        <v>129</v>
      </c>
      <c r="G748" s="3">
        <v>44971</v>
      </c>
      <c r="H748" s="3">
        <v>44991</v>
      </c>
      <c r="I748" s="2">
        <v>20</v>
      </c>
      <c r="J748" s="2" t="s">
        <v>140</v>
      </c>
      <c r="K748" s="2" t="s">
        <v>141</v>
      </c>
      <c r="L748" s="2" t="s">
        <v>142</v>
      </c>
      <c r="M748" s="2" t="s">
        <v>134</v>
      </c>
      <c r="N748" s="2" t="s">
        <v>62</v>
      </c>
      <c r="O748" s="2" t="s">
        <v>184</v>
      </c>
      <c r="P748" s="2">
        <v>379</v>
      </c>
      <c r="Q748" s="2" t="s">
        <v>69</v>
      </c>
      <c r="R748" s="2" t="s">
        <v>90</v>
      </c>
      <c r="S748" s="2">
        <v>160180</v>
      </c>
      <c r="T748" s="2">
        <v>119632</v>
      </c>
      <c r="U748" s="2">
        <v>40548</v>
      </c>
      <c r="V748" s="2">
        <v>141207</v>
      </c>
      <c r="W748" s="2">
        <v>9019</v>
      </c>
      <c r="X748" s="2">
        <v>7305</v>
      </c>
      <c r="Y748" s="2" t="s">
        <v>41</v>
      </c>
      <c r="Z748" s="2">
        <v>75</v>
      </c>
      <c r="AA748" s="2">
        <v>3.4</v>
      </c>
      <c r="AB748" s="2" t="s">
        <v>104</v>
      </c>
    </row>
    <row r="749" spans="1:28" x14ac:dyDescent="0.25">
      <c r="A749" s="4" t="s">
        <v>1415</v>
      </c>
      <c r="B749" s="4" t="s">
        <v>1416</v>
      </c>
      <c r="C749" s="4">
        <v>65</v>
      </c>
      <c r="D749" s="4" t="s">
        <v>30</v>
      </c>
      <c r="E749" s="4" t="s">
        <v>56</v>
      </c>
      <c r="F749" s="4" t="s">
        <v>150</v>
      </c>
      <c r="G749" s="5">
        <v>44924</v>
      </c>
      <c r="H749" s="5">
        <v>44950</v>
      </c>
      <c r="I749" s="4">
        <v>26</v>
      </c>
      <c r="J749" s="4" t="s">
        <v>123</v>
      </c>
      <c r="K749" s="4" t="s">
        <v>124</v>
      </c>
      <c r="L749" s="4" t="s">
        <v>125</v>
      </c>
      <c r="M749" s="4" t="s">
        <v>83</v>
      </c>
      <c r="N749" s="4" t="s">
        <v>37</v>
      </c>
      <c r="O749" s="4" t="s">
        <v>461</v>
      </c>
      <c r="P749" s="4">
        <v>383</v>
      </c>
      <c r="Q749" s="4" t="s">
        <v>50</v>
      </c>
      <c r="R749" s="4" t="s">
        <v>51</v>
      </c>
      <c r="S749" s="4">
        <v>97813</v>
      </c>
      <c r="T749" s="4">
        <v>43666</v>
      </c>
      <c r="U749" s="4">
        <v>54147</v>
      </c>
      <c r="V749" s="4">
        <v>74633</v>
      </c>
      <c r="W749" s="4">
        <v>16854</v>
      </c>
      <c r="X749" s="4">
        <v>2722</v>
      </c>
      <c r="Y749" s="4" t="s">
        <v>41</v>
      </c>
      <c r="Z749" s="4">
        <v>42</v>
      </c>
      <c r="AA749" s="4">
        <v>3</v>
      </c>
      <c r="AB749" s="4" t="s">
        <v>42</v>
      </c>
    </row>
    <row r="750" spans="1:28" x14ac:dyDescent="0.25">
      <c r="A750" s="2" t="s">
        <v>1417</v>
      </c>
      <c r="B750" s="2" t="s">
        <v>612</v>
      </c>
      <c r="C750" s="2">
        <v>63</v>
      </c>
      <c r="D750" s="2" t="s">
        <v>30</v>
      </c>
      <c r="E750" s="2" t="s">
        <v>31</v>
      </c>
      <c r="F750" s="2" t="s">
        <v>157</v>
      </c>
      <c r="G750" s="3">
        <v>45365</v>
      </c>
      <c r="H750" s="3">
        <v>45367</v>
      </c>
      <c r="I750" s="2">
        <v>2</v>
      </c>
      <c r="J750" s="2" t="s">
        <v>33</v>
      </c>
      <c r="K750" s="2" t="s">
        <v>99</v>
      </c>
      <c r="L750" s="2" t="s">
        <v>100</v>
      </c>
      <c r="M750" s="2" t="s">
        <v>83</v>
      </c>
      <c r="N750" s="2" t="s">
        <v>62</v>
      </c>
      <c r="O750" s="2" t="s">
        <v>591</v>
      </c>
      <c r="P750" s="2">
        <v>33</v>
      </c>
      <c r="Q750" s="2" t="s">
        <v>103</v>
      </c>
      <c r="R750" s="2" t="s">
        <v>40</v>
      </c>
      <c r="S750" s="2">
        <v>88176</v>
      </c>
      <c r="T750" s="2">
        <v>59760</v>
      </c>
      <c r="U750" s="2">
        <v>28416</v>
      </c>
      <c r="V750" s="2">
        <v>56988</v>
      </c>
      <c r="W750" s="2">
        <v>15512</v>
      </c>
      <c r="X750" s="2">
        <v>13397</v>
      </c>
      <c r="Y750" s="2" t="s">
        <v>41</v>
      </c>
      <c r="Z750" s="2">
        <v>51</v>
      </c>
      <c r="AA750" s="2">
        <v>4.9000000000000004</v>
      </c>
      <c r="AB750" s="2" t="s">
        <v>104</v>
      </c>
    </row>
    <row r="751" spans="1:28" x14ac:dyDescent="0.25">
      <c r="A751" s="4" t="s">
        <v>1418</v>
      </c>
      <c r="B751" s="4" t="s">
        <v>466</v>
      </c>
      <c r="C751" s="4">
        <v>27</v>
      </c>
      <c r="D751" s="4" t="s">
        <v>55</v>
      </c>
      <c r="E751" s="4" t="s">
        <v>31</v>
      </c>
      <c r="F751" s="4" t="s">
        <v>114</v>
      </c>
      <c r="G751" s="5">
        <v>44912</v>
      </c>
      <c r="H751" s="5">
        <v>44916</v>
      </c>
      <c r="I751" s="4">
        <v>4</v>
      </c>
      <c r="J751" s="4" t="s">
        <v>33</v>
      </c>
      <c r="K751" s="4" t="s">
        <v>81</v>
      </c>
      <c r="L751" s="4" t="s">
        <v>82</v>
      </c>
      <c r="M751" s="4" t="s">
        <v>101</v>
      </c>
      <c r="N751" s="4" t="s">
        <v>62</v>
      </c>
      <c r="O751" s="4" t="s">
        <v>543</v>
      </c>
      <c r="P751" s="4">
        <v>284</v>
      </c>
      <c r="Q751" s="4" t="s">
        <v>39</v>
      </c>
      <c r="R751" s="4" t="s">
        <v>40</v>
      </c>
      <c r="S751" s="4">
        <v>74997</v>
      </c>
      <c r="T751" s="4">
        <v>45804</v>
      </c>
      <c r="U751" s="4">
        <v>29193</v>
      </c>
      <c r="V751" s="4">
        <v>48663</v>
      </c>
      <c r="W751" s="4">
        <v>11652</v>
      </c>
      <c r="X751" s="4">
        <v>11203</v>
      </c>
      <c r="Y751" s="4" t="s">
        <v>41</v>
      </c>
      <c r="Z751" s="4">
        <v>76</v>
      </c>
      <c r="AA751" s="4">
        <v>4.5999999999999996</v>
      </c>
      <c r="AB751" s="4" t="s">
        <v>42</v>
      </c>
    </row>
    <row r="752" spans="1:28" x14ac:dyDescent="0.25">
      <c r="A752" s="2" t="s">
        <v>1419</v>
      </c>
      <c r="B752" s="2" t="s">
        <v>711</v>
      </c>
      <c r="C752" s="2">
        <v>76</v>
      </c>
      <c r="D752" s="2" t="s">
        <v>30</v>
      </c>
      <c r="E752" s="2" t="s">
        <v>79</v>
      </c>
      <c r="F752" s="2" t="s">
        <v>114</v>
      </c>
      <c r="G752" s="3">
        <v>44812</v>
      </c>
      <c r="H752" s="3">
        <v>44828</v>
      </c>
      <c r="I752" s="2">
        <v>16</v>
      </c>
      <c r="J752" s="2" t="s">
        <v>33</v>
      </c>
      <c r="K752" s="2" t="s">
        <v>107</v>
      </c>
      <c r="L752" s="2" t="s">
        <v>48</v>
      </c>
      <c r="M752" s="2" t="s">
        <v>61</v>
      </c>
      <c r="N752" s="2" t="s">
        <v>109</v>
      </c>
      <c r="O752" s="2" t="s">
        <v>63</v>
      </c>
      <c r="P752" s="2">
        <v>127</v>
      </c>
      <c r="Q752" s="2" t="s">
        <v>69</v>
      </c>
      <c r="R752" s="2" t="s">
        <v>51</v>
      </c>
      <c r="S752" s="2">
        <v>119006</v>
      </c>
      <c r="T752" s="2">
        <v>68224</v>
      </c>
      <c r="U752" s="2">
        <v>50782</v>
      </c>
      <c r="V752" s="2">
        <v>92195</v>
      </c>
      <c r="W752" s="2">
        <v>9553</v>
      </c>
      <c r="X752" s="2">
        <v>14679</v>
      </c>
      <c r="Y752" s="2" t="s">
        <v>41</v>
      </c>
      <c r="Z752" s="2">
        <v>71</v>
      </c>
      <c r="AA752" s="2">
        <v>3.8</v>
      </c>
      <c r="AB752" s="2" t="s">
        <v>104</v>
      </c>
    </row>
    <row r="753" spans="1:28" x14ac:dyDescent="0.25">
      <c r="A753" s="4" t="s">
        <v>1420</v>
      </c>
      <c r="B753" s="4" t="s">
        <v>133</v>
      </c>
      <c r="C753" s="4">
        <v>82</v>
      </c>
      <c r="D753" s="4" t="s">
        <v>30</v>
      </c>
      <c r="E753" s="4" t="s">
        <v>122</v>
      </c>
      <c r="F753" s="4" t="s">
        <v>129</v>
      </c>
      <c r="G753" s="5">
        <v>44919</v>
      </c>
      <c r="H753" s="5">
        <v>44934</v>
      </c>
      <c r="I753" s="4">
        <v>15</v>
      </c>
      <c r="J753" s="4" t="s">
        <v>202</v>
      </c>
      <c r="K753" s="4" t="s">
        <v>203</v>
      </c>
      <c r="L753" s="4" t="s">
        <v>204</v>
      </c>
      <c r="M753" s="4" t="s">
        <v>130</v>
      </c>
      <c r="N753" s="4" t="s">
        <v>118</v>
      </c>
      <c r="O753" s="4" t="s">
        <v>89</v>
      </c>
      <c r="P753" s="4">
        <v>240</v>
      </c>
      <c r="Q753" s="4" t="s">
        <v>103</v>
      </c>
      <c r="R753" s="4" t="s">
        <v>90</v>
      </c>
      <c r="S753" s="4">
        <v>93502</v>
      </c>
      <c r="T753" s="4">
        <v>59980</v>
      </c>
      <c r="U753" s="4">
        <v>33522</v>
      </c>
      <c r="V753" s="4">
        <v>61160</v>
      </c>
      <c r="W753" s="4">
        <v>17067</v>
      </c>
      <c r="X753" s="4">
        <v>12098</v>
      </c>
      <c r="Y753" s="4" t="s">
        <v>41</v>
      </c>
      <c r="Z753" s="4">
        <v>100</v>
      </c>
      <c r="AA753" s="4">
        <v>4.7</v>
      </c>
      <c r="AB753" s="4" t="s">
        <v>64</v>
      </c>
    </row>
    <row r="754" spans="1:28" x14ac:dyDescent="0.25">
      <c r="A754" s="2" t="s">
        <v>1421</v>
      </c>
      <c r="B754" s="2" t="s">
        <v>1422</v>
      </c>
      <c r="C754" s="2">
        <v>8</v>
      </c>
      <c r="D754" s="2" t="s">
        <v>55</v>
      </c>
      <c r="E754" s="2" t="s">
        <v>154</v>
      </c>
      <c r="F754" s="2" t="s">
        <v>80</v>
      </c>
      <c r="G754" s="3">
        <v>45375</v>
      </c>
      <c r="H754" s="3">
        <v>45399</v>
      </c>
      <c r="I754" s="2">
        <v>24</v>
      </c>
      <c r="J754" s="2" t="s">
        <v>33</v>
      </c>
      <c r="K754" s="2" t="s">
        <v>197</v>
      </c>
      <c r="L754" s="2" t="s">
        <v>198</v>
      </c>
      <c r="M754" s="2" t="s">
        <v>61</v>
      </c>
      <c r="N754" s="2" t="s">
        <v>109</v>
      </c>
      <c r="O754" s="2" t="s">
        <v>38</v>
      </c>
      <c r="P754" s="2">
        <v>136</v>
      </c>
      <c r="Q754" s="2" t="s">
        <v>103</v>
      </c>
      <c r="R754" s="2" t="s">
        <v>51</v>
      </c>
      <c r="S754" s="2">
        <v>158440</v>
      </c>
      <c r="T754" s="2">
        <v>104426</v>
      </c>
      <c r="U754" s="2">
        <v>54014</v>
      </c>
      <c r="V754" s="2">
        <v>127054</v>
      </c>
      <c r="W754" s="2">
        <v>17994</v>
      </c>
      <c r="X754" s="2">
        <v>8748</v>
      </c>
      <c r="Y754" s="2" t="s">
        <v>41</v>
      </c>
      <c r="Z754" s="2">
        <v>83</v>
      </c>
      <c r="AA754" s="2">
        <v>2.6</v>
      </c>
      <c r="AB754" s="2" t="s">
        <v>52</v>
      </c>
    </row>
    <row r="755" spans="1:28" x14ac:dyDescent="0.25">
      <c r="A755" s="4" t="s">
        <v>1423</v>
      </c>
      <c r="B755" s="4" t="s">
        <v>1424</v>
      </c>
      <c r="C755" s="4">
        <v>50</v>
      </c>
      <c r="D755" s="4" t="s">
        <v>55</v>
      </c>
      <c r="E755" s="4" t="s">
        <v>31</v>
      </c>
      <c r="F755" s="4" t="s">
        <v>94</v>
      </c>
      <c r="G755" s="5">
        <v>45369</v>
      </c>
      <c r="H755" s="5">
        <v>45399</v>
      </c>
      <c r="I755" s="4">
        <v>30</v>
      </c>
      <c r="J755" s="4" t="s">
        <v>33</v>
      </c>
      <c r="K755" s="4" t="s">
        <v>197</v>
      </c>
      <c r="L755" s="4" t="s">
        <v>198</v>
      </c>
      <c r="M755" s="4" t="s">
        <v>61</v>
      </c>
      <c r="N755" s="4" t="s">
        <v>62</v>
      </c>
      <c r="O755" s="4" t="s">
        <v>471</v>
      </c>
      <c r="P755" s="4">
        <v>121</v>
      </c>
      <c r="Q755" s="4" t="s">
        <v>103</v>
      </c>
      <c r="R755" s="4" t="s">
        <v>90</v>
      </c>
      <c r="S755" s="4">
        <v>102749</v>
      </c>
      <c r="T755" s="4">
        <v>72342</v>
      </c>
      <c r="U755" s="4">
        <v>30407</v>
      </c>
      <c r="V755" s="4">
        <v>89078</v>
      </c>
      <c r="W755" s="4">
        <v>4587</v>
      </c>
      <c r="X755" s="4">
        <v>8040</v>
      </c>
      <c r="Y755" s="4" t="s">
        <v>41</v>
      </c>
      <c r="Z755" s="4">
        <v>53</v>
      </c>
      <c r="AA755" s="4">
        <v>4.5999999999999996</v>
      </c>
      <c r="AB755" s="4" t="s">
        <v>42</v>
      </c>
    </row>
    <row r="756" spans="1:28" x14ac:dyDescent="0.25">
      <c r="A756" s="2" t="s">
        <v>1425</v>
      </c>
      <c r="B756" s="2" t="s">
        <v>1426</v>
      </c>
      <c r="C756" s="2">
        <v>7</v>
      </c>
      <c r="D756" s="2" t="s">
        <v>55</v>
      </c>
      <c r="E756" s="2" t="s">
        <v>154</v>
      </c>
      <c r="F756" s="2" t="s">
        <v>72</v>
      </c>
      <c r="G756" s="3">
        <v>45275</v>
      </c>
      <c r="H756" s="3">
        <v>45297</v>
      </c>
      <c r="I756" s="2">
        <v>22</v>
      </c>
      <c r="J756" s="2" t="s">
        <v>123</v>
      </c>
      <c r="K756" s="2" t="s">
        <v>251</v>
      </c>
      <c r="L756" s="2" t="s">
        <v>125</v>
      </c>
      <c r="M756" s="2" t="s">
        <v>134</v>
      </c>
      <c r="N756" s="2" t="s">
        <v>109</v>
      </c>
      <c r="O756" s="2" t="s">
        <v>119</v>
      </c>
      <c r="P756" s="2">
        <v>335</v>
      </c>
      <c r="Q756" s="2" t="s">
        <v>39</v>
      </c>
      <c r="R756" s="2" t="s">
        <v>90</v>
      </c>
      <c r="S756" s="2">
        <v>71477</v>
      </c>
      <c r="T756" s="2">
        <v>64162</v>
      </c>
      <c r="U756" s="2">
        <v>7315</v>
      </c>
      <c r="V756" s="2">
        <v>56467</v>
      </c>
      <c r="W756" s="2">
        <v>1160</v>
      </c>
      <c r="X756" s="2">
        <v>9946</v>
      </c>
      <c r="Y756" s="2" t="s">
        <v>91</v>
      </c>
      <c r="Z756" s="2">
        <v>83</v>
      </c>
      <c r="AA756" s="2">
        <v>3.8</v>
      </c>
      <c r="AB756" s="2" t="s">
        <v>104</v>
      </c>
    </row>
    <row r="757" spans="1:28" x14ac:dyDescent="0.25">
      <c r="A757" s="4" t="s">
        <v>1427</v>
      </c>
      <c r="B757" s="4" t="s">
        <v>1231</v>
      </c>
      <c r="C757" s="4">
        <v>23</v>
      </c>
      <c r="D757" s="4" t="s">
        <v>30</v>
      </c>
      <c r="E757" s="4" t="s">
        <v>122</v>
      </c>
      <c r="F757" s="4" t="s">
        <v>129</v>
      </c>
      <c r="G757" s="5">
        <v>44872</v>
      </c>
      <c r="H757" s="5">
        <v>44876</v>
      </c>
      <c r="I757" s="4">
        <v>4</v>
      </c>
      <c r="J757" s="4" t="s">
        <v>115</v>
      </c>
      <c r="K757" s="4" t="s">
        <v>160</v>
      </c>
      <c r="L757" s="4" t="s">
        <v>117</v>
      </c>
      <c r="M757" s="4" t="s">
        <v>36</v>
      </c>
      <c r="N757" s="4" t="s">
        <v>37</v>
      </c>
      <c r="O757" s="4" t="s">
        <v>448</v>
      </c>
      <c r="P757" s="4">
        <v>386</v>
      </c>
      <c r="Q757" s="4" t="s">
        <v>39</v>
      </c>
      <c r="R757" s="4" t="s">
        <v>90</v>
      </c>
      <c r="S757" s="4">
        <v>70411</v>
      </c>
      <c r="T757" s="4">
        <v>44696</v>
      </c>
      <c r="U757" s="4">
        <v>25715</v>
      </c>
      <c r="V757" s="4">
        <v>35190</v>
      </c>
      <c r="W757" s="4">
        <v>20852</v>
      </c>
      <c r="X757" s="4">
        <v>13138</v>
      </c>
      <c r="Y757" s="4" t="s">
        <v>41</v>
      </c>
      <c r="Z757" s="4">
        <v>46</v>
      </c>
      <c r="AA757" s="4">
        <v>2.4</v>
      </c>
      <c r="AB757" s="4" t="s">
        <v>64</v>
      </c>
    </row>
    <row r="758" spans="1:28" x14ac:dyDescent="0.25">
      <c r="A758" s="2" t="s">
        <v>1428</v>
      </c>
      <c r="B758" s="2" t="s">
        <v>384</v>
      </c>
      <c r="C758" s="2">
        <v>84</v>
      </c>
      <c r="D758" s="2" t="s">
        <v>55</v>
      </c>
      <c r="E758" s="2" t="s">
        <v>87</v>
      </c>
      <c r="F758" s="2" t="s">
        <v>129</v>
      </c>
      <c r="G758" s="3">
        <v>45264</v>
      </c>
      <c r="H758" s="3">
        <v>45286</v>
      </c>
      <c r="I758" s="2">
        <v>22</v>
      </c>
      <c r="J758" s="2" t="s">
        <v>202</v>
      </c>
      <c r="K758" s="2" t="s">
        <v>225</v>
      </c>
      <c r="L758" s="2" t="s">
        <v>226</v>
      </c>
      <c r="M758" s="2" t="s">
        <v>61</v>
      </c>
      <c r="N758" s="2" t="s">
        <v>109</v>
      </c>
      <c r="O758" s="2" t="s">
        <v>382</v>
      </c>
      <c r="P758" s="2">
        <v>19</v>
      </c>
      <c r="Q758" s="2" t="s">
        <v>50</v>
      </c>
      <c r="R758" s="2" t="s">
        <v>51</v>
      </c>
      <c r="S758" s="2">
        <v>80578</v>
      </c>
      <c r="T758" s="2">
        <v>37269</v>
      </c>
      <c r="U758" s="2">
        <v>43309</v>
      </c>
      <c r="V758" s="2">
        <v>55448</v>
      </c>
      <c r="W758" s="2">
        <v>15137</v>
      </c>
      <c r="X758" s="2">
        <v>6730</v>
      </c>
      <c r="Y758" s="2" t="s">
        <v>91</v>
      </c>
      <c r="Z758" s="2">
        <v>51</v>
      </c>
      <c r="AA758" s="2">
        <v>3.4</v>
      </c>
      <c r="AB758" s="2" t="s">
        <v>52</v>
      </c>
    </row>
    <row r="759" spans="1:28" x14ac:dyDescent="0.25">
      <c r="A759" s="4" t="s">
        <v>1429</v>
      </c>
      <c r="B759" s="4" t="s">
        <v>555</v>
      </c>
      <c r="C759" s="4">
        <v>18</v>
      </c>
      <c r="D759" s="4" t="s">
        <v>55</v>
      </c>
      <c r="E759" s="4" t="s">
        <v>79</v>
      </c>
      <c r="F759" s="4" t="s">
        <v>129</v>
      </c>
      <c r="G759" s="5">
        <v>44767</v>
      </c>
      <c r="H759" s="5">
        <v>44770</v>
      </c>
      <c r="I759" s="4">
        <v>3</v>
      </c>
      <c r="J759" s="4" t="s">
        <v>58</v>
      </c>
      <c r="K759" s="4" t="s">
        <v>59</v>
      </c>
      <c r="L759" s="4" t="s">
        <v>60</v>
      </c>
      <c r="M759" s="4" t="s">
        <v>75</v>
      </c>
      <c r="N759" s="4" t="s">
        <v>37</v>
      </c>
      <c r="O759" s="4" t="s">
        <v>217</v>
      </c>
      <c r="P759" s="4">
        <v>473</v>
      </c>
      <c r="Q759" s="4" t="s">
        <v>50</v>
      </c>
      <c r="R759" s="4" t="s">
        <v>90</v>
      </c>
      <c r="S759" s="4">
        <v>101844</v>
      </c>
      <c r="T759" s="4">
        <v>72581</v>
      </c>
      <c r="U759" s="4">
        <v>29263</v>
      </c>
      <c r="V759" s="4">
        <v>90626</v>
      </c>
      <c r="W759" s="4">
        <v>5411</v>
      </c>
      <c r="X759" s="4">
        <v>2959</v>
      </c>
      <c r="Y759" s="4" t="s">
        <v>91</v>
      </c>
      <c r="Z759" s="4">
        <v>92</v>
      </c>
      <c r="AA759" s="4">
        <v>3.8</v>
      </c>
      <c r="AB759" s="4" t="s">
        <v>52</v>
      </c>
    </row>
    <row r="760" spans="1:28" x14ac:dyDescent="0.25">
      <c r="A760" s="2" t="s">
        <v>1430</v>
      </c>
      <c r="B760" s="2" t="s">
        <v>437</v>
      </c>
      <c r="C760" s="2">
        <v>13</v>
      </c>
      <c r="D760" s="2" t="s">
        <v>55</v>
      </c>
      <c r="E760" s="2" t="s">
        <v>31</v>
      </c>
      <c r="F760" s="2" t="s">
        <v>72</v>
      </c>
      <c r="G760" s="3">
        <v>45269</v>
      </c>
      <c r="H760" s="3">
        <v>45274</v>
      </c>
      <c r="I760" s="2">
        <v>5</v>
      </c>
      <c r="J760" s="2" t="s">
        <v>33</v>
      </c>
      <c r="K760" s="2" t="s">
        <v>278</v>
      </c>
      <c r="L760" s="2" t="s">
        <v>279</v>
      </c>
      <c r="M760" s="2" t="s">
        <v>130</v>
      </c>
      <c r="N760" s="2" t="s">
        <v>62</v>
      </c>
      <c r="O760" s="2" t="s">
        <v>102</v>
      </c>
      <c r="P760" s="2">
        <v>61</v>
      </c>
      <c r="Q760" s="2" t="s">
        <v>39</v>
      </c>
      <c r="R760" s="2" t="s">
        <v>136</v>
      </c>
      <c r="S760" s="2">
        <v>79451</v>
      </c>
      <c r="T760" s="2">
        <v>0</v>
      </c>
      <c r="U760" s="2">
        <v>79451</v>
      </c>
      <c r="V760" s="2">
        <v>55005</v>
      </c>
      <c r="W760" s="2">
        <v>14889</v>
      </c>
      <c r="X760" s="2">
        <v>6382</v>
      </c>
      <c r="Y760" s="2" t="s">
        <v>41</v>
      </c>
      <c r="Z760" s="2">
        <v>64</v>
      </c>
      <c r="AA760" s="2">
        <v>2.9</v>
      </c>
      <c r="AB760" s="2" t="s">
        <v>64</v>
      </c>
    </row>
    <row r="761" spans="1:28" x14ac:dyDescent="0.25">
      <c r="A761" s="4" t="s">
        <v>1431</v>
      </c>
      <c r="B761" s="4" t="s">
        <v>501</v>
      </c>
      <c r="C761" s="4">
        <v>38</v>
      </c>
      <c r="D761" s="4" t="s">
        <v>55</v>
      </c>
      <c r="E761" s="4" t="s">
        <v>154</v>
      </c>
      <c r="F761" s="4" t="s">
        <v>57</v>
      </c>
      <c r="G761" s="5">
        <v>44850</v>
      </c>
      <c r="H761" s="5">
        <v>44866</v>
      </c>
      <c r="I761" s="4">
        <v>16</v>
      </c>
      <c r="J761" s="4" t="s">
        <v>33</v>
      </c>
      <c r="K761" s="4" t="s">
        <v>197</v>
      </c>
      <c r="L761" s="4" t="s">
        <v>198</v>
      </c>
      <c r="M761" s="4" t="s">
        <v>36</v>
      </c>
      <c r="N761" s="4" t="s">
        <v>118</v>
      </c>
      <c r="O761" s="4" t="s">
        <v>147</v>
      </c>
      <c r="P761" s="4">
        <v>246</v>
      </c>
      <c r="Q761" s="4" t="s">
        <v>39</v>
      </c>
      <c r="R761" s="4" t="s">
        <v>51</v>
      </c>
      <c r="S761" s="4">
        <v>148180</v>
      </c>
      <c r="T761" s="4">
        <v>85903</v>
      </c>
      <c r="U761" s="4">
        <v>62277</v>
      </c>
      <c r="V761" s="4">
        <v>134723</v>
      </c>
      <c r="W761" s="4">
        <v>10107</v>
      </c>
      <c r="X761" s="4">
        <v>1488</v>
      </c>
      <c r="Y761" s="4" t="s">
        <v>91</v>
      </c>
      <c r="Z761" s="4">
        <v>86</v>
      </c>
      <c r="AA761" s="4">
        <v>4.2</v>
      </c>
      <c r="AB761" s="4" t="s">
        <v>104</v>
      </c>
    </row>
    <row r="762" spans="1:28" x14ac:dyDescent="0.25">
      <c r="A762" s="2" t="s">
        <v>1432</v>
      </c>
      <c r="B762" s="2" t="s">
        <v>1309</v>
      </c>
      <c r="C762" s="2">
        <v>80</v>
      </c>
      <c r="D762" s="2" t="s">
        <v>55</v>
      </c>
      <c r="E762" s="2" t="s">
        <v>67</v>
      </c>
      <c r="F762" s="2" t="s">
        <v>32</v>
      </c>
      <c r="G762" s="3">
        <v>44828</v>
      </c>
      <c r="H762" s="3">
        <v>44833</v>
      </c>
      <c r="I762" s="2">
        <v>5</v>
      </c>
      <c r="J762" s="2" t="s">
        <v>58</v>
      </c>
      <c r="K762" s="2" t="s">
        <v>59</v>
      </c>
      <c r="L762" s="2" t="s">
        <v>60</v>
      </c>
      <c r="M762" s="2" t="s">
        <v>36</v>
      </c>
      <c r="N762" s="2" t="s">
        <v>118</v>
      </c>
      <c r="O762" s="2" t="s">
        <v>461</v>
      </c>
      <c r="P762" s="2">
        <v>488</v>
      </c>
      <c r="Q762" s="2" t="s">
        <v>39</v>
      </c>
      <c r="R762" s="2" t="s">
        <v>90</v>
      </c>
      <c r="S762" s="2">
        <v>102105</v>
      </c>
      <c r="T762" s="2">
        <v>62255</v>
      </c>
      <c r="U762" s="2">
        <v>39850</v>
      </c>
      <c r="V762" s="2">
        <v>63153</v>
      </c>
      <c r="W762" s="2">
        <v>23976</v>
      </c>
      <c r="X762" s="2">
        <v>12138</v>
      </c>
      <c r="Y762" s="2" t="s">
        <v>91</v>
      </c>
      <c r="Z762" s="2">
        <v>41</v>
      </c>
      <c r="AA762" s="2">
        <v>3.8</v>
      </c>
      <c r="AB762" s="2" t="s">
        <v>137</v>
      </c>
    </row>
    <row r="763" spans="1:28" x14ac:dyDescent="0.25">
      <c r="A763" s="4" t="s">
        <v>1433</v>
      </c>
      <c r="B763" s="4" t="s">
        <v>817</v>
      </c>
      <c r="C763" s="4">
        <v>62</v>
      </c>
      <c r="D763" s="4" t="s">
        <v>30</v>
      </c>
      <c r="E763" s="4" t="s">
        <v>67</v>
      </c>
      <c r="F763" s="4" t="s">
        <v>46</v>
      </c>
      <c r="G763" s="5">
        <v>44694</v>
      </c>
      <c r="H763" s="5">
        <v>44706</v>
      </c>
      <c r="I763" s="4">
        <v>12</v>
      </c>
      <c r="J763" s="4" t="s">
        <v>33</v>
      </c>
      <c r="K763" s="4" t="s">
        <v>107</v>
      </c>
      <c r="L763" s="4" t="s">
        <v>48</v>
      </c>
      <c r="M763" s="4" t="s">
        <v>95</v>
      </c>
      <c r="N763" s="4" t="s">
        <v>118</v>
      </c>
      <c r="O763" s="4" t="s">
        <v>538</v>
      </c>
      <c r="P763" s="4">
        <v>432</v>
      </c>
      <c r="Q763" s="4" t="s">
        <v>39</v>
      </c>
      <c r="R763" s="4" t="s">
        <v>40</v>
      </c>
      <c r="S763" s="4">
        <v>103244</v>
      </c>
      <c r="T763" s="4">
        <v>45537</v>
      </c>
      <c r="U763" s="4">
        <v>57707</v>
      </c>
      <c r="V763" s="4">
        <v>70871</v>
      </c>
      <c r="W763" s="4">
        <v>16714</v>
      </c>
      <c r="X763" s="4">
        <v>14288</v>
      </c>
      <c r="Y763" s="4" t="s">
        <v>41</v>
      </c>
      <c r="Z763" s="4">
        <v>69</v>
      </c>
      <c r="AA763" s="4">
        <v>3.3</v>
      </c>
      <c r="AB763" s="4" t="s">
        <v>104</v>
      </c>
    </row>
    <row r="764" spans="1:28" x14ac:dyDescent="0.25">
      <c r="A764" s="2" t="s">
        <v>1434</v>
      </c>
      <c r="B764" s="2" t="s">
        <v>1435</v>
      </c>
      <c r="C764" s="2">
        <v>12</v>
      </c>
      <c r="D764" s="2" t="s">
        <v>55</v>
      </c>
      <c r="E764" s="2" t="s">
        <v>56</v>
      </c>
      <c r="F764" s="2" t="s">
        <v>57</v>
      </c>
      <c r="G764" s="3">
        <v>44986</v>
      </c>
      <c r="H764" s="3">
        <v>44987</v>
      </c>
      <c r="I764" s="2">
        <v>1</v>
      </c>
      <c r="J764" s="2" t="s">
        <v>33</v>
      </c>
      <c r="K764" s="2" t="s">
        <v>81</v>
      </c>
      <c r="L764" s="2" t="s">
        <v>82</v>
      </c>
      <c r="M764" s="2" t="s">
        <v>61</v>
      </c>
      <c r="N764" s="2" t="s">
        <v>62</v>
      </c>
      <c r="O764" s="2" t="s">
        <v>352</v>
      </c>
      <c r="P764" s="2">
        <v>142</v>
      </c>
      <c r="Q764" s="2" t="s">
        <v>69</v>
      </c>
      <c r="R764" s="2" t="s">
        <v>111</v>
      </c>
      <c r="S764" s="2">
        <v>72128</v>
      </c>
      <c r="T764" s="2">
        <v>55056</v>
      </c>
      <c r="U764" s="2">
        <v>17072</v>
      </c>
      <c r="V764" s="2">
        <v>47434</v>
      </c>
      <c r="W764" s="2">
        <v>14887</v>
      </c>
      <c r="X764" s="2">
        <v>8958</v>
      </c>
      <c r="Y764" s="2" t="s">
        <v>41</v>
      </c>
      <c r="Z764" s="2">
        <v>91</v>
      </c>
      <c r="AA764" s="2">
        <v>4.2</v>
      </c>
      <c r="AB764" s="2" t="s">
        <v>52</v>
      </c>
    </row>
    <row r="765" spans="1:28" x14ac:dyDescent="0.25">
      <c r="A765" s="4" t="s">
        <v>1436</v>
      </c>
      <c r="B765" s="4" t="s">
        <v>1437</v>
      </c>
      <c r="C765" s="4">
        <v>23</v>
      </c>
      <c r="D765" s="4" t="s">
        <v>55</v>
      </c>
      <c r="E765" s="4" t="s">
        <v>56</v>
      </c>
      <c r="F765" s="4" t="s">
        <v>80</v>
      </c>
      <c r="G765" s="5">
        <v>44686</v>
      </c>
      <c r="H765" s="5">
        <v>44701</v>
      </c>
      <c r="I765" s="4">
        <v>15</v>
      </c>
      <c r="J765" s="4" t="s">
        <v>202</v>
      </c>
      <c r="K765" s="4" t="s">
        <v>203</v>
      </c>
      <c r="L765" s="4" t="s">
        <v>204</v>
      </c>
      <c r="M765" s="4" t="s">
        <v>75</v>
      </c>
      <c r="N765" s="4" t="s">
        <v>62</v>
      </c>
      <c r="O765" s="4" t="s">
        <v>448</v>
      </c>
      <c r="P765" s="4">
        <v>53</v>
      </c>
      <c r="Q765" s="4" t="s">
        <v>39</v>
      </c>
      <c r="R765" s="4" t="s">
        <v>90</v>
      </c>
      <c r="S765" s="4">
        <v>157922</v>
      </c>
      <c r="T765" s="4">
        <v>98529</v>
      </c>
      <c r="U765" s="4">
        <v>59393</v>
      </c>
      <c r="V765" s="4">
        <v>126096</v>
      </c>
      <c r="W765" s="4">
        <v>24351</v>
      </c>
      <c r="X765" s="4">
        <v>4255</v>
      </c>
      <c r="Y765" s="4" t="s">
        <v>91</v>
      </c>
      <c r="Z765" s="4">
        <v>95</v>
      </c>
      <c r="AA765" s="4">
        <v>2.9</v>
      </c>
      <c r="AB765" s="4" t="s">
        <v>42</v>
      </c>
    </row>
    <row r="766" spans="1:28" x14ac:dyDescent="0.25">
      <c r="A766" s="2" t="s">
        <v>1438</v>
      </c>
      <c r="B766" s="2" t="s">
        <v>482</v>
      </c>
      <c r="C766" s="2">
        <v>43</v>
      </c>
      <c r="D766" s="2" t="s">
        <v>55</v>
      </c>
      <c r="E766" s="2" t="s">
        <v>67</v>
      </c>
      <c r="F766" s="2" t="s">
        <v>129</v>
      </c>
      <c r="G766" s="3">
        <v>44795</v>
      </c>
      <c r="H766" s="3">
        <v>44818</v>
      </c>
      <c r="I766" s="2">
        <v>23</v>
      </c>
      <c r="J766" s="2" t="s">
        <v>115</v>
      </c>
      <c r="K766" s="2" t="s">
        <v>160</v>
      </c>
      <c r="L766" s="2" t="s">
        <v>117</v>
      </c>
      <c r="M766" s="2" t="s">
        <v>130</v>
      </c>
      <c r="N766" s="2" t="s">
        <v>37</v>
      </c>
      <c r="O766" s="2" t="s">
        <v>406</v>
      </c>
      <c r="P766" s="2">
        <v>273</v>
      </c>
      <c r="Q766" s="2" t="s">
        <v>50</v>
      </c>
      <c r="R766" s="2" t="s">
        <v>111</v>
      </c>
      <c r="S766" s="2">
        <v>150812</v>
      </c>
      <c r="T766" s="2">
        <v>112936</v>
      </c>
      <c r="U766" s="2">
        <v>37876</v>
      </c>
      <c r="V766" s="2">
        <v>116649</v>
      </c>
      <c r="W766" s="2">
        <v>24049</v>
      </c>
      <c r="X766" s="2">
        <v>7536</v>
      </c>
      <c r="Y766" s="2" t="s">
        <v>41</v>
      </c>
      <c r="Z766" s="2">
        <v>75</v>
      </c>
      <c r="AA766" s="2">
        <v>2</v>
      </c>
      <c r="AB766" s="2" t="s">
        <v>64</v>
      </c>
    </row>
    <row r="767" spans="1:28" x14ac:dyDescent="0.25">
      <c r="A767" s="4" t="s">
        <v>1439</v>
      </c>
      <c r="B767" s="4" t="s">
        <v>1440</v>
      </c>
      <c r="C767" s="4">
        <v>82</v>
      </c>
      <c r="D767" s="4" t="s">
        <v>30</v>
      </c>
      <c r="E767" s="4" t="s">
        <v>154</v>
      </c>
      <c r="F767" s="4" t="s">
        <v>150</v>
      </c>
      <c r="G767" s="5">
        <v>45082</v>
      </c>
      <c r="H767" s="5">
        <v>45109</v>
      </c>
      <c r="I767" s="4">
        <v>27</v>
      </c>
      <c r="J767" s="4" t="s">
        <v>33</v>
      </c>
      <c r="K767" s="4" t="s">
        <v>81</v>
      </c>
      <c r="L767" s="4" t="s">
        <v>82</v>
      </c>
      <c r="M767" s="4" t="s">
        <v>108</v>
      </c>
      <c r="N767" s="4" t="s">
        <v>109</v>
      </c>
      <c r="O767" s="4" t="s">
        <v>49</v>
      </c>
      <c r="P767" s="4">
        <v>300</v>
      </c>
      <c r="Q767" s="4" t="s">
        <v>69</v>
      </c>
      <c r="R767" s="4" t="s">
        <v>51</v>
      </c>
      <c r="S767" s="4">
        <v>103433</v>
      </c>
      <c r="T767" s="4">
        <v>41962</v>
      </c>
      <c r="U767" s="4">
        <v>61471</v>
      </c>
      <c r="V767" s="4">
        <v>68058</v>
      </c>
      <c r="W767" s="4">
        <v>28220</v>
      </c>
      <c r="X767" s="4">
        <v>2764</v>
      </c>
      <c r="Y767" s="4" t="s">
        <v>91</v>
      </c>
      <c r="Z767" s="4">
        <v>57</v>
      </c>
      <c r="AA767" s="4">
        <v>3.2</v>
      </c>
      <c r="AB767" s="4" t="s">
        <v>137</v>
      </c>
    </row>
    <row r="768" spans="1:28" x14ac:dyDescent="0.25">
      <c r="A768" s="2" t="s">
        <v>1441</v>
      </c>
      <c r="B768" s="2" t="s">
        <v>183</v>
      </c>
      <c r="C768" s="2">
        <v>47</v>
      </c>
      <c r="D768" s="2" t="s">
        <v>55</v>
      </c>
      <c r="E768" s="2" t="s">
        <v>56</v>
      </c>
      <c r="F768" s="2" t="s">
        <v>157</v>
      </c>
      <c r="G768" s="3">
        <v>44665</v>
      </c>
      <c r="H768" s="3">
        <v>44680</v>
      </c>
      <c r="I768" s="2">
        <v>15</v>
      </c>
      <c r="J768" s="2" t="s">
        <v>33</v>
      </c>
      <c r="K768" s="2" t="s">
        <v>278</v>
      </c>
      <c r="L768" s="2" t="s">
        <v>279</v>
      </c>
      <c r="M768" s="2" t="s">
        <v>83</v>
      </c>
      <c r="N768" s="2" t="s">
        <v>62</v>
      </c>
      <c r="O768" s="2" t="s">
        <v>246</v>
      </c>
      <c r="P768" s="2">
        <v>11</v>
      </c>
      <c r="Q768" s="2" t="s">
        <v>50</v>
      </c>
      <c r="R768" s="2" t="s">
        <v>51</v>
      </c>
      <c r="S768" s="2">
        <v>99817</v>
      </c>
      <c r="T768" s="2">
        <v>64498</v>
      </c>
      <c r="U768" s="2">
        <v>35319</v>
      </c>
      <c r="V768" s="2">
        <v>66853</v>
      </c>
      <c r="W768" s="2">
        <v>18821</v>
      </c>
      <c r="X768" s="2">
        <v>13087</v>
      </c>
      <c r="Y768" s="2" t="s">
        <v>41</v>
      </c>
      <c r="Z768" s="2">
        <v>84</v>
      </c>
      <c r="AA768" s="2">
        <v>4.5999999999999996</v>
      </c>
      <c r="AB768" s="2" t="s">
        <v>52</v>
      </c>
    </row>
    <row r="769" spans="1:28" x14ac:dyDescent="0.25">
      <c r="A769" s="4" t="s">
        <v>1442</v>
      </c>
      <c r="B769" s="4" t="s">
        <v>1266</v>
      </c>
      <c r="C769" s="4">
        <v>45</v>
      </c>
      <c r="D769" s="4" t="s">
        <v>55</v>
      </c>
      <c r="E769" s="4" t="s">
        <v>56</v>
      </c>
      <c r="F769" s="4" t="s">
        <v>80</v>
      </c>
      <c r="G769" s="5">
        <v>44914</v>
      </c>
      <c r="H769" s="5">
        <v>44916</v>
      </c>
      <c r="I769" s="4">
        <v>2</v>
      </c>
      <c r="J769" s="4" t="s">
        <v>140</v>
      </c>
      <c r="K769" s="4" t="s">
        <v>167</v>
      </c>
      <c r="L769" s="4" t="s">
        <v>142</v>
      </c>
      <c r="M769" s="4" t="s">
        <v>101</v>
      </c>
      <c r="N769" s="4" t="s">
        <v>62</v>
      </c>
      <c r="O769" s="4" t="s">
        <v>326</v>
      </c>
      <c r="P769" s="4">
        <v>332</v>
      </c>
      <c r="Q769" s="4" t="s">
        <v>103</v>
      </c>
      <c r="R769" s="4" t="s">
        <v>111</v>
      </c>
      <c r="S769" s="4">
        <v>174170</v>
      </c>
      <c r="T769" s="4">
        <v>138362</v>
      </c>
      <c r="U769" s="4">
        <v>35808</v>
      </c>
      <c r="V769" s="4">
        <v>143723</v>
      </c>
      <c r="W769" s="4">
        <v>17148</v>
      </c>
      <c r="X769" s="4">
        <v>10967</v>
      </c>
      <c r="Y769" s="4" t="s">
        <v>41</v>
      </c>
      <c r="Z769" s="4">
        <v>77</v>
      </c>
      <c r="AA769" s="4">
        <v>3.3</v>
      </c>
      <c r="AB769" s="4" t="s">
        <v>104</v>
      </c>
    </row>
    <row r="770" spans="1:28" x14ac:dyDescent="0.25">
      <c r="A770" s="2" t="s">
        <v>1443</v>
      </c>
      <c r="B770" s="2" t="s">
        <v>1348</v>
      </c>
      <c r="C770" s="2">
        <v>53</v>
      </c>
      <c r="D770" s="2" t="s">
        <v>30</v>
      </c>
      <c r="E770" s="2" t="s">
        <v>56</v>
      </c>
      <c r="F770" s="2" t="s">
        <v>114</v>
      </c>
      <c r="G770" s="3">
        <v>45344</v>
      </c>
      <c r="H770" s="3">
        <v>45348</v>
      </c>
      <c r="I770" s="2">
        <v>4</v>
      </c>
      <c r="J770" s="2" t="s">
        <v>140</v>
      </c>
      <c r="K770" s="2" t="s">
        <v>141</v>
      </c>
      <c r="L770" s="2" t="s">
        <v>142</v>
      </c>
      <c r="M770" s="2" t="s">
        <v>83</v>
      </c>
      <c r="N770" s="2" t="s">
        <v>118</v>
      </c>
      <c r="O770" s="2" t="s">
        <v>631</v>
      </c>
      <c r="P770" s="2">
        <v>246</v>
      </c>
      <c r="Q770" s="2" t="s">
        <v>50</v>
      </c>
      <c r="R770" s="2" t="s">
        <v>40</v>
      </c>
      <c r="S770" s="2">
        <v>100878</v>
      </c>
      <c r="T770" s="2">
        <v>53573</v>
      </c>
      <c r="U770" s="2">
        <v>47305</v>
      </c>
      <c r="V770" s="2">
        <v>66157</v>
      </c>
      <c r="W770" s="2">
        <v>28227</v>
      </c>
      <c r="X770" s="2">
        <v>3354</v>
      </c>
      <c r="Y770" s="2" t="s">
        <v>41</v>
      </c>
      <c r="Z770" s="2">
        <v>84</v>
      </c>
      <c r="AA770" s="2">
        <v>4.9000000000000004</v>
      </c>
      <c r="AB770" s="2" t="s">
        <v>42</v>
      </c>
    </row>
    <row r="771" spans="1:28" x14ac:dyDescent="0.25">
      <c r="A771" s="4" t="s">
        <v>1444</v>
      </c>
      <c r="B771" s="4" t="s">
        <v>1023</v>
      </c>
      <c r="C771" s="4">
        <v>79</v>
      </c>
      <c r="D771" s="4" t="s">
        <v>55</v>
      </c>
      <c r="E771" s="4" t="s">
        <v>87</v>
      </c>
      <c r="F771" s="4" t="s">
        <v>57</v>
      </c>
      <c r="G771" s="5">
        <v>44699</v>
      </c>
      <c r="H771" s="5">
        <v>44722</v>
      </c>
      <c r="I771" s="4">
        <v>23</v>
      </c>
      <c r="J771" s="4" t="s">
        <v>140</v>
      </c>
      <c r="K771" s="4" t="s">
        <v>167</v>
      </c>
      <c r="L771" s="4" t="s">
        <v>142</v>
      </c>
      <c r="M771" s="4" t="s">
        <v>108</v>
      </c>
      <c r="N771" s="4" t="s">
        <v>109</v>
      </c>
      <c r="O771" s="4" t="s">
        <v>1038</v>
      </c>
      <c r="P771" s="4">
        <v>240</v>
      </c>
      <c r="Q771" s="4" t="s">
        <v>69</v>
      </c>
      <c r="R771" s="4" t="s">
        <v>51</v>
      </c>
      <c r="S771" s="4">
        <v>164904</v>
      </c>
      <c r="T771" s="4">
        <v>71190</v>
      </c>
      <c r="U771" s="4">
        <v>93714</v>
      </c>
      <c r="V771" s="4">
        <v>125780</v>
      </c>
      <c r="W771" s="4">
        <v>27863</v>
      </c>
      <c r="X771" s="4">
        <v>9356</v>
      </c>
      <c r="Y771" s="4" t="s">
        <v>41</v>
      </c>
      <c r="Z771" s="4">
        <v>93</v>
      </c>
      <c r="AA771" s="4">
        <v>2.5</v>
      </c>
      <c r="AB771" s="4" t="s">
        <v>104</v>
      </c>
    </row>
    <row r="772" spans="1:28" x14ac:dyDescent="0.25">
      <c r="A772" s="2" t="s">
        <v>1445</v>
      </c>
      <c r="B772" s="2" t="s">
        <v>334</v>
      </c>
      <c r="C772" s="2">
        <v>17</v>
      </c>
      <c r="D772" s="2" t="s">
        <v>55</v>
      </c>
      <c r="E772" s="2" t="s">
        <v>31</v>
      </c>
      <c r="F772" s="2" t="s">
        <v>80</v>
      </c>
      <c r="G772" s="3">
        <v>45612</v>
      </c>
      <c r="H772" s="3">
        <v>45632</v>
      </c>
      <c r="I772" s="2">
        <v>20</v>
      </c>
      <c r="J772" s="2" t="s">
        <v>202</v>
      </c>
      <c r="K772" s="2" t="s">
        <v>225</v>
      </c>
      <c r="L772" s="2" t="s">
        <v>226</v>
      </c>
      <c r="M772" s="2" t="s">
        <v>83</v>
      </c>
      <c r="N772" s="2" t="s">
        <v>109</v>
      </c>
      <c r="O772" s="2" t="s">
        <v>580</v>
      </c>
      <c r="P772" s="2">
        <v>500</v>
      </c>
      <c r="Q772" s="2" t="s">
        <v>103</v>
      </c>
      <c r="R772" s="2" t="s">
        <v>90</v>
      </c>
      <c r="S772" s="2">
        <v>177033</v>
      </c>
      <c r="T772" s="2">
        <v>155495</v>
      </c>
      <c r="U772" s="2">
        <v>21538</v>
      </c>
      <c r="V772" s="2">
        <v>145902</v>
      </c>
      <c r="W772" s="2">
        <v>17503</v>
      </c>
      <c r="X772" s="2">
        <v>10755</v>
      </c>
      <c r="Y772" s="2" t="s">
        <v>41</v>
      </c>
      <c r="Z772" s="2">
        <v>92</v>
      </c>
      <c r="AA772" s="2">
        <v>4.5</v>
      </c>
      <c r="AB772" s="2" t="s">
        <v>104</v>
      </c>
    </row>
    <row r="773" spans="1:28" x14ac:dyDescent="0.25">
      <c r="A773" s="4" t="s">
        <v>1446</v>
      </c>
      <c r="B773" s="4" t="s">
        <v>479</v>
      </c>
      <c r="C773" s="4">
        <v>38</v>
      </c>
      <c r="D773" s="4" t="s">
        <v>30</v>
      </c>
      <c r="E773" s="4" t="s">
        <v>154</v>
      </c>
      <c r="F773" s="4" t="s">
        <v>129</v>
      </c>
      <c r="G773" s="5">
        <v>44808</v>
      </c>
      <c r="H773" s="5">
        <v>44823</v>
      </c>
      <c r="I773" s="4">
        <v>15</v>
      </c>
      <c r="J773" s="4" t="s">
        <v>58</v>
      </c>
      <c r="K773" s="4" t="s">
        <v>88</v>
      </c>
      <c r="L773" s="4" t="s">
        <v>60</v>
      </c>
      <c r="M773" s="4" t="s">
        <v>75</v>
      </c>
      <c r="N773" s="4" t="s">
        <v>109</v>
      </c>
      <c r="O773" s="4" t="s">
        <v>271</v>
      </c>
      <c r="P773" s="4">
        <v>498</v>
      </c>
      <c r="Q773" s="4" t="s">
        <v>50</v>
      </c>
      <c r="R773" s="4" t="s">
        <v>111</v>
      </c>
      <c r="S773" s="4">
        <v>31020</v>
      </c>
      <c r="T773" s="4">
        <v>26167</v>
      </c>
      <c r="U773" s="4">
        <v>4853</v>
      </c>
      <c r="V773" s="4">
        <v>8023</v>
      </c>
      <c r="W773" s="4">
        <v>18665</v>
      </c>
      <c r="X773" s="4">
        <v>3327</v>
      </c>
      <c r="Y773" s="4" t="s">
        <v>41</v>
      </c>
      <c r="Z773" s="4">
        <v>42</v>
      </c>
      <c r="AA773" s="4">
        <v>3.3</v>
      </c>
      <c r="AB773" s="4" t="s">
        <v>52</v>
      </c>
    </row>
    <row r="774" spans="1:28" x14ac:dyDescent="0.25">
      <c r="A774" s="2" t="s">
        <v>1447</v>
      </c>
      <c r="B774" s="2" t="s">
        <v>349</v>
      </c>
      <c r="C774" s="2">
        <v>28</v>
      </c>
      <c r="D774" s="2" t="s">
        <v>55</v>
      </c>
      <c r="E774" s="2" t="s">
        <v>67</v>
      </c>
      <c r="F774" s="2" t="s">
        <v>72</v>
      </c>
      <c r="G774" s="3">
        <v>44736</v>
      </c>
      <c r="H774" s="3">
        <v>44746</v>
      </c>
      <c r="I774" s="2">
        <v>10</v>
      </c>
      <c r="J774" s="2" t="s">
        <v>33</v>
      </c>
      <c r="K774" s="2" t="s">
        <v>233</v>
      </c>
      <c r="L774" s="2" t="s">
        <v>35</v>
      </c>
      <c r="M774" s="2" t="s">
        <v>36</v>
      </c>
      <c r="N774" s="2" t="s">
        <v>62</v>
      </c>
      <c r="O774" s="2" t="s">
        <v>340</v>
      </c>
      <c r="P774" s="2">
        <v>457</v>
      </c>
      <c r="Q774" s="2" t="s">
        <v>103</v>
      </c>
      <c r="R774" s="2" t="s">
        <v>51</v>
      </c>
      <c r="S774" s="2">
        <v>109999</v>
      </c>
      <c r="T774" s="2">
        <v>62469</v>
      </c>
      <c r="U774" s="2">
        <v>47530</v>
      </c>
      <c r="V774" s="2">
        <v>75887</v>
      </c>
      <c r="W774" s="2">
        <v>26934</v>
      </c>
      <c r="X774" s="2">
        <v>3209</v>
      </c>
      <c r="Y774" s="2" t="s">
        <v>41</v>
      </c>
      <c r="Z774" s="2">
        <v>69</v>
      </c>
      <c r="AA774" s="2">
        <v>4.2</v>
      </c>
      <c r="AB774" s="2" t="s">
        <v>137</v>
      </c>
    </row>
    <row r="775" spans="1:28" x14ac:dyDescent="0.25">
      <c r="A775" s="4" t="s">
        <v>1448</v>
      </c>
      <c r="B775" s="4" t="s">
        <v>121</v>
      </c>
      <c r="C775" s="4">
        <v>11</v>
      </c>
      <c r="D775" s="4" t="s">
        <v>30</v>
      </c>
      <c r="E775" s="4" t="s">
        <v>122</v>
      </c>
      <c r="F775" s="4" t="s">
        <v>72</v>
      </c>
      <c r="G775" s="5">
        <v>45288</v>
      </c>
      <c r="H775" s="5">
        <v>45296</v>
      </c>
      <c r="I775" s="4">
        <v>8</v>
      </c>
      <c r="J775" s="4" t="s">
        <v>33</v>
      </c>
      <c r="K775" s="4" t="s">
        <v>34</v>
      </c>
      <c r="L775" s="4" t="s">
        <v>35</v>
      </c>
      <c r="M775" s="4" t="s">
        <v>36</v>
      </c>
      <c r="N775" s="4" t="s">
        <v>37</v>
      </c>
      <c r="O775" s="4" t="s">
        <v>49</v>
      </c>
      <c r="P775" s="4">
        <v>219</v>
      </c>
      <c r="Q775" s="4" t="s">
        <v>69</v>
      </c>
      <c r="R775" s="4" t="s">
        <v>111</v>
      </c>
      <c r="S775" s="4">
        <v>178225</v>
      </c>
      <c r="T775" s="4">
        <v>133001</v>
      </c>
      <c r="U775" s="4">
        <v>45224</v>
      </c>
      <c r="V775" s="4">
        <v>149663</v>
      </c>
      <c r="W775" s="4">
        <v>22047</v>
      </c>
      <c r="X775" s="4">
        <v>4565</v>
      </c>
      <c r="Y775" s="4" t="s">
        <v>41</v>
      </c>
      <c r="Z775" s="4">
        <v>91</v>
      </c>
      <c r="AA775" s="4">
        <v>4.0999999999999996</v>
      </c>
      <c r="AB775" s="4" t="s">
        <v>42</v>
      </c>
    </row>
    <row r="776" spans="1:28" x14ac:dyDescent="0.25">
      <c r="A776" s="2" t="s">
        <v>1449</v>
      </c>
      <c r="B776" s="2" t="s">
        <v>593</v>
      </c>
      <c r="C776" s="2">
        <v>53</v>
      </c>
      <c r="D776" s="2" t="s">
        <v>30</v>
      </c>
      <c r="E776" s="2" t="s">
        <v>56</v>
      </c>
      <c r="F776" s="2" t="s">
        <v>150</v>
      </c>
      <c r="G776" s="3">
        <v>45377</v>
      </c>
      <c r="H776" s="3">
        <v>45383</v>
      </c>
      <c r="I776" s="2">
        <v>6</v>
      </c>
      <c r="J776" s="2" t="s">
        <v>58</v>
      </c>
      <c r="K776" s="2" t="s">
        <v>59</v>
      </c>
      <c r="L776" s="2" t="s">
        <v>60</v>
      </c>
      <c r="M776" s="2" t="s">
        <v>101</v>
      </c>
      <c r="N776" s="2" t="s">
        <v>37</v>
      </c>
      <c r="O776" s="2" t="s">
        <v>211</v>
      </c>
      <c r="P776" s="2">
        <v>193</v>
      </c>
      <c r="Q776" s="2" t="s">
        <v>103</v>
      </c>
      <c r="R776" s="2" t="s">
        <v>51</v>
      </c>
      <c r="S776" s="2">
        <v>103641</v>
      </c>
      <c r="T776" s="2">
        <v>42253</v>
      </c>
      <c r="U776" s="2">
        <v>61388</v>
      </c>
      <c r="V776" s="2">
        <v>70183</v>
      </c>
      <c r="W776" s="2">
        <v>24604</v>
      </c>
      <c r="X776" s="2">
        <v>4838</v>
      </c>
      <c r="Y776" s="2" t="s">
        <v>41</v>
      </c>
      <c r="Z776" s="2">
        <v>59</v>
      </c>
      <c r="AA776" s="2">
        <v>2.5</v>
      </c>
      <c r="AB776" s="2" t="s">
        <v>137</v>
      </c>
    </row>
    <row r="777" spans="1:28" x14ac:dyDescent="0.25">
      <c r="A777" s="4" t="s">
        <v>1450</v>
      </c>
      <c r="B777" s="4" t="s">
        <v>603</v>
      </c>
      <c r="C777" s="4">
        <v>76</v>
      </c>
      <c r="D777" s="4" t="s">
        <v>30</v>
      </c>
      <c r="E777" s="4" t="s">
        <v>56</v>
      </c>
      <c r="F777" s="4" t="s">
        <v>114</v>
      </c>
      <c r="G777" s="5">
        <v>44853</v>
      </c>
      <c r="H777" s="5">
        <v>44859</v>
      </c>
      <c r="I777" s="4">
        <v>6</v>
      </c>
      <c r="J777" s="4" t="s">
        <v>58</v>
      </c>
      <c r="K777" s="4" t="s">
        <v>88</v>
      </c>
      <c r="L777" s="4" t="s">
        <v>60</v>
      </c>
      <c r="M777" s="4" t="s">
        <v>61</v>
      </c>
      <c r="N777" s="4" t="s">
        <v>37</v>
      </c>
      <c r="O777" s="4" t="s">
        <v>84</v>
      </c>
      <c r="P777" s="4">
        <v>280</v>
      </c>
      <c r="Q777" s="4" t="s">
        <v>39</v>
      </c>
      <c r="R777" s="4" t="s">
        <v>90</v>
      </c>
      <c r="S777" s="4">
        <v>172289</v>
      </c>
      <c r="T777" s="4">
        <v>117118</v>
      </c>
      <c r="U777" s="4">
        <v>55171</v>
      </c>
      <c r="V777" s="4">
        <v>136735</v>
      </c>
      <c r="W777" s="4">
        <v>19804</v>
      </c>
      <c r="X777" s="4">
        <v>13432</v>
      </c>
      <c r="Y777" s="4" t="s">
        <v>41</v>
      </c>
      <c r="Z777" s="4">
        <v>84</v>
      </c>
      <c r="AA777" s="4">
        <v>3.5</v>
      </c>
      <c r="AB777" s="4" t="s">
        <v>42</v>
      </c>
    </row>
    <row r="778" spans="1:28" x14ac:dyDescent="0.25">
      <c r="A778" s="2" t="s">
        <v>1451</v>
      </c>
      <c r="B778" s="2" t="s">
        <v>1175</v>
      </c>
      <c r="C778" s="2">
        <v>22</v>
      </c>
      <c r="D778" s="2" t="s">
        <v>30</v>
      </c>
      <c r="E778" s="2" t="s">
        <v>67</v>
      </c>
      <c r="F778" s="2" t="s">
        <v>150</v>
      </c>
      <c r="G778" s="3">
        <v>44871</v>
      </c>
      <c r="H778" s="3">
        <v>44896</v>
      </c>
      <c r="I778" s="2">
        <v>25</v>
      </c>
      <c r="J778" s="2" t="s">
        <v>202</v>
      </c>
      <c r="K778" s="2" t="s">
        <v>225</v>
      </c>
      <c r="L778" s="2" t="s">
        <v>226</v>
      </c>
      <c r="M778" s="2" t="s">
        <v>101</v>
      </c>
      <c r="N778" s="2" t="s">
        <v>62</v>
      </c>
      <c r="O778" s="2" t="s">
        <v>368</v>
      </c>
      <c r="P778" s="2">
        <v>320</v>
      </c>
      <c r="Q778" s="2" t="s">
        <v>69</v>
      </c>
      <c r="R778" s="2" t="s">
        <v>90</v>
      </c>
      <c r="S778" s="2">
        <v>92474</v>
      </c>
      <c r="T778" s="2">
        <v>71755</v>
      </c>
      <c r="U778" s="2">
        <v>20719</v>
      </c>
      <c r="V778" s="2">
        <v>83616</v>
      </c>
      <c r="W778" s="2">
        <v>3420</v>
      </c>
      <c r="X778" s="2">
        <v>4013</v>
      </c>
      <c r="Y778" s="2" t="s">
        <v>41</v>
      </c>
      <c r="Z778" s="2">
        <v>86</v>
      </c>
      <c r="AA778" s="2">
        <v>2.7</v>
      </c>
      <c r="AB778" s="2" t="s">
        <v>42</v>
      </c>
    </row>
    <row r="779" spans="1:28" x14ac:dyDescent="0.25">
      <c r="A779" s="4" t="s">
        <v>1452</v>
      </c>
      <c r="B779" s="4" t="s">
        <v>470</v>
      </c>
      <c r="C779" s="4">
        <v>31</v>
      </c>
      <c r="D779" s="4" t="s">
        <v>30</v>
      </c>
      <c r="E779" s="4" t="s">
        <v>56</v>
      </c>
      <c r="F779" s="4" t="s">
        <v>32</v>
      </c>
      <c r="G779" s="5">
        <v>44998</v>
      </c>
      <c r="H779" s="5">
        <v>45014</v>
      </c>
      <c r="I779" s="4">
        <v>16</v>
      </c>
      <c r="J779" s="4" t="s">
        <v>33</v>
      </c>
      <c r="K779" s="4" t="s">
        <v>81</v>
      </c>
      <c r="L779" s="4" t="s">
        <v>82</v>
      </c>
      <c r="M779" s="4" t="s">
        <v>95</v>
      </c>
      <c r="N779" s="4" t="s">
        <v>109</v>
      </c>
      <c r="O779" s="4" t="s">
        <v>151</v>
      </c>
      <c r="P779" s="4">
        <v>471</v>
      </c>
      <c r="Q779" s="4" t="s">
        <v>50</v>
      </c>
      <c r="R779" s="4" t="s">
        <v>136</v>
      </c>
      <c r="S779" s="4">
        <v>153346</v>
      </c>
      <c r="T779" s="4">
        <v>0</v>
      </c>
      <c r="U779" s="4">
        <v>153346</v>
      </c>
      <c r="V779" s="4">
        <v>138967</v>
      </c>
      <c r="W779" s="4">
        <v>4093</v>
      </c>
      <c r="X779" s="4">
        <v>7063</v>
      </c>
      <c r="Y779" s="4" t="s">
        <v>41</v>
      </c>
      <c r="Z779" s="4">
        <v>84</v>
      </c>
      <c r="AA779" s="4">
        <v>2.1</v>
      </c>
      <c r="AB779" s="4" t="s">
        <v>64</v>
      </c>
    </row>
    <row r="780" spans="1:28" x14ac:dyDescent="0.25">
      <c r="A780" s="2" t="s">
        <v>1453</v>
      </c>
      <c r="B780" s="2" t="s">
        <v>1273</v>
      </c>
      <c r="C780" s="2">
        <v>43</v>
      </c>
      <c r="D780" s="2" t="s">
        <v>30</v>
      </c>
      <c r="E780" s="2" t="s">
        <v>154</v>
      </c>
      <c r="F780" s="2" t="s">
        <v>46</v>
      </c>
      <c r="G780" s="3">
        <v>44817</v>
      </c>
      <c r="H780" s="3">
        <v>44837</v>
      </c>
      <c r="I780" s="2">
        <v>20</v>
      </c>
      <c r="J780" s="2" t="s">
        <v>33</v>
      </c>
      <c r="K780" s="2" t="s">
        <v>34</v>
      </c>
      <c r="L780" s="2" t="s">
        <v>35</v>
      </c>
      <c r="M780" s="2" t="s">
        <v>95</v>
      </c>
      <c r="N780" s="2" t="s">
        <v>62</v>
      </c>
      <c r="O780" s="2" t="s">
        <v>168</v>
      </c>
      <c r="P780" s="2">
        <v>141</v>
      </c>
      <c r="Q780" s="2" t="s">
        <v>69</v>
      </c>
      <c r="R780" s="2" t="s">
        <v>51</v>
      </c>
      <c r="S780" s="2">
        <v>143691</v>
      </c>
      <c r="T780" s="2">
        <v>77739</v>
      </c>
      <c r="U780" s="2">
        <v>65952</v>
      </c>
      <c r="V780" s="2">
        <v>114154</v>
      </c>
      <c r="W780" s="2">
        <v>14174</v>
      </c>
      <c r="X780" s="2">
        <v>14346</v>
      </c>
      <c r="Y780" s="2" t="s">
        <v>41</v>
      </c>
      <c r="Z780" s="2">
        <v>97</v>
      </c>
      <c r="AA780" s="2">
        <v>4.7</v>
      </c>
      <c r="AB780" s="2" t="s">
        <v>104</v>
      </c>
    </row>
    <row r="781" spans="1:28" x14ac:dyDescent="0.25">
      <c r="A781" s="4" t="s">
        <v>1454</v>
      </c>
      <c r="B781" s="4" t="s">
        <v>555</v>
      </c>
      <c r="C781" s="4">
        <v>21</v>
      </c>
      <c r="D781" s="4" t="s">
        <v>30</v>
      </c>
      <c r="E781" s="4" t="s">
        <v>122</v>
      </c>
      <c r="F781" s="4" t="s">
        <v>94</v>
      </c>
      <c r="G781" s="5">
        <v>44567</v>
      </c>
      <c r="H781" s="5">
        <v>44595</v>
      </c>
      <c r="I781" s="4">
        <v>28</v>
      </c>
      <c r="J781" s="4" t="s">
        <v>115</v>
      </c>
      <c r="K781" s="4" t="s">
        <v>116</v>
      </c>
      <c r="L781" s="4" t="s">
        <v>117</v>
      </c>
      <c r="M781" s="4" t="s">
        <v>75</v>
      </c>
      <c r="N781" s="4" t="s">
        <v>109</v>
      </c>
      <c r="O781" s="4" t="s">
        <v>161</v>
      </c>
      <c r="P781" s="4">
        <v>41</v>
      </c>
      <c r="Q781" s="4" t="s">
        <v>103</v>
      </c>
      <c r="R781" s="4" t="s">
        <v>136</v>
      </c>
      <c r="S781" s="4">
        <v>147134</v>
      </c>
      <c r="T781" s="4">
        <v>0</v>
      </c>
      <c r="U781" s="4">
        <v>147134</v>
      </c>
      <c r="V781" s="4">
        <v>113448</v>
      </c>
      <c r="W781" s="4">
        <v>17940</v>
      </c>
      <c r="X781" s="4">
        <v>14390</v>
      </c>
      <c r="Y781" s="4" t="s">
        <v>41</v>
      </c>
      <c r="Z781" s="4">
        <v>93</v>
      </c>
      <c r="AA781" s="4">
        <v>3</v>
      </c>
      <c r="AB781" s="4" t="s">
        <v>64</v>
      </c>
    </row>
    <row r="782" spans="1:28" x14ac:dyDescent="0.25">
      <c r="A782" s="2" t="s">
        <v>1455</v>
      </c>
      <c r="B782" s="2" t="s">
        <v>968</v>
      </c>
      <c r="C782" s="2">
        <v>85</v>
      </c>
      <c r="D782" s="2" t="s">
        <v>30</v>
      </c>
      <c r="E782" s="2" t="s">
        <v>79</v>
      </c>
      <c r="F782" s="2" t="s">
        <v>94</v>
      </c>
      <c r="G782" s="3">
        <v>45426</v>
      </c>
      <c r="H782" s="3">
        <v>45446</v>
      </c>
      <c r="I782" s="2">
        <v>20</v>
      </c>
      <c r="J782" s="2" t="s">
        <v>33</v>
      </c>
      <c r="K782" s="2" t="s">
        <v>99</v>
      </c>
      <c r="L782" s="2" t="s">
        <v>100</v>
      </c>
      <c r="M782" s="2" t="s">
        <v>61</v>
      </c>
      <c r="N782" s="2" t="s">
        <v>37</v>
      </c>
      <c r="O782" s="2" t="s">
        <v>259</v>
      </c>
      <c r="P782" s="2">
        <v>226</v>
      </c>
      <c r="Q782" s="2" t="s">
        <v>50</v>
      </c>
      <c r="R782" s="2" t="s">
        <v>51</v>
      </c>
      <c r="S782" s="2">
        <v>131361</v>
      </c>
      <c r="T782" s="2">
        <v>65444</v>
      </c>
      <c r="U782" s="2">
        <v>65917</v>
      </c>
      <c r="V782" s="2">
        <v>104919</v>
      </c>
      <c r="W782" s="2">
        <v>19586</v>
      </c>
      <c r="X782" s="2">
        <v>5617</v>
      </c>
      <c r="Y782" s="2" t="s">
        <v>41</v>
      </c>
      <c r="Z782" s="2">
        <v>60</v>
      </c>
      <c r="AA782" s="2">
        <v>4.4000000000000004</v>
      </c>
      <c r="AB782" s="2" t="s">
        <v>104</v>
      </c>
    </row>
    <row r="783" spans="1:28" x14ac:dyDescent="0.25">
      <c r="A783" s="4" t="s">
        <v>1456</v>
      </c>
      <c r="B783" s="4" t="s">
        <v>1457</v>
      </c>
      <c r="C783" s="4">
        <v>83</v>
      </c>
      <c r="D783" s="4" t="s">
        <v>55</v>
      </c>
      <c r="E783" s="4" t="s">
        <v>154</v>
      </c>
      <c r="F783" s="4" t="s">
        <v>57</v>
      </c>
      <c r="G783" s="5">
        <v>45540</v>
      </c>
      <c r="H783" s="5">
        <v>45552</v>
      </c>
      <c r="I783" s="4">
        <v>12</v>
      </c>
      <c r="J783" s="4" t="s">
        <v>73</v>
      </c>
      <c r="K783" s="4" t="s">
        <v>74</v>
      </c>
      <c r="L783" s="4" t="s">
        <v>73</v>
      </c>
      <c r="M783" s="4" t="s">
        <v>130</v>
      </c>
      <c r="N783" s="4" t="s">
        <v>118</v>
      </c>
      <c r="O783" s="4" t="s">
        <v>580</v>
      </c>
      <c r="P783" s="4">
        <v>243</v>
      </c>
      <c r="Q783" s="4" t="s">
        <v>69</v>
      </c>
      <c r="R783" s="4" t="s">
        <v>111</v>
      </c>
      <c r="S783" s="4">
        <v>48703</v>
      </c>
      <c r="T783" s="4">
        <v>40220</v>
      </c>
      <c r="U783" s="4">
        <v>8483</v>
      </c>
      <c r="V783" s="4">
        <v>21218</v>
      </c>
      <c r="W783" s="4">
        <v>8440</v>
      </c>
      <c r="X783" s="4">
        <v>14140</v>
      </c>
      <c r="Y783" s="4" t="s">
        <v>41</v>
      </c>
      <c r="Z783" s="4">
        <v>65</v>
      </c>
      <c r="AA783" s="4">
        <v>2.6</v>
      </c>
      <c r="AB783" s="4" t="s">
        <v>52</v>
      </c>
    </row>
    <row r="784" spans="1:28" x14ac:dyDescent="0.25">
      <c r="A784" s="2" t="s">
        <v>1458</v>
      </c>
      <c r="B784" s="2" t="s">
        <v>1204</v>
      </c>
      <c r="C784" s="2">
        <v>21</v>
      </c>
      <c r="D784" s="2" t="s">
        <v>55</v>
      </c>
      <c r="E784" s="2" t="s">
        <v>79</v>
      </c>
      <c r="F784" s="2" t="s">
        <v>80</v>
      </c>
      <c r="G784" s="3">
        <v>45324</v>
      </c>
      <c r="H784" s="3">
        <v>45344</v>
      </c>
      <c r="I784" s="2">
        <v>20</v>
      </c>
      <c r="J784" s="2" t="s">
        <v>33</v>
      </c>
      <c r="K784" s="2" t="s">
        <v>197</v>
      </c>
      <c r="L784" s="2" t="s">
        <v>198</v>
      </c>
      <c r="M784" s="2" t="s">
        <v>83</v>
      </c>
      <c r="N784" s="2" t="s">
        <v>62</v>
      </c>
      <c r="O784" s="2" t="s">
        <v>38</v>
      </c>
      <c r="P784" s="2">
        <v>305</v>
      </c>
      <c r="Q784" s="2" t="s">
        <v>50</v>
      </c>
      <c r="R784" s="2" t="s">
        <v>40</v>
      </c>
      <c r="S784" s="2">
        <v>114240</v>
      </c>
      <c r="T784" s="2">
        <v>51828</v>
      </c>
      <c r="U784" s="2">
        <v>62412</v>
      </c>
      <c r="V784" s="2">
        <v>83305</v>
      </c>
      <c r="W784" s="2">
        <v>18378</v>
      </c>
      <c r="X784" s="2">
        <v>10008</v>
      </c>
      <c r="Y784" s="2" t="s">
        <v>41</v>
      </c>
      <c r="Z784" s="2">
        <v>64</v>
      </c>
      <c r="AA784" s="2">
        <v>5</v>
      </c>
      <c r="AB784" s="2" t="s">
        <v>52</v>
      </c>
    </row>
    <row r="785" spans="1:28" x14ac:dyDescent="0.25">
      <c r="A785" s="4" t="s">
        <v>1459</v>
      </c>
      <c r="B785" s="4" t="s">
        <v>240</v>
      </c>
      <c r="C785" s="4">
        <v>83</v>
      </c>
      <c r="D785" s="4" t="s">
        <v>30</v>
      </c>
      <c r="E785" s="4" t="s">
        <v>67</v>
      </c>
      <c r="F785" s="4" t="s">
        <v>150</v>
      </c>
      <c r="G785" s="5">
        <v>45402</v>
      </c>
      <c r="H785" s="5">
        <v>45404</v>
      </c>
      <c r="I785" s="4">
        <v>2</v>
      </c>
      <c r="J785" s="4" t="s">
        <v>33</v>
      </c>
      <c r="K785" s="4" t="s">
        <v>47</v>
      </c>
      <c r="L785" s="4" t="s">
        <v>48</v>
      </c>
      <c r="M785" s="4" t="s">
        <v>134</v>
      </c>
      <c r="N785" s="4" t="s">
        <v>109</v>
      </c>
      <c r="O785" s="4" t="s">
        <v>428</v>
      </c>
      <c r="P785" s="4">
        <v>162</v>
      </c>
      <c r="Q785" s="4" t="s">
        <v>103</v>
      </c>
      <c r="R785" s="4" t="s">
        <v>136</v>
      </c>
      <c r="S785" s="4">
        <v>170282</v>
      </c>
      <c r="T785" s="4">
        <v>0</v>
      </c>
      <c r="U785" s="4">
        <v>170282</v>
      </c>
      <c r="V785" s="4">
        <v>133458</v>
      </c>
      <c r="W785" s="4">
        <v>25781</v>
      </c>
      <c r="X785" s="4">
        <v>7759</v>
      </c>
      <c r="Y785" s="4" t="s">
        <v>41</v>
      </c>
      <c r="Z785" s="4">
        <v>41</v>
      </c>
      <c r="AA785" s="4">
        <v>3.7</v>
      </c>
      <c r="AB785" s="4" t="s">
        <v>52</v>
      </c>
    </row>
    <row r="786" spans="1:28" x14ac:dyDescent="0.25">
      <c r="A786" s="2" t="s">
        <v>1460</v>
      </c>
      <c r="B786" s="2" t="s">
        <v>1400</v>
      </c>
      <c r="C786" s="2">
        <v>33</v>
      </c>
      <c r="D786" s="2" t="s">
        <v>55</v>
      </c>
      <c r="E786" s="2" t="s">
        <v>122</v>
      </c>
      <c r="F786" s="2" t="s">
        <v>114</v>
      </c>
      <c r="G786" s="3">
        <v>44829</v>
      </c>
      <c r="H786" s="3">
        <v>44837</v>
      </c>
      <c r="I786" s="2">
        <v>8</v>
      </c>
      <c r="J786" s="2" t="s">
        <v>58</v>
      </c>
      <c r="K786" s="2" t="s">
        <v>88</v>
      </c>
      <c r="L786" s="2" t="s">
        <v>60</v>
      </c>
      <c r="M786" s="2" t="s">
        <v>108</v>
      </c>
      <c r="N786" s="2" t="s">
        <v>37</v>
      </c>
      <c r="O786" s="2" t="s">
        <v>560</v>
      </c>
      <c r="P786" s="2">
        <v>395</v>
      </c>
      <c r="Q786" s="2" t="s">
        <v>103</v>
      </c>
      <c r="R786" s="2" t="s">
        <v>136</v>
      </c>
      <c r="S786" s="2">
        <v>89608</v>
      </c>
      <c r="T786" s="2">
        <v>0</v>
      </c>
      <c r="U786" s="2">
        <v>89608</v>
      </c>
      <c r="V786" s="2">
        <v>80809</v>
      </c>
      <c r="W786" s="2">
        <v>2775</v>
      </c>
      <c r="X786" s="2">
        <v>2276</v>
      </c>
      <c r="Y786" s="2" t="s">
        <v>41</v>
      </c>
      <c r="Z786" s="2">
        <v>78</v>
      </c>
      <c r="AA786" s="2">
        <v>3.8</v>
      </c>
      <c r="AB786" s="2" t="s">
        <v>64</v>
      </c>
    </row>
    <row r="787" spans="1:28" x14ac:dyDescent="0.25">
      <c r="A787" s="4" t="s">
        <v>1461</v>
      </c>
      <c r="B787" s="4" t="s">
        <v>659</v>
      </c>
      <c r="C787" s="4">
        <v>6</v>
      </c>
      <c r="D787" s="4" t="s">
        <v>30</v>
      </c>
      <c r="E787" s="4" t="s">
        <v>154</v>
      </c>
      <c r="F787" s="4" t="s">
        <v>129</v>
      </c>
      <c r="G787" s="5">
        <v>44804</v>
      </c>
      <c r="H787" s="5">
        <v>44810</v>
      </c>
      <c r="I787" s="4">
        <v>6</v>
      </c>
      <c r="J787" s="4" t="s">
        <v>140</v>
      </c>
      <c r="K787" s="4" t="s">
        <v>141</v>
      </c>
      <c r="L787" s="4" t="s">
        <v>142</v>
      </c>
      <c r="M787" s="4" t="s">
        <v>143</v>
      </c>
      <c r="N787" s="4" t="s">
        <v>37</v>
      </c>
      <c r="O787" s="4" t="s">
        <v>448</v>
      </c>
      <c r="P787" s="4">
        <v>356</v>
      </c>
      <c r="Q787" s="4" t="s">
        <v>103</v>
      </c>
      <c r="R787" s="4" t="s">
        <v>136</v>
      </c>
      <c r="S787" s="4">
        <v>131684</v>
      </c>
      <c r="T787" s="4">
        <v>0</v>
      </c>
      <c r="U787" s="4">
        <v>131684</v>
      </c>
      <c r="V787" s="4">
        <v>110181</v>
      </c>
      <c r="W787" s="4">
        <v>5401</v>
      </c>
      <c r="X787" s="4">
        <v>13014</v>
      </c>
      <c r="Y787" s="4" t="s">
        <v>41</v>
      </c>
      <c r="Z787" s="4">
        <v>64</v>
      </c>
      <c r="AA787" s="4">
        <v>2.1</v>
      </c>
      <c r="AB787" s="4" t="s">
        <v>104</v>
      </c>
    </row>
    <row r="788" spans="1:28" x14ac:dyDescent="0.25">
      <c r="A788" s="2" t="s">
        <v>1462</v>
      </c>
      <c r="B788" s="2" t="s">
        <v>1463</v>
      </c>
      <c r="C788" s="2">
        <v>17</v>
      </c>
      <c r="D788" s="2" t="s">
        <v>55</v>
      </c>
      <c r="E788" s="2" t="s">
        <v>45</v>
      </c>
      <c r="F788" s="2" t="s">
        <v>94</v>
      </c>
      <c r="G788" s="3">
        <v>45076</v>
      </c>
      <c r="H788" s="3">
        <v>45094</v>
      </c>
      <c r="I788" s="2">
        <v>18</v>
      </c>
      <c r="J788" s="2" t="s">
        <v>202</v>
      </c>
      <c r="K788" s="2" t="s">
        <v>225</v>
      </c>
      <c r="L788" s="2" t="s">
        <v>226</v>
      </c>
      <c r="M788" s="2" t="s">
        <v>130</v>
      </c>
      <c r="N788" s="2" t="s">
        <v>62</v>
      </c>
      <c r="O788" s="2" t="s">
        <v>214</v>
      </c>
      <c r="P788" s="2">
        <v>56</v>
      </c>
      <c r="Q788" s="2" t="s">
        <v>103</v>
      </c>
      <c r="R788" s="2" t="s">
        <v>51</v>
      </c>
      <c r="S788" s="2">
        <v>167249</v>
      </c>
      <c r="T788" s="2">
        <v>116655</v>
      </c>
      <c r="U788" s="2">
        <v>50594</v>
      </c>
      <c r="V788" s="2">
        <v>140337</v>
      </c>
      <c r="W788" s="2">
        <v>13978</v>
      </c>
      <c r="X788" s="2">
        <v>8383</v>
      </c>
      <c r="Y788" s="2" t="s">
        <v>91</v>
      </c>
      <c r="Z788" s="2">
        <v>95</v>
      </c>
      <c r="AA788" s="2">
        <v>2.2000000000000002</v>
      </c>
      <c r="AB788" s="2" t="s">
        <v>42</v>
      </c>
    </row>
    <row r="789" spans="1:28" x14ac:dyDescent="0.25">
      <c r="A789" s="4" t="s">
        <v>1464</v>
      </c>
      <c r="B789" s="4" t="s">
        <v>1013</v>
      </c>
      <c r="C789" s="4">
        <v>61</v>
      </c>
      <c r="D789" s="4" t="s">
        <v>55</v>
      </c>
      <c r="E789" s="4" t="s">
        <v>79</v>
      </c>
      <c r="F789" s="4" t="s">
        <v>150</v>
      </c>
      <c r="G789" s="5">
        <v>44838</v>
      </c>
      <c r="H789" s="5">
        <v>44861</v>
      </c>
      <c r="I789" s="4">
        <v>23</v>
      </c>
      <c r="J789" s="4" t="s">
        <v>33</v>
      </c>
      <c r="K789" s="4" t="s">
        <v>81</v>
      </c>
      <c r="L789" s="4" t="s">
        <v>82</v>
      </c>
      <c r="M789" s="4" t="s">
        <v>143</v>
      </c>
      <c r="N789" s="4" t="s">
        <v>37</v>
      </c>
      <c r="O789" s="4" t="s">
        <v>241</v>
      </c>
      <c r="P789" s="4">
        <v>374</v>
      </c>
      <c r="Q789" s="4" t="s">
        <v>69</v>
      </c>
      <c r="R789" s="4" t="s">
        <v>40</v>
      </c>
      <c r="S789" s="4">
        <v>38419</v>
      </c>
      <c r="T789" s="4">
        <v>18005</v>
      </c>
      <c r="U789" s="4">
        <v>20414</v>
      </c>
      <c r="V789" s="4">
        <v>19017</v>
      </c>
      <c r="W789" s="4">
        <v>7681</v>
      </c>
      <c r="X789" s="4">
        <v>9163</v>
      </c>
      <c r="Y789" s="4" t="s">
        <v>41</v>
      </c>
      <c r="Z789" s="4">
        <v>70</v>
      </c>
      <c r="AA789" s="4">
        <v>3</v>
      </c>
      <c r="AB789" s="4" t="s">
        <v>137</v>
      </c>
    </row>
    <row r="790" spans="1:28" x14ac:dyDescent="0.25">
      <c r="A790" s="2" t="s">
        <v>1465</v>
      </c>
      <c r="B790" s="2" t="s">
        <v>1375</v>
      </c>
      <c r="C790" s="2">
        <v>54</v>
      </c>
      <c r="D790" s="2" t="s">
        <v>55</v>
      </c>
      <c r="E790" s="2" t="s">
        <v>87</v>
      </c>
      <c r="F790" s="2" t="s">
        <v>94</v>
      </c>
      <c r="G790" s="3">
        <v>45279</v>
      </c>
      <c r="H790" s="3">
        <v>45306</v>
      </c>
      <c r="I790" s="2">
        <v>27</v>
      </c>
      <c r="J790" s="2" t="s">
        <v>123</v>
      </c>
      <c r="K790" s="2" t="s">
        <v>124</v>
      </c>
      <c r="L790" s="2" t="s">
        <v>125</v>
      </c>
      <c r="M790" s="2" t="s">
        <v>134</v>
      </c>
      <c r="N790" s="2" t="s">
        <v>109</v>
      </c>
      <c r="O790" s="2" t="s">
        <v>455</v>
      </c>
      <c r="P790" s="2">
        <v>64</v>
      </c>
      <c r="Q790" s="2" t="s">
        <v>39</v>
      </c>
      <c r="R790" s="2" t="s">
        <v>51</v>
      </c>
      <c r="S790" s="2">
        <v>127917</v>
      </c>
      <c r="T790" s="2">
        <v>81749</v>
      </c>
      <c r="U790" s="2">
        <v>46168</v>
      </c>
      <c r="V790" s="2">
        <v>90013</v>
      </c>
      <c r="W790" s="2">
        <v>29791</v>
      </c>
      <c r="X790" s="2">
        <v>4648</v>
      </c>
      <c r="Y790" s="2" t="s">
        <v>41</v>
      </c>
      <c r="Z790" s="2">
        <v>57</v>
      </c>
      <c r="AA790" s="2">
        <v>2.1</v>
      </c>
      <c r="AB790" s="2" t="s">
        <v>137</v>
      </c>
    </row>
    <row r="791" spans="1:28" x14ac:dyDescent="0.25">
      <c r="A791" s="4" t="s">
        <v>1466</v>
      </c>
      <c r="B791" s="4" t="s">
        <v>938</v>
      </c>
      <c r="C791" s="4">
        <v>52</v>
      </c>
      <c r="D791" s="4" t="s">
        <v>30</v>
      </c>
      <c r="E791" s="4" t="s">
        <v>87</v>
      </c>
      <c r="F791" s="4" t="s">
        <v>80</v>
      </c>
      <c r="G791" s="5">
        <v>44860</v>
      </c>
      <c r="H791" s="5">
        <v>44888</v>
      </c>
      <c r="I791" s="4">
        <v>28</v>
      </c>
      <c r="J791" s="4" t="s">
        <v>115</v>
      </c>
      <c r="K791" s="4" t="s">
        <v>160</v>
      </c>
      <c r="L791" s="4" t="s">
        <v>117</v>
      </c>
      <c r="M791" s="4" t="s">
        <v>36</v>
      </c>
      <c r="N791" s="4" t="s">
        <v>109</v>
      </c>
      <c r="O791" s="4" t="s">
        <v>678</v>
      </c>
      <c r="P791" s="4">
        <v>479</v>
      </c>
      <c r="Q791" s="4" t="s">
        <v>103</v>
      </c>
      <c r="R791" s="4" t="s">
        <v>136</v>
      </c>
      <c r="S791" s="4">
        <v>184549</v>
      </c>
      <c r="T791" s="4">
        <v>0</v>
      </c>
      <c r="U791" s="4">
        <v>184549</v>
      </c>
      <c r="V791" s="4">
        <v>145841</v>
      </c>
      <c r="W791" s="4">
        <v>21145</v>
      </c>
      <c r="X791" s="4">
        <v>13039</v>
      </c>
      <c r="Y791" s="4" t="s">
        <v>41</v>
      </c>
      <c r="Z791" s="4">
        <v>79</v>
      </c>
      <c r="AA791" s="4">
        <v>4.2</v>
      </c>
      <c r="AB791" s="4" t="s">
        <v>104</v>
      </c>
    </row>
    <row r="792" spans="1:28" x14ac:dyDescent="0.25">
      <c r="A792" s="2" t="s">
        <v>1467</v>
      </c>
      <c r="B792" s="2" t="s">
        <v>925</v>
      </c>
      <c r="C792" s="2">
        <v>55</v>
      </c>
      <c r="D792" s="2" t="s">
        <v>55</v>
      </c>
      <c r="E792" s="2" t="s">
        <v>31</v>
      </c>
      <c r="F792" s="2" t="s">
        <v>46</v>
      </c>
      <c r="G792" s="3">
        <v>44902</v>
      </c>
      <c r="H792" s="3">
        <v>44918</v>
      </c>
      <c r="I792" s="2">
        <v>16</v>
      </c>
      <c r="J792" s="2" t="s">
        <v>123</v>
      </c>
      <c r="K792" s="2" t="s">
        <v>124</v>
      </c>
      <c r="L792" s="2" t="s">
        <v>125</v>
      </c>
      <c r="M792" s="2" t="s">
        <v>61</v>
      </c>
      <c r="N792" s="2" t="s">
        <v>37</v>
      </c>
      <c r="O792" s="2" t="s">
        <v>509</v>
      </c>
      <c r="P792" s="2">
        <v>460</v>
      </c>
      <c r="Q792" s="2" t="s">
        <v>103</v>
      </c>
      <c r="R792" s="2" t="s">
        <v>136</v>
      </c>
      <c r="S792" s="2">
        <v>41162</v>
      </c>
      <c r="T792" s="2">
        <v>0</v>
      </c>
      <c r="U792" s="2">
        <v>41162</v>
      </c>
      <c r="V792" s="2">
        <v>8307</v>
      </c>
      <c r="W792" s="2">
        <v>22464</v>
      </c>
      <c r="X792" s="2">
        <v>9394</v>
      </c>
      <c r="Y792" s="2" t="s">
        <v>41</v>
      </c>
      <c r="Z792" s="2">
        <v>44</v>
      </c>
      <c r="AA792" s="2">
        <v>3.8</v>
      </c>
      <c r="AB792" s="2" t="s">
        <v>137</v>
      </c>
    </row>
    <row r="793" spans="1:28" x14ac:dyDescent="0.25">
      <c r="A793" s="4" t="s">
        <v>1468</v>
      </c>
      <c r="B793" s="4" t="s">
        <v>1329</v>
      </c>
      <c r="C793" s="4">
        <v>37</v>
      </c>
      <c r="D793" s="4" t="s">
        <v>30</v>
      </c>
      <c r="E793" s="4" t="s">
        <v>31</v>
      </c>
      <c r="F793" s="4" t="s">
        <v>57</v>
      </c>
      <c r="G793" s="5">
        <v>45353</v>
      </c>
      <c r="H793" s="5">
        <v>45373</v>
      </c>
      <c r="I793" s="4">
        <v>20</v>
      </c>
      <c r="J793" s="4" t="s">
        <v>73</v>
      </c>
      <c r="K793" s="4" t="s">
        <v>74</v>
      </c>
      <c r="L793" s="4" t="s">
        <v>73</v>
      </c>
      <c r="M793" s="4" t="s">
        <v>75</v>
      </c>
      <c r="N793" s="4" t="s">
        <v>109</v>
      </c>
      <c r="O793" s="4" t="s">
        <v>211</v>
      </c>
      <c r="P793" s="4">
        <v>458</v>
      </c>
      <c r="Q793" s="4" t="s">
        <v>39</v>
      </c>
      <c r="R793" s="4" t="s">
        <v>136</v>
      </c>
      <c r="S793" s="4">
        <v>101139</v>
      </c>
      <c r="T793" s="4">
        <v>0</v>
      </c>
      <c r="U793" s="4">
        <v>101139</v>
      </c>
      <c r="V793" s="4">
        <v>65166</v>
      </c>
      <c r="W793" s="4">
        <v>29871</v>
      </c>
      <c r="X793" s="4">
        <v>5506</v>
      </c>
      <c r="Y793" s="4" t="s">
        <v>91</v>
      </c>
      <c r="Z793" s="4">
        <v>98</v>
      </c>
      <c r="AA793" s="4">
        <v>4.5999999999999996</v>
      </c>
      <c r="AB793" s="4" t="s">
        <v>104</v>
      </c>
    </row>
    <row r="794" spans="1:28" x14ac:dyDescent="0.25">
      <c r="A794" s="2" t="s">
        <v>1469</v>
      </c>
      <c r="B794" s="2" t="s">
        <v>1125</v>
      </c>
      <c r="C794" s="2">
        <v>55</v>
      </c>
      <c r="D794" s="2" t="s">
        <v>30</v>
      </c>
      <c r="E794" s="2" t="s">
        <v>87</v>
      </c>
      <c r="F794" s="2" t="s">
        <v>94</v>
      </c>
      <c r="G794" s="3">
        <v>45148</v>
      </c>
      <c r="H794" s="3">
        <v>45165</v>
      </c>
      <c r="I794" s="2">
        <v>17</v>
      </c>
      <c r="J794" s="2" t="s">
        <v>202</v>
      </c>
      <c r="K794" s="2" t="s">
        <v>203</v>
      </c>
      <c r="L794" s="2" t="s">
        <v>204</v>
      </c>
      <c r="M794" s="2" t="s">
        <v>95</v>
      </c>
      <c r="N794" s="2" t="s">
        <v>109</v>
      </c>
      <c r="O794" s="2" t="s">
        <v>471</v>
      </c>
      <c r="P794" s="2">
        <v>131</v>
      </c>
      <c r="Q794" s="2" t="s">
        <v>50</v>
      </c>
      <c r="R794" s="2" t="s">
        <v>136</v>
      </c>
      <c r="S794" s="2">
        <v>94891</v>
      </c>
      <c r="T794" s="2">
        <v>0</v>
      </c>
      <c r="U794" s="2">
        <v>94891</v>
      </c>
      <c r="V794" s="2">
        <v>73652</v>
      </c>
      <c r="W794" s="2">
        <v>15008</v>
      </c>
      <c r="X794" s="2">
        <v>1376</v>
      </c>
      <c r="Y794" s="2" t="s">
        <v>41</v>
      </c>
      <c r="Z794" s="2">
        <v>74</v>
      </c>
      <c r="AA794" s="2">
        <v>4.5999999999999996</v>
      </c>
      <c r="AB794" s="2" t="s">
        <v>104</v>
      </c>
    </row>
    <row r="795" spans="1:28" x14ac:dyDescent="0.25">
      <c r="A795" s="4" t="s">
        <v>1470</v>
      </c>
      <c r="B795" s="4" t="s">
        <v>1471</v>
      </c>
      <c r="C795" s="4">
        <v>84</v>
      </c>
      <c r="D795" s="4" t="s">
        <v>55</v>
      </c>
      <c r="E795" s="4" t="s">
        <v>87</v>
      </c>
      <c r="F795" s="4" t="s">
        <v>94</v>
      </c>
      <c r="G795" s="5">
        <v>44781</v>
      </c>
      <c r="H795" s="5">
        <v>44782</v>
      </c>
      <c r="I795" s="4">
        <v>1</v>
      </c>
      <c r="J795" s="4" t="s">
        <v>33</v>
      </c>
      <c r="K795" s="4" t="s">
        <v>47</v>
      </c>
      <c r="L795" s="4" t="s">
        <v>48</v>
      </c>
      <c r="M795" s="4" t="s">
        <v>101</v>
      </c>
      <c r="N795" s="4" t="s">
        <v>62</v>
      </c>
      <c r="O795" s="4" t="s">
        <v>340</v>
      </c>
      <c r="P795" s="4">
        <v>234</v>
      </c>
      <c r="Q795" s="4" t="s">
        <v>50</v>
      </c>
      <c r="R795" s="4" t="s">
        <v>51</v>
      </c>
      <c r="S795" s="4">
        <v>148206</v>
      </c>
      <c r="T795" s="4">
        <v>103218</v>
      </c>
      <c r="U795" s="4">
        <v>44988</v>
      </c>
      <c r="V795" s="4">
        <v>106186</v>
      </c>
      <c r="W795" s="4">
        <v>27342</v>
      </c>
      <c r="X795" s="4">
        <v>10692</v>
      </c>
      <c r="Y795" s="4" t="s">
        <v>41</v>
      </c>
      <c r="Z795" s="4">
        <v>89</v>
      </c>
      <c r="AA795" s="4">
        <v>2.5</v>
      </c>
      <c r="AB795" s="4" t="s">
        <v>42</v>
      </c>
    </row>
    <row r="796" spans="1:28" x14ac:dyDescent="0.25">
      <c r="A796" s="2" t="s">
        <v>1472</v>
      </c>
      <c r="B796" s="2" t="s">
        <v>1314</v>
      </c>
      <c r="C796" s="2">
        <v>45</v>
      </c>
      <c r="D796" s="2" t="s">
        <v>30</v>
      </c>
      <c r="E796" s="2" t="s">
        <v>154</v>
      </c>
      <c r="F796" s="2" t="s">
        <v>150</v>
      </c>
      <c r="G796" s="3">
        <v>44776</v>
      </c>
      <c r="H796" s="3">
        <v>44785</v>
      </c>
      <c r="I796" s="2">
        <v>9</v>
      </c>
      <c r="J796" s="2" t="s">
        <v>33</v>
      </c>
      <c r="K796" s="2" t="s">
        <v>107</v>
      </c>
      <c r="L796" s="2" t="s">
        <v>48</v>
      </c>
      <c r="M796" s="2" t="s">
        <v>134</v>
      </c>
      <c r="N796" s="2" t="s">
        <v>37</v>
      </c>
      <c r="O796" s="2" t="s">
        <v>151</v>
      </c>
      <c r="P796" s="2">
        <v>415</v>
      </c>
      <c r="Q796" s="2" t="s">
        <v>69</v>
      </c>
      <c r="R796" s="2" t="s">
        <v>51</v>
      </c>
      <c r="S796" s="2">
        <v>181490</v>
      </c>
      <c r="T796" s="2">
        <v>82126</v>
      </c>
      <c r="U796" s="2">
        <v>99364</v>
      </c>
      <c r="V796" s="2">
        <v>146674</v>
      </c>
      <c r="W796" s="2">
        <v>25500</v>
      </c>
      <c r="X796" s="2">
        <v>6747</v>
      </c>
      <c r="Y796" s="2" t="s">
        <v>91</v>
      </c>
      <c r="Z796" s="2">
        <v>53</v>
      </c>
      <c r="AA796" s="2">
        <v>4.5</v>
      </c>
      <c r="AB796" s="2" t="s">
        <v>64</v>
      </c>
    </row>
    <row r="797" spans="1:28" x14ac:dyDescent="0.25">
      <c r="A797" s="4" t="s">
        <v>1473</v>
      </c>
      <c r="B797" s="4" t="s">
        <v>1222</v>
      </c>
      <c r="C797" s="4">
        <v>25</v>
      </c>
      <c r="D797" s="4" t="s">
        <v>55</v>
      </c>
      <c r="E797" s="4" t="s">
        <v>31</v>
      </c>
      <c r="F797" s="4" t="s">
        <v>72</v>
      </c>
      <c r="G797" s="5">
        <v>44773</v>
      </c>
      <c r="H797" s="5">
        <v>44778</v>
      </c>
      <c r="I797" s="4">
        <v>5</v>
      </c>
      <c r="J797" s="4" t="s">
        <v>33</v>
      </c>
      <c r="K797" s="4" t="s">
        <v>34</v>
      </c>
      <c r="L797" s="4" t="s">
        <v>35</v>
      </c>
      <c r="M797" s="4" t="s">
        <v>83</v>
      </c>
      <c r="N797" s="4" t="s">
        <v>62</v>
      </c>
      <c r="O797" s="4" t="s">
        <v>175</v>
      </c>
      <c r="P797" s="4">
        <v>484</v>
      </c>
      <c r="Q797" s="4" t="s">
        <v>39</v>
      </c>
      <c r="R797" s="4" t="s">
        <v>40</v>
      </c>
      <c r="S797" s="4">
        <v>179792</v>
      </c>
      <c r="T797" s="4">
        <v>110304</v>
      </c>
      <c r="U797" s="4">
        <v>69488</v>
      </c>
      <c r="V797" s="4">
        <v>140549</v>
      </c>
      <c r="W797" s="4">
        <v>29407</v>
      </c>
      <c r="X797" s="4">
        <v>8932</v>
      </c>
      <c r="Y797" s="4" t="s">
        <v>41</v>
      </c>
      <c r="Z797" s="4">
        <v>53</v>
      </c>
      <c r="AA797" s="4">
        <v>2.5</v>
      </c>
      <c r="AB797" s="4" t="s">
        <v>104</v>
      </c>
    </row>
    <row r="798" spans="1:28" x14ac:dyDescent="0.25">
      <c r="A798" s="2" t="s">
        <v>1474</v>
      </c>
      <c r="B798" s="2" t="s">
        <v>384</v>
      </c>
      <c r="C798" s="2">
        <v>6</v>
      </c>
      <c r="D798" s="2" t="s">
        <v>55</v>
      </c>
      <c r="E798" s="2" t="s">
        <v>31</v>
      </c>
      <c r="F798" s="2" t="s">
        <v>129</v>
      </c>
      <c r="G798" s="3">
        <v>44566</v>
      </c>
      <c r="H798" s="3">
        <v>44567</v>
      </c>
      <c r="I798" s="2">
        <v>1</v>
      </c>
      <c r="J798" s="2" t="s">
        <v>202</v>
      </c>
      <c r="K798" s="2" t="s">
        <v>203</v>
      </c>
      <c r="L798" s="2" t="s">
        <v>204</v>
      </c>
      <c r="M798" s="2" t="s">
        <v>108</v>
      </c>
      <c r="N798" s="2" t="s">
        <v>37</v>
      </c>
      <c r="O798" s="2" t="s">
        <v>171</v>
      </c>
      <c r="P798" s="2">
        <v>59</v>
      </c>
      <c r="Q798" s="2" t="s">
        <v>69</v>
      </c>
      <c r="R798" s="2" t="s">
        <v>90</v>
      </c>
      <c r="S798" s="2">
        <v>181998</v>
      </c>
      <c r="T798" s="2">
        <v>148230</v>
      </c>
      <c r="U798" s="2">
        <v>33768</v>
      </c>
      <c r="V798" s="2">
        <v>138149</v>
      </c>
      <c r="W798" s="2">
        <v>28566</v>
      </c>
      <c r="X798" s="2">
        <v>10844</v>
      </c>
      <c r="Y798" s="2" t="s">
        <v>91</v>
      </c>
      <c r="Z798" s="2">
        <v>75</v>
      </c>
      <c r="AA798" s="2">
        <v>2.2999999999999998</v>
      </c>
      <c r="AB798" s="2" t="s">
        <v>52</v>
      </c>
    </row>
    <row r="799" spans="1:28" x14ac:dyDescent="0.25">
      <c r="A799" s="4" t="s">
        <v>1475</v>
      </c>
      <c r="B799" s="4" t="s">
        <v>629</v>
      </c>
      <c r="C799" s="4">
        <v>54</v>
      </c>
      <c r="D799" s="4" t="s">
        <v>55</v>
      </c>
      <c r="E799" s="4" t="s">
        <v>79</v>
      </c>
      <c r="F799" s="4" t="s">
        <v>57</v>
      </c>
      <c r="G799" s="5">
        <v>45043</v>
      </c>
      <c r="H799" s="5">
        <v>45072</v>
      </c>
      <c r="I799" s="4">
        <v>29</v>
      </c>
      <c r="J799" s="4" t="s">
        <v>33</v>
      </c>
      <c r="K799" s="4" t="s">
        <v>99</v>
      </c>
      <c r="L799" s="4" t="s">
        <v>100</v>
      </c>
      <c r="M799" s="4" t="s">
        <v>95</v>
      </c>
      <c r="N799" s="4" t="s">
        <v>109</v>
      </c>
      <c r="O799" s="4" t="s">
        <v>337</v>
      </c>
      <c r="P799" s="4">
        <v>262</v>
      </c>
      <c r="Q799" s="4" t="s">
        <v>69</v>
      </c>
      <c r="R799" s="4" t="s">
        <v>111</v>
      </c>
      <c r="S799" s="4">
        <v>107207</v>
      </c>
      <c r="T799" s="4">
        <v>70595</v>
      </c>
      <c r="U799" s="4">
        <v>36612</v>
      </c>
      <c r="V799" s="4">
        <v>77447</v>
      </c>
      <c r="W799" s="4">
        <v>14799</v>
      </c>
      <c r="X799" s="4">
        <v>13329</v>
      </c>
      <c r="Y799" s="4" t="s">
        <v>41</v>
      </c>
      <c r="Z799" s="4">
        <v>95</v>
      </c>
      <c r="AA799" s="4">
        <v>4.9000000000000004</v>
      </c>
      <c r="AB799" s="4" t="s">
        <v>52</v>
      </c>
    </row>
    <row r="800" spans="1:28" x14ac:dyDescent="0.25">
      <c r="A800" s="2" t="s">
        <v>1476</v>
      </c>
      <c r="B800" s="2" t="s">
        <v>1101</v>
      </c>
      <c r="C800" s="2">
        <v>9</v>
      </c>
      <c r="D800" s="2" t="s">
        <v>55</v>
      </c>
      <c r="E800" s="2" t="s">
        <v>31</v>
      </c>
      <c r="F800" s="2" t="s">
        <v>57</v>
      </c>
      <c r="G800" s="3">
        <v>45498</v>
      </c>
      <c r="H800" s="3">
        <v>45525</v>
      </c>
      <c r="I800" s="2">
        <v>27</v>
      </c>
      <c r="J800" s="2" t="s">
        <v>115</v>
      </c>
      <c r="K800" s="2" t="s">
        <v>116</v>
      </c>
      <c r="L800" s="2" t="s">
        <v>117</v>
      </c>
      <c r="M800" s="2" t="s">
        <v>130</v>
      </c>
      <c r="N800" s="2" t="s">
        <v>118</v>
      </c>
      <c r="O800" s="2" t="s">
        <v>399</v>
      </c>
      <c r="P800" s="2">
        <v>488</v>
      </c>
      <c r="Q800" s="2" t="s">
        <v>103</v>
      </c>
      <c r="R800" s="2" t="s">
        <v>111</v>
      </c>
      <c r="S800" s="2">
        <v>38094</v>
      </c>
      <c r="T800" s="2">
        <v>27838</v>
      </c>
      <c r="U800" s="2">
        <v>10256</v>
      </c>
      <c r="V800" s="2">
        <v>24538</v>
      </c>
      <c r="W800" s="2">
        <v>11859</v>
      </c>
      <c r="X800" s="2">
        <v>820</v>
      </c>
      <c r="Y800" s="2" t="s">
        <v>41</v>
      </c>
      <c r="Z800" s="2">
        <v>82</v>
      </c>
      <c r="AA800" s="2">
        <v>3.2</v>
      </c>
      <c r="AB800" s="2" t="s">
        <v>52</v>
      </c>
    </row>
    <row r="801" spans="1:28" x14ac:dyDescent="0.25">
      <c r="A801" s="4" t="s">
        <v>1477</v>
      </c>
      <c r="B801" s="4" t="s">
        <v>1478</v>
      </c>
      <c r="C801" s="4">
        <v>6</v>
      </c>
      <c r="D801" s="4" t="s">
        <v>30</v>
      </c>
      <c r="E801" s="4" t="s">
        <v>45</v>
      </c>
      <c r="F801" s="4" t="s">
        <v>46</v>
      </c>
      <c r="G801" s="5">
        <v>44739</v>
      </c>
      <c r="H801" s="5">
        <v>44762</v>
      </c>
      <c r="I801" s="4">
        <v>23</v>
      </c>
      <c r="J801" s="4" t="s">
        <v>202</v>
      </c>
      <c r="K801" s="4" t="s">
        <v>203</v>
      </c>
      <c r="L801" s="4" t="s">
        <v>204</v>
      </c>
      <c r="M801" s="4" t="s">
        <v>134</v>
      </c>
      <c r="N801" s="4" t="s">
        <v>62</v>
      </c>
      <c r="O801" s="4" t="s">
        <v>681</v>
      </c>
      <c r="P801" s="4">
        <v>166</v>
      </c>
      <c r="Q801" s="4" t="s">
        <v>69</v>
      </c>
      <c r="R801" s="4" t="s">
        <v>111</v>
      </c>
      <c r="S801" s="4">
        <v>116771</v>
      </c>
      <c r="T801" s="4">
        <v>71532</v>
      </c>
      <c r="U801" s="4">
        <v>45239</v>
      </c>
      <c r="V801" s="4">
        <v>75481</v>
      </c>
      <c r="W801" s="4">
        <v>26310</v>
      </c>
      <c r="X801" s="4">
        <v>10635</v>
      </c>
      <c r="Y801" s="4" t="s">
        <v>41</v>
      </c>
      <c r="Z801" s="4">
        <v>63</v>
      </c>
      <c r="AA801" s="4">
        <v>4.3</v>
      </c>
      <c r="AB801" s="4" t="s">
        <v>64</v>
      </c>
    </row>
    <row r="802" spans="1:28" x14ac:dyDescent="0.25">
      <c r="A802" s="2" t="s">
        <v>1479</v>
      </c>
      <c r="B802" s="2" t="s">
        <v>1309</v>
      </c>
      <c r="C802" s="2">
        <v>75</v>
      </c>
      <c r="D802" s="2" t="s">
        <v>55</v>
      </c>
      <c r="E802" s="2" t="s">
        <v>79</v>
      </c>
      <c r="F802" s="2" t="s">
        <v>94</v>
      </c>
      <c r="G802" s="3">
        <v>44850</v>
      </c>
      <c r="H802" s="3">
        <v>44863</v>
      </c>
      <c r="I802" s="2">
        <v>13</v>
      </c>
      <c r="J802" s="2" t="s">
        <v>33</v>
      </c>
      <c r="K802" s="2" t="s">
        <v>99</v>
      </c>
      <c r="L802" s="2" t="s">
        <v>100</v>
      </c>
      <c r="M802" s="2" t="s">
        <v>101</v>
      </c>
      <c r="N802" s="2" t="s">
        <v>37</v>
      </c>
      <c r="O802" s="2" t="s">
        <v>571</v>
      </c>
      <c r="P802" s="2">
        <v>311</v>
      </c>
      <c r="Q802" s="2" t="s">
        <v>103</v>
      </c>
      <c r="R802" s="2" t="s">
        <v>90</v>
      </c>
      <c r="S802" s="2">
        <v>165466</v>
      </c>
      <c r="T802" s="2">
        <v>126980</v>
      </c>
      <c r="U802" s="2">
        <v>38486</v>
      </c>
      <c r="V802" s="2">
        <v>143400</v>
      </c>
      <c r="W802" s="2">
        <v>8670</v>
      </c>
      <c r="X802" s="2">
        <v>9346</v>
      </c>
      <c r="Y802" s="2" t="s">
        <v>41</v>
      </c>
      <c r="Z802" s="2">
        <v>80</v>
      </c>
      <c r="AA802" s="2">
        <v>3.7</v>
      </c>
      <c r="AB802" s="2" t="s">
        <v>137</v>
      </c>
    </row>
    <row r="803" spans="1:28" x14ac:dyDescent="0.25">
      <c r="A803" s="4" t="s">
        <v>1480</v>
      </c>
      <c r="B803" s="4" t="s">
        <v>534</v>
      </c>
      <c r="C803" s="4">
        <v>83</v>
      </c>
      <c r="D803" s="4" t="s">
        <v>55</v>
      </c>
      <c r="E803" s="4" t="s">
        <v>45</v>
      </c>
      <c r="F803" s="4" t="s">
        <v>57</v>
      </c>
      <c r="G803" s="5">
        <v>45321</v>
      </c>
      <c r="H803" s="5">
        <v>45347</v>
      </c>
      <c r="I803" s="4">
        <v>26</v>
      </c>
      <c r="J803" s="4" t="s">
        <v>33</v>
      </c>
      <c r="K803" s="4" t="s">
        <v>278</v>
      </c>
      <c r="L803" s="4" t="s">
        <v>279</v>
      </c>
      <c r="M803" s="4" t="s">
        <v>143</v>
      </c>
      <c r="N803" s="4" t="s">
        <v>118</v>
      </c>
      <c r="O803" s="4" t="s">
        <v>227</v>
      </c>
      <c r="P803" s="4">
        <v>292</v>
      </c>
      <c r="Q803" s="4" t="s">
        <v>103</v>
      </c>
      <c r="R803" s="4" t="s">
        <v>111</v>
      </c>
      <c r="S803" s="4">
        <v>47524</v>
      </c>
      <c r="T803" s="4">
        <v>30318</v>
      </c>
      <c r="U803" s="4">
        <v>17206</v>
      </c>
      <c r="V803" s="4">
        <v>11127</v>
      </c>
      <c r="W803" s="4">
        <v>23715</v>
      </c>
      <c r="X803" s="4">
        <v>10243</v>
      </c>
      <c r="Y803" s="4" t="s">
        <v>41</v>
      </c>
      <c r="Z803" s="4">
        <v>48</v>
      </c>
      <c r="AA803" s="4">
        <v>3.3</v>
      </c>
      <c r="AB803" s="4" t="s">
        <v>52</v>
      </c>
    </row>
    <row r="804" spans="1:28" x14ac:dyDescent="0.25">
      <c r="A804" s="2" t="s">
        <v>1481</v>
      </c>
      <c r="B804" s="2" t="s">
        <v>1482</v>
      </c>
      <c r="C804" s="2">
        <v>78</v>
      </c>
      <c r="D804" s="2" t="s">
        <v>55</v>
      </c>
      <c r="E804" s="2" t="s">
        <v>67</v>
      </c>
      <c r="F804" s="2" t="s">
        <v>57</v>
      </c>
      <c r="G804" s="3">
        <v>45181</v>
      </c>
      <c r="H804" s="3">
        <v>45184</v>
      </c>
      <c r="I804" s="2">
        <v>3</v>
      </c>
      <c r="J804" s="2" t="s">
        <v>33</v>
      </c>
      <c r="K804" s="2" t="s">
        <v>99</v>
      </c>
      <c r="L804" s="2" t="s">
        <v>100</v>
      </c>
      <c r="M804" s="2" t="s">
        <v>101</v>
      </c>
      <c r="N804" s="2" t="s">
        <v>118</v>
      </c>
      <c r="O804" s="2" t="s">
        <v>509</v>
      </c>
      <c r="P804" s="2">
        <v>402</v>
      </c>
      <c r="Q804" s="2" t="s">
        <v>103</v>
      </c>
      <c r="R804" s="2" t="s">
        <v>136</v>
      </c>
      <c r="S804" s="2">
        <v>117820</v>
      </c>
      <c r="T804" s="2">
        <v>0</v>
      </c>
      <c r="U804" s="2">
        <v>117820</v>
      </c>
      <c r="V804" s="2">
        <v>92979</v>
      </c>
      <c r="W804" s="2">
        <v>17727</v>
      </c>
      <c r="X804" s="2">
        <v>5650</v>
      </c>
      <c r="Y804" s="2" t="s">
        <v>41</v>
      </c>
      <c r="Z804" s="2">
        <v>69</v>
      </c>
      <c r="AA804" s="2">
        <v>2.9</v>
      </c>
      <c r="AB804" s="2" t="s">
        <v>104</v>
      </c>
    </row>
    <row r="805" spans="1:28" x14ac:dyDescent="0.25">
      <c r="A805" s="4" t="s">
        <v>1483</v>
      </c>
      <c r="B805" s="4" t="s">
        <v>1066</v>
      </c>
      <c r="C805" s="4">
        <v>67</v>
      </c>
      <c r="D805" s="4" t="s">
        <v>30</v>
      </c>
      <c r="E805" s="4" t="s">
        <v>67</v>
      </c>
      <c r="F805" s="4" t="s">
        <v>72</v>
      </c>
      <c r="G805" s="5">
        <v>44940</v>
      </c>
      <c r="H805" s="5">
        <v>44966</v>
      </c>
      <c r="I805" s="4">
        <v>26</v>
      </c>
      <c r="J805" s="4" t="s">
        <v>202</v>
      </c>
      <c r="K805" s="4" t="s">
        <v>203</v>
      </c>
      <c r="L805" s="4" t="s">
        <v>204</v>
      </c>
      <c r="M805" s="4" t="s">
        <v>75</v>
      </c>
      <c r="N805" s="4" t="s">
        <v>109</v>
      </c>
      <c r="O805" s="4" t="s">
        <v>438</v>
      </c>
      <c r="P805" s="4">
        <v>312</v>
      </c>
      <c r="Q805" s="4" t="s">
        <v>103</v>
      </c>
      <c r="R805" s="4" t="s">
        <v>40</v>
      </c>
      <c r="S805" s="4">
        <v>134184</v>
      </c>
      <c r="T805" s="4">
        <v>59346</v>
      </c>
      <c r="U805" s="4">
        <v>74838</v>
      </c>
      <c r="V805" s="4">
        <v>119227</v>
      </c>
      <c r="W805" s="4">
        <v>9725</v>
      </c>
      <c r="X805" s="4">
        <v>3400</v>
      </c>
      <c r="Y805" s="4" t="s">
        <v>41</v>
      </c>
      <c r="Z805" s="4">
        <v>61</v>
      </c>
      <c r="AA805" s="4">
        <v>3.5</v>
      </c>
      <c r="AB805" s="4" t="s">
        <v>104</v>
      </c>
    </row>
    <row r="806" spans="1:28" x14ac:dyDescent="0.25">
      <c r="A806" s="2" t="s">
        <v>1484</v>
      </c>
      <c r="B806" s="2" t="s">
        <v>1485</v>
      </c>
      <c r="C806" s="2">
        <v>38</v>
      </c>
      <c r="D806" s="2" t="s">
        <v>30</v>
      </c>
      <c r="E806" s="2" t="s">
        <v>79</v>
      </c>
      <c r="F806" s="2" t="s">
        <v>129</v>
      </c>
      <c r="G806" s="3">
        <v>44777</v>
      </c>
      <c r="H806" s="3">
        <v>44804</v>
      </c>
      <c r="I806" s="2">
        <v>27</v>
      </c>
      <c r="J806" s="2" t="s">
        <v>33</v>
      </c>
      <c r="K806" s="2" t="s">
        <v>99</v>
      </c>
      <c r="L806" s="2" t="s">
        <v>100</v>
      </c>
      <c r="M806" s="2" t="s">
        <v>134</v>
      </c>
      <c r="N806" s="2" t="s">
        <v>118</v>
      </c>
      <c r="O806" s="2" t="s">
        <v>373</v>
      </c>
      <c r="P806" s="2">
        <v>164</v>
      </c>
      <c r="Q806" s="2" t="s">
        <v>103</v>
      </c>
      <c r="R806" s="2" t="s">
        <v>51</v>
      </c>
      <c r="S806" s="2">
        <v>55235</v>
      </c>
      <c r="T806" s="2">
        <v>24187</v>
      </c>
      <c r="U806" s="2">
        <v>31048</v>
      </c>
      <c r="V806" s="2">
        <v>38139</v>
      </c>
      <c r="W806" s="2">
        <v>1094</v>
      </c>
      <c r="X806" s="2">
        <v>14343</v>
      </c>
      <c r="Y806" s="2" t="s">
        <v>41</v>
      </c>
      <c r="Z806" s="2">
        <v>71</v>
      </c>
      <c r="AA806" s="2">
        <v>4.5</v>
      </c>
      <c r="AB806" s="2" t="s">
        <v>42</v>
      </c>
    </row>
    <row r="807" spans="1:28" x14ac:dyDescent="0.25">
      <c r="A807" s="4" t="s">
        <v>1486</v>
      </c>
      <c r="B807" s="4" t="s">
        <v>1487</v>
      </c>
      <c r="C807" s="4">
        <v>13</v>
      </c>
      <c r="D807" s="4" t="s">
        <v>30</v>
      </c>
      <c r="E807" s="4" t="s">
        <v>31</v>
      </c>
      <c r="F807" s="4" t="s">
        <v>80</v>
      </c>
      <c r="G807" s="5">
        <v>45401</v>
      </c>
      <c r="H807" s="5">
        <v>45410</v>
      </c>
      <c r="I807" s="4">
        <v>9</v>
      </c>
      <c r="J807" s="4" t="s">
        <v>33</v>
      </c>
      <c r="K807" s="4" t="s">
        <v>197</v>
      </c>
      <c r="L807" s="4" t="s">
        <v>198</v>
      </c>
      <c r="M807" s="4" t="s">
        <v>143</v>
      </c>
      <c r="N807" s="4" t="s">
        <v>109</v>
      </c>
      <c r="O807" s="4" t="s">
        <v>181</v>
      </c>
      <c r="P807" s="4">
        <v>434</v>
      </c>
      <c r="Q807" s="4" t="s">
        <v>103</v>
      </c>
      <c r="R807" s="4" t="s">
        <v>40</v>
      </c>
      <c r="S807" s="4">
        <v>156084</v>
      </c>
      <c r="T807" s="4">
        <v>103987</v>
      </c>
      <c r="U807" s="4">
        <v>52097</v>
      </c>
      <c r="V807" s="4">
        <v>136884</v>
      </c>
      <c r="W807" s="4">
        <v>6339</v>
      </c>
      <c r="X807" s="4">
        <v>9674</v>
      </c>
      <c r="Y807" s="4" t="s">
        <v>41</v>
      </c>
      <c r="Z807" s="4">
        <v>57</v>
      </c>
      <c r="AA807" s="4">
        <v>2</v>
      </c>
      <c r="AB807" s="4" t="s">
        <v>104</v>
      </c>
    </row>
    <row r="808" spans="1:28" x14ac:dyDescent="0.25">
      <c r="A808" s="2" t="s">
        <v>1488</v>
      </c>
      <c r="B808" s="2" t="s">
        <v>308</v>
      </c>
      <c r="C808" s="2">
        <v>71</v>
      </c>
      <c r="D808" s="2" t="s">
        <v>55</v>
      </c>
      <c r="E808" s="2" t="s">
        <v>154</v>
      </c>
      <c r="F808" s="2" t="s">
        <v>46</v>
      </c>
      <c r="G808" s="3">
        <v>45488</v>
      </c>
      <c r="H808" s="3">
        <v>45496</v>
      </c>
      <c r="I808" s="2">
        <v>8</v>
      </c>
      <c r="J808" s="2" t="s">
        <v>202</v>
      </c>
      <c r="K808" s="2" t="s">
        <v>203</v>
      </c>
      <c r="L808" s="2" t="s">
        <v>204</v>
      </c>
      <c r="M808" s="2" t="s">
        <v>108</v>
      </c>
      <c r="N808" s="2" t="s">
        <v>62</v>
      </c>
      <c r="O808" s="2" t="s">
        <v>285</v>
      </c>
      <c r="P808" s="2">
        <v>474</v>
      </c>
      <c r="Q808" s="2" t="s">
        <v>50</v>
      </c>
      <c r="R808" s="2" t="s">
        <v>90</v>
      </c>
      <c r="S808" s="2">
        <v>139216</v>
      </c>
      <c r="T808" s="2">
        <v>122913</v>
      </c>
      <c r="U808" s="2">
        <v>16303</v>
      </c>
      <c r="V808" s="2">
        <v>131214</v>
      </c>
      <c r="W808" s="2">
        <v>3159</v>
      </c>
      <c r="X808" s="2">
        <v>1465</v>
      </c>
      <c r="Y808" s="2" t="s">
        <v>41</v>
      </c>
      <c r="Z808" s="2">
        <v>88</v>
      </c>
      <c r="AA808" s="2">
        <v>4.8</v>
      </c>
      <c r="AB808" s="2" t="s">
        <v>104</v>
      </c>
    </row>
    <row r="809" spans="1:28" x14ac:dyDescent="0.25">
      <c r="A809" s="4" t="s">
        <v>1489</v>
      </c>
      <c r="B809" s="4" t="s">
        <v>261</v>
      </c>
      <c r="C809" s="4">
        <v>52</v>
      </c>
      <c r="D809" s="4" t="s">
        <v>55</v>
      </c>
      <c r="E809" s="4" t="s">
        <v>154</v>
      </c>
      <c r="F809" s="4" t="s">
        <v>150</v>
      </c>
      <c r="G809" s="5">
        <v>44785</v>
      </c>
      <c r="H809" s="5">
        <v>44812</v>
      </c>
      <c r="I809" s="4">
        <v>27</v>
      </c>
      <c r="J809" s="4" t="s">
        <v>202</v>
      </c>
      <c r="K809" s="4" t="s">
        <v>203</v>
      </c>
      <c r="L809" s="4" t="s">
        <v>204</v>
      </c>
      <c r="M809" s="4" t="s">
        <v>143</v>
      </c>
      <c r="N809" s="4" t="s">
        <v>37</v>
      </c>
      <c r="O809" s="4" t="s">
        <v>76</v>
      </c>
      <c r="P809" s="4">
        <v>381</v>
      </c>
      <c r="Q809" s="4" t="s">
        <v>50</v>
      </c>
      <c r="R809" s="4" t="s">
        <v>40</v>
      </c>
      <c r="S809" s="4">
        <v>138804</v>
      </c>
      <c r="T809" s="4">
        <v>63834</v>
      </c>
      <c r="U809" s="4">
        <v>74970</v>
      </c>
      <c r="V809" s="4">
        <v>120497</v>
      </c>
      <c r="W809" s="4">
        <v>2744</v>
      </c>
      <c r="X809" s="4">
        <v>13948</v>
      </c>
      <c r="Y809" s="4" t="s">
        <v>91</v>
      </c>
      <c r="Z809" s="4">
        <v>44</v>
      </c>
      <c r="AA809" s="4">
        <v>4.4000000000000004</v>
      </c>
      <c r="AB809" s="4" t="s">
        <v>42</v>
      </c>
    </row>
    <row r="810" spans="1:28" x14ac:dyDescent="0.25">
      <c r="A810" s="2" t="s">
        <v>1490</v>
      </c>
      <c r="B810" s="2" t="s">
        <v>153</v>
      </c>
      <c r="C810" s="2">
        <v>5</v>
      </c>
      <c r="D810" s="2" t="s">
        <v>30</v>
      </c>
      <c r="E810" s="2" t="s">
        <v>79</v>
      </c>
      <c r="F810" s="2" t="s">
        <v>157</v>
      </c>
      <c r="G810" s="3">
        <v>45594</v>
      </c>
      <c r="H810" s="3">
        <v>45613</v>
      </c>
      <c r="I810" s="2">
        <v>19</v>
      </c>
      <c r="J810" s="2" t="s">
        <v>58</v>
      </c>
      <c r="K810" s="2" t="s">
        <v>59</v>
      </c>
      <c r="L810" s="2" t="s">
        <v>60</v>
      </c>
      <c r="M810" s="2" t="s">
        <v>95</v>
      </c>
      <c r="N810" s="2" t="s">
        <v>118</v>
      </c>
      <c r="O810" s="2" t="s">
        <v>678</v>
      </c>
      <c r="P810" s="2">
        <v>409</v>
      </c>
      <c r="Q810" s="2" t="s">
        <v>103</v>
      </c>
      <c r="R810" s="2" t="s">
        <v>111</v>
      </c>
      <c r="S810" s="2">
        <v>108700</v>
      </c>
      <c r="T810" s="2">
        <v>76458</v>
      </c>
      <c r="U810" s="2">
        <v>32242</v>
      </c>
      <c r="V810" s="2">
        <v>60925</v>
      </c>
      <c r="W810" s="2">
        <v>29351</v>
      </c>
      <c r="X810" s="2">
        <v>14548</v>
      </c>
      <c r="Y810" s="2" t="s">
        <v>41</v>
      </c>
      <c r="Z810" s="2">
        <v>57</v>
      </c>
      <c r="AA810" s="2">
        <v>4.9000000000000004</v>
      </c>
      <c r="AB810" s="2" t="s">
        <v>104</v>
      </c>
    </row>
    <row r="811" spans="1:28" x14ac:dyDescent="0.25">
      <c r="A811" s="4" t="s">
        <v>1491</v>
      </c>
      <c r="B811" s="4" t="s">
        <v>1115</v>
      </c>
      <c r="C811" s="4">
        <v>84</v>
      </c>
      <c r="D811" s="4" t="s">
        <v>55</v>
      </c>
      <c r="E811" s="4" t="s">
        <v>87</v>
      </c>
      <c r="F811" s="4" t="s">
        <v>32</v>
      </c>
      <c r="G811" s="5">
        <v>45198</v>
      </c>
      <c r="H811" s="5">
        <v>45224</v>
      </c>
      <c r="I811" s="4">
        <v>26</v>
      </c>
      <c r="J811" s="4" t="s">
        <v>33</v>
      </c>
      <c r="K811" s="4" t="s">
        <v>99</v>
      </c>
      <c r="L811" s="4" t="s">
        <v>100</v>
      </c>
      <c r="M811" s="4" t="s">
        <v>61</v>
      </c>
      <c r="N811" s="4" t="s">
        <v>62</v>
      </c>
      <c r="O811" s="4" t="s">
        <v>428</v>
      </c>
      <c r="P811" s="4">
        <v>171</v>
      </c>
      <c r="Q811" s="4" t="s">
        <v>69</v>
      </c>
      <c r="R811" s="4" t="s">
        <v>40</v>
      </c>
      <c r="S811" s="4">
        <v>137106</v>
      </c>
      <c r="T811" s="4">
        <v>63965</v>
      </c>
      <c r="U811" s="4">
        <v>73141</v>
      </c>
      <c r="V811" s="4">
        <v>97220</v>
      </c>
      <c r="W811" s="4">
        <v>26384</v>
      </c>
      <c r="X811" s="4">
        <v>9699</v>
      </c>
      <c r="Y811" s="4" t="s">
        <v>41</v>
      </c>
      <c r="Z811" s="4">
        <v>69</v>
      </c>
      <c r="AA811" s="4">
        <v>4.7</v>
      </c>
      <c r="AB811" s="4" t="s">
        <v>64</v>
      </c>
    </row>
    <row r="812" spans="1:28" x14ac:dyDescent="0.25">
      <c r="A812" s="2" t="s">
        <v>1492</v>
      </c>
      <c r="B812" s="2" t="s">
        <v>1060</v>
      </c>
      <c r="C812" s="2">
        <v>61</v>
      </c>
      <c r="D812" s="2" t="s">
        <v>30</v>
      </c>
      <c r="E812" s="2" t="s">
        <v>31</v>
      </c>
      <c r="F812" s="2" t="s">
        <v>80</v>
      </c>
      <c r="G812" s="3">
        <v>44872</v>
      </c>
      <c r="H812" s="3">
        <v>44886</v>
      </c>
      <c r="I812" s="2">
        <v>14</v>
      </c>
      <c r="J812" s="2" t="s">
        <v>202</v>
      </c>
      <c r="K812" s="2" t="s">
        <v>225</v>
      </c>
      <c r="L812" s="2" t="s">
        <v>226</v>
      </c>
      <c r="M812" s="2" t="s">
        <v>108</v>
      </c>
      <c r="N812" s="2" t="s">
        <v>118</v>
      </c>
      <c r="O812" s="2" t="s">
        <v>144</v>
      </c>
      <c r="P812" s="2">
        <v>20</v>
      </c>
      <c r="Q812" s="2" t="s">
        <v>103</v>
      </c>
      <c r="R812" s="2" t="s">
        <v>111</v>
      </c>
      <c r="S812" s="2">
        <v>87839</v>
      </c>
      <c r="T812" s="2">
        <v>78784</v>
      </c>
      <c r="U812" s="2">
        <v>9055</v>
      </c>
      <c r="V812" s="2">
        <v>55792</v>
      </c>
      <c r="W812" s="2">
        <v>20276</v>
      </c>
      <c r="X812" s="2">
        <v>9477</v>
      </c>
      <c r="Y812" s="2" t="s">
        <v>41</v>
      </c>
      <c r="Z812" s="2">
        <v>97</v>
      </c>
      <c r="AA812" s="2">
        <v>2.9</v>
      </c>
      <c r="AB812" s="2" t="s">
        <v>42</v>
      </c>
    </row>
    <row r="813" spans="1:28" x14ac:dyDescent="0.25">
      <c r="A813" s="4" t="s">
        <v>1493</v>
      </c>
      <c r="B813" s="4" t="s">
        <v>741</v>
      </c>
      <c r="C813" s="4">
        <v>75</v>
      </c>
      <c r="D813" s="4" t="s">
        <v>30</v>
      </c>
      <c r="E813" s="4" t="s">
        <v>154</v>
      </c>
      <c r="F813" s="4" t="s">
        <v>80</v>
      </c>
      <c r="G813" s="5">
        <v>45028</v>
      </c>
      <c r="H813" s="5">
        <v>45041</v>
      </c>
      <c r="I813" s="4">
        <v>13</v>
      </c>
      <c r="J813" s="4" t="s">
        <v>58</v>
      </c>
      <c r="K813" s="4" t="s">
        <v>59</v>
      </c>
      <c r="L813" s="4" t="s">
        <v>60</v>
      </c>
      <c r="M813" s="4" t="s">
        <v>143</v>
      </c>
      <c r="N813" s="4" t="s">
        <v>62</v>
      </c>
      <c r="O813" s="4" t="s">
        <v>222</v>
      </c>
      <c r="P813" s="4">
        <v>28</v>
      </c>
      <c r="Q813" s="4" t="s">
        <v>103</v>
      </c>
      <c r="R813" s="4" t="s">
        <v>111</v>
      </c>
      <c r="S813" s="4">
        <v>106670</v>
      </c>
      <c r="T813" s="4">
        <v>75526</v>
      </c>
      <c r="U813" s="4">
        <v>31144</v>
      </c>
      <c r="V813" s="4">
        <v>77535</v>
      </c>
      <c r="W813" s="4">
        <v>24091</v>
      </c>
      <c r="X813" s="4">
        <v>1321</v>
      </c>
      <c r="Y813" s="4" t="s">
        <v>41</v>
      </c>
      <c r="Z813" s="4">
        <v>62</v>
      </c>
      <c r="AA813" s="4">
        <v>2.2000000000000002</v>
      </c>
      <c r="AB813" s="4" t="s">
        <v>137</v>
      </c>
    </row>
    <row r="814" spans="1:28" x14ac:dyDescent="0.25">
      <c r="A814" s="2" t="s">
        <v>1494</v>
      </c>
      <c r="B814" s="2" t="s">
        <v>1495</v>
      </c>
      <c r="C814" s="2">
        <v>77</v>
      </c>
      <c r="D814" s="2" t="s">
        <v>55</v>
      </c>
      <c r="E814" s="2" t="s">
        <v>122</v>
      </c>
      <c r="F814" s="2" t="s">
        <v>72</v>
      </c>
      <c r="G814" s="3">
        <v>44631</v>
      </c>
      <c r="H814" s="3">
        <v>44649</v>
      </c>
      <c r="I814" s="2">
        <v>18</v>
      </c>
      <c r="J814" s="2" t="s">
        <v>33</v>
      </c>
      <c r="K814" s="2" t="s">
        <v>47</v>
      </c>
      <c r="L814" s="2" t="s">
        <v>48</v>
      </c>
      <c r="M814" s="2" t="s">
        <v>36</v>
      </c>
      <c r="N814" s="2" t="s">
        <v>62</v>
      </c>
      <c r="O814" s="2" t="s">
        <v>119</v>
      </c>
      <c r="P814" s="2">
        <v>375</v>
      </c>
      <c r="Q814" s="2" t="s">
        <v>69</v>
      </c>
      <c r="R814" s="2" t="s">
        <v>51</v>
      </c>
      <c r="S814" s="2">
        <v>43632</v>
      </c>
      <c r="T814" s="2">
        <v>30500</v>
      </c>
      <c r="U814" s="2">
        <v>13132</v>
      </c>
      <c r="V814" s="2">
        <v>31664</v>
      </c>
      <c r="W814" s="2">
        <v>8653</v>
      </c>
      <c r="X814" s="2">
        <v>2133</v>
      </c>
      <c r="Y814" s="2" t="s">
        <v>41</v>
      </c>
      <c r="Z814" s="2">
        <v>72</v>
      </c>
      <c r="AA814" s="2">
        <v>4.8</v>
      </c>
      <c r="AB814" s="2" t="s">
        <v>104</v>
      </c>
    </row>
    <row r="815" spans="1:28" x14ac:dyDescent="0.25">
      <c r="A815" s="4" t="s">
        <v>1496</v>
      </c>
      <c r="B815" s="4" t="s">
        <v>783</v>
      </c>
      <c r="C815" s="4">
        <v>23</v>
      </c>
      <c r="D815" s="4" t="s">
        <v>30</v>
      </c>
      <c r="E815" s="4" t="s">
        <v>79</v>
      </c>
      <c r="F815" s="4" t="s">
        <v>150</v>
      </c>
      <c r="G815" s="5">
        <v>45358</v>
      </c>
      <c r="H815" s="5">
        <v>45360</v>
      </c>
      <c r="I815" s="4">
        <v>2</v>
      </c>
      <c r="J815" s="4" t="s">
        <v>123</v>
      </c>
      <c r="K815" s="4" t="s">
        <v>124</v>
      </c>
      <c r="L815" s="4" t="s">
        <v>125</v>
      </c>
      <c r="M815" s="4" t="s">
        <v>130</v>
      </c>
      <c r="N815" s="4" t="s">
        <v>37</v>
      </c>
      <c r="O815" s="4" t="s">
        <v>950</v>
      </c>
      <c r="P815" s="4">
        <v>471</v>
      </c>
      <c r="Q815" s="4" t="s">
        <v>39</v>
      </c>
      <c r="R815" s="4" t="s">
        <v>136</v>
      </c>
      <c r="S815" s="4">
        <v>102972</v>
      </c>
      <c r="T815" s="4">
        <v>0</v>
      </c>
      <c r="U815" s="4">
        <v>102972</v>
      </c>
      <c r="V815" s="4">
        <v>75267</v>
      </c>
      <c r="W815" s="4">
        <v>23892</v>
      </c>
      <c r="X815" s="4">
        <v>1862</v>
      </c>
      <c r="Y815" s="4" t="s">
        <v>41</v>
      </c>
      <c r="Z815" s="4">
        <v>97</v>
      </c>
      <c r="AA815" s="4">
        <v>2.2000000000000002</v>
      </c>
      <c r="AB815" s="4" t="s">
        <v>64</v>
      </c>
    </row>
    <row r="816" spans="1:28" x14ac:dyDescent="0.25">
      <c r="A816" s="2" t="s">
        <v>1497</v>
      </c>
      <c r="B816" s="2" t="s">
        <v>133</v>
      </c>
      <c r="C816" s="2">
        <v>45</v>
      </c>
      <c r="D816" s="2" t="s">
        <v>30</v>
      </c>
      <c r="E816" s="2" t="s">
        <v>122</v>
      </c>
      <c r="F816" s="2" t="s">
        <v>57</v>
      </c>
      <c r="G816" s="3">
        <v>44885</v>
      </c>
      <c r="H816" s="3">
        <v>44913</v>
      </c>
      <c r="I816" s="2">
        <v>28</v>
      </c>
      <c r="J816" s="2" t="s">
        <v>33</v>
      </c>
      <c r="K816" s="2" t="s">
        <v>81</v>
      </c>
      <c r="L816" s="2" t="s">
        <v>82</v>
      </c>
      <c r="M816" s="2" t="s">
        <v>36</v>
      </c>
      <c r="N816" s="2" t="s">
        <v>118</v>
      </c>
      <c r="O816" s="2" t="s">
        <v>49</v>
      </c>
      <c r="P816" s="2">
        <v>110</v>
      </c>
      <c r="Q816" s="2" t="s">
        <v>39</v>
      </c>
      <c r="R816" s="2" t="s">
        <v>136</v>
      </c>
      <c r="S816" s="2">
        <v>102647</v>
      </c>
      <c r="T816" s="2">
        <v>0</v>
      </c>
      <c r="U816" s="2">
        <v>102647</v>
      </c>
      <c r="V816" s="2">
        <v>73060</v>
      </c>
      <c r="W816" s="2">
        <v>15422</v>
      </c>
      <c r="X816" s="2">
        <v>10882</v>
      </c>
      <c r="Y816" s="2" t="s">
        <v>91</v>
      </c>
      <c r="Z816" s="2">
        <v>58</v>
      </c>
      <c r="AA816" s="2">
        <v>2.1</v>
      </c>
      <c r="AB816" s="2" t="s">
        <v>137</v>
      </c>
    </row>
    <row r="817" spans="1:28" x14ac:dyDescent="0.25">
      <c r="A817" s="4" t="s">
        <v>1498</v>
      </c>
      <c r="B817" s="4" t="s">
        <v>665</v>
      </c>
      <c r="C817" s="4">
        <v>29</v>
      </c>
      <c r="D817" s="4" t="s">
        <v>55</v>
      </c>
      <c r="E817" s="4" t="s">
        <v>87</v>
      </c>
      <c r="F817" s="4" t="s">
        <v>72</v>
      </c>
      <c r="G817" s="5">
        <v>44663</v>
      </c>
      <c r="H817" s="5">
        <v>44693</v>
      </c>
      <c r="I817" s="4">
        <v>30</v>
      </c>
      <c r="J817" s="4" t="s">
        <v>58</v>
      </c>
      <c r="K817" s="4" t="s">
        <v>88</v>
      </c>
      <c r="L817" s="4" t="s">
        <v>60</v>
      </c>
      <c r="M817" s="4" t="s">
        <v>95</v>
      </c>
      <c r="N817" s="4" t="s">
        <v>62</v>
      </c>
      <c r="O817" s="4" t="s">
        <v>365</v>
      </c>
      <c r="P817" s="4">
        <v>25</v>
      </c>
      <c r="Q817" s="4" t="s">
        <v>69</v>
      </c>
      <c r="R817" s="4" t="s">
        <v>111</v>
      </c>
      <c r="S817" s="4">
        <v>116620</v>
      </c>
      <c r="T817" s="4">
        <v>103903</v>
      </c>
      <c r="U817" s="4">
        <v>12717</v>
      </c>
      <c r="V817" s="4">
        <v>80457</v>
      </c>
      <c r="W817" s="4">
        <v>23201</v>
      </c>
      <c r="X817" s="4">
        <v>10691</v>
      </c>
      <c r="Y817" s="4" t="s">
        <v>41</v>
      </c>
      <c r="Z817" s="4">
        <v>40</v>
      </c>
      <c r="AA817" s="4">
        <v>2.6</v>
      </c>
      <c r="AB817" s="4" t="s">
        <v>42</v>
      </c>
    </row>
    <row r="818" spans="1:28" x14ac:dyDescent="0.25">
      <c r="A818" s="2" t="s">
        <v>1499</v>
      </c>
      <c r="B818" s="2" t="s">
        <v>661</v>
      </c>
      <c r="C818" s="2">
        <v>40</v>
      </c>
      <c r="D818" s="2" t="s">
        <v>30</v>
      </c>
      <c r="E818" s="2" t="s">
        <v>154</v>
      </c>
      <c r="F818" s="2" t="s">
        <v>57</v>
      </c>
      <c r="G818" s="3">
        <v>45001</v>
      </c>
      <c r="H818" s="3">
        <v>45015</v>
      </c>
      <c r="I818" s="2">
        <v>14</v>
      </c>
      <c r="J818" s="2" t="s">
        <v>33</v>
      </c>
      <c r="K818" s="2" t="s">
        <v>197</v>
      </c>
      <c r="L818" s="2" t="s">
        <v>198</v>
      </c>
      <c r="M818" s="2" t="s">
        <v>101</v>
      </c>
      <c r="N818" s="2" t="s">
        <v>118</v>
      </c>
      <c r="O818" s="2" t="s">
        <v>580</v>
      </c>
      <c r="P818" s="2">
        <v>278</v>
      </c>
      <c r="Q818" s="2" t="s">
        <v>50</v>
      </c>
      <c r="R818" s="2" t="s">
        <v>51</v>
      </c>
      <c r="S818" s="2">
        <v>52314</v>
      </c>
      <c r="T818" s="2">
        <v>34744</v>
      </c>
      <c r="U818" s="2">
        <v>17570</v>
      </c>
      <c r="V818" s="2">
        <v>29587</v>
      </c>
      <c r="W818" s="2">
        <v>8254</v>
      </c>
      <c r="X818" s="2">
        <v>11214</v>
      </c>
      <c r="Y818" s="2" t="s">
        <v>41</v>
      </c>
      <c r="Z818" s="2">
        <v>51</v>
      </c>
      <c r="AA818" s="2">
        <v>4.9000000000000004</v>
      </c>
      <c r="AB818" s="2" t="s">
        <v>52</v>
      </c>
    </row>
    <row r="819" spans="1:28" x14ac:dyDescent="0.25">
      <c r="A819" s="4" t="s">
        <v>1500</v>
      </c>
      <c r="B819" s="4" t="s">
        <v>292</v>
      </c>
      <c r="C819" s="4">
        <v>52</v>
      </c>
      <c r="D819" s="4" t="s">
        <v>30</v>
      </c>
      <c r="E819" s="4" t="s">
        <v>154</v>
      </c>
      <c r="F819" s="4" t="s">
        <v>57</v>
      </c>
      <c r="G819" s="5">
        <v>45302</v>
      </c>
      <c r="H819" s="5">
        <v>45315</v>
      </c>
      <c r="I819" s="4">
        <v>13</v>
      </c>
      <c r="J819" s="4" t="s">
        <v>202</v>
      </c>
      <c r="K819" s="4" t="s">
        <v>203</v>
      </c>
      <c r="L819" s="4" t="s">
        <v>204</v>
      </c>
      <c r="M819" s="4" t="s">
        <v>130</v>
      </c>
      <c r="N819" s="4" t="s">
        <v>37</v>
      </c>
      <c r="O819" s="4" t="s">
        <v>234</v>
      </c>
      <c r="P819" s="4">
        <v>482</v>
      </c>
      <c r="Q819" s="4" t="s">
        <v>69</v>
      </c>
      <c r="R819" s="4" t="s">
        <v>90</v>
      </c>
      <c r="S819" s="4">
        <v>141497</v>
      </c>
      <c r="T819" s="4">
        <v>87394</v>
      </c>
      <c r="U819" s="4">
        <v>54103</v>
      </c>
      <c r="V819" s="4">
        <v>109276</v>
      </c>
      <c r="W819" s="4">
        <v>19716</v>
      </c>
      <c r="X819" s="4">
        <v>7520</v>
      </c>
      <c r="Y819" s="4" t="s">
        <v>41</v>
      </c>
      <c r="Z819" s="4">
        <v>85</v>
      </c>
      <c r="AA819" s="4">
        <v>3.3</v>
      </c>
      <c r="AB819" s="4" t="s">
        <v>52</v>
      </c>
    </row>
    <row r="820" spans="1:28" x14ac:dyDescent="0.25">
      <c r="A820" s="2" t="s">
        <v>1501</v>
      </c>
      <c r="B820" s="2" t="s">
        <v>1295</v>
      </c>
      <c r="C820" s="2">
        <v>66</v>
      </c>
      <c r="D820" s="2" t="s">
        <v>30</v>
      </c>
      <c r="E820" s="2" t="s">
        <v>154</v>
      </c>
      <c r="F820" s="2" t="s">
        <v>32</v>
      </c>
      <c r="G820" s="3">
        <v>44958</v>
      </c>
      <c r="H820" s="3">
        <v>44977</v>
      </c>
      <c r="I820" s="2">
        <v>19</v>
      </c>
      <c r="J820" s="2" t="s">
        <v>58</v>
      </c>
      <c r="K820" s="2" t="s">
        <v>59</v>
      </c>
      <c r="L820" s="2" t="s">
        <v>60</v>
      </c>
      <c r="M820" s="2" t="s">
        <v>101</v>
      </c>
      <c r="N820" s="2" t="s">
        <v>118</v>
      </c>
      <c r="O820" s="2" t="s">
        <v>151</v>
      </c>
      <c r="P820" s="2">
        <v>2</v>
      </c>
      <c r="Q820" s="2" t="s">
        <v>103</v>
      </c>
      <c r="R820" s="2" t="s">
        <v>111</v>
      </c>
      <c r="S820" s="2">
        <v>153256</v>
      </c>
      <c r="T820" s="2">
        <v>107318</v>
      </c>
      <c r="U820" s="2">
        <v>45938</v>
      </c>
      <c r="V820" s="2">
        <v>125186</v>
      </c>
      <c r="W820" s="2">
        <v>13352</v>
      </c>
      <c r="X820" s="2">
        <v>12931</v>
      </c>
      <c r="Y820" s="2" t="s">
        <v>91</v>
      </c>
      <c r="Z820" s="2">
        <v>50</v>
      </c>
      <c r="AA820" s="2">
        <v>3.9</v>
      </c>
      <c r="AB820" s="2" t="s">
        <v>104</v>
      </c>
    </row>
    <row r="821" spans="1:28" x14ac:dyDescent="0.25">
      <c r="A821" s="4" t="s">
        <v>1502</v>
      </c>
      <c r="B821" s="4" t="s">
        <v>1503</v>
      </c>
      <c r="C821" s="4">
        <v>32</v>
      </c>
      <c r="D821" s="4" t="s">
        <v>30</v>
      </c>
      <c r="E821" s="4" t="s">
        <v>45</v>
      </c>
      <c r="F821" s="4" t="s">
        <v>46</v>
      </c>
      <c r="G821" s="5">
        <v>44828</v>
      </c>
      <c r="H821" s="5">
        <v>44857</v>
      </c>
      <c r="I821" s="4">
        <v>29</v>
      </c>
      <c r="J821" s="4" t="s">
        <v>115</v>
      </c>
      <c r="K821" s="4" t="s">
        <v>116</v>
      </c>
      <c r="L821" s="4" t="s">
        <v>117</v>
      </c>
      <c r="M821" s="4" t="s">
        <v>134</v>
      </c>
      <c r="N821" s="4" t="s">
        <v>62</v>
      </c>
      <c r="O821" s="4" t="s">
        <v>681</v>
      </c>
      <c r="P821" s="4">
        <v>131</v>
      </c>
      <c r="Q821" s="4" t="s">
        <v>39</v>
      </c>
      <c r="R821" s="4" t="s">
        <v>51</v>
      </c>
      <c r="S821" s="4">
        <v>47882</v>
      </c>
      <c r="T821" s="4">
        <v>22296</v>
      </c>
      <c r="U821" s="4">
        <v>25586</v>
      </c>
      <c r="V821" s="4">
        <v>21029</v>
      </c>
      <c r="W821" s="4">
        <v>21569</v>
      </c>
      <c r="X821" s="4">
        <v>3560</v>
      </c>
      <c r="Y821" s="4" t="s">
        <v>41</v>
      </c>
      <c r="Z821" s="4">
        <v>61</v>
      </c>
      <c r="AA821" s="4">
        <v>4.5999999999999996</v>
      </c>
      <c r="AB821" s="4" t="s">
        <v>104</v>
      </c>
    </row>
    <row r="822" spans="1:28" x14ac:dyDescent="0.25">
      <c r="A822" s="2" t="s">
        <v>1504</v>
      </c>
      <c r="B822" s="2" t="s">
        <v>1487</v>
      </c>
      <c r="C822" s="2">
        <v>78</v>
      </c>
      <c r="D822" s="2" t="s">
        <v>55</v>
      </c>
      <c r="E822" s="2" t="s">
        <v>67</v>
      </c>
      <c r="F822" s="2" t="s">
        <v>57</v>
      </c>
      <c r="G822" s="3">
        <v>45291</v>
      </c>
      <c r="H822" s="3">
        <v>45299</v>
      </c>
      <c r="I822" s="2">
        <v>8</v>
      </c>
      <c r="J822" s="2" t="s">
        <v>123</v>
      </c>
      <c r="K822" s="2" t="s">
        <v>251</v>
      </c>
      <c r="L822" s="2" t="s">
        <v>125</v>
      </c>
      <c r="M822" s="2" t="s">
        <v>75</v>
      </c>
      <c r="N822" s="2" t="s">
        <v>37</v>
      </c>
      <c r="O822" s="2" t="s">
        <v>492</v>
      </c>
      <c r="P822" s="2">
        <v>125</v>
      </c>
      <c r="Q822" s="2" t="s">
        <v>69</v>
      </c>
      <c r="R822" s="2" t="s">
        <v>40</v>
      </c>
      <c r="S822" s="2">
        <v>49981</v>
      </c>
      <c r="T822" s="2">
        <v>26651</v>
      </c>
      <c r="U822" s="2">
        <v>23330</v>
      </c>
      <c r="V822" s="2">
        <v>35578</v>
      </c>
      <c r="W822" s="2">
        <v>3896</v>
      </c>
      <c r="X822" s="2">
        <v>6791</v>
      </c>
      <c r="Y822" s="2" t="s">
        <v>41</v>
      </c>
      <c r="Z822" s="2">
        <v>79</v>
      </c>
      <c r="AA822" s="2">
        <v>4.8</v>
      </c>
      <c r="AB822" s="2" t="s">
        <v>52</v>
      </c>
    </row>
    <row r="823" spans="1:28" x14ac:dyDescent="0.25">
      <c r="A823" s="4" t="s">
        <v>1505</v>
      </c>
      <c r="B823" s="4" t="s">
        <v>683</v>
      </c>
      <c r="C823" s="4">
        <v>63</v>
      </c>
      <c r="D823" s="4" t="s">
        <v>30</v>
      </c>
      <c r="E823" s="4" t="s">
        <v>87</v>
      </c>
      <c r="F823" s="4" t="s">
        <v>80</v>
      </c>
      <c r="G823" s="5">
        <v>44943</v>
      </c>
      <c r="H823" s="5">
        <v>44946</v>
      </c>
      <c r="I823" s="4">
        <v>3</v>
      </c>
      <c r="J823" s="4" t="s">
        <v>123</v>
      </c>
      <c r="K823" s="4" t="s">
        <v>124</v>
      </c>
      <c r="L823" s="4" t="s">
        <v>125</v>
      </c>
      <c r="M823" s="4" t="s">
        <v>101</v>
      </c>
      <c r="N823" s="4" t="s">
        <v>37</v>
      </c>
      <c r="O823" s="4" t="s">
        <v>455</v>
      </c>
      <c r="P823" s="4">
        <v>203</v>
      </c>
      <c r="Q823" s="4" t="s">
        <v>69</v>
      </c>
      <c r="R823" s="4" t="s">
        <v>40</v>
      </c>
      <c r="S823" s="4">
        <v>96178</v>
      </c>
      <c r="T823" s="4">
        <v>61477</v>
      </c>
      <c r="U823" s="4">
        <v>34701</v>
      </c>
      <c r="V823" s="4">
        <v>67985</v>
      </c>
      <c r="W823" s="4">
        <v>14732</v>
      </c>
      <c r="X823" s="4">
        <v>11494</v>
      </c>
      <c r="Y823" s="4" t="s">
        <v>41</v>
      </c>
      <c r="Z823" s="4">
        <v>49</v>
      </c>
      <c r="AA823" s="4">
        <v>3.4</v>
      </c>
      <c r="AB823" s="4" t="s">
        <v>52</v>
      </c>
    </row>
    <row r="824" spans="1:28" x14ac:dyDescent="0.25">
      <c r="A824" s="2" t="s">
        <v>1506</v>
      </c>
      <c r="B824" s="2" t="s">
        <v>1076</v>
      </c>
      <c r="C824" s="2">
        <v>14</v>
      </c>
      <c r="D824" s="2" t="s">
        <v>30</v>
      </c>
      <c r="E824" s="2" t="s">
        <v>87</v>
      </c>
      <c r="F824" s="2" t="s">
        <v>150</v>
      </c>
      <c r="G824" s="3">
        <v>44612</v>
      </c>
      <c r="H824" s="3">
        <v>44635</v>
      </c>
      <c r="I824" s="2">
        <v>23</v>
      </c>
      <c r="J824" s="2" t="s">
        <v>33</v>
      </c>
      <c r="K824" s="2" t="s">
        <v>233</v>
      </c>
      <c r="L824" s="2" t="s">
        <v>35</v>
      </c>
      <c r="M824" s="2" t="s">
        <v>130</v>
      </c>
      <c r="N824" s="2" t="s">
        <v>37</v>
      </c>
      <c r="O824" s="2" t="s">
        <v>580</v>
      </c>
      <c r="P824" s="2">
        <v>411</v>
      </c>
      <c r="Q824" s="2" t="s">
        <v>50</v>
      </c>
      <c r="R824" s="2" t="s">
        <v>40</v>
      </c>
      <c r="S824" s="2">
        <v>101907</v>
      </c>
      <c r="T824" s="2">
        <v>46294</v>
      </c>
      <c r="U824" s="2">
        <v>55613</v>
      </c>
      <c r="V824" s="2">
        <v>64152</v>
      </c>
      <c r="W824" s="2">
        <v>24386</v>
      </c>
      <c r="X824" s="2">
        <v>12819</v>
      </c>
      <c r="Y824" s="2" t="s">
        <v>41</v>
      </c>
      <c r="Z824" s="2">
        <v>50</v>
      </c>
      <c r="AA824" s="2">
        <v>2.2999999999999998</v>
      </c>
      <c r="AB824" s="2" t="s">
        <v>42</v>
      </c>
    </row>
    <row r="825" spans="1:28" x14ac:dyDescent="0.25">
      <c r="A825" s="4" t="s">
        <v>1507</v>
      </c>
      <c r="B825" s="4" t="s">
        <v>982</v>
      </c>
      <c r="C825" s="4">
        <v>13</v>
      </c>
      <c r="D825" s="4" t="s">
        <v>30</v>
      </c>
      <c r="E825" s="4" t="s">
        <v>56</v>
      </c>
      <c r="F825" s="4" t="s">
        <v>94</v>
      </c>
      <c r="G825" s="5">
        <v>45563</v>
      </c>
      <c r="H825" s="5">
        <v>45587</v>
      </c>
      <c r="I825" s="4">
        <v>24</v>
      </c>
      <c r="J825" s="4" t="s">
        <v>123</v>
      </c>
      <c r="K825" s="4" t="s">
        <v>251</v>
      </c>
      <c r="L825" s="4" t="s">
        <v>125</v>
      </c>
      <c r="M825" s="4" t="s">
        <v>101</v>
      </c>
      <c r="N825" s="4" t="s">
        <v>62</v>
      </c>
      <c r="O825" s="4" t="s">
        <v>376</v>
      </c>
      <c r="P825" s="4">
        <v>396</v>
      </c>
      <c r="Q825" s="4" t="s">
        <v>69</v>
      </c>
      <c r="R825" s="4" t="s">
        <v>51</v>
      </c>
      <c r="S825" s="4">
        <v>140177</v>
      </c>
      <c r="T825" s="4">
        <v>70046</v>
      </c>
      <c r="U825" s="4">
        <v>70131</v>
      </c>
      <c r="V825" s="4">
        <v>119433</v>
      </c>
      <c r="W825" s="4">
        <v>7928</v>
      </c>
      <c r="X825" s="4">
        <v>9274</v>
      </c>
      <c r="Y825" s="4" t="s">
        <v>41</v>
      </c>
      <c r="Z825" s="4">
        <v>86</v>
      </c>
      <c r="AA825" s="4">
        <v>3.8</v>
      </c>
      <c r="AB825" s="4" t="s">
        <v>52</v>
      </c>
    </row>
    <row r="826" spans="1:28" x14ac:dyDescent="0.25">
      <c r="A826" s="2" t="s">
        <v>1508</v>
      </c>
      <c r="B826" s="2" t="s">
        <v>1222</v>
      </c>
      <c r="C826" s="2">
        <v>65</v>
      </c>
      <c r="D826" s="2" t="s">
        <v>55</v>
      </c>
      <c r="E826" s="2" t="s">
        <v>56</v>
      </c>
      <c r="F826" s="2" t="s">
        <v>114</v>
      </c>
      <c r="G826" s="3">
        <v>45620</v>
      </c>
      <c r="H826" s="3">
        <v>45622</v>
      </c>
      <c r="I826" s="2">
        <v>2</v>
      </c>
      <c r="J826" s="2" t="s">
        <v>33</v>
      </c>
      <c r="K826" s="2" t="s">
        <v>197</v>
      </c>
      <c r="L826" s="2" t="s">
        <v>198</v>
      </c>
      <c r="M826" s="2" t="s">
        <v>61</v>
      </c>
      <c r="N826" s="2" t="s">
        <v>37</v>
      </c>
      <c r="O826" s="2" t="s">
        <v>295</v>
      </c>
      <c r="P826" s="2">
        <v>440</v>
      </c>
      <c r="Q826" s="2" t="s">
        <v>39</v>
      </c>
      <c r="R826" s="2" t="s">
        <v>90</v>
      </c>
      <c r="S826" s="2">
        <v>174060</v>
      </c>
      <c r="T826" s="2">
        <v>130990</v>
      </c>
      <c r="U826" s="2">
        <v>43070</v>
      </c>
      <c r="V826" s="2">
        <v>148520</v>
      </c>
      <c r="W826" s="2">
        <v>13302</v>
      </c>
      <c r="X826" s="2">
        <v>10472</v>
      </c>
      <c r="Y826" s="2" t="s">
        <v>41</v>
      </c>
      <c r="Z826" s="2">
        <v>97</v>
      </c>
      <c r="AA826" s="2">
        <v>2.5</v>
      </c>
      <c r="AB826" s="2" t="s">
        <v>42</v>
      </c>
    </row>
    <row r="827" spans="1:28" x14ac:dyDescent="0.25">
      <c r="A827" s="4" t="s">
        <v>1509</v>
      </c>
      <c r="B827" s="4" t="s">
        <v>1133</v>
      </c>
      <c r="C827" s="4">
        <v>44</v>
      </c>
      <c r="D827" s="4" t="s">
        <v>55</v>
      </c>
      <c r="E827" s="4" t="s">
        <v>56</v>
      </c>
      <c r="F827" s="4" t="s">
        <v>94</v>
      </c>
      <c r="G827" s="5">
        <v>44844</v>
      </c>
      <c r="H827" s="5">
        <v>44850</v>
      </c>
      <c r="I827" s="4">
        <v>6</v>
      </c>
      <c r="J827" s="4" t="s">
        <v>33</v>
      </c>
      <c r="K827" s="4" t="s">
        <v>174</v>
      </c>
      <c r="L827" s="4" t="s">
        <v>48</v>
      </c>
      <c r="M827" s="4" t="s">
        <v>130</v>
      </c>
      <c r="N827" s="4" t="s">
        <v>62</v>
      </c>
      <c r="O827" s="4" t="s">
        <v>340</v>
      </c>
      <c r="P827" s="4">
        <v>110</v>
      </c>
      <c r="Q827" s="4" t="s">
        <v>50</v>
      </c>
      <c r="R827" s="4" t="s">
        <v>51</v>
      </c>
      <c r="S827" s="4">
        <v>76514</v>
      </c>
      <c r="T827" s="4">
        <v>33711</v>
      </c>
      <c r="U827" s="4">
        <v>42803</v>
      </c>
      <c r="V827" s="4">
        <v>38413</v>
      </c>
      <c r="W827" s="4">
        <v>21488</v>
      </c>
      <c r="X827" s="4">
        <v>14240</v>
      </c>
      <c r="Y827" s="4" t="s">
        <v>41</v>
      </c>
      <c r="Z827" s="4">
        <v>43</v>
      </c>
      <c r="AA827" s="4">
        <v>2.8</v>
      </c>
      <c r="AB827" s="4" t="s">
        <v>52</v>
      </c>
    </row>
    <row r="828" spans="1:28" x14ac:dyDescent="0.25">
      <c r="A828" s="2" t="s">
        <v>1510</v>
      </c>
      <c r="B828" s="2" t="s">
        <v>482</v>
      </c>
      <c r="C828" s="2">
        <v>40</v>
      </c>
      <c r="D828" s="2" t="s">
        <v>55</v>
      </c>
      <c r="E828" s="2" t="s">
        <v>154</v>
      </c>
      <c r="F828" s="2" t="s">
        <v>94</v>
      </c>
      <c r="G828" s="3">
        <v>44786</v>
      </c>
      <c r="H828" s="3">
        <v>44789</v>
      </c>
      <c r="I828" s="2">
        <v>3</v>
      </c>
      <c r="J828" s="2" t="s">
        <v>33</v>
      </c>
      <c r="K828" s="2" t="s">
        <v>81</v>
      </c>
      <c r="L828" s="2" t="s">
        <v>82</v>
      </c>
      <c r="M828" s="2" t="s">
        <v>101</v>
      </c>
      <c r="N828" s="2" t="s">
        <v>109</v>
      </c>
      <c r="O828" s="2" t="s">
        <v>208</v>
      </c>
      <c r="P828" s="2">
        <v>377</v>
      </c>
      <c r="Q828" s="2" t="s">
        <v>69</v>
      </c>
      <c r="R828" s="2" t="s">
        <v>40</v>
      </c>
      <c r="S828" s="2">
        <v>41063</v>
      </c>
      <c r="T828" s="2">
        <v>19838</v>
      </c>
      <c r="U828" s="2">
        <v>21225</v>
      </c>
      <c r="V828" s="2">
        <v>14467</v>
      </c>
      <c r="W828" s="2">
        <v>21776</v>
      </c>
      <c r="X828" s="2">
        <v>3905</v>
      </c>
      <c r="Y828" s="2" t="s">
        <v>41</v>
      </c>
      <c r="Z828" s="2">
        <v>49</v>
      </c>
      <c r="AA828" s="2">
        <v>2.7</v>
      </c>
      <c r="AB828" s="2" t="s">
        <v>64</v>
      </c>
    </row>
    <row r="829" spans="1:28" x14ac:dyDescent="0.25">
      <c r="A829" s="4" t="s">
        <v>1511</v>
      </c>
      <c r="B829" s="4" t="s">
        <v>1512</v>
      </c>
      <c r="C829" s="4">
        <v>68</v>
      </c>
      <c r="D829" s="4" t="s">
        <v>30</v>
      </c>
      <c r="E829" s="4" t="s">
        <v>154</v>
      </c>
      <c r="F829" s="4" t="s">
        <v>157</v>
      </c>
      <c r="G829" s="5">
        <v>45061</v>
      </c>
      <c r="H829" s="5">
        <v>45073</v>
      </c>
      <c r="I829" s="4">
        <v>12</v>
      </c>
      <c r="J829" s="4" t="s">
        <v>115</v>
      </c>
      <c r="K829" s="4" t="s">
        <v>160</v>
      </c>
      <c r="L829" s="4" t="s">
        <v>117</v>
      </c>
      <c r="M829" s="4" t="s">
        <v>143</v>
      </c>
      <c r="N829" s="4" t="s">
        <v>62</v>
      </c>
      <c r="O829" s="4" t="s">
        <v>390</v>
      </c>
      <c r="P829" s="4">
        <v>454</v>
      </c>
      <c r="Q829" s="4" t="s">
        <v>69</v>
      </c>
      <c r="R829" s="4" t="s">
        <v>111</v>
      </c>
      <c r="S829" s="4">
        <v>89666</v>
      </c>
      <c r="T829" s="4">
        <v>72150</v>
      </c>
      <c r="U829" s="4">
        <v>17516</v>
      </c>
      <c r="V829" s="4">
        <v>71444</v>
      </c>
      <c r="W829" s="4">
        <v>13971</v>
      </c>
      <c r="X829" s="4">
        <v>3728</v>
      </c>
      <c r="Y829" s="4" t="s">
        <v>41</v>
      </c>
      <c r="Z829" s="4">
        <v>62</v>
      </c>
      <c r="AA829" s="4">
        <v>4.0999999999999996</v>
      </c>
      <c r="AB829" s="4" t="s">
        <v>42</v>
      </c>
    </row>
    <row r="830" spans="1:28" x14ac:dyDescent="0.25">
      <c r="A830" s="2" t="s">
        <v>1513</v>
      </c>
      <c r="B830" s="2" t="s">
        <v>1064</v>
      </c>
      <c r="C830" s="2">
        <v>63</v>
      </c>
      <c r="D830" s="2" t="s">
        <v>30</v>
      </c>
      <c r="E830" s="2" t="s">
        <v>45</v>
      </c>
      <c r="F830" s="2" t="s">
        <v>114</v>
      </c>
      <c r="G830" s="3">
        <v>44758</v>
      </c>
      <c r="H830" s="3">
        <v>44778</v>
      </c>
      <c r="I830" s="2">
        <v>20</v>
      </c>
      <c r="J830" s="2" t="s">
        <v>33</v>
      </c>
      <c r="K830" s="2" t="s">
        <v>99</v>
      </c>
      <c r="L830" s="2" t="s">
        <v>100</v>
      </c>
      <c r="M830" s="2" t="s">
        <v>143</v>
      </c>
      <c r="N830" s="2" t="s">
        <v>62</v>
      </c>
      <c r="O830" s="2" t="s">
        <v>208</v>
      </c>
      <c r="P830" s="2">
        <v>307</v>
      </c>
      <c r="Q830" s="2" t="s">
        <v>69</v>
      </c>
      <c r="R830" s="2" t="s">
        <v>111</v>
      </c>
      <c r="S830" s="2">
        <v>49783</v>
      </c>
      <c r="T830" s="2">
        <v>42791</v>
      </c>
      <c r="U830" s="2">
        <v>6992</v>
      </c>
      <c r="V830" s="2">
        <v>24405</v>
      </c>
      <c r="W830" s="2">
        <v>16390</v>
      </c>
      <c r="X830" s="2">
        <v>5391</v>
      </c>
      <c r="Y830" s="2" t="s">
        <v>91</v>
      </c>
      <c r="Z830" s="2">
        <v>100</v>
      </c>
      <c r="AA830" s="2">
        <v>2.5</v>
      </c>
      <c r="AB830" s="2" t="s">
        <v>42</v>
      </c>
    </row>
    <row r="831" spans="1:28" x14ac:dyDescent="0.25">
      <c r="A831" s="4" t="s">
        <v>1514</v>
      </c>
      <c r="B831" s="4" t="s">
        <v>1091</v>
      </c>
      <c r="C831" s="4">
        <v>8</v>
      </c>
      <c r="D831" s="4" t="s">
        <v>30</v>
      </c>
      <c r="E831" s="4" t="s">
        <v>31</v>
      </c>
      <c r="F831" s="4" t="s">
        <v>94</v>
      </c>
      <c r="G831" s="5">
        <v>45127</v>
      </c>
      <c r="H831" s="5">
        <v>45130</v>
      </c>
      <c r="I831" s="4">
        <v>3</v>
      </c>
      <c r="J831" s="4" t="s">
        <v>33</v>
      </c>
      <c r="K831" s="4" t="s">
        <v>233</v>
      </c>
      <c r="L831" s="4" t="s">
        <v>35</v>
      </c>
      <c r="M831" s="4" t="s">
        <v>108</v>
      </c>
      <c r="N831" s="4" t="s">
        <v>109</v>
      </c>
      <c r="O831" s="4" t="s">
        <v>530</v>
      </c>
      <c r="P831" s="4">
        <v>42</v>
      </c>
      <c r="Q831" s="4" t="s">
        <v>39</v>
      </c>
      <c r="R831" s="4" t="s">
        <v>90</v>
      </c>
      <c r="S831" s="4">
        <v>137333</v>
      </c>
      <c r="T831" s="4">
        <v>84702</v>
      </c>
      <c r="U831" s="4">
        <v>52631</v>
      </c>
      <c r="V831" s="4">
        <v>115047</v>
      </c>
      <c r="W831" s="4">
        <v>16953</v>
      </c>
      <c r="X831" s="4">
        <v>729</v>
      </c>
      <c r="Y831" s="4" t="s">
        <v>41</v>
      </c>
      <c r="Z831" s="4">
        <v>96</v>
      </c>
      <c r="AA831" s="4">
        <v>3.1</v>
      </c>
      <c r="AB831" s="4" t="s">
        <v>137</v>
      </c>
    </row>
    <row r="832" spans="1:28" x14ac:dyDescent="0.25">
      <c r="A832" s="2" t="s">
        <v>1515</v>
      </c>
      <c r="B832" s="2" t="s">
        <v>601</v>
      </c>
      <c r="C832" s="2">
        <v>63</v>
      </c>
      <c r="D832" s="2" t="s">
        <v>55</v>
      </c>
      <c r="E832" s="2" t="s">
        <v>67</v>
      </c>
      <c r="F832" s="2" t="s">
        <v>32</v>
      </c>
      <c r="G832" s="3">
        <v>45368</v>
      </c>
      <c r="H832" s="3">
        <v>45398</v>
      </c>
      <c r="I832" s="2">
        <v>30</v>
      </c>
      <c r="J832" s="2" t="s">
        <v>140</v>
      </c>
      <c r="K832" s="2" t="s">
        <v>141</v>
      </c>
      <c r="L832" s="2" t="s">
        <v>142</v>
      </c>
      <c r="M832" s="2" t="s">
        <v>101</v>
      </c>
      <c r="N832" s="2" t="s">
        <v>37</v>
      </c>
      <c r="O832" s="2" t="s">
        <v>222</v>
      </c>
      <c r="P832" s="2">
        <v>31</v>
      </c>
      <c r="Q832" s="2" t="s">
        <v>50</v>
      </c>
      <c r="R832" s="2" t="s">
        <v>51</v>
      </c>
      <c r="S832" s="2">
        <v>122326</v>
      </c>
      <c r="T832" s="2">
        <v>59958</v>
      </c>
      <c r="U832" s="2">
        <v>62368</v>
      </c>
      <c r="V832" s="2">
        <v>80219</v>
      </c>
      <c r="W832" s="2">
        <v>26519</v>
      </c>
      <c r="X832" s="2">
        <v>13002</v>
      </c>
      <c r="Y832" s="2" t="s">
        <v>91</v>
      </c>
      <c r="Z832" s="2">
        <v>67</v>
      </c>
      <c r="AA832" s="2">
        <v>3.2</v>
      </c>
      <c r="AB832" s="2" t="s">
        <v>64</v>
      </c>
    </row>
    <row r="833" spans="1:28" x14ac:dyDescent="0.25">
      <c r="A833" s="4" t="s">
        <v>1516</v>
      </c>
      <c r="B833" s="4" t="s">
        <v>1517</v>
      </c>
      <c r="C833" s="4">
        <v>82</v>
      </c>
      <c r="D833" s="4" t="s">
        <v>55</v>
      </c>
      <c r="E833" s="4" t="s">
        <v>31</v>
      </c>
      <c r="F833" s="4" t="s">
        <v>72</v>
      </c>
      <c r="G833" s="5">
        <v>45415</v>
      </c>
      <c r="H833" s="5">
        <v>45427</v>
      </c>
      <c r="I833" s="4">
        <v>12</v>
      </c>
      <c r="J833" s="4" t="s">
        <v>123</v>
      </c>
      <c r="K833" s="4" t="s">
        <v>251</v>
      </c>
      <c r="L833" s="4" t="s">
        <v>125</v>
      </c>
      <c r="M833" s="4" t="s">
        <v>101</v>
      </c>
      <c r="N833" s="4" t="s">
        <v>37</v>
      </c>
      <c r="O833" s="4" t="s">
        <v>331</v>
      </c>
      <c r="P833" s="4">
        <v>98</v>
      </c>
      <c r="Q833" s="4" t="s">
        <v>39</v>
      </c>
      <c r="R833" s="4" t="s">
        <v>40</v>
      </c>
      <c r="S833" s="4">
        <v>120497</v>
      </c>
      <c r="T833" s="4">
        <v>51397</v>
      </c>
      <c r="U833" s="4">
        <v>69100</v>
      </c>
      <c r="V833" s="4">
        <v>106014</v>
      </c>
      <c r="W833" s="4">
        <v>5413</v>
      </c>
      <c r="X833" s="4">
        <v>7608</v>
      </c>
      <c r="Y833" s="4" t="s">
        <v>41</v>
      </c>
      <c r="Z833" s="4">
        <v>56</v>
      </c>
      <c r="AA833" s="4">
        <v>2.6</v>
      </c>
      <c r="AB833" s="4" t="s">
        <v>137</v>
      </c>
    </row>
    <row r="834" spans="1:28" x14ac:dyDescent="0.25">
      <c r="A834" s="2" t="s">
        <v>1518</v>
      </c>
      <c r="B834" s="2" t="s">
        <v>1066</v>
      </c>
      <c r="C834" s="2">
        <v>48</v>
      </c>
      <c r="D834" s="2" t="s">
        <v>30</v>
      </c>
      <c r="E834" s="2" t="s">
        <v>79</v>
      </c>
      <c r="F834" s="2" t="s">
        <v>129</v>
      </c>
      <c r="G834" s="3">
        <v>44769</v>
      </c>
      <c r="H834" s="3">
        <v>44791</v>
      </c>
      <c r="I834" s="2">
        <v>22</v>
      </c>
      <c r="J834" s="2" t="s">
        <v>202</v>
      </c>
      <c r="K834" s="2" t="s">
        <v>225</v>
      </c>
      <c r="L834" s="2" t="s">
        <v>226</v>
      </c>
      <c r="M834" s="2" t="s">
        <v>130</v>
      </c>
      <c r="N834" s="2" t="s">
        <v>37</v>
      </c>
      <c r="O834" s="2" t="s">
        <v>131</v>
      </c>
      <c r="P834" s="2">
        <v>51</v>
      </c>
      <c r="Q834" s="2" t="s">
        <v>103</v>
      </c>
      <c r="R834" s="2" t="s">
        <v>40</v>
      </c>
      <c r="S834" s="2">
        <v>99466</v>
      </c>
      <c r="T834" s="2">
        <v>59421</v>
      </c>
      <c r="U834" s="2">
        <v>40045</v>
      </c>
      <c r="V834" s="2">
        <v>67941</v>
      </c>
      <c r="W834" s="2">
        <v>24735</v>
      </c>
      <c r="X834" s="2">
        <v>5597</v>
      </c>
      <c r="Y834" s="2" t="s">
        <v>41</v>
      </c>
      <c r="Z834" s="2">
        <v>64</v>
      </c>
      <c r="AA834" s="2">
        <v>2.8</v>
      </c>
      <c r="AB834" s="2" t="s">
        <v>64</v>
      </c>
    </row>
    <row r="835" spans="1:28" x14ac:dyDescent="0.25">
      <c r="A835" s="4" t="s">
        <v>1519</v>
      </c>
      <c r="B835" s="4" t="s">
        <v>1520</v>
      </c>
      <c r="C835" s="4">
        <v>35</v>
      </c>
      <c r="D835" s="4" t="s">
        <v>55</v>
      </c>
      <c r="E835" s="4" t="s">
        <v>79</v>
      </c>
      <c r="F835" s="4" t="s">
        <v>150</v>
      </c>
      <c r="G835" s="5">
        <v>44944</v>
      </c>
      <c r="H835" s="5">
        <v>44973</v>
      </c>
      <c r="I835" s="4">
        <v>29</v>
      </c>
      <c r="J835" s="4" t="s">
        <v>58</v>
      </c>
      <c r="K835" s="4" t="s">
        <v>88</v>
      </c>
      <c r="L835" s="4" t="s">
        <v>60</v>
      </c>
      <c r="M835" s="4" t="s">
        <v>95</v>
      </c>
      <c r="N835" s="4" t="s">
        <v>109</v>
      </c>
      <c r="O835" s="4" t="s">
        <v>595</v>
      </c>
      <c r="P835" s="4">
        <v>134</v>
      </c>
      <c r="Q835" s="4" t="s">
        <v>39</v>
      </c>
      <c r="R835" s="4" t="s">
        <v>90</v>
      </c>
      <c r="S835" s="4">
        <v>76972</v>
      </c>
      <c r="T835" s="4">
        <v>65773</v>
      </c>
      <c r="U835" s="4">
        <v>11199</v>
      </c>
      <c r="V835" s="4">
        <v>68146</v>
      </c>
      <c r="W835" s="4">
        <v>3541</v>
      </c>
      <c r="X835" s="4">
        <v>1789</v>
      </c>
      <c r="Y835" s="4" t="s">
        <v>41</v>
      </c>
      <c r="Z835" s="4">
        <v>65</v>
      </c>
      <c r="AA835" s="4">
        <v>2.1</v>
      </c>
      <c r="AB835" s="4" t="s">
        <v>52</v>
      </c>
    </row>
    <row r="836" spans="1:28" x14ac:dyDescent="0.25">
      <c r="A836" s="2" t="s">
        <v>1521</v>
      </c>
      <c r="B836" s="2" t="s">
        <v>1522</v>
      </c>
      <c r="C836" s="2">
        <v>54</v>
      </c>
      <c r="D836" s="2" t="s">
        <v>30</v>
      </c>
      <c r="E836" s="2" t="s">
        <v>87</v>
      </c>
      <c r="F836" s="2" t="s">
        <v>80</v>
      </c>
      <c r="G836" s="3">
        <v>45490</v>
      </c>
      <c r="H836" s="3">
        <v>45503</v>
      </c>
      <c r="I836" s="2">
        <v>13</v>
      </c>
      <c r="J836" s="2" t="s">
        <v>33</v>
      </c>
      <c r="K836" s="2" t="s">
        <v>278</v>
      </c>
      <c r="L836" s="2" t="s">
        <v>279</v>
      </c>
      <c r="M836" s="2" t="s">
        <v>95</v>
      </c>
      <c r="N836" s="2" t="s">
        <v>109</v>
      </c>
      <c r="O836" s="2" t="s">
        <v>248</v>
      </c>
      <c r="P836" s="2">
        <v>224</v>
      </c>
      <c r="Q836" s="2" t="s">
        <v>50</v>
      </c>
      <c r="R836" s="2" t="s">
        <v>51</v>
      </c>
      <c r="S836" s="2">
        <v>166527</v>
      </c>
      <c r="T836" s="2">
        <v>85928</v>
      </c>
      <c r="U836" s="2">
        <v>80599</v>
      </c>
      <c r="V836" s="2">
        <v>128781</v>
      </c>
      <c r="W836" s="2">
        <v>29090</v>
      </c>
      <c r="X836" s="2">
        <v>4937</v>
      </c>
      <c r="Y836" s="2" t="s">
        <v>41</v>
      </c>
      <c r="Z836" s="2">
        <v>89</v>
      </c>
      <c r="AA836" s="2">
        <v>3.5</v>
      </c>
      <c r="AB836" s="2" t="s">
        <v>104</v>
      </c>
    </row>
    <row r="837" spans="1:28" x14ac:dyDescent="0.25">
      <c r="A837" s="4" t="s">
        <v>1523</v>
      </c>
      <c r="B837" s="4" t="s">
        <v>756</v>
      </c>
      <c r="C837" s="4">
        <v>40</v>
      </c>
      <c r="D837" s="4" t="s">
        <v>55</v>
      </c>
      <c r="E837" s="4" t="s">
        <v>56</v>
      </c>
      <c r="F837" s="4" t="s">
        <v>129</v>
      </c>
      <c r="G837" s="5">
        <v>45264</v>
      </c>
      <c r="H837" s="5">
        <v>45274</v>
      </c>
      <c r="I837" s="4">
        <v>10</v>
      </c>
      <c r="J837" s="4" t="s">
        <v>58</v>
      </c>
      <c r="K837" s="4" t="s">
        <v>88</v>
      </c>
      <c r="L837" s="4" t="s">
        <v>60</v>
      </c>
      <c r="M837" s="4" t="s">
        <v>75</v>
      </c>
      <c r="N837" s="4" t="s">
        <v>62</v>
      </c>
      <c r="O837" s="4" t="s">
        <v>950</v>
      </c>
      <c r="P837" s="4">
        <v>474</v>
      </c>
      <c r="Q837" s="4" t="s">
        <v>50</v>
      </c>
      <c r="R837" s="4" t="s">
        <v>51</v>
      </c>
      <c r="S837" s="4">
        <v>63761</v>
      </c>
      <c r="T837" s="4">
        <v>40050</v>
      </c>
      <c r="U837" s="4">
        <v>23711</v>
      </c>
      <c r="V837" s="4">
        <v>27947</v>
      </c>
      <c r="W837" s="4">
        <v>27698</v>
      </c>
      <c r="X837" s="4">
        <v>6098</v>
      </c>
      <c r="Y837" s="4" t="s">
        <v>41</v>
      </c>
      <c r="Z837" s="4">
        <v>60</v>
      </c>
      <c r="AA837" s="4">
        <v>4.4000000000000004</v>
      </c>
      <c r="AB837" s="4" t="s">
        <v>52</v>
      </c>
    </row>
    <row r="838" spans="1:28" x14ac:dyDescent="0.25">
      <c r="A838" s="2" t="s">
        <v>1524</v>
      </c>
      <c r="B838" s="2" t="s">
        <v>243</v>
      </c>
      <c r="C838" s="2">
        <v>55</v>
      </c>
      <c r="D838" s="2" t="s">
        <v>30</v>
      </c>
      <c r="E838" s="2" t="s">
        <v>87</v>
      </c>
      <c r="F838" s="2" t="s">
        <v>129</v>
      </c>
      <c r="G838" s="3">
        <v>44793</v>
      </c>
      <c r="H838" s="3">
        <v>44821</v>
      </c>
      <c r="I838" s="2">
        <v>28</v>
      </c>
      <c r="J838" s="2" t="s">
        <v>73</v>
      </c>
      <c r="K838" s="2" t="s">
        <v>74</v>
      </c>
      <c r="L838" s="2" t="s">
        <v>73</v>
      </c>
      <c r="M838" s="2" t="s">
        <v>83</v>
      </c>
      <c r="N838" s="2" t="s">
        <v>118</v>
      </c>
      <c r="O838" s="2" t="s">
        <v>647</v>
      </c>
      <c r="P838" s="2">
        <v>189</v>
      </c>
      <c r="Q838" s="2" t="s">
        <v>69</v>
      </c>
      <c r="R838" s="2" t="s">
        <v>136</v>
      </c>
      <c r="S838" s="2">
        <v>71561</v>
      </c>
      <c r="T838" s="2">
        <v>0</v>
      </c>
      <c r="U838" s="2">
        <v>71561</v>
      </c>
      <c r="V838" s="2">
        <v>52603</v>
      </c>
      <c r="W838" s="2">
        <v>13609</v>
      </c>
      <c r="X838" s="2">
        <v>2507</v>
      </c>
      <c r="Y838" s="2" t="s">
        <v>91</v>
      </c>
      <c r="Z838" s="2">
        <v>82</v>
      </c>
      <c r="AA838" s="2">
        <v>4.9000000000000004</v>
      </c>
      <c r="AB838" s="2" t="s">
        <v>42</v>
      </c>
    </row>
    <row r="839" spans="1:28" x14ac:dyDescent="0.25">
      <c r="A839" s="4" t="s">
        <v>1525</v>
      </c>
      <c r="B839" s="4" t="s">
        <v>342</v>
      </c>
      <c r="C839" s="4">
        <v>36</v>
      </c>
      <c r="D839" s="4" t="s">
        <v>55</v>
      </c>
      <c r="E839" s="4" t="s">
        <v>67</v>
      </c>
      <c r="F839" s="4" t="s">
        <v>157</v>
      </c>
      <c r="G839" s="5">
        <v>45178</v>
      </c>
      <c r="H839" s="5">
        <v>45203</v>
      </c>
      <c r="I839" s="4">
        <v>25</v>
      </c>
      <c r="J839" s="4" t="s">
        <v>33</v>
      </c>
      <c r="K839" s="4" t="s">
        <v>47</v>
      </c>
      <c r="L839" s="4" t="s">
        <v>48</v>
      </c>
      <c r="M839" s="4" t="s">
        <v>61</v>
      </c>
      <c r="N839" s="4" t="s">
        <v>62</v>
      </c>
      <c r="O839" s="4" t="s">
        <v>234</v>
      </c>
      <c r="P839" s="4">
        <v>212</v>
      </c>
      <c r="Q839" s="4" t="s">
        <v>39</v>
      </c>
      <c r="R839" s="4" t="s">
        <v>111</v>
      </c>
      <c r="S839" s="4">
        <v>80961</v>
      </c>
      <c r="T839" s="4">
        <v>49305</v>
      </c>
      <c r="U839" s="4">
        <v>31656</v>
      </c>
      <c r="V839" s="4">
        <v>64245</v>
      </c>
      <c r="W839" s="4">
        <v>4416</v>
      </c>
      <c r="X839" s="4">
        <v>11652</v>
      </c>
      <c r="Y839" s="4" t="s">
        <v>41</v>
      </c>
      <c r="Z839" s="4">
        <v>86</v>
      </c>
      <c r="AA839" s="4">
        <v>2.4</v>
      </c>
      <c r="AB839" s="4" t="s">
        <v>42</v>
      </c>
    </row>
    <row r="840" spans="1:28" x14ac:dyDescent="0.25">
      <c r="A840" s="2" t="s">
        <v>1526</v>
      </c>
      <c r="B840" s="2" t="s">
        <v>1291</v>
      </c>
      <c r="C840" s="2">
        <v>26</v>
      </c>
      <c r="D840" s="2" t="s">
        <v>55</v>
      </c>
      <c r="E840" s="2" t="s">
        <v>56</v>
      </c>
      <c r="F840" s="2" t="s">
        <v>157</v>
      </c>
      <c r="G840" s="3">
        <v>45316</v>
      </c>
      <c r="H840" s="3">
        <v>45340</v>
      </c>
      <c r="I840" s="2">
        <v>24</v>
      </c>
      <c r="J840" s="2" t="s">
        <v>33</v>
      </c>
      <c r="K840" s="2" t="s">
        <v>99</v>
      </c>
      <c r="L840" s="2" t="s">
        <v>100</v>
      </c>
      <c r="M840" s="2" t="s">
        <v>36</v>
      </c>
      <c r="N840" s="2" t="s">
        <v>118</v>
      </c>
      <c r="O840" s="2" t="s">
        <v>355</v>
      </c>
      <c r="P840" s="2">
        <v>108</v>
      </c>
      <c r="Q840" s="2" t="s">
        <v>50</v>
      </c>
      <c r="R840" s="2" t="s">
        <v>136</v>
      </c>
      <c r="S840" s="2">
        <v>79434</v>
      </c>
      <c r="T840" s="2">
        <v>0</v>
      </c>
      <c r="U840" s="2">
        <v>79434</v>
      </c>
      <c r="V840" s="2">
        <v>51194</v>
      </c>
      <c r="W840" s="2">
        <v>15186</v>
      </c>
      <c r="X840" s="2">
        <v>8781</v>
      </c>
      <c r="Y840" s="2" t="s">
        <v>41</v>
      </c>
      <c r="Z840" s="2">
        <v>94</v>
      </c>
      <c r="AA840" s="2">
        <v>4</v>
      </c>
      <c r="AB840" s="2" t="s">
        <v>137</v>
      </c>
    </row>
    <row r="841" spans="1:28" x14ac:dyDescent="0.25">
      <c r="A841" s="4" t="s">
        <v>1527</v>
      </c>
      <c r="B841" s="4" t="s">
        <v>384</v>
      </c>
      <c r="C841" s="4">
        <v>68</v>
      </c>
      <c r="D841" s="4" t="s">
        <v>55</v>
      </c>
      <c r="E841" s="4" t="s">
        <v>154</v>
      </c>
      <c r="F841" s="4" t="s">
        <v>57</v>
      </c>
      <c r="G841" s="5">
        <v>45645</v>
      </c>
      <c r="H841" s="5">
        <v>45657</v>
      </c>
      <c r="I841" s="4">
        <v>12</v>
      </c>
      <c r="J841" s="4" t="s">
        <v>33</v>
      </c>
      <c r="K841" s="4" t="s">
        <v>47</v>
      </c>
      <c r="L841" s="4" t="s">
        <v>48</v>
      </c>
      <c r="M841" s="4" t="s">
        <v>61</v>
      </c>
      <c r="N841" s="4" t="s">
        <v>37</v>
      </c>
      <c r="O841" s="4" t="s">
        <v>189</v>
      </c>
      <c r="P841" s="4">
        <v>68</v>
      </c>
      <c r="Q841" s="4" t="s">
        <v>103</v>
      </c>
      <c r="R841" s="4" t="s">
        <v>111</v>
      </c>
      <c r="S841" s="4">
        <v>109921</v>
      </c>
      <c r="T841" s="4">
        <v>81387</v>
      </c>
      <c r="U841" s="4">
        <v>28534</v>
      </c>
      <c r="V841" s="4">
        <v>89912</v>
      </c>
      <c r="W841" s="4">
        <v>14327</v>
      </c>
      <c r="X841" s="4">
        <v>3585</v>
      </c>
      <c r="Y841" s="4" t="s">
        <v>91</v>
      </c>
      <c r="Z841" s="4">
        <v>98</v>
      </c>
      <c r="AA841" s="4">
        <v>2.2000000000000002</v>
      </c>
      <c r="AB841" s="4" t="s">
        <v>104</v>
      </c>
    </row>
    <row r="842" spans="1:28" x14ac:dyDescent="0.25">
      <c r="A842" s="2" t="s">
        <v>1528</v>
      </c>
      <c r="B842" s="2" t="s">
        <v>1020</v>
      </c>
      <c r="C842" s="2">
        <v>24</v>
      </c>
      <c r="D842" s="2" t="s">
        <v>30</v>
      </c>
      <c r="E842" s="2" t="s">
        <v>56</v>
      </c>
      <c r="F842" s="2" t="s">
        <v>57</v>
      </c>
      <c r="G842" s="3">
        <v>45314</v>
      </c>
      <c r="H842" s="3">
        <v>45325</v>
      </c>
      <c r="I842" s="2">
        <v>11</v>
      </c>
      <c r="J842" s="2" t="s">
        <v>202</v>
      </c>
      <c r="K842" s="2" t="s">
        <v>225</v>
      </c>
      <c r="L842" s="2" t="s">
        <v>226</v>
      </c>
      <c r="M842" s="2" t="s">
        <v>130</v>
      </c>
      <c r="N842" s="2" t="s">
        <v>62</v>
      </c>
      <c r="O842" s="2" t="s">
        <v>331</v>
      </c>
      <c r="P842" s="2">
        <v>439</v>
      </c>
      <c r="Q842" s="2" t="s">
        <v>39</v>
      </c>
      <c r="R842" s="2" t="s">
        <v>40</v>
      </c>
      <c r="S842" s="2">
        <v>40028</v>
      </c>
      <c r="T842" s="2">
        <v>21572</v>
      </c>
      <c r="U842" s="2">
        <v>18456</v>
      </c>
      <c r="V842" s="2">
        <v>22226</v>
      </c>
      <c r="W842" s="2">
        <v>11131</v>
      </c>
      <c r="X842" s="2">
        <v>3552</v>
      </c>
      <c r="Y842" s="2" t="s">
        <v>41</v>
      </c>
      <c r="Z842" s="2">
        <v>52</v>
      </c>
      <c r="AA842" s="2">
        <v>2.4</v>
      </c>
      <c r="AB842" s="2" t="s">
        <v>104</v>
      </c>
    </row>
    <row r="843" spans="1:28" x14ac:dyDescent="0.25">
      <c r="A843" s="4" t="s">
        <v>1529</v>
      </c>
      <c r="B843" s="4" t="s">
        <v>1023</v>
      </c>
      <c r="C843" s="4">
        <v>34</v>
      </c>
      <c r="D843" s="4" t="s">
        <v>55</v>
      </c>
      <c r="E843" s="4" t="s">
        <v>31</v>
      </c>
      <c r="F843" s="4" t="s">
        <v>114</v>
      </c>
      <c r="G843" s="5">
        <v>45645</v>
      </c>
      <c r="H843" s="5">
        <v>45657</v>
      </c>
      <c r="I843" s="4">
        <v>12</v>
      </c>
      <c r="J843" s="4" t="s">
        <v>202</v>
      </c>
      <c r="K843" s="4" t="s">
        <v>203</v>
      </c>
      <c r="L843" s="4" t="s">
        <v>204</v>
      </c>
      <c r="M843" s="4" t="s">
        <v>143</v>
      </c>
      <c r="N843" s="4" t="s">
        <v>62</v>
      </c>
      <c r="O843" s="4" t="s">
        <v>365</v>
      </c>
      <c r="P843" s="4">
        <v>102</v>
      </c>
      <c r="Q843" s="4" t="s">
        <v>103</v>
      </c>
      <c r="R843" s="4" t="s">
        <v>51</v>
      </c>
      <c r="S843" s="4">
        <v>122049</v>
      </c>
      <c r="T843" s="4">
        <v>67790</v>
      </c>
      <c r="U843" s="4">
        <v>54259</v>
      </c>
      <c r="V843" s="4">
        <v>95665</v>
      </c>
      <c r="W843" s="4">
        <v>12503</v>
      </c>
      <c r="X843" s="4">
        <v>12119</v>
      </c>
      <c r="Y843" s="4" t="s">
        <v>41</v>
      </c>
      <c r="Z843" s="4">
        <v>98</v>
      </c>
      <c r="AA843" s="4">
        <v>4.2</v>
      </c>
      <c r="AB843" s="4" t="s">
        <v>42</v>
      </c>
    </row>
    <row r="844" spans="1:28" x14ac:dyDescent="0.25">
      <c r="A844" s="2" t="s">
        <v>1530</v>
      </c>
      <c r="B844" s="2" t="s">
        <v>470</v>
      </c>
      <c r="C844" s="2">
        <v>78</v>
      </c>
      <c r="D844" s="2" t="s">
        <v>30</v>
      </c>
      <c r="E844" s="2" t="s">
        <v>31</v>
      </c>
      <c r="F844" s="2" t="s">
        <v>80</v>
      </c>
      <c r="G844" s="3">
        <v>44823</v>
      </c>
      <c r="H844" s="3">
        <v>44847</v>
      </c>
      <c r="I844" s="2">
        <v>24</v>
      </c>
      <c r="J844" s="2" t="s">
        <v>58</v>
      </c>
      <c r="K844" s="2" t="s">
        <v>88</v>
      </c>
      <c r="L844" s="2" t="s">
        <v>60</v>
      </c>
      <c r="M844" s="2" t="s">
        <v>95</v>
      </c>
      <c r="N844" s="2" t="s">
        <v>109</v>
      </c>
      <c r="O844" s="2" t="s">
        <v>678</v>
      </c>
      <c r="P844" s="2">
        <v>87</v>
      </c>
      <c r="Q844" s="2" t="s">
        <v>39</v>
      </c>
      <c r="R844" s="2" t="s">
        <v>111</v>
      </c>
      <c r="S844" s="2">
        <v>101027</v>
      </c>
      <c r="T844" s="2">
        <v>87700</v>
      </c>
      <c r="U844" s="2">
        <v>13327</v>
      </c>
      <c r="V844" s="2">
        <v>64464</v>
      </c>
      <c r="W844" s="2">
        <v>23915</v>
      </c>
      <c r="X844" s="2">
        <v>10591</v>
      </c>
      <c r="Y844" s="2" t="s">
        <v>41</v>
      </c>
      <c r="Z844" s="2">
        <v>51</v>
      </c>
      <c r="AA844" s="2">
        <v>2</v>
      </c>
      <c r="AB844" s="2" t="s">
        <v>52</v>
      </c>
    </row>
    <row r="845" spans="1:28" x14ac:dyDescent="0.25">
      <c r="A845" s="4" t="s">
        <v>1531</v>
      </c>
      <c r="B845" s="4" t="s">
        <v>196</v>
      </c>
      <c r="C845" s="4">
        <v>33</v>
      </c>
      <c r="D845" s="4" t="s">
        <v>30</v>
      </c>
      <c r="E845" s="4" t="s">
        <v>31</v>
      </c>
      <c r="F845" s="4" t="s">
        <v>129</v>
      </c>
      <c r="G845" s="5">
        <v>45026</v>
      </c>
      <c r="H845" s="5">
        <v>45040</v>
      </c>
      <c r="I845" s="4">
        <v>14</v>
      </c>
      <c r="J845" s="4" t="s">
        <v>33</v>
      </c>
      <c r="K845" s="4" t="s">
        <v>81</v>
      </c>
      <c r="L845" s="4" t="s">
        <v>82</v>
      </c>
      <c r="M845" s="4" t="s">
        <v>75</v>
      </c>
      <c r="N845" s="4" t="s">
        <v>118</v>
      </c>
      <c r="O845" s="4" t="s">
        <v>631</v>
      </c>
      <c r="P845" s="4">
        <v>204</v>
      </c>
      <c r="Q845" s="4" t="s">
        <v>69</v>
      </c>
      <c r="R845" s="4" t="s">
        <v>90</v>
      </c>
      <c r="S845" s="4">
        <v>171479</v>
      </c>
      <c r="T845" s="4">
        <v>112530</v>
      </c>
      <c r="U845" s="4">
        <v>58949</v>
      </c>
      <c r="V845" s="4">
        <v>149500</v>
      </c>
      <c r="W845" s="4">
        <v>16044</v>
      </c>
      <c r="X845" s="4">
        <v>1246</v>
      </c>
      <c r="Y845" s="4" t="s">
        <v>41</v>
      </c>
      <c r="Z845" s="4">
        <v>90</v>
      </c>
      <c r="AA845" s="4">
        <v>4.9000000000000004</v>
      </c>
      <c r="AB845" s="4" t="s">
        <v>42</v>
      </c>
    </row>
    <row r="846" spans="1:28" x14ac:dyDescent="0.25">
      <c r="A846" s="2" t="s">
        <v>1532</v>
      </c>
      <c r="B846" s="2" t="s">
        <v>375</v>
      </c>
      <c r="C846" s="2">
        <v>30</v>
      </c>
      <c r="D846" s="2" t="s">
        <v>30</v>
      </c>
      <c r="E846" s="2" t="s">
        <v>122</v>
      </c>
      <c r="F846" s="2" t="s">
        <v>157</v>
      </c>
      <c r="G846" s="3">
        <v>44590</v>
      </c>
      <c r="H846" s="3">
        <v>44606</v>
      </c>
      <c r="I846" s="2">
        <v>16</v>
      </c>
      <c r="J846" s="2" t="s">
        <v>33</v>
      </c>
      <c r="K846" s="2" t="s">
        <v>34</v>
      </c>
      <c r="L846" s="2" t="s">
        <v>35</v>
      </c>
      <c r="M846" s="2" t="s">
        <v>108</v>
      </c>
      <c r="N846" s="2" t="s">
        <v>62</v>
      </c>
      <c r="O846" s="2" t="s">
        <v>434</v>
      </c>
      <c r="P846" s="2">
        <v>114</v>
      </c>
      <c r="Q846" s="2" t="s">
        <v>39</v>
      </c>
      <c r="R846" s="2" t="s">
        <v>90</v>
      </c>
      <c r="S846" s="2">
        <v>174630</v>
      </c>
      <c r="T846" s="2">
        <v>153135</v>
      </c>
      <c r="U846" s="2">
        <v>21495</v>
      </c>
      <c r="V846" s="2">
        <v>134235</v>
      </c>
      <c r="W846" s="2">
        <v>22830</v>
      </c>
      <c r="X846" s="2">
        <v>13504</v>
      </c>
      <c r="Y846" s="2" t="s">
        <v>41</v>
      </c>
      <c r="Z846" s="2">
        <v>74</v>
      </c>
      <c r="AA846" s="2">
        <v>4.5999999999999996</v>
      </c>
      <c r="AB846" s="2" t="s">
        <v>137</v>
      </c>
    </row>
    <row r="847" spans="1:28" x14ac:dyDescent="0.25">
      <c r="A847" s="4" t="s">
        <v>1533</v>
      </c>
      <c r="B847" s="4" t="s">
        <v>473</v>
      </c>
      <c r="C847" s="4">
        <v>46</v>
      </c>
      <c r="D847" s="4" t="s">
        <v>30</v>
      </c>
      <c r="E847" s="4" t="s">
        <v>79</v>
      </c>
      <c r="F847" s="4" t="s">
        <v>129</v>
      </c>
      <c r="G847" s="5">
        <v>44859</v>
      </c>
      <c r="H847" s="5">
        <v>44866</v>
      </c>
      <c r="I847" s="4">
        <v>7</v>
      </c>
      <c r="J847" s="4" t="s">
        <v>115</v>
      </c>
      <c r="K847" s="4" t="s">
        <v>160</v>
      </c>
      <c r="L847" s="4" t="s">
        <v>117</v>
      </c>
      <c r="M847" s="4" t="s">
        <v>143</v>
      </c>
      <c r="N847" s="4" t="s">
        <v>109</v>
      </c>
      <c r="O847" s="4" t="s">
        <v>214</v>
      </c>
      <c r="P847" s="4">
        <v>325</v>
      </c>
      <c r="Q847" s="4" t="s">
        <v>69</v>
      </c>
      <c r="R847" s="4" t="s">
        <v>51</v>
      </c>
      <c r="S847" s="4">
        <v>97227</v>
      </c>
      <c r="T847" s="4">
        <v>55231</v>
      </c>
      <c r="U847" s="4">
        <v>41996</v>
      </c>
      <c r="V847" s="4">
        <v>81555</v>
      </c>
      <c r="W847" s="4">
        <v>9315</v>
      </c>
      <c r="X847" s="4">
        <v>3022</v>
      </c>
      <c r="Y847" s="4" t="s">
        <v>41</v>
      </c>
      <c r="Z847" s="4">
        <v>87</v>
      </c>
      <c r="AA847" s="4">
        <v>3.7</v>
      </c>
      <c r="AB847" s="4" t="s">
        <v>64</v>
      </c>
    </row>
    <row r="848" spans="1:28" x14ac:dyDescent="0.25">
      <c r="A848" s="2" t="s">
        <v>1534</v>
      </c>
      <c r="B848" s="2" t="s">
        <v>1535</v>
      </c>
      <c r="C848" s="2">
        <v>56</v>
      </c>
      <c r="D848" s="2" t="s">
        <v>55</v>
      </c>
      <c r="E848" s="2" t="s">
        <v>67</v>
      </c>
      <c r="F848" s="2" t="s">
        <v>129</v>
      </c>
      <c r="G848" s="3">
        <v>45253</v>
      </c>
      <c r="H848" s="3">
        <v>45260</v>
      </c>
      <c r="I848" s="2">
        <v>7</v>
      </c>
      <c r="J848" s="2" t="s">
        <v>58</v>
      </c>
      <c r="K848" s="2" t="s">
        <v>88</v>
      </c>
      <c r="L848" s="2" t="s">
        <v>60</v>
      </c>
      <c r="M848" s="2" t="s">
        <v>108</v>
      </c>
      <c r="N848" s="2" t="s">
        <v>109</v>
      </c>
      <c r="O848" s="2" t="s">
        <v>256</v>
      </c>
      <c r="P848" s="2">
        <v>35</v>
      </c>
      <c r="Q848" s="2" t="s">
        <v>69</v>
      </c>
      <c r="R848" s="2" t="s">
        <v>51</v>
      </c>
      <c r="S848" s="2">
        <v>40955</v>
      </c>
      <c r="T848" s="2">
        <v>19770</v>
      </c>
      <c r="U848" s="2">
        <v>21185</v>
      </c>
      <c r="V848" s="2">
        <v>19528</v>
      </c>
      <c r="W848" s="2">
        <v>9898</v>
      </c>
      <c r="X848" s="2">
        <v>7001</v>
      </c>
      <c r="Y848" s="2" t="s">
        <v>41</v>
      </c>
      <c r="Z848" s="2">
        <v>40</v>
      </c>
      <c r="AA848" s="2">
        <v>3.5</v>
      </c>
      <c r="AB848" s="2" t="s">
        <v>52</v>
      </c>
    </row>
    <row r="849" spans="1:28" x14ac:dyDescent="0.25">
      <c r="A849" s="4" t="s">
        <v>1536</v>
      </c>
      <c r="B849" s="4" t="s">
        <v>71</v>
      </c>
      <c r="C849" s="4">
        <v>44</v>
      </c>
      <c r="D849" s="4" t="s">
        <v>55</v>
      </c>
      <c r="E849" s="4" t="s">
        <v>45</v>
      </c>
      <c r="F849" s="4" t="s">
        <v>129</v>
      </c>
      <c r="G849" s="5">
        <v>44589</v>
      </c>
      <c r="H849" s="5">
        <v>44618</v>
      </c>
      <c r="I849" s="4">
        <v>29</v>
      </c>
      <c r="J849" s="4" t="s">
        <v>202</v>
      </c>
      <c r="K849" s="4" t="s">
        <v>203</v>
      </c>
      <c r="L849" s="4" t="s">
        <v>204</v>
      </c>
      <c r="M849" s="4" t="s">
        <v>108</v>
      </c>
      <c r="N849" s="4" t="s">
        <v>109</v>
      </c>
      <c r="O849" s="4" t="s">
        <v>368</v>
      </c>
      <c r="P849" s="4">
        <v>261</v>
      </c>
      <c r="Q849" s="4" t="s">
        <v>50</v>
      </c>
      <c r="R849" s="4" t="s">
        <v>111</v>
      </c>
      <c r="S849" s="4">
        <v>103247</v>
      </c>
      <c r="T849" s="4">
        <v>82294</v>
      </c>
      <c r="U849" s="4">
        <v>20953</v>
      </c>
      <c r="V849" s="4">
        <v>65093</v>
      </c>
      <c r="W849" s="4">
        <v>19707</v>
      </c>
      <c r="X849" s="4">
        <v>14068</v>
      </c>
      <c r="Y849" s="4" t="s">
        <v>41</v>
      </c>
      <c r="Z849" s="4">
        <v>60</v>
      </c>
      <c r="AA849" s="4">
        <v>4.2</v>
      </c>
      <c r="AB849" s="4" t="s">
        <v>137</v>
      </c>
    </row>
    <row r="850" spans="1:28" x14ac:dyDescent="0.25">
      <c r="A850" s="2" t="s">
        <v>1537</v>
      </c>
      <c r="B850" s="2" t="s">
        <v>970</v>
      </c>
      <c r="C850" s="2">
        <v>45</v>
      </c>
      <c r="D850" s="2" t="s">
        <v>30</v>
      </c>
      <c r="E850" s="2" t="s">
        <v>56</v>
      </c>
      <c r="F850" s="2" t="s">
        <v>129</v>
      </c>
      <c r="G850" s="3">
        <v>44699</v>
      </c>
      <c r="H850" s="3">
        <v>44711</v>
      </c>
      <c r="I850" s="2">
        <v>12</v>
      </c>
      <c r="J850" s="2" t="s">
        <v>202</v>
      </c>
      <c r="K850" s="2" t="s">
        <v>203</v>
      </c>
      <c r="L850" s="2" t="s">
        <v>204</v>
      </c>
      <c r="M850" s="2" t="s">
        <v>134</v>
      </c>
      <c r="N850" s="2" t="s">
        <v>62</v>
      </c>
      <c r="O850" s="2" t="s">
        <v>337</v>
      </c>
      <c r="P850" s="2">
        <v>393</v>
      </c>
      <c r="Q850" s="2" t="s">
        <v>50</v>
      </c>
      <c r="R850" s="2" t="s">
        <v>136</v>
      </c>
      <c r="S850" s="2">
        <v>129192</v>
      </c>
      <c r="T850" s="2">
        <v>0</v>
      </c>
      <c r="U850" s="2">
        <v>129192</v>
      </c>
      <c r="V850" s="2">
        <v>117267</v>
      </c>
      <c r="W850" s="2">
        <v>9900</v>
      </c>
      <c r="X850" s="2">
        <v>777</v>
      </c>
      <c r="Y850" s="2" t="s">
        <v>41</v>
      </c>
      <c r="Z850" s="2">
        <v>64</v>
      </c>
      <c r="AA850" s="2">
        <v>3.8</v>
      </c>
      <c r="AB850" s="2" t="s">
        <v>64</v>
      </c>
    </row>
    <row r="851" spans="1:28" x14ac:dyDescent="0.25">
      <c r="A851" s="4" t="s">
        <v>1538</v>
      </c>
      <c r="B851" s="4" t="s">
        <v>836</v>
      </c>
      <c r="C851" s="4">
        <v>62</v>
      </c>
      <c r="D851" s="4" t="s">
        <v>30</v>
      </c>
      <c r="E851" s="4" t="s">
        <v>45</v>
      </c>
      <c r="F851" s="4" t="s">
        <v>129</v>
      </c>
      <c r="G851" s="5">
        <v>44685</v>
      </c>
      <c r="H851" s="5">
        <v>44701</v>
      </c>
      <c r="I851" s="4">
        <v>16</v>
      </c>
      <c r="J851" s="4" t="s">
        <v>123</v>
      </c>
      <c r="K851" s="4" t="s">
        <v>251</v>
      </c>
      <c r="L851" s="4" t="s">
        <v>125</v>
      </c>
      <c r="M851" s="4" t="s">
        <v>130</v>
      </c>
      <c r="N851" s="4" t="s">
        <v>118</v>
      </c>
      <c r="O851" s="4" t="s">
        <v>571</v>
      </c>
      <c r="P851" s="4">
        <v>500</v>
      </c>
      <c r="Q851" s="4" t="s">
        <v>39</v>
      </c>
      <c r="R851" s="4" t="s">
        <v>90</v>
      </c>
      <c r="S851" s="4">
        <v>64315</v>
      </c>
      <c r="T851" s="4">
        <v>40443</v>
      </c>
      <c r="U851" s="4">
        <v>23872</v>
      </c>
      <c r="V851" s="4">
        <v>23643</v>
      </c>
      <c r="W851" s="4">
        <v>21406</v>
      </c>
      <c r="X851" s="4">
        <v>14702</v>
      </c>
      <c r="Y851" s="4" t="s">
        <v>41</v>
      </c>
      <c r="Z851" s="4">
        <v>45</v>
      </c>
      <c r="AA851" s="4">
        <v>2.4</v>
      </c>
      <c r="AB851" s="4" t="s">
        <v>104</v>
      </c>
    </row>
    <row r="852" spans="1:28" x14ac:dyDescent="0.25">
      <c r="A852" s="2" t="s">
        <v>1539</v>
      </c>
      <c r="B852" s="2" t="s">
        <v>943</v>
      </c>
      <c r="C852" s="2">
        <v>36</v>
      </c>
      <c r="D852" s="2" t="s">
        <v>30</v>
      </c>
      <c r="E852" s="2" t="s">
        <v>67</v>
      </c>
      <c r="F852" s="2" t="s">
        <v>150</v>
      </c>
      <c r="G852" s="3">
        <v>45651</v>
      </c>
      <c r="H852" s="3">
        <v>45657</v>
      </c>
      <c r="I852" s="2">
        <v>6</v>
      </c>
      <c r="J852" s="2" t="s">
        <v>33</v>
      </c>
      <c r="K852" s="2" t="s">
        <v>107</v>
      </c>
      <c r="L852" s="2" t="s">
        <v>48</v>
      </c>
      <c r="M852" s="2" t="s">
        <v>130</v>
      </c>
      <c r="N852" s="2" t="s">
        <v>37</v>
      </c>
      <c r="O852" s="2" t="s">
        <v>365</v>
      </c>
      <c r="P852" s="2">
        <v>85</v>
      </c>
      <c r="Q852" s="2" t="s">
        <v>103</v>
      </c>
      <c r="R852" s="2" t="s">
        <v>111</v>
      </c>
      <c r="S852" s="2">
        <v>144251</v>
      </c>
      <c r="T852" s="2">
        <v>92257</v>
      </c>
      <c r="U852" s="2">
        <v>51994</v>
      </c>
      <c r="V852" s="2">
        <v>131844</v>
      </c>
      <c r="W852" s="2">
        <v>8580</v>
      </c>
      <c r="X852" s="2">
        <v>1809</v>
      </c>
      <c r="Y852" s="2" t="s">
        <v>41</v>
      </c>
      <c r="Z852" s="2">
        <v>83</v>
      </c>
      <c r="AA852" s="2">
        <v>4.3</v>
      </c>
      <c r="AB852" s="2" t="s">
        <v>137</v>
      </c>
    </row>
    <row r="853" spans="1:28" x14ac:dyDescent="0.25">
      <c r="A853" s="4" t="s">
        <v>1540</v>
      </c>
      <c r="B853" s="4" t="s">
        <v>764</v>
      </c>
      <c r="C853" s="4">
        <v>72</v>
      </c>
      <c r="D853" s="4" t="s">
        <v>30</v>
      </c>
      <c r="E853" s="4" t="s">
        <v>67</v>
      </c>
      <c r="F853" s="4" t="s">
        <v>80</v>
      </c>
      <c r="G853" s="5">
        <v>45047</v>
      </c>
      <c r="H853" s="5">
        <v>45074</v>
      </c>
      <c r="I853" s="4">
        <v>27</v>
      </c>
      <c r="J853" s="4" t="s">
        <v>115</v>
      </c>
      <c r="K853" s="4" t="s">
        <v>160</v>
      </c>
      <c r="L853" s="4" t="s">
        <v>117</v>
      </c>
      <c r="M853" s="4" t="s">
        <v>134</v>
      </c>
      <c r="N853" s="4" t="s">
        <v>109</v>
      </c>
      <c r="O853" s="4" t="s">
        <v>337</v>
      </c>
      <c r="P853" s="4">
        <v>47</v>
      </c>
      <c r="Q853" s="4" t="s">
        <v>103</v>
      </c>
      <c r="R853" s="4" t="s">
        <v>136</v>
      </c>
      <c r="S853" s="4">
        <v>98816</v>
      </c>
      <c r="T853" s="4">
        <v>0</v>
      </c>
      <c r="U853" s="4">
        <v>98816</v>
      </c>
      <c r="V853" s="4">
        <v>85941</v>
      </c>
      <c r="W853" s="4">
        <v>7172</v>
      </c>
      <c r="X853" s="4">
        <v>1005</v>
      </c>
      <c r="Y853" s="4" t="s">
        <v>41</v>
      </c>
      <c r="Z853" s="4">
        <v>90</v>
      </c>
      <c r="AA853" s="4">
        <v>3.7</v>
      </c>
      <c r="AB853" s="4" t="s">
        <v>52</v>
      </c>
    </row>
    <row r="854" spans="1:28" x14ac:dyDescent="0.25">
      <c r="A854" s="2" t="s">
        <v>1541</v>
      </c>
      <c r="B854" s="2" t="s">
        <v>564</v>
      </c>
      <c r="C854" s="2">
        <v>20</v>
      </c>
      <c r="D854" s="2" t="s">
        <v>55</v>
      </c>
      <c r="E854" s="2" t="s">
        <v>122</v>
      </c>
      <c r="F854" s="2" t="s">
        <v>129</v>
      </c>
      <c r="G854" s="3">
        <v>44809</v>
      </c>
      <c r="H854" s="3">
        <v>44828</v>
      </c>
      <c r="I854" s="2">
        <v>19</v>
      </c>
      <c r="J854" s="2" t="s">
        <v>202</v>
      </c>
      <c r="K854" s="2" t="s">
        <v>203</v>
      </c>
      <c r="L854" s="2" t="s">
        <v>204</v>
      </c>
      <c r="M854" s="2" t="s">
        <v>130</v>
      </c>
      <c r="N854" s="2" t="s">
        <v>118</v>
      </c>
      <c r="O854" s="2" t="s">
        <v>352</v>
      </c>
      <c r="P854" s="2">
        <v>140</v>
      </c>
      <c r="Q854" s="2" t="s">
        <v>50</v>
      </c>
      <c r="R854" s="2" t="s">
        <v>51</v>
      </c>
      <c r="S854" s="2">
        <v>161346</v>
      </c>
      <c r="T854" s="2">
        <v>64872</v>
      </c>
      <c r="U854" s="2">
        <v>96474</v>
      </c>
      <c r="V854" s="2">
        <v>124562</v>
      </c>
      <c r="W854" s="2">
        <v>27199</v>
      </c>
      <c r="X854" s="2">
        <v>5154</v>
      </c>
      <c r="Y854" s="2" t="s">
        <v>91</v>
      </c>
      <c r="Z854" s="2">
        <v>48</v>
      </c>
      <c r="AA854" s="2">
        <v>3.3</v>
      </c>
      <c r="AB854" s="2" t="s">
        <v>42</v>
      </c>
    </row>
    <row r="855" spans="1:28" x14ac:dyDescent="0.25">
      <c r="A855" s="4" t="s">
        <v>1542</v>
      </c>
      <c r="B855" s="4" t="s">
        <v>1543</v>
      </c>
      <c r="C855" s="4">
        <v>44</v>
      </c>
      <c r="D855" s="4" t="s">
        <v>30</v>
      </c>
      <c r="E855" s="4" t="s">
        <v>67</v>
      </c>
      <c r="F855" s="4" t="s">
        <v>150</v>
      </c>
      <c r="G855" s="5">
        <v>45383</v>
      </c>
      <c r="H855" s="5">
        <v>45393</v>
      </c>
      <c r="I855" s="4">
        <v>10</v>
      </c>
      <c r="J855" s="4" t="s">
        <v>33</v>
      </c>
      <c r="K855" s="4" t="s">
        <v>278</v>
      </c>
      <c r="L855" s="4" t="s">
        <v>279</v>
      </c>
      <c r="M855" s="4" t="s">
        <v>101</v>
      </c>
      <c r="N855" s="4" t="s">
        <v>37</v>
      </c>
      <c r="O855" s="4" t="s">
        <v>438</v>
      </c>
      <c r="P855" s="4">
        <v>215</v>
      </c>
      <c r="Q855" s="4" t="s">
        <v>39</v>
      </c>
      <c r="R855" s="4" t="s">
        <v>111</v>
      </c>
      <c r="S855" s="4">
        <v>123680</v>
      </c>
      <c r="T855" s="4">
        <v>83741</v>
      </c>
      <c r="U855" s="4">
        <v>39939</v>
      </c>
      <c r="V855" s="4">
        <v>96110</v>
      </c>
      <c r="W855" s="4">
        <v>14979</v>
      </c>
      <c r="X855" s="4">
        <v>11815</v>
      </c>
      <c r="Y855" s="4" t="s">
        <v>41</v>
      </c>
      <c r="Z855" s="4">
        <v>41</v>
      </c>
      <c r="AA855" s="4">
        <v>3.2</v>
      </c>
      <c r="AB855" s="4" t="s">
        <v>52</v>
      </c>
    </row>
    <row r="856" spans="1:28" x14ac:dyDescent="0.25">
      <c r="A856" s="2" t="s">
        <v>1544</v>
      </c>
      <c r="B856" s="2" t="s">
        <v>709</v>
      </c>
      <c r="C856" s="2">
        <v>65</v>
      </c>
      <c r="D856" s="2" t="s">
        <v>55</v>
      </c>
      <c r="E856" s="2" t="s">
        <v>122</v>
      </c>
      <c r="F856" s="2" t="s">
        <v>72</v>
      </c>
      <c r="G856" s="3">
        <v>45352</v>
      </c>
      <c r="H856" s="3">
        <v>45361</v>
      </c>
      <c r="I856" s="2">
        <v>9</v>
      </c>
      <c r="J856" s="2" t="s">
        <v>33</v>
      </c>
      <c r="K856" s="2" t="s">
        <v>278</v>
      </c>
      <c r="L856" s="2" t="s">
        <v>279</v>
      </c>
      <c r="M856" s="2" t="s">
        <v>101</v>
      </c>
      <c r="N856" s="2" t="s">
        <v>109</v>
      </c>
      <c r="O856" s="2" t="s">
        <v>189</v>
      </c>
      <c r="P856" s="2">
        <v>41</v>
      </c>
      <c r="Q856" s="2" t="s">
        <v>69</v>
      </c>
      <c r="R856" s="2" t="s">
        <v>51</v>
      </c>
      <c r="S856" s="2">
        <v>117813</v>
      </c>
      <c r="T856" s="2">
        <v>54998</v>
      </c>
      <c r="U856" s="2">
        <v>62815</v>
      </c>
      <c r="V856" s="2">
        <v>98872</v>
      </c>
      <c r="W856" s="2">
        <v>5500</v>
      </c>
      <c r="X856" s="2">
        <v>9827</v>
      </c>
      <c r="Y856" s="2" t="s">
        <v>41</v>
      </c>
      <c r="Z856" s="2">
        <v>84</v>
      </c>
      <c r="AA856" s="2">
        <v>3.1</v>
      </c>
      <c r="AB856" s="2" t="s">
        <v>137</v>
      </c>
    </row>
    <row r="857" spans="1:28" x14ac:dyDescent="0.25">
      <c r="A857" s="4" t="s">
        <v>1545</v>
      </c>
      <c r="B857" s="4" t="s">
        <v>1011</v>
      </c>
      <c r="C857" s="4">
        <v>27</v>
      </c>
      <c r="D857" s="4" t="s">
        <v>30</v>
      </c>
      <c r="E857" s="4" t="s">
        <v>45</v>
      </c>
      <c r="F857" s="4" t="s">
        <v>157</v>
      </c>
      <c r="G857" s="5">
        <v>44892</v>
      </c>
      <c r="H857" s="5">
        <v>44909</v>
      </c>
      <c r="I857" s="4">
        <v>17</v>
      </c>
      <c r="J857" s="4" t="s">
        <v>123</v>
      </c>
      <c r="K857" s="4" t="s">
        <v>124</v>
      </c>
      <c r="L857" s="4" t="s">
        <v>125</v>
      </c>
      <c r="M857" s="4" t="s">
        <v>108</v>
      </c>
      <c r="N857" s="4" t="s">
        <v>109</v>
      </c>
      <c r="O857" s="4" t="s">
        <v>63</v>
      </c>
      <c r="P857" s="4">
        <v>121</v>
      </c>
      <c r="Q857" s="4" t="s">
        <v>69</v>
      </c>
      <c r="R857" s="4" t="s">
        <v>136</v>
      </c>
      <c r="S857" s="4">
        <v>113120</v>
      </c>
      <c r="T857" s="4">
        <v>0</v>
      </c>
      <c r="U857" s="4">
        <v>113120</v>
      </c>
      <c r="V857" s="4">
        <v>81016</v>
      </c>
      <c r="W857" s="4">
        <v>18187</v>
      </c>
      <c r="X857" s="4">
        <v>10670</v>
      </c>
      <c r="Y857" s="4" t="s">
        <v>41</v>
      </c>
      <c r="Z857" s="4">
        <v>62</v>
      </c>
      <c r="AA857" s="4">
        <v>4.8</v>
      </c>
      <c r="AB857" s="4" t="s">
        <v>137</v>
      </c>
    </row>
    <row r="858" spans="1:28" x14ac:dyDescent="0.25">
      <c r="A858" s="2" t="s">
        <v>1546</v>
      </c>
      <c r="B858" s="2" t="s">
        <v>948</v>
      </c>
      <c r="C858" s="2">
        <v>36</v>
      </c>
      <c r="D858" s="2" t="s">
        <v>30</v>
      </c>
      <c r="E858" s="2" t="s">
        <v>45</v>
      </c>
      <c r="F858" s="2" t="s">
        <v>46</v>
      </c>
      <c r="G858" s="3">
        <v>45160</v>
      </c>
      <c r="H858" s="3">
        <v>45184</v>
      </c>
      <c r="I858" s="2">
        <v>24</v>
      </c>
      <c r="J858" s="2" t="s">
        <v>73</v>
      </c>
      <c r="K858" s="2" t="s">
        <v>74</v>
      </c>
      <c r="L858" s="2" t="s">
        <v>73</v>
      </c>
      <c r="M858" s="2" t="s">
        <v>134</v>
      </c>
      <c r="N858" s="2" t="s">
        <v>62</v>
      </c>
      <c r="O858" s="2" t="s">
        <v>211</v>
      </c>
      <c r="P858" s="2">
        <v>63</v>
      </c>
      <c r="Q858" s="2" t="s">
        <v>103</v>
      </c>
      <c r="R858" s="2" t="s">
        <v>51</v>
      </c>
      <c r="S858" s="2">
        <v>107728</v>
      </c>
      <c r="T858" s="2">
        <v>70038</v>
      </c>
      <c r="U858" s="2">
        <v>37690</v>
      </c>
      <c r="V858" s="2">
        <v>69117</v>
      </c>
      <c r="W858" s="2">
        <v>25673</v>
      </c>
      <c r="X858" s="2">
        <v>10452</v>
      </c>
      <c r="Y858" s="2" t="s">
        <v>41</v>
      </c>
      <c r="Z858" s="2">
        <v>56</v>
      </c>
      <c r="AA858" s="2">
        <v>2.8</v>
      </c>
      <c r="AB858" s="2" t="s">
        <v>137</v>
      </c>
    </row>
    <row r="859" spans="1:28" x14ac:dyDescent="0.25">
      <c r="A859" s="4" t="s">
        <v>1547</v>
      </c>
      <c r="B859" s="4" t="s">
        <v>1043</v>
      </c>
      <c r="C859" s="4">
        <v>78</v>
      </c>
      <c r="D859" s="4" t="s">
        <v>30</v>
      </c>
      <c r="E859" s="4" t="s">
        <v>67</v>
      </c>
      <c r="F859" s="4" t="s">
        <v>46</v>
      </c>
      <c r="G859" s="5">
        <v>44597</v>
      </c>
      <c r="H859" s="5">
        <v>44614</v>
      </c>
      <c r="I859" s="4">
        <v>17</v>
      </c>
      <c r="J859" s="4" t="s">
        <v>33</v>
      </c>
      <c r="K859" s="4" t="s">
        <v>99</v>
      </c>
      <c r="L859" s="4" t="s">
        <v>100</v>
      </c>
      <c r="M859" s="4" t="s">
        <v>143</v>
      </c>
      <c r="N859" s="4" t="s">
        <v>109</v>
      </c>
      <c r="O859" s="4" t="s">
        <v>321</v>
      </c>
      <c r="P859" s="4">
        <v>169</v>
      </c>
      <c r="Q859" s="4" t="s">
        <v>103</v>
      </c>
      <c r="R859" s="4" t="s">
        <v>40</v>
      </c>
      <c r="S859" s="4">
        <v>163706</v>
      </c>
      <c r="T859" s="4">
        <v>97039</v>
      </c>
      <c r="U859" s="4">
        <v>66667</v>
      </c>
      <c r="V859" s="4">
        <v>130050</v>
      </c>
      <c r="W859" s="4">
        <v>24709</v>
      </c>
      <c r="X859" s="4">
        <v>4080</v>
      </c>
      <c r="Y859" s="4" t="s">
        <v>41</v>
      </c>
      <c r="Z859" s="4">
        <v>77</v>
      </c>
      <c r="AA859" s="4">
        <v>4.5999999999999996</v>
      </c>
      <c r="AB859" s="4" t="s">
        <v>52</v>
      </c>
    </row>
    <row r="860" spans="1:28" x14ac:dyDescent="0.25">
      <c r="A860" s="2" t="s">
        <v>1548</v>
      </c>
      <c r="B860" s="2" t="s">
        <v>774</v>
      </c>
      <c r="C860" s="2">
        <v>25</v>
      </c>
      <c r="D860" s="2" t="s">
        <v>55</v>
      </c>
      <c r="E860" s="2" t="s">
        <v>122</v>
      </c>
      <c r="F860" s="2" t="s">
        <v>72</v>
      </c>
      <c r="G860" s="3">
        <v>45474</v>
      </c>
      <c r="H860" s="3">
        <v>45479</v>
      </c>
      <c r="I860" s="2">
        <v>5</v>
      </c>
      <c r="J860" s="2" t="s">
        <v>33</v>
      </c>
      <c r="K860" s="2" t="s">
        <v>197</v>
      </c>
      <c r="L860" s="2" t="s">
        <v>198</v>
      </c>
      <c r="M860" s="2" t="s">
        <v>36</v>
      </c>
      <c r="N860" s="2" t="s">
        <v>37</v>
      </c>
      <c r="O860" s="2" t="s">
        <v>631</v>
      </c>
      <c r="P860" s="2">
        <v>168</v>
      </c>
      <c r="Q860" s="2" t="s">
        <v>50</v>
      </c>
      <c r="R860" s="2" t="s">
        <v>51</v>
      </c>
      <c r="S860" s="2">
        <v>112557</v>
      </c>
      <c r="T860" s="2">
        <v>57535</v>
      </c>
      <c r="U860" s="2">
        <v>55022</v>
      </c>
      <c r="V860" s="2">
        <v>96159</v>
      </c>
      <c r="W860" s="2">
        <v>7314</v>
      </c>
      <c r="X860" s="2">
        <v>5203</v>
      </c>
      <c r="Y860" s="2" t="s">
        <v>41</v>
      </c>
      <c r="Z860" s="2">
        <v>77</v>
      </c>
      <c r="AA860" s="2">
        <v>2.4</v>
      </c>
      <c r="AB860" s="2" t="s">
        <v>64</v>
      </c>
    </row>
    <row r="861" spans="1:28" x14ac:dyDescent="0.25">
      <c r="A861" s="4" t="s">
        <v>1549</v>
      </c>
      <c r="B861" s="4" t="s">
        <v>1295</v>
      </c>
      <c r="C861" s="4">
        <v>6</v>
      </c>
      <c r="D861" s="4" t="s">
        <v>55</v>
      </c>
      <c r="E861" s="4" t="s">
        <v>79</v>
      </c>
      <c r="F861" s="4" t="s">
        <v>46</v>
      </c>
      <c r="G861" s="5">
        <v>45448</v>
      </c>
      <c r="H861" s="5">
        <v>45476</v>
      </c>
      <c r="I861" s="4">
        <v>28</v>
      </c>
      <c r="J861" s="4" t="s">
        <v>58</v>
      </c>
      <c r="K861" s="4" t="s">
        <v>59</v>
      </c>
      <c r="L861" s="4" t="s">
        <v>60</v>
      </c>
      <c r="M861" s="4" t="s">
        <v>36</v>
      </c>
      <c r="N861" s="4" t="s">
        <v>109</v>
      </c>
      <c r="O861" s="4" t="s">
        <v>382</v>
      </c>
      <c r="P861" s="4">
        <v>291</v>
      </c>
      <c r="Q861" s="4" t="s">
        <v>69</v>
      </c>
      <c r="R861" s="4" t="s">
        <v>90</v>
      </c>
      <c r="S861" s="4">
        <v>85479</v>
      </c>
      <c r="T861" s="4">
        <v>54022</v>
      </c>
      <c r="U861" s="4">
        <v>31457</v>
      </c>
      <c r="V861" s="4">
        <v>42076</v>
      </c>
      <c r="W861" s="4">
        <v>25159</v>
      </c>
      <c r="X861" s="4">
        <v>14830</v>
      </c>
      <c r="Y861" s="4" t="s">
        <v>41</v>
      </c>
      <c r="Z861" s="4">
        <v>53</v>
      </c>
      <c r="AA861" s="4">
        <v>4.2</v>
      </c>
      <c r="AB861" s="4" t="s">
        <v>137</v>
      </c>
    </row>
    <row r="862" spans="1:28" x14ac:dyDescent="0.25">
      <c r="A862" s="2" t="s">
        <v>1550</v>
      </c>
      <c r="B862" s="2" t="s">
        <v>1551</v>
      </c>
      <c r="C862" s="2">
        <v>50</v>
      </c>
      <c r="D862" s="2" t="s">
        <v>30</v>
      </c>
      <c r="E862" s="2" t="s">
        <v>31</v>
      </c>
      <c r="F862" s="2" t="s">
        <v>80</v>
      </c>
      <c r="G862" s="3">
        <v>45252</v>
      </c>
      <c r="H862" s="3">
        <v>45273</v>
      </c>
      <c r="I862" s="2">
        <v>21</v>
      </c>
      <c r="J862" s="2" t="s">
        <v>33</v>
      </c>
      <c r="K862" s="2" t="s">
        <v>174</v>
      </c>
      <c r="L862" s="2" t="s">
        <v>48</v>
      </c>
      <c r="M862" s="2" t="s">
        <v>75</v>
      </c>
      <c r="N862" s="2" t="s">
        <v>37</v>
      </c>
      <c r="O862" s="2" t="s">
        <v>337</v>
      </c>
      <c r="P862" s="2">
        <v>313</v>
      </c>
      <c r="Q862" s="2" t="s">
        <v>39</v>
      </c>
      <c r="R862" s="2" t="s">
        <v>90</v>
      </c>
      <c r="S862" s="2">
        <v>106921</v>
      </c>
      <c r="T862" s="2">
        <v>70220</v>
      </c>
      <c r="U862" s="2">
        <v>36701</v>
      </c>
      <c r="V862" s="2">
        <v>73443</v>
      </c>
      <c r="W862" s="2">
        <v>24128</v>
      </c>
      <c r="X862" s="2">
        <v>6406</v>
      </c>
      <c r="Y862" s="2" t="s">
        <v>41</v>
      </c>
      <c r="Z862" s="2">
        <v>65</v>
      </c>
      <c r="AA862" s="2">
        <v>3.2</v>
      </c>
      <c r="AB862" s="2" t="s">
        <v>104</v>
      </c>
    </row>
    <row r="863" spans="1:28" x14ac:dyDescent="0.25">
      <c r="A863" s="4" t="s">
        <v>1552</v>
      </c>
      <c r="B863" s="4" t="s">
        <v>207</v>
      </c>
      <c r="C863" s="4">
        <v>74</v>
      </c>
      <c r="D863" s="4" t="s">
        <v>30</v>
      </c>
      <c r="E863" s="4" t="s">
        <v>122</v>
      </c>
      <c r="F863" s="4" t="s">
        <v>32</v>
      </c>
      <c r="G863" s="5">
        <v>45169</v>
      </c>
      <c r="H863" s="5">
        <v>45198</v>
      </c>
      <c r="I863" s="4">
        <v>29</v>
      </c>
      <c r="J863" s="4" t="s">
        <v>123</v>
      </c>
      <c r="K863" s="4" t="s">
        <v>124</v>
      </c>
      <c r="L863" s="4" t="s">
        <v>125</v>
      </c>
      <c r="M863" s="4" t="s">
        <v>108</v>
      </c>
      <c r="N863" s="4" t="s">
        <v>109</v>
      </c>
      <c r="O863" s="4" t="s">
        <v>548</v>
      </c>
      <c r="P863" s="4">
        <v>440</v>
      </c>
      <c r="Q863" s="4" t="s">
        <v>39</v>
      </c>
      <c r="R863" s="4" t="s">
        <v>40</v>
      </c>
      <c r="S863" s="4">
        <v>109558</v>
      </c>
      <c r="T863" s="4">
        <v>52537</v>
      </c>
      <c r="U863" s="4">
        <v>57021</v>
      </c>
      <c r="V863" s="4">
        <v>86271</v>
      </c>
      <c r="W863" s="4">
        <v>15991</v>
      </c>
      <c r="X863" s="4">
        <v>5296</v>
      </c>
      <c r="Y863" s="4" t="s">
        <v>41</v>
      </c>
      <c r="Z863" s="4">
        <v>46</v>
      </c>
      <c r="AA863" s="4">
        <v>2.1</v>
      </c>
      <c r="AB863" s="4" t="s">
        <v>64</v>
      </c>
    </row>
    <row r="864" spans="1:28" x14ac:dyDescent="0.25">
      <c r="A864" s="2" t="s">
        <v>1553</v>
      </c>
      <c r="B864" s="2" t="s">
        <v>900</v>
      </c>
      <c r="C864" s="2">
        <v>79</v>
      </c>
      <c r="D864" s="2" t="s">
        <v>30</v>
      </c>
      <c r="E864" s="2" t="s">
        <v>67</v>
      </c>
      <c r="F864" s="2" t="s">
        <v>94</v>
      </c>
      <c r="G864" s="3">
        <v>44619</v>
      </c>
      <c r="H864" s="3">
        <v>44621</v>
      </c>
      <c r="I864" s="2">
        <v>2</v>
      </c>
      <c r="J864" s="2" t="s">
        <v>33</v>
      </c>
      <c r="K864" s="2" t="s">
        <v>99</v>
      </c>
      <c r="L864" s="2" t="s">
        <v>100</v>
      </c>
      <c r="M864" s="2" t="s">
        <v>143</v>
      </c>
      <c r="N864" s="2" t="s">
        <v>118</v>
      </c>
      <c r="O864" s="2" t="s">
        <v>431</v>
      </c>
      <c r="P864" s="2">
        <v>492</v>
      </c>
      <c r="Q864" s="2" t="s">
        <v>69</v>
      </c>
      <c r="R864" s="2" t="s">
        <v>40</v>
      </c>
      <c r="S864" s="2">
        <v>66542</v>
      </c>
      <c r="T864" s="2">
        <v>35363</v>
      </c>
      <c r="U864" s="2">
        <v>31179</v>
      </c>
      <c r="V864" s="2">
        <v>28506</v>
      </c>
      <c r="W864" s="2">
        <v>22188</v>
      </c>
      <c r="X864" s="2">
        <v>11357</v>
      </c>
      <c r="Y864" s="2" t="s">
        <v>41</v>
      </c>
      <c r="Z864" s="2">
        <v>69</v>
      </c>
      <c r="AA864" s="2">
        <v>2.8</v>
      </c>
      <c r="AB864" s="2" t="s">
        <v>104</v>
      </c>
    </row>
    <row r="865" spans="1:28" x14ac:dyDescent="0.25">
      <c r="A865" s="4" t="s">
        <v>1554</v>
      </c>
      <c r="B865" s="4" t="s">
        <v>159</v>
      </c>
      <c r="C865" s="4">
        <v>45</v>
      </c>
      <c r="D865" s="4" t="s">
        <v>55</v>
      </c>
      <c r="E865" s="4" t="s">
        <v>154</v>
      </c>
      <c r="F865" s="4" t="s">
        <v>32</v>
      </c>
      <c r="G865" s="5">
        <v>45312</v>
      </c>
      <c r="H865" s="5">
        <v>45314</v>
      </c>
      <c r="I865" s="4">
        <v>2</v>
      </c>
      <c r="J865" s="4" t="s">
        <v>123</v>
      </c>
      <c r="K865" s="4" t="s">
        <v>124</v>
      </c>
      <c r="L865" s="4" t="s">
        <v>125</v>
      </c>
      <c r="M865" s="4" t="s">
        <v>75</v>
      </c>
      <c r="N865" s="4" t="s">
        <v>118</v>
      </c>
      <c r="O865" s="4" t="s">
        <v>171</v>
      </c>
      <c r="P865" s="4">
        <v>174</v>
      </c>
      <c r="Q865" s="4" t="s">
        <v>39</v>
      </c>
      <c r="R865" s="4" t="s">
        <v>111</v>
      </c>
      <c r="S865" s="4">
        <v>134793</v>
      </c>
      <c r="T865" s="4">
        <v>88922</v>
      </c>
      <c r="U865" s="4">
        <v>45871</v>
      </c>
      <c r="V865" s="4">
        <v>93283</v>
      </c>
      <c r="W865" s="4">
        <v>24915</v>
      </c>
      <c r="X865" s="4">
        <v>14789</v>
      </c>
      <c r="Y865" s="4" t="s">
        <v>91</v>
      </c>
      <c r="Z865" s="4">
        <v>49</v>
      </c>
      <c r="AA865" s="4">
        <v>3.9</v>
      </c>
      <c r="AB865" s="4" t="s">
        <v>64</v>
      </c>
    </row>
    <row r="866" spans="1:28" x14ac:dyDescent="0.25">
      <c r="A866" s="2" t="s">
        <v>1555</v>
      </c>
      <c r="B866" s="2" t="s">
        <v>603</v>
      </c>
      <c r="C866" s="2">
        <v>7</v>
      </c>
      <c r="D866" s="2" t="s">
        <v>55</v>
      </c>
      <c r="E866" s="2" t="s">
        <v>45</v>
      </c>
      <c r="F866" s="2" t="s">
        <v>114</v>
      </c>
      <c r="G866" s="3">
        <v>44782</v>
      </c>
      <c r="H866" s="3">
        <v>44789</v>
      </c>
      <c r="I866" s="2">
        <v>7</v>
      </c>
      <c r="J866" s="2" t="s">
        <v>115</v>
      </c>
      <c r="K866" s="2" t="s">
        <v>160</v>
      </c>
      <c r="L866" s="2" t="s">
        <v>117</v>
      </c>
      <c r="M866" s="2" t="s">
        <v>61</v>
      </c>
      <c r="N866" s="2" t="s">
        <v>62</v>
      </c>
      <c r="O866" s="2" t="s">
        <v>595</v>
      </c>
      <c r="P866" s="2">
        <v>130</v>
      </c>
      <c r="Q866" s="2" t="s">
        <v>103</v>
      </c>
      <c r="R866" s="2" t="s">
        <v>111</v>
      </c>
      <c r="S866" s="2">
        <v>137849</v>
      </c>
      <c r="T866" s="2">
        <v>110431</v>
      </c>
      <c r="U866" s="2">
        <v>27418</v>
      </c>
      <c r="V866" s="2">
        <v>120598</v>
      </c>
      <c r="W866" s="2">
        <v>3219</v>
      </c>
      <c r="X866" s="2">
        <v>12526</v>
      </c>
      <c r="Y866" s="2" t="s">
        <v>41</v>
      </c>
      <c r="Z866" s="2">
        <v>69</v>
      </c>
      <c r="AA866" s="2">
        <v>3.1</v>
      </c>
      <c r="AB866" s="2" t="s">
        <v>104</v>
      </c>
    </row>
    <row r="867" spans="1:28" x14ac:dyDescent="0.25">
      <c r="A867" s="4" t="s">
        <v>1556</v>
      </c>
      <c r="B867" s="4" t="s">
        <v>216</v>
      </c>
      <c r="C867" s="4">
        <v>23</v>
      </c>
      <c r="D867" s="4" t="s">
        <v>30</v>
      </c>
      <c r="E867" s="4" t="s">
        <v>45</v>
      </c>
      <c r="F867" s="4" t="s">
        <v>80</v>
      </c>
      <c r="G867" s="5">
        <v>45072</v>
      </c>
      <c r="H867" s="5">
        <v>45101</v>
      </c>
      <c r="I867" s="4">
        <v>29</v>
      </c>
      <c r="J867" s="4" t="s">
        <v>33</v>
      </c>
      <c r="K867" s="4" t="s">
        <v>197</v>
      </c>
      <c r="L867" s="4" t="s">
        <v>198</v>
      </c>
      <c r="M867" s="4" t="s">
        <v>134</v>
      </c>
      <c r="N867" s="4" t="s">
        <v>118</v>
      </c>
      <c r="O867" s="4" t="s">
        <v>151</v>
      </c>
      <c r="P867" s="4">
        <v>41</v>
      </c>
      <c r="Q867" s="4" t="s">
        <v>39</v>
      </c>
      <c r="R867" s="4" t="s">
        <v>40</v>
      </c>
      <c r="S867" s="4">
        <v>110841</v>
      </c>
      <c r="T867" s="4">
        <v>52150</v>
      </c>
      <c r="U867" s="4">
        <v>58691</v>
      </c>
      <c r="V867" s="4">
        <v>72715</v>
      </c>
      <c r="W867" s="4">
        <v>27740</v>
      </c>
      <c r="X867" s="4">
        <v>8489</v>
      </c>
      <c r="Y867" s="4" t="s">
        <v>41</v>
      </c>
      <c r="Z867" s="4">
        <v>85</v>
      </c>
      <c r="AA867" s="4">
        <v>4.8</v>
      </c>
      <c r="AB867" s="4" t="s">
        <v>64</v>
      </c>
    </row>
    <row r="868" spans="1:28" x14ac:dyDescent="0.25">
      <c r="A868" s="2" t="s">
        <v>1557</v>
      </c>
      <c r="B868" s="2" t="s">
        <v>306</v>
      </c>
      <c r="C868" s="2">
        <v>74</v>
      </c>
      <c r="D868" s="2" t="s">
        <v>30</v>
      </c>
      <c r="E868" s="2" t="s">
        <v>87</v>
      </c>
      <c r="F868" s="2" t="s">
        <v>157</v>
      </c>
      <c r="G868" s="3">
        <v>44595</v>
      </c>
      <c r="H868" s="3">
        <v>44598</v>
      </c>
      <c r="I868" s="2">
        <v>3</v>
      </c>
      <c r="J868" s="2" t="s">
        <v>33</v>
      </c>
      <c r="K868" s="2" t="s">
        <v>107</v>
      </c>
      <c r="L868" s="2" t="s">
        <v>48</v>
      </c>
      <c r="M868" s="2" t="s">
        <v>143</v>
      </c>
      <c r="N868" s="2" t="s">
        <v>109</v>
      </c>
      <c r="O868" s="2" t="s">
        <v>246</v>
      </c>
      <c r="P868" s="2">
        <v>452</v>
      </c>
      <c r="Q868" s="2" t="s">
        <v>50</v>
      </c>
      <c r="R868" s="2" t="s">
        <v>90</v>
      </c>
      <c r="S868" s="2">
        <v>166639</v>
      </c>
      <c r="T868" s="2">
        <v>145790</v>
      </c>
      <c r="U868" s="2">
        <v>20849</v>
      </c>
      <c r="V868" s="2">
        <v>120172</v>
      </c>
      <c r="W868" s="2">
        <v>27683</v>
      </c>
      <c r="X868" s="2">
        <v>14896</v>
      </c>
      <c r="Y868" s="2" t="s">
        <v>41</v>
      </c>
      <c r="Z868" s="2">
        <v>96</v>
      </c>
      <c r="AA868" s="2">
        <v>3.6</v>
      </c>
      <c r="AB868" s="2" t="s">
        <v>104</v>
      </c>
    </row>
    <row r="869" spans="1:28" x14ac:dyDescent="0.25">
      <c r="A869" s="4" t="s">
        <v>1558</v>
      </c>
      <c r="B869" s="4" t="s">
        <v>1559</v>
      </c>
      <c r="C869" s="4">
        <v>68</v>
      </c>
      <c r="D869" s="4" t="s">
        <v>30</v>
      </c>
      <c r="E869" s="4" t="s">
        <v>79</v>
      </c>
      <c r="F869" s="4" t="s">
        <v>114</v>
      </c>
      <c r="G869" s="5">
        <v>44778</v>
      </c>
      <c r="H869" s="5">
        <v>44798</v>
      </c>
      <c r="I869" s="4">
        <v>20</v>
      </c>
      <c r="J869" s="4" t="s">
        <v>33</v>
      </c>
      <c r="K869" s="4" t="s">
        <v>233</v>
      </c>
      <c r="L869" s="4" t="s">
        <v>35</v>
      </c>
      <c r="M869" s="4" t="s">
        <v>134</v>
      </c>
      <c r="N869" s="4" t="s">
        <v>62</v>
      </c>
      <c r="O869" s="4" t="s">
        <v>390</v>
      </c>
      <c r="P869" s="4">
        <v>328</v>
      </c>
      <c r="Q869" s="4" t="s">
        <v>39</v>
      </c>
      <c r="R869" s="4" t="s">
        <v>51</v>
      </c>
      <c r="S869" s="4">
        <v>144340</v>
      </c>
      <c r="T869" s="4">
        <v>84970</v>
      </c>
      <c r="U869" s="4">
        <v>59370</v>
      </c>
      <c r="V869" s="4">
        <v>120528</v>
      </c>
      <c r="W869" s="4">
        <v>6049</v>
      </c>
      <c r="X869" s="4">
        <v>13420</v>
      </c>
      <c r="Y869" s="4" t="s">
        <v>41</v>
      </c>
      <c r="Z869" s="4">
        <v>95</v>
      </c>
      <c r="AA869" s="4">
        <v>4.8</v>
      </c>
      <c r="AB869" s="4" t="s">
        <v>64</v>
      </c>
    </row>
    <row r="870" spans="1:28" x14ac:dyDescent="0.25">
      <c r="A870" s="2" t="s">
        <v>1560</v>
      </c>
      <c r="B870" s="2" t="s">
        <v>1311</v>
      </c>
      <c r="C870" s="2">
        <v>81</v>
      </c>
      <c r="D870" s="2" t="s">
        <v>55</v>
      </c>
      <c r="E870" s="2" t="s">
        <v>45</v>
      </c>
      <c r="F870" s="2" t="s">
        <v>114</v>
      </c>
      <c r="G870" s="3">
        <v>45369</v>
      </c>
      <c r="H870" s="3">
        <v>45394</v>
      </c>
      <c r="I870" s="2">
        <v>25</v>
      </c>
      <c r="J870" s="2" t="s">
        <v>33</v>
      </c>
      <c r="K870" s="2" t="s">
        <v>99</v>
      </c>
      <c r="L870" s="2" t="s">
        <v>100</v>
      </c>
      <c r="M870" s="2" t="s">
        <v>134</v>
      </c>
      <c r="N870" s="2" t="s">
        <v>109</v>
      </c>
      <c r="O870" s="2" t="s">
        <v>102</v>
      </c>
      <c r="P870" s="2">
        <v>128</v>
      </c>
      <c r="Q870" s="2" t="s">
        <v>39</v>
      </c>
      <c r="R870" s="2" t="s">
        <v>111</v>
      </c>
      <c r="S870" s="2">
        <v>56902</v>
      </c>
      <c r="T870" s="2">
        <v>36360</v>
      </c>
      <c r="U870" s="2">
        <v>20542</v>
      </c>
      <c r="V870" s="2">
        <v>25003</v>
      </c>
      <c r="W870" s="2">
        <v>27031</v>
      </c>
      <c r="X870" s="2">
        <v>3552</v>
      </c>
      <c r="Y870" s="2" t="s">
        <v>91</v>
      </c>
      <c r="Z870" s="2">
        <v>43</v>
      </c>
      <c r="AA870" s="2">
        <v>2.4</v>
      </c>
      <c r="AB870" s="2" t="s">
        <v>137</v>
      </c>
    </row>
    <row r="871" spans="1:28" x14ac:dyDescent="0.25">
      <c r="A871" s="4" t="s">
        <v>1561</v>
      </c>
      <c r="B871" s="4" t="s">
        <v>1562</v>
      </c>
      <c r="C871" s="4">
        <v>35</v>
      </c>
      <c r="D871" s="4" t="s">
        <v>30</v>
      </c>
      <c r="E871" s="4" t="s">
        <v>67</v>
      </c>
      <c r="F871" s="4" t="s">
        <v>72</v>
      </c>
      <c r="G871" s="5">
        <v>44664</v>
      </c>
      <c r="H871" s="5">
        <v>44686</v>
      </c>
      <c r="I871" s="4">
        <v>22</v>
      </c>
      <c r="J871" s="4" t="s">
        <v>202</v>
      </c>
      <c r="K871" s="4" t="s">
        <v>203</v>
      </c>
      <c r="L871" s="4" t="s">
        <v>204</v>
      </c>
      <c r="M871" s="4" t="s">
        <v>130</v>
      </c>
      <c r="N871" s="4" t="s">
        <v>37</v>
      </c>
      <c r="O871" s="4" t="s">
        <v>246</v>
      </c>
      <c r="P871" s="4">
        <v>409</v>
      </c>
      <c r="Q871" s="4" t="s">
        <v>39</v>
      </c>
      <c r="R871" s="4" t="s">
        <v>51</v>
      </c>
      <c r="S871" s="4">
        <v>61906</v>
      </c>
      <c r="T871" s="4">
        <v>37659</v>
      </c>
      <c r="U871" s="4">
        <v>24247</v>
      </c>
      <c r="V871" s="4">
        <v>44597</v>
      </c>
      <c r="W871" s="4">
        <v>12551</v>
      </c>
      <c r="X871" s="4">
        <v>2196</v>
      </c>
      <c r="Y871" s="4" t="s">
        <v>41</v>
      </c>
      <c r="Z871" s="4">
        <v>60</v>
      </c>
      <c r="AA871" s="4">
        <v>4.2</v>
      </c>
      <c r="AB871" s="4" t="s">
        <v>104</v>
      </c>
    </row>
    <row r="872" spans="1:28" x14ac:dyDescent="0.25">
      <c r="A872" s="2" t="s">
        <v>1563</v>
      </c>
      <c r="B872" s="2" t="s">
        <v>1004</v>
      </c>
      <c r="C872" s="2">
        <v>27</v>
      </c>
      <c r="D872" s="2" t="s">
        <v>55</v>
      </c>
      <c r="E872" s="2" t="s">
        <v>154</v>
      </c>
      <c r="F872" s="2" t="s">
        <v>150</v>
      </c>
      <c r="G872" s="3">
        <v>45356</v>
      </c>
      <c r="H872" s="3">
        <v>45380</v>
      </c>
      <c r="I872" s="2">
        <v>24</v>
      </c>
      <c r="J872" s="2" t="s">
        <v>140</v>
      </c>
      <c r="K872" s="2" t="s">
        <v>167</v>
      </c>
      <c r="L872" s="2" t="s">
        <v>142</v>
      </c>
      <c r="M872" s="2" t="s">
        <v>61</v>
      </c>
      <c r="N872" s="2" t="s">
        <v>37</v>
      </c>
      <c r="O872" s="2" t="s">
        <v>560</v>
      </c>
      <c r="P872" s="2">
        <v>11</v>
      </c>
      <c r="Q872" s="2" t="s">
        <v>50</v>
      </c>
      <c r="R872" s="2" t="s">
        <v>136</v>
      </c>
      <c r="S872" s="2">
        <v>55887</v>
      </c>
      <c r="T872" s="2">
        <v>0</v>
      </c>
      <c r="U872" s="2">
        <v>55887</v>
      </c>
      <c r="V872" s="2">
        <v>44230</v>
      </c>
      <c r="W872" s="2">
        <v>5729</v>
      </c>
      <c r="X872" s="2">
        <v>2351</v>
      </c>
      <c r="Y872" s="2" t="s">
        <v>41</v>
      </c>
      <c r="Z872" s="2">
        <v>83</v>
      </c>
      <c r="AA872" s="2">
        <v>3</v>
      </c>
      <c r="AB872" s="2" t="s">
        <v>52</v>
      </c>
    </row>
    <row r="873" spans="1:28" x14ac:dyDescent="0.25">
      <c r="A873" s="4" t="s">
        <v>1564</v>
      </c>
      <c r="B873" s="4" t="s">
        <v>243</v>
      </c>
      <c r="C873" s="4">
        <v>29</v>
      </c>
      <c r="D873" s="4" t="s">
        <v>55</v>
      </c>
      <c r="E873" s="4" t="s">
        <v>122</v>
      </c>
      <c r="F873" s="4" t="s">
        <v>94</v>
      </c>
      <c r="G873" s="5">
        <v>44962</v>
      </c>
      <c r="H873" s="5">
        <v>44969</v>
      </c>
      <c r="I873" s="4">
        <v>7</v>
      </c>
      <c r="J873" s="4" t="s">
        <v>58</v>
      </c>
      <c r="K873" s="4" t="s">
        <v>59</v>
      </c>
      <c r="L873" s="4" t="s">
        <v>60</v>
      </c>
      <c r="M873" s="4" t="s">
        <v>134</v>
      </c>
      <c r="N873" s="4" t="s">
        <v>37</v>
      </c>
      <c r="O873" s="4" t="s">
        <v>428</v>
      </c>
      <c r="P873" s="4">
        <v>258</v>
      </c>
      <c r="Q873" s="4" t="s">
        <v>103</v>
      </c>
      <c r="R873" s="4" t="s">
        <v>51</v>
      </c>
      <c r="S873" s="4">
        <v>102292</v>
      </c>
      <c r="T873" s="4">
        <v>41555</v>
      </c>
      <c r="U873" s="4">
        <v>60737</v>
      </c>
      <c r="V873" s="4">
        <v>91663</v>
      </c>
      <c r="W873" s="4">
        <v>1384</v>
      </c>
      <c r="X873" s="4">
        <v>4939</v>
      </c>
      <c r="Y873" s="4" t="s">
        <v>41</v>
      </c>
      <c r="Z873" s="4">
        <v>95</v>
      </c>
      <c r="AA873" s="4">
        <v>3.1</v>
      </c>
      <c r="AB873" s="4" t="s">
        <v>137</v>
      </c>
    </row>
    <row r="874" spans="1:28" x14ac:dyDescent="0.25">
      <c r="A874" s="2" t="s">
        <v>1565</v>
      </c>
      <c r="B874" s="2" t="s">
        <v>555</v>
      </c>
      <c r="C874" s="2">
        <v>49</v>
      </c>
      <c r="D874" s="2" t="s">
        <v>55</v>
      </c>
      <c r="E874" s="2" t="s">
        <v>45</v>
      </c>
      <c r="F874" s="2" t="s">
        <v>32</v>
      </c>
      <c r="G874" s="3">
        <v>45479</v>
      </c>
      <c r="H874" s="3">
        <v>45495</v>
      </c>
      <c r="I874" s="2">
        <v>16</v>
      </c>
      <c r="J874" s="2" t="s">
        <v>140</v>
      </c>
      <c r="K874" s="2" t="s">
        <v>167</v>
      </c>
      <c r="L874" s="2" t="s">
        <v>142</v>
      </c>
      <c r="M874" s="2" t="s">
        <v>143</v>
      </c>
      <c r="N874" s="2" t="s">
        <v>37</v>
      </c>
      <c r="O874" s="2" t="s">
        <v>164</v>
      </c>
      <c r="P874" s="2">
        <v>82</v>
      </c>
      <c r="Q874" s="2" t="s">
        <v>50</v>
      </c>
      <c r="R874" s="2" t="s">
        <v>111</v>
      </c>
      <c r="S874" s="2">
        <v>83641</v>
      </c>
      <c r="T874" s="2">
        <v>73302</v>
      </c>
      <c r="U874" s="2">
        <v>10339</v>
      </c>
      <c r="V874" s="2">
        <v>66124</v>
      </c>
      <c r="W874" s="2">
        <v>9782</v>
      </c>
      <c r="X874" s="2">
        <v>3530</v>
      </c>
      <c r="Y874" s="2" t="s">
        <v>41</v>
      </c>
      <c r="Z874" s="2">
        <v>90</v>
      </c>
      <c r="AA874" s="2">
        <v>2.5</v>
      </c>
      <c r="AB874" s="2" t="s">
        <v>52</v>
      </c>
    </row>
    <row r="875" spans="1:28" x14ac:dyDescent="0.25">
      <c r="A875" s="4" t="s">
        <v>1566</v>
      </c>
      <c r="B875" s="4" t="s">
        <v>459</v>
      </c>
      <c r="C875" s="4">
        <v>7</v>
      </c>
      <c r="D875" s="4" t="s">
        <v>30</v>
      </c>
      <c r="E875" s="4" t="s">
        <v>56</v>
      </c>
      <c r="F875" s="4" t="s">
        <v>114</v>
      </c>
      <c r="G875" s="5">
        <v>45277</v>
      </c>
      <c r="H875" s="5">
        <v>45295</v>
      </c>
      <c r="I875" s="4">
        <v>18</v>
      </c>
      <c r="J875" s="4" t="s">
        <v>202</v>
      </c>
      <c r="K875" s="4" t="s">
        <v>203</v>
      </c>
      <c r="L875" s="4" t="s">
        <v>204</v>
      </c>
      <c r="M875" s="4" t="s">
        <v>101</v>
      </c>
      <c r="N875" s="4" t="s">
        <v>109</v>
      </c>
      <c r="O875" s="4" t="s">
        <v>300</v>
      </c>
      <c r="P875" s="4">
        <v>294</v>
      </c>
      <c r="Q875" s="4" t="s">
        <v>39</v>
      </c>
      <c r="R875" s="4" t="s">
        <v>40</v>
      </c>
      <c r="S875" s="4">
        <v>89574</v>
      </c>
      <c r="T875" s="4">
        <v>60661</v>
      </c>
      <c r="U875" s="4">
        <v>28913</v>
      </c>
      <c r="V875" s="4">
        <v>79930</v>
      </c>
      <c r="W875" s="4">
        <v>4834</v>
      </c>
      <c r="X875" s="4">
        <v>1668</v>
      </c>
      <c r="Y875" s="4" t="s">
        <v>41</v>
      </c>
      <c r="Z875" s="4">
        <v>89</v>
      </c>
      <c r="AA875" s="4">
        <v>3.2</v>
      </c>
      <c r="AB875" s="4" t="s">
        <v>104</v>
      </c>
    </row>
    <row r="876" spans="1:28" x14ac:dyDescent="0.25">
      <c r="A876" s="2" t="s">
        <v>1567</v>
      </c>
      <c r="B876" s="2" t="s">
        <v>1568</v>
      </c>
      <c r="C876" s="2">
        <v>45</v>
      </c>
      <c r="D876" s="2" t="s">
        <v>30</v>
      </c>
      <c r="E876" s="2" t="s">
        <v>67</v>
      </c>
      <c r="F876" s="2" t="s">
        <v>32</v>
      </c>
      <c r="G876" s="3">
        <v>45454</v>
      </c>
      <c r="H876" s="3">
        <v>45462</v>
      </c>
      <c r="I876" s="2">
        <v>8</v>
      </c>
      <c r="J876" s="2" t="s">
        <v>33</v>
      </c>
      <c r="K876" s="2" t="s">
        <v>107</v>
      </c>
      <c r="L876" s="2" t="s">
        <v>48</v>
      </c>
      <c r="M876" s="2" t="s">
        <v>108</v>
      </c>
      <c r="N876" s="2" t="s">
        <v>109</v>
      </c>
      <c r="O876" s="2" t="s">
        <v>326</v>
      </c>
      <c r="P876" s="2">
        <v>341</v>
      </c>
      <c r="Q876" s="2" t="s">
        <v>39</v>
      </c>
      <c r="R876" s="2" t="s">
        <v>90</v>
      </c>
      <c r="S876" s="2">
        <v>136448</v>
      </c>
      <c r="T876" s="2">
        <v>109018</v>
      </c>
      <c r="U876" s="2">
        <v>27430</v>
      </c>
      <c r="V876" s="2">
        <v>118105</v>
      </c>
      <c r="W876" s="2">
        <v>13352</v>
      </c>
      <c r="X876" s="2">
        <v>1745</v>
      </c>
      <c r="Y876" s="2" t="s">
        <v>41</v>
      </c>
      <c r="Z876" s="2">
        <v>41</v>
      </c>
      <c r="AA876" s="2">
        <v>3.9</v>
      </c>
      <c r="AB876" s="2" t="s">
        <v>42</v>
      </c>
    </row>
    <row r="877" spans="1:28" x14ac:dyDescent="0.25">
      <c r="A877" s="4" t="s">
        <v>1569</v>
      </c>
      <c r="B877" s="4" t="s">
        <v>1034</v>
      </c>
      <c r="C877" s="4">
        <v>29</v>
      </c>
      <c r="D877" s="4" t="s">
        <v>55</v>
      </c>
      <c r="E877" s="4" t="s">
        <v>56</v>
      </c>
      <c r="F877" s="4" t="s">
        <v>32</v>
      </c>
      <c r="G877" s="5">
        <v>44644</v>
      </c>
      <c r="H877" s="5">
        <v>44646</v>
      </c>
      <c r="I877" s="4">
        <v>2</v>
      </c>
      <c r="J877" s="4" t="s">
        <v>140</v>
      </c>
      <c r="K877" s="4" t="s">
        <v>167</v>
      </c>
      <c r="L877" s="4" t="s">
        <v>142</v>
      </c>
      <c r="M877" s="4" t="s">
        <v>75</v>
      </c>
      <c r="N877" s="4" t="s">
        <v>109</v>
      </c>
      <c r="O877" s="4" t="s">
        <v>509</v>
      </c>
      <c r="P877" s="4">
        <v>420</v>
      </c>
      <c r="Q877" s="4" t="s">
        <v>69</v>
      </c>
      <c r="R877" s="4" t="s">
        <v>40</v>
      </c>
      <c r="S877" s="4">
        <v>64890</v>
      </c>
      <c r="T877" s="4">
        <v>41181</v>
      </c>
      <c r="U877" s="4">
        <v>23709</v>
      </c>
      <c r="V877" s="4">
        <v>44803</v>
      </c>
      <c r="W877" s="4">
        <v>4092</v>
      </c>
      <c r="X877" s="4">
        <v>14079</v>
      </c>
      <c r="Y877" s="4" t="s">
        <v>41</v>
      </c>
      <c r="Z877" s="4">
        <v>58</v>
      </c>
      <c r="AA877" s="4">
        <v>3.5</v>
      </c>
      <c r="AB877" s="4" t="s">
        <v>104</v>
      </c>
    </row>
    <row r="878" spans="1:28" x14ac:dyDescent="0.25">
      <c r="A878" s="2" t="s">
        <v>1570</v>
      </c>
      <c r="B878" s="2" t="s">
        <v>672</v>
      </c>
      <c r="C878" s="2">
        <v>73</v>
      </c>
      <c r="D878" s="2" t="s">
        <v>55</v>
      </c>
      <c r="E878" s="2" t="s">
        <v>67</v>
      </c>
      <c r="F878" s="2" t="s">
        <v>94</v>
      </c>
      <c r="G878" s="3">
        <v>45416</v>
      </c>
      <c r="H878" s="3">
        <v>45434</v>
      </c>
      <c r="I878" s="2">
        <v>18</v>
      </c>
      <c r="J878" s="2" t="s">
        <v>33</v>
      </c>
      <c r="K878" s="2" t="s">
        <v>174</v>
      </c>
      <c r="L878" s="2" t="s">
        <v>48</v>
      </c>
      <c r="M878" s="2" t="s">
        <v>134</v>
      </c>
      <c r="N878" s="2" t="s">
        <v>62</v>
      </c>
      <c r="O878" s="2" t="s">
        <v>337</v>
      </c>
      <c r="P878" s="2">
        <v>57</v>
      </c>
      <c r="Q878" s="2" t="s">
        <v>50</v>
      </c>
      <c r="R878" s="2" t="s">
        <v>136</v>
      </c>
      <c r="S878" s="2">
        <v>158661</v>
      </c>
      <c r="T878" s="2">
        <v>0</v>
      </c>
      <c r="U878" s="2">
        <v>158661</v>
      </c>
      <c r="V878" s="2">
        <v>145832</v>
      </c>
      <c r="W878" s="2">
        <v>2916</v>
      </c>
      <c r="X878" s="2">
        <v>6880</v>
      </c>
      <c r="Y878" s="2" t="s">
        <v>41</v>
      </c>
      <c r="Z878" s="2">
        <v>88</v>
      </c>
      <c r="AA878" s="2">
        <v>2.4</v>
      </c>
      <c r="AB878" s="2" t="s">
        <v>104</v>
      </c>
    </row>
    <row r="879" spans="1:28" x14ac:dyDescent="0.25">
      <c r="A879" s="4" t="s">
        <v>1571</v>
      </c>
      <c r="B879" s="4" t="s">
        <v>106</v>
      </c>
      <c r="C879" s="4">
        <v>27</v>
      </c>
      <c r="D879" s="4" t="s">
        <v>30</v>
      </c>
      <c r="E879" s="4" t="s">
        <v>87</v>
      </c>
      <c r="F879" s="4" t="s">
        <v>94</v>
      </c>
      <c r="G879" s="5">
        <v>45545</v>
      </c>
      <c r="H879" s="5">
        <v>45553</v>
      </c>
      <c r="I879" s="4">
        <v>8</v>
      </c>
      <c r="J879" s="4" t="s">
        <v>33</v>
      </c>
      <c r="K879" s="4" t="s">
        <v>47</v>
      </c>
      <c r="L879" s="4" t="s">
        <v>48</v>
      </c>
      <c r="M879" s="4" t="s">
        <v>95</v>
      </c>
      <c r="N879" s="4" t="s">
        <v>37</v>
      </c>
      <c r="O879" s="4" t="s">
        <v>63</v>
      </c>
      <c r="P879" s="4">
        <v>485</v>
      </c>
      <c r="Q879" s="4" t="s">
        <v>103</v>
      </c>
      <c r="R879" s="4" t="s">
        <v>136</v>
      </c>
      <c r="S879" s="4">
        <v>65843</v>
      </c>
      <c r="T879" s="4">
        <v>0</v>
      </c>
      <c r="U879" s="4">
        <v>65843</v>
      </c>
      <c r="V879" s="4">
        <v>36130</v>
      </c>
      <c r="W879" s="4">
        <v>20522</v>
      </c>
      <c r="X879" s="4">
        <v>7632</v>
      </c>
      <c r="Y879" s="4" t="s">
        <v>41</v>
      </c>
      <c r="Z879" s="4">
        <v>82</v>
      </c>
      <c r="AA879" s="4">
        <v>2.5</v>
      </c>
      <c r="AB879" s="4" t="s">
        <v>42</v>
      </c>
    </row>
    <row r="880" spans="1:28" x14ac:dyDescent="0.25">
      <c r="A880" s="2" t="s">
        <v>1572</v>
      </c>
      <c r="B880" s="2" t="s">
        <v>1573</v>
      </c>
      <c r="C880" s="2">
        <v>23</v>
      </c>
      <c r="D880" s="2" t="s">
        <v>55</v>
      </c>
      <c r="E880" s="2" t="s">
        <v>56</v>
      </c>
      <c r="F880" s="2" t="s">
        <v>32</v>
      </c>
      <c r="G880" s="3">
        <v>44936</v>
      </c>
      <c r="H880" s="3">
        <v>44937</v>
      </c>
      <c r="I880" s="2">
        <v>1</v>
      </c>
      <c r="J880" s="2" t="s">
        <v>58</v>
      </c>
      <c r="K880" s="2" t="s">
        <v>59</v>
      </c>
      <c r="L880" s="2" t="s">
        <v>60</v>
      </c>
      <c r="M880" s="2" t="s">
        <v>130</v>
      </c>
      <c r="N880" s="2" t="s">
        <v>118</v>
      </c>
      <c r="O880" s="2" t="s">
        <v>530</v>
      </c>
      <c r="P880" s="2">
        <v>130</v>
      </c>
      <c r="Q880" s="2" t="s">
        <v>39</v>
      </c>
      <c r="R880" s="2" t="s">
        <v>90</v>
      </c>
      <c r="S880" s="2">
        <v>116920</v>
      </c>
      <c r="T880" s="2">
        <v>102318</v>
      </c>
      <c r="U880" s="2">
        <v>14602</v>
      </c>
      <c r="V880" s="2">
        <v>78768</v>
      </c>
      <c r="W880" s="2">
        <v>25010</v>
      </c>
      <c r="X880" s="2">
        <v>8456</v>
      </c>
      <c r="Y880" s="2" t="s">
        <v>41</v>
      </c>
      <c r="Z880" s="2">
        <v>95</v>
      </c>
      <c r="AA880" s="2">
        <v>4.0999999999999996</v>
      </c>
      <c r="AB880" s="2" t="s">
        <v>104</v>
      </c>
    </row>
    <row r="881" spans="1:28" x14ac:dyDescent="0.25">
      <c r="A881" s="4" t="s">
        <v>1574</v>
      </c>
      <c r="B881" s="4" t="s">
        <v>1503</v>
      </c>
      <c r="C881" s="4">
        <v>83</v>
      </c>
      <c r="D881" s="4" t="s">
        <v>30</v>
      </c>
      <c r="E881" s="4" t="s">
        <v>154</v>
      </c>
      <c r="F881" s="4" t="s">
        <v>114</v>
      </c>
      <c r="G881" s="5">
        <v>45130</v>
      </c>
      <c r="H881" s="5">
        <v>45149</v>
      </c>
      <c r="I881" s="4">
        <v>19</v>
      </c>
      <c r="J881" s="4" t="s">
        <v>202</v>
      </c>
      <c r="K881" s="4" t="s">
        <v>225</v>
      </c>
      <c r="L881" s="4" t="s">
        <v>226</v>
      </c>
      <c r="M881" s="4" t="s">
        <v>143</v>
      </c>
      <c r="N881" s="4" t="s">
        <v>109</v>
      </c>
      <c r="O881" s="4" t="s">
        <v>135</v>
      </c>
      <c r="P881" s="4">
        <v>11</v>
      </c>
      <c r="Q881" s="4" t="s">
        <v>69</v>
      </c>
      <c r="R881" s="4" t="s">
        <v>40</v>
      </c>
      <c r="S881" s="4">
        <v>140964</v>
      </c>
      <c r="T881" s="4">
        <v>87574</v>
      </c>
      <c r="U881" s="4">
        <v>53390</v>
      </c>
      <c r="V881" s="4">
        <v>118243</v>
      </c>
      <c r="W881" s="4">
        <v>14836</v>
      </c>
      <c r="X881" s="4">
        <v>7214</v>
      </c>
      <c r="Y881" s="4" t="s">
        <v>41</v>
      </c>
      <c r="Z881" s="4">
        <v>85</v>
      </c>
      <c r="AA881" s="4">
        <v>2</v>
      </c>
      <c r="AB881" s="4" t="s">
        <v>104</v>
      </c>
    </row>
    <row r="882" spans="1:28" x14ac:dyDescent="0.25">
      <c r="A882" s="2" t="s">
        <v>1575</v>
      </c>
      <c r="B882" s="2" t="s">
        <v>826</v>
      </c>
      <c r="C882" s="2">
        <v>25</v>
      </c>
      <c r="D882" s="2" t="s">
        <v>30</v>
      </c>
      <c r="E882" s="2" t="s">
        <v>31</v>
      </c>
      <c r="F882" s="2" t="s">
        <v>94</v>
      </c>
      <c r="G882" s="3">
        <v>45373</v>
      </c>
      <c r="H882" s="3">
        <v>45380</v>
      </c>
      <c r="I882" s="2">
        <v>7</v>
      </c>
      <c r="J882" s="2" t="s">
        <v>33</v>
      </c>
      <c r="K882" s="2" t="s">
        <v>34</v>
      </c>
      <c r="L882" s="2" t="s">
        <v>35</v>
      </c>
      <c r="M882" s="2" t="s">
        <v>95</v>
      </c>
      <c r="N882" s="2" t="s">
        <v>62</v>
      </c>
      <c r="O882" s="2" t="s">
        <v>355</v>
      </c>
      <c r="P882" s="2">
        <v>139</v>
      </c>
      <c r="Q882" s="2" t="s">
        <v>39</v>
      </c>
      <c r="R882" s="2" t="s">
        <v>51</v>
      </c>
      <c r="S882" s="2">
        <v>98248</v>
      </c>
      <c r="T882" s="2">
        <v>66867</v>
      </c>
      <c r="U882" s="2">
        <v>31381</v>
      </c>
      <c r="V882" s="2">
        <v>66588</v>
      </c>
      <c r="W882" s="2">
        <v>19016</v>
      </c>
      <c r="X882" s="2">
        <v>12129</v>
      </c>
      <c r="Y882" s="2" t="s">
        <v>41</v>
      </c>
      <c r="Z882" s="2">
        <v>50</v>
      </c>
      <c r="AA882" s="2">
        <v>4.8</v>
      </c>
      <c r="AB882" s="2" t="s">
        <v>42</v>
      </c>
    </row>
    <row r="883" spans="1:28" x14ac:dyDescent="0.25">
      <c r="A883" s="4" t="s">
        <v>1576</v>
      </c>
      <c r="B883" s="4" t="s">
        <v>586</v>
      </c>
      <c r="C883" s="4">
        <v>83</v>
      </c>
      <c r="D883" s="4" t="s">
        <v>55</v>
      </c>
      <c r="E883" s="4" t="s">
        <v>122</v>
      </c>
      <c r="F883" s="4" t="s">
        <v>150</v>
      </c>
      <c r="G883" s="5">
        <v>45377</v>
      </c>
      <c r="H883" s="5">
        <v>45395</v>
      </c>
      <c r="I883" s="4">
        <v>18</v>
      </c>
      <c r="J883" s="4" t="s">
        <v>33</v>
      </c>
      <c r="K883" s="4" t="s">
        <v>81</v>
      </c>
      <c r="L883" s="4" t="s">
        <v>82</v>
      </c>
      <c r="M883" s="4" t="s">
        <v>83</v>
      </c>
      <c r="N883" s="4" t="s">
        <v>37</v>
      </c>
      <c r="O883" s="4" t="s">
        <v>595</v>
      </c>
      <c r="P883" s="4">
        <v>91</v>
      </c>
      <c r="Q883" s="4" t="s">
        <v>39</v>
      </c>
      <c r="R883" s="4" t="s">
        <v>51</v>
      </c>
      <c r="S883" s="4">
        <v>144683</v>
      </c>
      <c r="T883" s="4">
        <v>67183</v>
      </c>
      <c r="U883" s="4">
        <v>77500</v>
      </c>
      <c r="V883" s="4">
        <v>106020</v>
      </c>
      <c r="W883" s="4">
        <v>23058</v>
      </c>
      <c r="X883" s="4">
        <v>13436</v>
      </c>
      <c r="Y883" s="4" t="s">
        <v>41</v>
      </c>
      <c r="Z883" s="4">
        <v>97</v>
      </c>
      <c r="AA883" s="4">
        <v>4.2</v>
      </c>
      <c r="AB883" s="4" t="s">
        <v>42</v>
      </c>
    </row>
    <row r="884" spans="1:28" x14ac:dyDescent="0.25">
      <c r="A884" s="2" t="s">
        <v>1577</v>
      </c>
      <c r="B884" s="2" t="s">
        <v>1034</v>
      </c>
      <c r="C884" s="2">
        <v>85</v>
      </c>
      <c r="D884" s="2" t="s">
        <v>30</v>
      </c>
      <c r="E884" s="2" t="s">
        <v>154</v>
      </c>
      <c r="F884" s="2" t="s">
        <v>114</v>
      </c>
      <c r="G884" s="3">
        <v>45493</v>
      </c>
      <c r="H884" s="3">
        <v>45497</v>
      </c>
      <c r="I884" s="2">
        <v>4</v>
      </c>
      <c r="J884" s="2" t="s">
        <v>73</v>
      </c>
      <c r="K884" s="2" t="s">
        <v>74</v>
      </c>
      <c r="L884" s="2" t="s">
        <v>73</v>
      </c>
      <c r="M884" s="2" t="s">
        <v>75</v>
      </c>
      <c r="N884" s="2" t="s">
        <v>118</v>
      </c>
      <c r="O884" s="2" t="s">
        <v>76</v>
      </c>
      <c r="P884" s="2">
        <v>499</v>
      </c>
      <c r="Q884" s="2" t="s">
        <v>69</v>
      </c>
      <c r="R884" s="2" t="s">
        <v>40</v>
      </c>
      <c r="S884" s="2">
        <v>78969</v>
      </c>
      <c r="T884" s="2">
        <v>36352</v>
      </c>
      <c r="U884" s="2">
        <v>42617</v>
      </c>
      <c r="V884" s="2">
        <v>45646</v>
      </c>
      <c r="W884" s="2">
        <v>22752</v>
      </c>
      <c r="X884" s="2">
        <v>8787</v>
      </c>
      <c r="Y884" s="2" t="s">
        <v>41</v>
      </c>
      <c r="Z884" s="2">
        <v>78</v>
      </c>
      <c r="AA884" s="2">
        <v>2.5</v>
      </c>
      <c r="AB884" s="2" t="s">
        <v>42</v>
      </c>
    </row>
    <row r="885" spans="1:28" x14ac:dyDescent="0.25">
      <c r="A885" s="4" t="s">
        <v>1578</v>
      </c>
      <c r="B885" s="4" t="s">
        <v>805</v>
      </c>
      <c r="C885" s="4">
        <v>33</v>
      </c>
      <c r="D885" s="4" t="s">
        <v>30</v>
      </c>
      <c r="E885" s="4" t="s">
        <v>154</v>
      </c>
      <c r="F885" s="4" t="s">
        <v>150</v>
      </c>
      <c r="G885" s="5">
        <v>44691</v>
      </c>
      <c r="H885" s="5">
        <v>44708</v>
      </c>
      <c r="I885" s="4">
        <v>17</v>
      </c>
      <c r="J885" s="4" t="s">
        <v>33</v>
      </c>
      <c r="K885" s="4" t="s">
        <v>174</v>
      </c>
      <c r="L885" s="4" t="s">
        <v>48</v>
      </c>
      <c r="M885" s="4" t="s">
        <v>130</v>
      </c>
      <c r="N885" s="4" t="s">
        <v>37</v>
      </c>
      <c r="O885" s="4" t="s">
        <v>189</v>
      </c>
      <c r="P885" s="4">
        <v>198</v>
      </c>
      <c r="Q885" s="4" t="s">
        <v>69</v>
      </c>
      <c r="R885" s="4" t="s">
        <v>90</v>
      </c>
      <c r="S885" s="4">
        <v>155848</v>
      </c>
      <c r="T885" s="4">
        <v>132106</v>
      </c>
      <c r="U885" s="4">
        <v>23742</v>
      </c>
      <c r="V885" s="4">
        <v>115753</v>
      </c>
      <c r="W885" s="4">
        <v>25756</v>
      </c>
      <c r="X885" s="4">
        <v>10807</v>
      </c>
      <c r="Y885" s="4" t="s">
        <v>41</v>
      </c>
      <c r="Z885" s="4">
        <v>80</v>
      </c>
      <c r="AA885" s="4">
        <v>4.7</v>
      </c>
      <c r="AB885" s="4" t="s">
        <v>42</v>
      </c>
    </row>
    <row r="886" spans="1:28" x14ac:dyDescent="0.25">
      <c r="A886" s="2" t="s">
        <v>1579</v>
      </c>
      <c r="B886" s="2" t="s">
        <v>1048</v>
      </c>
      <c r="C886" s="2">
        <v>39</v>
      </c>
      <c r="D886" s="2" t="s">
        <v>55</v>
      </c>
      <c r="E886" s="2" t="s">
        <v>56</v>
      </c>
      <c r="F886" s="2" t="s">
        <v>72</v>
      </c>
      <c r="G886" s="3">
        <v>44822</v>
      </c>
      <c r="H886" s="3">
        <v>44837</v>
      </c>
      <c r="I886" s="2">
        <v>15</v>
      </c>
      <c r="J886" s="2" t="s">
        <v>33</v>
      </c>
      <c r="K886" s="2" t="s">
        <v>233</v>
      </c>
      <c r="L886" s="2" t="s">
        <v>35</v>
      </c>
      <c r="M886" s="2" t="s">
        <v>108</v>
      </c>
      <c r="N886" s="2" t="s">
        <v>62</v>
      </c>
      <c r="O886" s="2" t="s">
        <v>681</v>
      </c>
      <c r="P886" s="2">
        <v>356</v>
      </c>
      <c r="Q886" s="2" t="s">
        <v>69</v>
      </c>
      <c r="R886" s="2" t="s">
        <v>136</v>
      </c>
      <c r="S886" s="2">
        <v>154175</v>
      </c>
      <c r="T886" s="2">
        <v>0</v>
      </c>
      <c r="U886" s="2">
        <v>154175</v>
      </c>
      <c r="V886" s="2">
        <v>114838</v>
      </c>
      <c r="W886" s="2">
        <v>19990</v>
      </c>
      <c r="X886" s="2">
        <v>14479</v>
      </c>
      <c r="Y886" s="2" t="s">
        <v>41</v>
      </c>
      <c r="Z886" s="2">
        <v>74</v>
      </c>
      <c r="AA886" s="2">
        <v>4.0999999999999996</v>
      </c>
      <c r="AB886" s="2" t="s">
        <v>52</v>
      </c>
    </row>
    <row r="887" spans="1:28" x14ac:dyDescent="0.25">
      <c r="A887" s="4" t="s">
        <v>1580</v>
      </c>
      <c r="B887" s="4" t="s">
        <v>258</v>
      </c>
      <c r="C887" s="4">
        <v>27</v>
      </c>
      <c r="D887" s="4" t="s">
        <v>55</v>
      </c>
      <c r="E887" s="4" t="s">
        <v>154</v>
      </c>
      <c r="F887" s="4" t="s">
        <v>114</v>
      </c>
      <c r="G887" s="5">
        <v>45333</v>
      </c>
      <c r="H887" s="5">
        <v>45345</v>
      </c>
      <c r="I887" s="4">
        <v>12</v>
      </c>
      <c r="J887" s="4" t="s">
        <v>115</v>
      </c>
      <c r="K887" s="4" t="s">
        <v>116</v>
      </c>
      <c r="L887" s="4" t="s">
        <v>117</v>
      </c>
      <c r="M887" s="4" t="s">
        <v>108</v>
      </c>
      <c r="N887" s="4" t="s">
        <v>109</v>
      </c>
      <c r="O887" s="4" t="s">
        <v>950</v>
      </c>
      <c r="P887" s="4">
        <v>295</v>
      </c>
      <c r="Q887" s="4" t="s">
        <v>69</v>
      </c>
      <c r="R887" s="4" t="s">
        <v>40</v>
      </c>
      <c r="S887" s="4">
        <v>112402</v>
      </c>
      <c r="T887" s="4">
        <v>65758</v>
      </c>
      <c r="U887" s="4">
        <v>46644</v>
      </c>
      <c r="V887" s="4">
        <v>89848</v>
      </c>
      <c r="W887" s="4">
        <v>15687</v>
      </c>
      <c r="X887" s="4">
        <v>3844</v>
      </c>
      <c r="Y887" s="4" t="s">
        <v>41</v>
      </c>
      <c r="Z887" s="4">
        <v>97</v>
      </c>
      <c r="AA887" s="4">
        <v>4.9000000000000004</v>
      </c>
      <c r="AB887" s="4" t="s">
        <v>52</v>
      </c>
    </row>
    <row r="888" spans="1:28" x14ac:dyDescent="0.25">
      <c r="A888" s="2" t="s">
        <v>1581</v>
      </c>
      <c r="B888" s="2" t="s">
        <v>709</v>
      </c>
      <c r="C888" s="2">
        <v>82</v>
      </c>
      <c r="D888" s="2" t="s">
        <v>30</v>
      </c>
      <c r="E888" s="2" t="s">
        <v>67</v>
      </c>
      <c r="F888" s="2" t="s">
        <v>57</v>
      </c>
      <c r="G888" s="3">
        <v>45472</v>
      </c>
      <c r="H888" s="3">
        <v>45496</v>
      </c>
      <c r="I888" s="2">
        <v>24</v>
      </c>
      <c r="J888" s="2" t="s">
        <v>58</v>
      </c>
      <c r="K888" s="2" t="s">
        <v>59</v>
      </c>
      <c r="L888" s="2" t="s">
        <v>60</v>
      </c>
      <c r="M888" s="2" t="s">
        <v>101</v>
      </c>
      <c r="N888" s="2" t="s">
        <v>62</v>
      </c>
      <c r="O888" s="2" t="s">
        <v>119</v>
      </c>
      <c r="P888" s="2">
        <v>322</v>
      </c>
      <c r="Q888" s="2" t="s">
        <v>103</v>
      </c>
      <c r="R888" s="2" t="s">
        <v>40</v>
      </c>
      <c r="S888" s="2">
        <v>141030</v>
      </c>
      <c r="T888" s="2">
        <v>59074</v>
      </c>
      <c r="U888" s="2">
        <v>81956</v>
      </c>
      <c r="V888" s="2">
        <v>113004</v>
      </c>
      <c r="W888" s="2">
        <v>14862</v>
      </c>
      <c r="X888" s="2">
        <v>10170</v>
      </c>
      <c r="Y888" s="2" t="s">
        <v>41</v>
      </c>
      <c r="Z888" s="2">
        <v>79</v>
      </c>
      <c r="AA888" s="2">
        <v>3.2</v>
      </c>
      <c r="AB888" s="2" t="s">
        <v>104</v>
      </c>
    </row>
    <row r="889" spans="1:28" x14ac:dyDescent="0.25">
      <c r="A889" s="4" t="s">
        <v>1582</v>
      </c>
      <c r="B889" s="4" t="s">
        <v>320</v>
      </c>
      <c r="C889" s="4">
        <v>75</v>
      </c>
      <c r="D889" s="4" t="s">
        <v>30</v>
      </c>
      <c r="E889" s="4" t="s">
        <v>79</v>
      </c>
      <c r="F889" s="4" t="s">
        <v>150</v>
      </c>
      <c r="G889" s="5">
        <v>45084</v>
      </c>
      <c r="H889" s="5">
        <v>45102</v>
      </c>
      <c r="I889" s="4">
        <v>18</v>
      </c>
      <c r="J889" s="4" t="s">
        <v>58</v>
      </c>
      <c r="K889" s="4" t="s">
        <v>88</v>
      </c>
      <c r="L889" s="4" t="s">
        <v>60</v>
      </c>
      <c r="M889" s="4" t="s">
        <v>101</v>
      </c>
      <c r="N889" s="4" t="s">
        <v>118</v>
      </c>
      <c r="O889" s="4" t="s">
        <v>63</v>
      </c>
      <c r="P889" s="4">
        <v>39</v>
      </c>
      <c r="Q889" s="4" t="s">
        <v>39</v>
      </c>
      <c r="R889" s="4" t="s">
        <v>51</v>
      </c>
      <c r="S889" s="4">
        <v>172764</v>
      </c>
      <c r="T889" s="4">
        <v>90405</v>
      </c>
      <c r="U889" s="4">
        <v>82359</v>
      </c>
      <c r="V889" s="4">
        <v>137138</v>
      </c>
      <c r="W889" s="4">
        <v>28753</v>
      </c>
      <c r="X889" s="4">
        <v>5452</v>
      </c>
      <c r="Y889" s="4" t="s">
        <v>41</v>
      </c>
      <c r="Z889" s="4">
        <v>93</v>
      </c>
      <c r="AA889" s="4">
        <v>3.4</v>
      </c>
      <c r="AB889" s="4" t="s">
        <v>52</v>
      </c>
    </row>
    <row r="890" spans="1:28" x14ac:dyDescent="0.25">
      <c r="A890" s="2" t="s">
        <v>1583</v>
      </c>
      <c r="B890" s="2" t="s">
        <v>450</v>
      </c>
      <c r="C890" s="2">
        <v>79</v>
      </c>
      <c r="D890" s="2" t="s">
        <v>55</v>
      </c>
      <c r="E890" s="2" t="s">
        <v>67</v>
      </c>
      <c r="F890" s="2" t="s">
        <v>46</v>
      </c>
      <c r="G890" s="3">
        <v>45655</v>
      </c>
      <c r="H890" s="3">
        <v>45656</v>
      </c>
      <c r="I890" s="2">
        <v>1</v>
      </c>
      <c r="J890" s="2" t="s">
        <v>140</v>
      </c>
      <c r="K890" s="2" t="s">
        <v>167</v>
      </c>
      <c r="L890" s="2" t="s">
        <v>142</v>
      </c>
      <c r="M890" s="2" t="s">
        <v>95</v>
      </c>
      <c r="N890" s="2" t="s">
        <v>62</v>
      </c>
      <c r="O890" s="2" t="s">
        <v>147</v>
      </c>
      <c r="P890" s="2">
        <v>340</v>
      </c>
      <c r="Q890" s="2" t="s">
        <v>103</v>
      </c>
      <c r="R890" s="2" t="s">
        <v>90</v>
      </c>
      <c r="S890" s="2">
        <v>100427</v>
      </c>
      <c r="T890" s="2">
        <v>65198</v>
      </c>
      <c r="U890" s="2">
        <v>35229</v>
      </c>
      <c r="V890" s="2">
        <v>90633</v>
      </c>
      <c r="W890" s="2">
        <v>6600</v>
      </c>
      <c r="X890" s="2">
        <v>2437</v>
      </c>
      <c r="Y890" s="2" t="s">
        <v>91</v>
      </c>
      <c r="Z890" s="2">
        <v>69</v>
      </c>
      <c r="AA890" s="2">
        <v>2.1</v>
      </c>
      <c r="AB890" s="2" t="s">
        <v>137</v>
      </c>
    </row>
    <row r="891" spans="1:28" x14ac:dyDescent="0.25">
      <c r="A891" s="4" t="s">
        <v>1584</v>
      </c>
      <c r="B891" s="4" t="s">
        <v>523</v>
      </c>
      <c r="C891" s="4">
        <v>82</v>
      </c>
      <c r="D891" s="4" t="s">
        <v>55</v>
      </c>
      <c r="E891" s="4" t="s">
        <v>122</v>
      </c>
      <c r="F891" s="4" t="s">
        <v>94</v>
      </c>
      <c r="G891" s="5">
        <v>44928</v>
      </c>
      <c r="H891" s="5">
        <v>44937</v>
      </c>
      <c r="I891" s="4">
        <v>9</v>
      </c>
      <c r="J891" s="4" t="s">
        <v>33</v>
      </c>
      <c r="K891" s="4" t="s">
        <v>99</v>
      </c>
      <c r="L891" s="4" t="s">
        <v>100</v>
      </c>
      <c r="M891" s="4" t="s">
        <v>95</v>
      </c>
      <c r="N891" s="4" t="s">
        <v>62</v>
      </c>
      <c r="O891" s="4" t="s">
        <v>151</v>
      </c>
      <c r="P891" s="4">
        <v>285</v>
      </c>
      <c r="Q891" s="4" t="s">
        <v>39</v>
      </c>
      <c r="R891" s="4" t="s">
        <v>90</v>
      </c>
      <c r="S891" s="4">
        <v>118714</v>
      </c>
      <c r="T891" s="4">
        <v>90854</v>
      </c>
      <c r="U891" s="4">
        <v>27860</v>
      </c>
      <c r="V891" s="4">
        <v>91476</v>
      </c>
      <c r="W891" s="4">
        <v>16809</v>
      </c>
      <c r="X891" s="4">
        <v>5499</v>
      </c>
      <c r="Y891" s="4" t="s">
        <v>41</v>
      </c>
      <c r="Z891" s="4">
        <v>87</v>
      </c>
      <c r="AA891" s="4">
        <v>3.4</v>
      </c>
      <c r="AB891" s="4" t="s">
        <v>104</v>
      </c>
    </row>
    <row r="892" spans="1:28" x14ac:dyDescent="0.25">
      <c r="A892" s="2" t="s">
        <v>1585</v>
      </c>
      <c r="B892" s="2" t="s">
        <v>1586</v>
      </c>
      <c r="C892" s="2">
        <v>58</v>
      </c>
      <c r="D892" s="2" t="s">
        <v>55</v>
      </c>
      <c r="E892" s="2" t="s">
        <v>122</v>
      </c>
      <c r="F892" s="2" t="s">
        <v>129</v>
      </c>
      <c r="G892" s="3">
        <v>45477</v>
      </c>
      <c r="H892" s="3">
        <v>45503</v>
      </c>
      <c r="I892" s="2">
        <v>26</v>
      </c>
      <c r="J892" s="2" t="s">
        <v>58</v>
      </c>
      <c r="K892" s="2" t="s">
        <v>88</v>
      </c>
      <c r="L892" s="2" t="s">
        <v>60</v>
      </c>
      <c r="M892" s="2" t="s">
        <v>130</v>
      </c>
      <c r="N892" s="2" t="s">
        <v>62</v>
      </c>
      <c r="O892" s="2" t="s">
        <v>151</v>
      </c>
      <c r="P892" s="2">
        <v>348</v>
      </c>
      <c r="Q892" s="2" t="s">
        <v>50</v>
      </c>
      <c r="R892" s="2" t="s">
        <v>111</v>
      </c>
      <c r="S892" s="2">
        <v>128674</v>
      </c>
      <c r="T892" s="2">
        <v>102105</v>
      </c>
      <c r="U892" s="2">
        <v>26569</v>
      </c>
      <c r="V892" s="2">
        <v>110721</v>
      </c>
      <c r="W892" s="2">
        <v>4336</v>
      </c>
      <c r="X892" s="2">
        <v>10202</v>
      </c>
      <c r="Y892" s="2" t="s">
        <v>91</v>
      </c>
      <c r="Z892" s="2">
        <v>100</v>
      </c>
      <c r="AA892" s="2">
        <v>3.1</v>
      </c>
      <c r="AB892" s="2" t="s">
        <v>52</v>
      </c>
    </row>
    <row r="893" spans="1:28" x14ac:dyDescent="0.25">
      <c r="A893" s="4" t="s">
        <v>1587</v>
      </c>
      <c r="B893" s="4" t="s">
        <v>1085</v>
      </c>
      <c r="C893" s="4">
        <v>38</v>
      </c>
      <c r="D893" s="4" t="s">
        <v>55</v>
      </c>
      <c r="E893" s="4" t="s">
        <v>87</v>
      </c>
      <c r="F893" s="4" t="s">
        <v>94</v>
      </c>
      <c r="G893" s="5">
        <v>45164</v>
      </c>
      <c r="H893" s="5">
        <v>45178</v>
      </c>
      <c r="I893" s="4">
        <v>14</v>
      </c>
      <c r="J893" s="4" t="s">
        <v>33</v>
      </c>
      <c r="K893" s="4" t="s">
        <v>107</v>
      </c>
      <c r="L893" s="4" t="s">
        <v>48</v>
      </c>
      <c r="M893" s="4" t="s">
        <v>130</v>
      </c>
      <c r="N893" s="4" t="s">
        <v>37</v>
      </c>
      <c r="O893" s="4" t="s">
        <v>396</v>
      </c>
      <c r="P893" s="4">
        <v>272</v>
      </c>
      <c r="Q893" s="4" t="s">
        <v>103</v>
      </c>
      <c r="R893" s="4" t="s">
        <v>40</v>
      </c>
      <c r="S893" s="4">
        <v>155236</v>
      </c>
      <c r="T893" s="4">
        <v>63549</v>
      </c>
      <c r="U893" s="4">
        <v>91687</v>
      </c>
      <c r="V893" s="4">
        <v>113644</v>
      </c>
      <c r="W893" s="4">
        <v>29776</v>
      </c>
      <c r="X893" s="4">
        <v>11030</v>
      </c>
      <c r="Y893" s="4" t="s">
        <v>41</v>
      </c>
      <c r="Z893" s="4">
        <v>53</v>
      </c>
      <c r="AA893" s="4">
        <v>3.3</v>
      </c>
      <c r="AB893" s="4" t="s">
        <v>104</v>
      </c>
    </row>
    <row r="894" spans="1:28" x14ac:dyDescent="0.25">
      <c r="A894" s="2" t="s">
        <v>1588</v>
      </c>
      <c r="B894" s="2" t="s">
        <v>1295</v>
      </c>
      <c r="C894" s="2">
        <v>39</v>
      </c>
      <c r="D894" s="2" t="s">
        <v>30</v>
      </c>
      <c r="E894" s="2" t="s">
        <v>79</v>
      </c>
      <c r="F894" s="2" t="s">
        <v>46</v>
      </c>
      <c r="G894" s="3">
        <v>44831</v>
      </c>
      <c r="H894" s="3">
        <v>44851</v>
      </c>
      <c r="I894" s="2">
        <v>20</v>
      </c>
      <c r="J894" s="2" t="s">
        <v>33</v>
      </c>
      <c r="K894" s="2" t="s">
        <v>233</v>
      </c>
      <c r="L894" s="2" t="s">
        <v>35</v>
      </c>
      <c r="M894" s="2" t="s">
        <v>108</v>
      </c>
      <c r="N894" s="2" t="s">
        <v>37</v>
      </c>
      <c r="O894" s="2" t="s">
        <v>399</v>
      </c>
      <c r="P894" s="2">
        <v>489</v>
      </c>
      <c r="Q894" s="2" t="s">
        <v>103</v>
      </c>
      <c r="R894" s="2" t="s">
        <v>51</v>
      </c>
      <c r="S894" s="2">
        <v>146386</v>
      </c>
      <c r="T894" s="2">
        <v>71768</v>
      </c>
      <c r="U894" s="2">
        <v>74618</v>
      </c>
      <c r="V894" s="2">
        <v>110085</v>
      </c>
      <c r="W894" s="2">
        <v>27820</v>
      </c>
      <c r="X894" s="2">
        <v>6631</v>
      </c>
      <c r="Y894" s="2" t="s">
        <v>91</v>
      </c>
      <c r="Z894" s="2">
        <v>49</v>
      </c>
      <c r="AA894" s="2">
        <v>4.4000000000000004</v>
      </c>
      <c r="AB894" s="2" t="s">
        <v>64</v>
      </c>
    </row>
    <row r="895" spans="1:28" x14ac:dyDescent="0.25">
      <c r="A895" s="4" t="s">
        <v>1589</v>
      </c>
      <c r="B895" s="4" t="s">
        <v>840</v>
      </c>
      <c r="C895" s="4">
        <v>49</v>
      </c>
      <c r="D895" s="4" t="s">
        <v>30</v>
      </c>
      <c r="E895" s="4" t="s">
        <v>87</v>
      </c>
      <c r="F895" s="4" t="s">
        <v>129</v>
      </c>
      <c r="G895" s="5">
        <v>45207</v>
      </c>
      <c r="H895" s="5">
        <v>45237</v>
      </c>
      <c r="I895" s="4">
        <v>30</v>
      </c>
      <c r="J895" s="4" t="s">
        <v>33</v>
      </c>
      <c r="K895" s="4" t="s">
        <v>81</v>
      </c>
      <c r="L895" s="4" t="s">
        <v>82</v>
      </c>
      <c r="M895" s="4" t="s">
        <v>143</v>
      </c>
      <c r="N895" s="4" t="s">
        <v>109</v>
      </c>
      <c r="O895" s="4" t="s">
        <v>337</v>
      </c>
      <c r="P895" s="4">
        <v>5</v>
      </c>
      <c r="Q895" s="4" t="s">
        <v>50</v>
      </c>
      <c r="R895" s="4" t="s">
        <v>40</v>
      </c>
      <c r="S895" s="4">
        <v>97317</v>
      </c>
      <c r="T895" s="4">
        <v>51760</v>
      </c>
      <c r="U895" s="4">
        <v>45557</v>
      </c>
      <c r="V895" s="4">
        <v>61480</v>
      </c>
      <c r="W895" s="4">
        <v>21814</v>
      </c>
      <c r="X895" s="4">
        <v>11108</v>
      </c>
      <c r="Y895" s="4" t="s">
        <v>91</v>
      </c>
      <c r="Z895" s="4">
        <v>71</v>
      </c>
      <c r="AA895" s="4">
        <v>2.9</v>
      </c>
      <c r="AB895" s="4" t="s">
        <v>137</v>
      </c>
    </row>
    <row r="896" spans="1:28" x14ac:dyDescent="0.25">
      <c r="A896" s="2" t="s">
        <v>1590</v>
      </c>
      <c r="B896" s="2" t="s">
        <v>523</v>
      </c>
      <c r="C896" s="2">
        <v>41</v>
      </c>
      <c r="D896" s="2" t="s">
        <v>30</v>
      </c>
      <c r="E896" s="2" t="s">
        <v>45</v>
      </c>
      <c r="F896" s="2" t="s">
        <v>72</v>
      </c>
      <c r="G896" s="3">
        <v>45018</v>
      </c>
      <c r="H896" s="3">
        <v>45038</v>
      </c>
      <c r="I896" s="2">
        <v>20</v>
      </c>
      <c r="J896" s="2" t="s">
        <v>33</v>
      </c>
      <c r="K896" s="2" t="s">
        <v>81</v>
      </c>
      <c r="L896" s="2" t="s">
        <v>82</v>
      </c>
      <c r="M896" s="2" t="s">
        <v>143</v>
      </c>
      <c r="N896" s="2" t="s">
        <v>62</v>
      </c>
      <c r="O896" s="2" t="s">
        <v>266</v>
      </c>
      <c r="P896" s="2">
        <v>116</v>
      </c>
      <c r="Q896" s="2" t="s">
        <v>50</v>
      </c>
      <c r="R896" s="2" t="s">
        <v>90</v>
      </c>
      <c r="S896" s="2">
        <v>164888</v>
      </c>
      <c r="T896" s="2">
        <v>113153</v>
      </c>
      <c r="U896" s="2">
        <v>51735</v>
      </c>
      <c r="V896" s="2">
        <v>133214</v>
      </c>
      <c r="W896" s="2">
        <v>28211</v>
      </c>
      <c r="X896" s="2">
        <v>1840</v>
      </c>
      <c r="Y896" s="2" t="s">
        <v>41</v>
      </c>
      <c r="Z896" s="2">
        <v>53</v>
      </c>
      <c r="AA896" s="2">
        <v>2.2999999999999998</v>
      </c>
      <c r="AB896" s="2" t="s">
        <v>42</v>
      </c>
    </row>
    <row r="897" spans="1:28" x14ac:dyDescent="0.25">
      <c r="A897" s="4" t="s">
        <v>1591</v>
      </c>
      <c r="B897" s="4" t="s">
        <v>268</v>
      </c>
      <c r="C897" s="4">
        <v>36</v>
      </c>
      <c r="D897" s="4" t="s">
        <v>30</v>
      </c>
      <c r="E897" s="4" t="s">
        <v>154</v>
      </c>
      <c r="F897" s="4" t="s">
        <v>129</v>
      </c>
      <c r="G897" s="5">
        <v>44749</v>
      </c>
      <c r="H897" s="5">
        <v>44779</v>
      </c>
      <c r="I897" s="4">
        <v>30</v>
      </c>
      <c r="J897" s="4" t="s">
        <v>202</v>
      </c>
      <c r="K897" s="4" t="s">
        <v>203</v>
      </c>
      <c r="L897" s="4" t="s">
        <v>204</v>
      </c>
      <c r="M897" s="4" t="s">
        <v>61</v>
      </c>
      <c r="N897" s="4" t="s">
        <v>109</v>
      </c>
      <c r="O897" s="4" t="s">
        <v>189</v>
      </c>
      <c r="P897" s="4">
        <v>81</v>
      </c>
      <c r="Q897" s="4" t="s">
        <v>103</v>
      </c>
      <c r="R897" s="4" t="s">
        <v>136</v>
      </c>
      <c r="S897" s="4">
        <v>179537</v>
      </c>
      <c r="T897" s="4">
        <v>0</v>
      </c>
      <c r="U897" s="4">
        <v>179537</v>
      </c>
      <c r="V897" s="4">
        <v>145527</v>
      </c>
      <c r="W897" s="4">
        <v>22054</v>
      </c>
      <c r="X897" s="4">
        <v>9438</v>
      </c>
      <c r="Y897" s="4" t="s">
        <v>41</v>
      </c>
      <c r="Z897" s="4">
        <v>75</v>
      </c>
      <c r="AA897" s="4">
        <v>3</v>
      </c>
      <c r="AB897" s="4" t="s">
        <v>52</v>
      </c>
    </row>
    <row r="898" spans="1:28" x14ac:dyDescent="0.25">
      <c r="A898" s="2" t="s">
        <v>1592</v>
      </c>
      <c r="B898" s="2" t="s">
        <v>1520</v>
      </c>
      <c r="C898" s="2">
        <v>26</v>
      </c>
      <c r="D898" s="2" t="s">
        <v>55</v>
      </c>
      <c r="E898" s="2" t="s">
        <v>79</v>
      </c>
      <c r="F898" s="2" t="s">
        <v>129</v>
      </c>
      <c r="G898" s="3">
        <v>45271</v>
      </c>
      <c r="H898" s="3">
        <v>45276</v>
      </c>
      <c r="I898" s="2">
        <v>5</v>
      </c>
      <c r="J898" s="2" t="s">
        <v>33</v>
      </c>
      <c r="K898" s="2" t="s">
        <v>47</v>
      </c>
      <c r="L898" s="2" t="s">
        <v>48</v>
      </c>
      <c r="M898" s="2" t="s">
        <v>108</v>
      </c>
      <c r="N898" s="2" t="s">
        <v>62</v>
      </c>
      <c r="O898" s="2" t="s">
        <v>673</v>
      </c>
      <c r="P898" s="2">
        <v>251</v>
      </c>
      <c r="Q898" s="2" t="s">
        <v>50</v>
      </c>
      <c r="R898" s="2" t="s">
        <v>51</v>
      </c>
      <c r="S898" s="2">
        <v>45266</v>
      </c>
      <c r="T898" s="2">
        <v>22669</v>
      </c>
      <c r="U898" s="2">
        <v>22597</v>
      </c>
      <c r="V898" s="2">
        <v>27028</v>
      </c>
      <c r="W898" s="2">
        <v>15700</v>
      </c>
      <c r="X898" s="2">
        <v>1590</v>
      </c>
      <c r="Y898" s="2" t="s">
        <v>91</v>
      </c>
      <c r="Z898" s="2">
        <v>94</v>
      </c>
      <c r="AA898" s="2">
        <v>3.9</v>
      </c>
      <c r="AB898" s="2" t="s">
        <v>52</v>
      </c>
    </row>
    <row r="899" spans="1:28" x14ac:dyDescent="0.25">
      <c r="A899" s="4" t="s">
        <v>1593</v>
      </c>
      <c r="B899" s="4" t="s">
        <v>620</v>
      </c>
      <c r="C899" s="4">
        <v>16</v>
      </c>
      <c r="D899" s="4" t="s">
        <v>30</v>
      </c>
      <c r="E899" s="4" t="s">
        <v>87</v>
      </c>
      <c r="F899" s="4" t="s">
        <v>150</v>
      </c>
      <c r="G899" s="5">
        <v>45191</v>
      </c>
      <c r="H899" s="5">
        <v>45200</v>
      </c>
      <c r="I899" s="4">
        <v>9</v>
      </c>
      <c r="J899" s="4" t="s">
        <v>33</v>
      </c>
      <c r="K899" s="4" t="s">
        <v>174</v>
      </c>
      <c r="L899" s="4" t="s">
        <v>48</v>
      </c>
      <c r="M899" s="4" t="s">
        <v>95</v>
      </c>
      <c r="N899" s="4" t="s">
        <v>109</v>
      </c>
      <c r="O899" s="4" t="s">
        <v>355</v>
      </c>
      <c r="P899" s="4">
        <v>153</v>
      </c>
      <c r="Q899" s="4" t="s">
        <v>103</v>
      </c>
      <c r="R899" s="4" t="s">
        <v>51</v>
      </c>
      <c r="S899" s="4">
        <v>105645</v>
      </c>
      <c r="T899" s="4">
        <v>46032</v>
      </c>
      <c r="U899" s="4">
        <v>59613</v>
      </c>
      <c r="V899" s="4">
        <v>82541</v>
      </c>
      <c r="W899" s="4">
        <v>4674</v>
      </c>
      <c r="X899" s="4">
        <v>14152</v>
      </c>
      <c r="Y899" s="4" t="s">
        <v>41</v>
      </c>
      <c r="Z899" s="4">
        <v>84</v>
      </c>
      <c r="AA899" s="4">
        <v>4.4000000000000004</v>
      </c>
      <c r="AB899" s="4" t="s">
        <v>42</v>
      </c>
    </row>
    <row r="900" spans="1:28" x14ac:dyDescent="0.25">
      <c r="A900" s="2" t="s">
        <v>1594</v>
      </c>
      <c r="B900" s="2" t="s">
        <v>1595</v>
      </c>
      <c r="C900" s="2">
        <v>38</v>
      </c>
      <c r="D900" s="2" t="s">
        <v>30</v>
      </c>
      <c r="E900" s="2" t="s">
        <v>31</v>
      </c>
      <c r="F900" s="2" t="s">
        <v>57</v>
      </c>
      <c r="G900" s="3">
        <v>45244</v>
      </c>
      <c r="H900" s="3">
        <v>45252</v>
      </c>
      <c r="I900" s="2">
        <v>8</v>
      </c>
      <c r="J900" s="2" t="s">
        <v>33</v>
      </c>
      <c r="K900" s="2" t="s">
        <v>174</v>
      </c>
      <c r="L900" s="2" t="s">
        <v>48</v>
      </c>
      <c r="M900" s="2" t="s">
        <v>75</v>
      </c>
      <c r="N900" s="2" t="s">
        <v>62</v>
      </c>
      <c r="O900" s="2" t="s">
        <v>595</v>
      </c>
      <c r="P900" s="2">
        <v>64</v>
      </c>
      <c r="Q900" s="2" t="s">
        <v>39</v>
      </c>
      <c r="R900" s="2" t="s">
        <v>111</v>
      </c>
      <c r="S900" s="2">
        <v>70894</v>
      </c>
      <c r="T900" s="2">
        <v>57177</v>
      </c>
      <c r="U900" s="2">
        <v>13717</v>
      </c>
      <c r="V900" s="2">
        <v>26796</v>
      </c>
      <c r="W900" s="2">
        <v>29634</v>
      </c>
      <c r="X900" s="2">
        <v>13402</v>
      </c>
      <c r="Y900" s="2" t="s">
        <v>41</v>
      </c>
      <c r="Z900" s="2">
        <v>81</v>
      </c>
      <c r="AA900" s="2">
        <v>3.6</v>
      </c>
      <c r="AB900" s="2" t="s">
        <v>42</v>
      </c>
    </row>
    <row r="901" spans="1:28" x14ac:dyDescent="0.25">
      <c r="A901" s="4" t="s">
        <v>1596</v>
      </c>
      <c r="B901" s="4" t="s">
        <v>113</v>
      </c>
      <c r="C901" s="4">
        <v>9</v>
      </c>
      <c r="D901" s="4" t="s">
        <v>30</v>
      </c>
      <c r="E901" s="4" t="s">
        <v>154</v>
      </c>
      <c r="F901" s="4" t="s">
        <v>94</v>
      </c>
      <c r="G901" s="5">
        <v>44701</v>
      </c>
      <c r="H901" s="5">
        <v>44713</v>
      </c>
      <c r="I901" s="4">
        <v>12</v>
      </c>
      <c r="J901" s="4" t="s">
        <v>123</v>
      </c>
      <c r="K901" s="4" t="s">
        <v>124</v>
      </c>
      <c r="L901" s="4" t="s">
        <v>125</v>
      </c>
      <c r="M901" s="4" t="s">
        <v>75</v>
      </c>
      <c r="N901" s="4" t="s">
        <v>37</v>
      </c>
      <c r="O901" s="4" t="s">
        <v>151</v>
      </c>
      <c r="P901" s="4">
        <v>147</v>
      </c>
      <c r="Q901" s="4" t="s">
        <v>103</v>
      </c>
      <c r="R901" s="4" t="s">
        <v>40</v>
      </c>
      <c r="S901" s="4">
        <v>115843</v>
      </c>
      <c r="T901" s="4">
        <v>52646</v>
      </c>
      <c r="U901" s="4">
        <v>63197</v>
      </c>
      <c r="V901" s="4">
        <v>87829</v>
      </c>
      <c r="W901" s="4">
        <v>23422</v>
      </c>
      <c r="X901" s="4">
        <v>1525</v>
      </c>
      <c r="Y901" s="4" t="s">
        <v>41</v>
      </c>
      <c r="Z901" s="4">
        <v>59</v>
      </c>
      <c r="AA901" s="4">
        <v>3.2</v>
      </c>
      <c r="AB901" s="4" t="s">
        <v>64</v>
      </c>
    </row>
    <row r="902" spans="1:28" x14ac:dyDescent="0.25">
      <c r="A902" s="2" t="s">
        <v>1597</v>
      </c>
      <c r="B902" s="2" t="s">
        <v>427</v>
      </c>
      <c r="C902" s="2">
        <v>33</v>
      </c>
      <c r="D902" s="2" t="s">
        <v>30</v>
      </c>
      <c r="E902" s="2" t="s">
        <v>122</v>
      </c>
      <c r="F902" s="2" t="s">
        <v>157</v>
      </c>
      <c r="G902" s="3">
        <v>45610</v>
      </c>
      <c r="H902" s="3">
        <v>45629</v>
      </c>
      <c r="I902" s="2">
        <v>19</v>
      </c>
      <c r="J902" s="2" t="s">
        <v>33</v>
      </c>
      <c r="K902" s="2" t="s">
        <v>34</v>
      </c>
      <c r="L902" s="2" t="s">
        <v>35</v>
      </c>
      <c r="M902" s="2" t="s">
        <v>108</v>
      </c>
      <c r="N902" s="2" t="s">
        <v>37</v>
      </c>
      <c r="O902" s="2" t="s">
        <v>168</v>
      </c>
      <c r="P902" s="2">
        <v>143</v>
      </c>
      <c r="Q902" s="2" t="s">
        <v>103</v>
      </c>
      <c r="R902" s="2" t="s">
        <v>111</v>
      </c>
      <c r="S902" s="2">
        <v>65537</v>
      </c>
      <c r="T902" s="2">
        <v>53917</v>
      </c>
      <c r="U902" s="2">
        <v>11620</v>
      </c>
      <c r="V902" s="2">
        <v>27969</v>
      </c>
      <c r="W902" s="2">
        <v>25091</v>
      </c>
      <c r="X902" s="2">
        <v>8351</v>
      </c>
      <c r="Y902" s="2" t="s">
        <v>41</v>
      </c>
      <c r="Z902" s="2">
        <v>77</v>
      </c>
      <c r="AA902" s="2">
        <v>4.4000000000000004</v>
      </c>
      <c r="AB902" s="2" t="s">
        <v>42</v>
      </c>
    </row>
    <row r="903" spans="1:28" x14ac:dyDescent="0.25">
      <c r="A903" s="4" t="s">
        <v>1598</v>
      </c>
      <c r="B903" s="4" t="s">
        <v>270</v>
      </c>
      <c r="C903" s="4">
        <v>44</v>
      </c>
      <c r="D903" s="4" t="s">
        <v>55</v>
      </c>
      <c r="E903" s="4" t="s">
        <v>31</v>
      </c>
      <c r="F903" s="4" t="s">
        <v>114</v>
      </c>
      <c r="G903" s="5">
        <v>44841</v>
      </c>
      <c r="H903" s="5">
        <v>44860</v>
      </c>
      <c r="I903" s="4">
        <v>19</v>
      </c>
      <c r="J903" s="4" t="s">
        <v>33</v>
      </c>
      <c r="K903" s="4" t="s">
        <v>233</v>
      </c>
      <c r="L903" s="4" t="s">
        <v>35</v>
      </c>
      <c r="M903" s="4" t="s">
        <v>134</v>
      </c>
      <c r="N903" s="4" t="s">
        <v>37</v>
      </c>
      <c r="O903" s="4" t="s">
        <v>63</v>
      </c>
      <c r="P903" s="4">
        <v>498</v>
      </c>
      <c r="Q903" s="4" t="s">
        <v>50</v>
      </c>
      <c r="R903" s="4" t="s">
        <v>90</v>
      </c>
      <c r="S903" s="4">
        <v>38716</v>
      </c>
      <c r="T903" s="4">
        <v>23790</v>
      </c>
      <c r="U903" s="4">
        <v>14926</v>
      </c>
      <c r="V903" s="4">
        <v>12600</v>
      </c>
      <c r="W903" s="4">
        <v>23593</v>
      </c>
      <c r="X903" s="4">
        <v>1105</v>
      </c>
      <c r="Y903" s="4" t="s">
        <v>41</v>
      </c>
      <c r="Z903" s="4">
        <v>61</v>
      </c>
      <c r="AA903" s="4">
        <v>3.4</v>
      </c>
      <c r="AB903" s="4" t="s">
        <v>42</v>
      </c>
    </row>
    <row r="904" spans="1:28" x14ac:dyDescent="0.25">
      <c r="A904" s="2" t="s">
        <v>1599</v>
      </c>
      <c r="B904" s="2" t="s">
        <v>336</v>
      </c>
      <c r="C904" s="2">
        <v>34</v>
      </c>
      <c r="D904" s="2" t="s">
        <v>30</v>
      </c>
      <c r="E904" s="2" t="s">
        <v>154</v>
      </c>
      <c r="F904" s="2" t="s">
        <v>157</v>
      </c>
      <c r="G904" s="3">
        <v>44736</v>
      </c>
      <c r="H904" s="3">
        <v>44754</v>
      </c>
      <c r="I904" s="2">
        <v>18</v>
      </c>
      <c r="J904" s="2" t="s">
        <v>33</v>
      </c>
      <c r="K904" s="2" t="s">
        <v>233</v>
      </c>
      <c r="L904" s="2" t="s">
        <v>35</v>
      </c>
      <c r="M904" s="2" t="s">
        <v>75</v>
      </c>
      <c r="N904" s="2" t="s">
        <v>118</v>
      </c>
      <c r="O904" s="2" t="s">
        <v>455</v>
      </c>
      <c r="P904" s="2">
        <v>334</v>
      </c>
      <c r="Q904" s="2" t="s">
        <v>50</v>
      </c>
      <c r="R904" s="2" t="s">
        <v>111</v>
      </c>
      <c r="S904" s="2">
        <v>116380</v>
      </c>
      <c r="T904" s="2">
        <v>80216</v>
      </c>
      <c r="U904" s="2">
        <v>36164</v>
      </c>
      <c r="V904" s="2">
        <v>77596</v>
      </c>
      <c r="W904" s="2">
        <v>25121</v>
      </c>
      <c r="X904" s="2">
        <v>8931</v>
      </c>
      <c r="Y904" s="2" t="s">
        <v>41</v>
      </c>
      <c r="Z904" s="2">
        <v>97</v>
      </c>
      <c r="AA904" s="2">
        <v>4.5</v>
      </c>
      <c r="AB904" s="2" t="s">
        <v>42</v>
      </c>
    </row>
    <row r="905" spans="1:28" x14ac:dyDescent="0.25">
      <c r="A905" s="4" t="s">
        <v>1600</v>
      </c>
      <c r="B905" s="4" t="s">
        <v>856</v>
      </c>
      <c r="C905" s="4">
        <v>79</v>
      </c>
      <c r="D905" s="4" t="s">
        <v>30</v>
      </c>
      <c r="E905" s="4" t="s">
        <v>87</v>
      </c>
      <c r="F905" s="4" t="s">
        <v>129</v>
      </c>
      <c r="G905" s="5">
        <v>45321</v>
      </c>
      <c r="H905" s="5">
        <v>45348</v>
      </c>
      <c r="I905" s="4">
        <v>27</v>
      </c>
      <c r="J905" s="4" t="s">
        <v>33</v>
      </c>
      <c r="K905" s="4" t="s">
        <v>174</v>
      </c>
      <c r="L905" s="4" t="s">
        <v>48</v>
      </c>
      <c r="M905" s="4" t="s">
        <v>101</v>
      </c>
      <c r="N905" s="4" t="s">
        <v>118</v>
      </c>
      <c r="O905" s="4" t="s">
        <v>217</v>
      </c>
      <c r="P905" s="4">
        <v>485</v>
      </c>
      <c r="Q905" s="4" t="s">
        <v>69</v>
      </c>
      <c r="R905" s="4" t="s">
        <v>51</v>
      </c>
      <c r="S905" s="4">
        <v>29264</v>
      </c>
      <c r="T905" s="4">
        <v>15578</v>
      </c>
      <c r="U905" s="4">
        <v>13686</v>
      </c>
      <c r="V905" s="4">
        <v>18459</v>
      </c>
      <c r="W905" s="4">
        <v>6870</v>
      </c>
      <c r="X905" s="4">
        <v>2850</v>
      </c>
      <c r="Y905" s="4" t="s">
        <v>41</v>
      </c>
      <c r="Z905" s="4">
        <v>86</v>
      </c>
      <c r="AA905" s="4">
        <v>3.6</v>
      </c>
      <c r="AB905" s="4" t="s">
        <v>104</v>
      </c>
    </row>
    <row r="906" spans="1:28" x14ac:dyDescent="0.25">
      <c r="A906" s="2" t="s">
        <v>1601</v>
      </c>
      <c r="B906" s="2" t="s">
        <v>605</v>
      </c>
      <c r="C906" s="2">
        <v>43</v>
      </c>
      <c r="D906" s="2" t="s">
        <v>55</v>
      </c>
      <c r="E906" s="2" t="s">
        <v>87</v>
      </c>
      <c r="F906" s="2" t="s">
        <v>157</v>
      </c>
      <c r="G906" s="3">
        <v>45508</v>
      </c>
      <c r="H906" s="3">
        <v>45509</v>
      </c>
      <c r="I906" s="2">
        <v>1</v>
      </c>
      <c r="J906" s="2" t="s">
        <v>33</v>
      </c>
      <c r="K906" s="2" t="s">
        <v>47</v>
      </c>
      <c r="L906" s="2" t="s">
        <v>48</v>
      </c>
      <c r="M906" s="2" t="s">
        <v>75</v>
      </c>
      <c r="N906" s="2" t="s">
        <v>118</v>
      </c>
      <c r="O906" s="2" t="s">
        <v>399</v>
      </c>
      <c r="P906" s="2">
        <v>416</v>
      </c>
      <c r="Q906" s="2" t="s">
        <v>69</v>
      </c>
      <c r="R906" s="2" t="s">
        <v>136</v>
      </c>
      <c r="S906" s="2">
        <v>84412</v>
      </c>
      <c r="T906" s="2">
        <v>0</v>
      </c>
      <c r="U906" s="2">
        <v>84412</v>
      </c>
      <c r="V906" s="2">
        <v>59030</v>
      </c>
      <c r="W906" s="2">
        <v>14941</v>
      </c>
      <c r="X906" s="2">
        <v>8632</v>
      </c>
      <c r="Y906" s="2" t="s">
        <v>41</v>
      </c>
      <c r="Z906" s="2">
        <v>65</v>
      </c>
      <c r="AA906" s="2">
        <v>4.9000000000000004</v>
      </c>
      <c r="AB906" s="2" t="s">
        <v>104</v>
      </c>
    </row>
    <row r="907" spans="1:28" x14ac:dyDescent="0.25">
      <c r="A907" s="4" t="s">
        <v>1602</v>
      </c>
      <c r="B907" s="4" t="s">
        <v>919</v>
      </c>
      <c r="C907" s="4">
        <v>32</v>
      </c>
      <c r="D907" s="4" t="s">
        <v>55</v>
      </c>
      <c r="E907" s="4" t="s">
        <v>31</v>
      </c>
      <c r="F907" s="4" t="s">
        <v>94</v>
      </c>
      <c r="G907" s="5">
        <v>45591</v>
      </c>
      <c r="H907" s="5">
        <v>45602</v>
      </c>
      <c r="I907" s="4">
        <v>11</v>
      </c>
      <c r="J907" s="4" t="s">
        <v>33</v>
      </c>
      <c r="K907" s="4" t="s">
        <v>81</v>
      </c>
      <c r="L907" s="4" t="s">
        <v>82</v>
      </c>
      <c r="M907" s="4" t="s">
        <v>36</v>
      </c>
      <c r="N907" s="4" t="s">
        <v>62</v>
      </c>
      <c r="O907" s="4" t="s">
        <v>382</v>
      </c>
      <c r="P907" s="4">
        <v>313</v>
      </c>
      <c r="Q907" s="4" t="s">
        <v>103</v>
      </c>
      <c r="R907" s="4" t="s">
        <v>51</v>
      </c>
      <c r="S907" s="4">
        <v>42536</v>
      </c>
      <c r="T907" s="4">
        <v>28340</v>
      </c>
      <c r="U907" s="4">
        <v>14196</v>
      </c>
      <c r="V907" s="4">
        <v>25915</v>
      </c>
      <c r="W907" s="4">
        <v>10014</v>
      </c>
      <c r="X907" s="4">
        <v>6014</v>
      </c>
      <c r="Y907" s="4" t="s">
        <v>91</v>
      </c>
      <c r="Z907" s="4">
        <v>90</v>
      </c>
      <c r="AA907" s="4">
        <v>3.9</v>
      </c>
      <c r="AB907" s="4" t="s">
        <v>42</v>
      </c>
    </row>
    <row r="908" spans="1:28" x14ac:dyDescent="0.25">
      <c r="A908" s="2" t="s">
        <v>1603</v>
      </c>
      <c r="B908" s="2" t="s">
        <v>470</v>
      </c>
      <c r="C908" s="2">
        <v>18</v>
      </c>
      <c r="D908" s="2" t="s">
        <v>30</v>
      </c>
      <c r="E908" s="2" t="s">
        <v>87</v>
      </c>
      <c r="F908" s="2" t="s">
        <v>72</v>
      </c>
      <c r="G908" s="3">
        <v>44658</v>
      </c>
      <c r="H908" s="3">
        <v>44670</v>
      </c>
      <c r="I908" s="2">
        <v>12</v>
      </c>
      <c r="J908" s="2" t="s">
        <v>33</v>
      </c>
      <c r="K908" s="2" t="s">
        <v>47</v>
      </c>
      <c r="L908" s="2" t="s">
        <v>48</v>
      </c>
      <c r="M908" s="2" t="s">
        <v>75</v>
      </c>
      <c r="N908" s="2" t="s">
        <v>37</v>
      </c>
      <c r="O908" s="2" t="s">
        <v>431</v>
      </c>
      <c r="P908" s="2">
        <v>107</v>
      </c>
      <c r="Q908" s="2" t="s">
        <v>39</v>
      </c>
      <c r="R908" s="2" t="s">
        <v>136</v>
      </c>
      <c r="S908" s="2">
        <v>67168</v>
      </c>
      <c r="T908" s="2">
        <v>0</v>
      </c>
      <c r="U908" s="2">
        <v>67168</v>
      </c>
      <c r="V908" s="2">
        <v>28443</v>
      </c>
      <c r="W908" s="2">
        <v>21578</v>
      </c>
      <c r="X908" s="2">
        <v>14083</v>
      </c>
      <c r="Y908" s="2" t="s">
        <v>41</v>
      </c>
      <c r="Z908" s="2">
        <v>74</v>
      </c>
      <c r="AA908" s="2">
        <v>4.3</v>
      </c>
      <c r="AB908" s="2" t="s">
        <v>137</v>
      </c>
    </row>
    <row r="909" spans="1:28" x14ac:dyDescent="0.25">
      <c r="A909" s="4" t="s">
        <v>1604</v>
      </c>
      <c r="B909" s="4" t="s">
        <v>1011</v>
      </c>
      <c r="C909" s="4">
        <v>45</v>
      </c>
      <c r="D909" s="4" t="s">
        <v>55</v>
      </c>
      <c r="E909" s="4" t="s">
        <v>154</v>
      </c>
      <c r="F909" s="4" t="s">
        <v>114</v>
      </c>
      <c r="G909" s="5">
        <v>44602</v>
      </c>
      <c r="H909" s="5">
        <v>44626</v>
      </c>
      <c r="I909" s="4">
        <v>24</v>
      </c>
      <c r="J909" s="4" t="s">
        <v>33</v>
      </c>
      <c r="K909" s="4" t="s">
        <v>34</v>
      </c>
      <c r="L909" s="4" t="s">
        <v>35</v>
      </c>
      <c r="M909" s="4" t="s">
        <v>101</v>
      </c>
      <c r="N909" s="4" t="s">
        <v>109</v>
      </c>
      <c r="O909" s="4" t="s">
        <v>520</v>
      </c>
      <c r="P909" s="4">
        <v>6</v>
      </c>
      <c r="Q909" s="4" t="s">
        <v>39</v>
      </c>
      <c r="R909" s="4" t="s">
        <v>51</v>
      </c>
      <c r="S909" s="4">
        <v>81164</v>
      </c>
      <c r="T909" s="4">
        <v>39950</v>
      </c>
      <c r="U909" s="4">
        <v>41214</v>
      </c>
      <c r="V909" s="4">
        <v>37938</v>
      </c>
      <c r="W909" s="4">
        <v>28945</v>
      </c>
      <c r="X909" s="4">
        <v>9896</v>
      </c>
      <c r="Y909" s="4" t="s">
        <v>41</v>
      </c>
      <c r="Z909" s="4">
        <v>60</v>
      </c>
      <c r="AA909" s="4">
        <v>3</v>
      </c>
      <c r="AB909" s="4" t="s">
        <v>64</v>
      </c>
    </row>
    <row r="910" spans="1:28" x14ac:dyDescent="0.25">
      <c r="A910" s="2" t="s">
        <v>1605</v>
      </c>
      <c r="B910" s="2" t="s">
        <v>813</v>
      </c>
      <c r="C910" s="2">
        <v>10</v>
      </c>
      <c r="D910" s="2" t="s">
        <v>55</v>
      </c>
      <c r="E910" s="2" t="s">
        <v>45</v>
      </c>
      <c r="F910" s="2" t="s">
        <v>94</v>
      </c>
      <c r="G910" s="3">
        <v>44768</v>
      </c>
      <c r="H910" s="3">
        <v>44796</v>
      </c>
      <c r="I910" s="2">
        <v>28</v>
      </c>
      <c r="J910" s="2" t="s">
        <v>202</v>
      </c>
      <c r="K910" s="2" t="s">
        <v>225</v>
      </c>
      <c r="L910" s="2" t="s">
        <v>226</v>
      </c>
      <c r="M910" s="2" t="s">
        <v>130</v>
      </c>
      <c r="N910" s="2" t="s">
        <v>118</v>
      </c>
      <c r="O910" s="2" t="s">
        <v>497</v>
      </c>
      <c r="P910" s="2">
        <v>451</v>
      </c>
      <c r="Q910" s="2" t="s">
        <v>39</v>
      </c>
      <c r="R910" s="2" t="s">
        <v>136</v>
      </c>
      <c r="S910" s="2">
        <v>95283</v>
      </c>
      <c r="T910" s="2">
        <v>0</v>
      </c>
      <c r="U910" s="2">
        <v>95283</v>
      </c>
      <c r="V910" s="2">
        <v>60621</v>
      </c>
      <c r="W910" s="2">
        <v>24417</v>
      </c>
      <c r="X910" s="2">
        <v>8053</v>
      </c>
      <c r="Y910" s="2" t="s">
        <v>41</v>
      </c>
      <c r="Z910" s="2">
        <v>97</v>
      </c>
      <c r="AA910" s="2">
        <v>3</v>
      </c>
      <c r="AB910" s="2" t="s">
        <v>42</v>
      </c>
    </row>
    <row r="911" spans="1:28" x14ac:dyDescent="0.25">
      <c r="A911" s="4" t="s">
        <v>1606</v>
      </c>
      <c r="B911" s="4" t="s">
        <v>473</v>
      </c>
      <c r="C911" s="4">
        <v>53</v>
      </c>
      <c r="D911" s="4" t="s">
        <v>30</v>
      </c>
      <c r="E911" s="4" t="s">
        <v>154</v>
      </c>
      <c r="F911" s="4" t="s">
        <v>150</v>
      </c>
      <c r="G911" s="5">
        <v>44723</v>
      </c>
      <c r="H911" s="5">
        <v>44730</v>
      </c>
      <c r="I911" s="4">
        <v>7</v>
      </c>
      <c r="J911" s="4" t="s">
        <v>58</v>
      </c>
      <c r="K911" s="4" t="s">
        <v>88</v>
      </c>
      <c r="L911" s="4" t="s">
        <v>60</v>
      </c>
      <c r="M911" s="4" t="s">
        <v>101</v>
      </c>
      <c r="N911" s="4" t="s">
        <v>37</v>
      </c>
      <c r="O911" s="4" t="s">
        <v>382</v>
      </c>
      <c r="P911" s="4">
        <v>108</v>
      </c>
      <c r="Q911" s="4" t="s">
        <v>50</v>
      </c>
      <c r="R911" s="4" t="s">
        <v>40</v>
      </c>
      <c r="S911" s="4">
        <v>48750</v>
      </c>
      <c r="T911" s="4">
        <v>27464</v>
      </c>
      <c r="U911" s="4">
        <v>21286</v>
      </c>
      <c r="V911" s="4">
        <v>20821</v>
      </c>
      <c r="W911" s="4">
        <v>24078</v>
      </c>
      <c r="X911" s="4">
        <v>616</v>
      </c>
      <c r="Y911" s="4" t="s">
        <v>41</v>
      </c>
      <c r="Z911" s="4">
        <v>88</v>
      </c>
      <c r="AA911" s="4">
        <v>4.5</v>
      </c>
      <c r="AB911" s="4" t="s">
        <v>137</v>
      </c>
    </row>
    <row r="912" spans="1:28" x14ac:dyDescent="0.25">
      <c r="A912" s="2" t="s">
        <v>1607</v>
      </c>
      <c r="B912" s="2" t="s">
        <v>879</v>
      </c>
      <c r="C912" s="2">
        <v>42</v>
      </c>
      <c r="D912" s="2" t="s">
        <v>30</v>
      </c>
      <c r="E912" s="2" t="s">
        <v>31</v>
      </c>
      <c r="F912" s="2" t="s">
        <v>157</v>
      </c>
      <c r="G912" s="3">
        <v>45246</v>
      </c>
      <c r="H912" s="3">
        <v>45274</v>
      </c>
      <c r="I912" s="2">
        <v>28</v>
      </c>
      <c r="J912" s="2" t="s">
        <v>115</v>
      </c>
      <c r="K912" s="2" t="s">
        <v>116</v>
      </c>
      <c r="L912" s="2" t="s">
        <v>117</v>
      </c>
      <c r="M912" s="2" t="s">
        <v>61</v>
      </c>
      <c r="N912" s="2" t="s">
        <v>37</v>
      </c>
      <c r="O912" s="2" t="s">
        <v>147</v>
      </c>
      <c r="P912" s="2">
        <v>183</v>
      </c>
      <c r="Q912" s="2" t="s">
        <v>50</v>
      </c>
      <c r="R912" s="2" t="s">
        <v>90</v>
      </c>
      <c r="S912" s="2">
        <v>52761</v>
      </c>
      <c r="T912" s="2">
        <v>37875</v>
      </c>
      <c r="U912" s="2">
        <v>14886</v>
      </c>
      <c r="V912" s="2">
        <v>31545</v>
      </c>
      <c r="W912" s="2">
        <v>13446</v>
      </c>
      <c r="X912" s="2">
        <v>5254</v>
      </c>
      <c r="Y912" s="2" t="s">
        <v>41</v>
      </c>
      <c r="Z912" s="2">
        <v>42</v>
      </c>
      <c r="AA912" s="2">
        <v>4</v>
      </c>
      <c r="AB912" s="2" t="s">
        <v>42</v>
      </c>
    </row>
    <row r="913" spans="1:28" x14ac:dyDescent="0.25">
      <c r="A913" s="4" t="s">
        <v>1608</v>
      </c>
      <c r="B913" s="4" t="s">
        <v>870</v>
      </c>
      <c r="C913" s="4">
        <v>65</v>
      </c>
      <c r="D913" s="4" t="s">
        <v>30</v>
      </c>
      <c r="E913" s="4" t="s">
        <v>154</v>
      </c>
      <c r="F913" s="4" t="s">
        <v>150</v>
      </c>
      <c r="G913" s="5">
        <v>44619</v>
      </c>
      <c r="H913" s="5">
        <v>44647</v>
      </c>
      <c r="I913" s="4">
        <v>28</v>
      </c>
      <c r="J913" s="4" t="s">
        <v>123</v>
      </c>
      <c r="K913" s="4" t="s">
        <v>124</v>
      </c>
      <c r="L913" s="4" t="s">
        <v>125</v>
      </c>
      <c r="M913" s="4" t="s">
        <v>101</v>
      </c>
      <c r="N913" s="4" t="s">
        <v>37</v>
      </c>
      <c r="O913" s="4" t="s">
        <v>171</v>
      </c>
      <c r="P913" s="4">
        <v>3</v>
      </c>
      <c r="Q913" s="4" t="s">
        <v>50</v>
      </c>
      <c r="R913" s="4" t="s">
        <v>40</v>
      </c>
      <c r="S913" s="4">
        <v>99342</v>
      </c>
      <c r="T913" s="4">
        <v>50994</v>
      </c>
      <c r="U913" s="4">
        <v>48348</v>
      </c>
      <c r="V913" s="4">
        <v>82328</v>
      </c>
      <c r="W913" s="4">
        <v>6802</v>
      </c>
      <c r="X913" s="4">
        <v>9039</v>
      </c>
      <c r="Y913" s="4" t="s">
        <v>41</v>
      </c>
      <c r="Z913" s="4">
        <v>44</v>
      </c>
      <c r="AA913" s="4">
        <v>4.5</v>
      </c>
      <c r="AB913" s="4" t="s">
        <v>137</v>
      </c>
    </row>
    <row r="914" spans="1:28" x14ac:dyDescent="0.25">
      <c r="A914" s="2" t="s">
        <v>1609</v>
      </c>
      <c r="B914" s="2" t="s">
        <v>98</v>
      </c>
      <c r="C914" s="2">
        <v>18</v>
      </c>
      <c r="D914" s="2" t="s">
        <v>30</v>
      </c>
      <c r="E914" s="2" t="s">
        <v>45</v>
      </c>
      <c r="F914" s="2" t="s">
        <v>32</v>
      </c>
      <c r="G914" s="3">
        <v>45247</v>
      </c>
      <c r="H914" s="3">
        <v>45265</v>
      </c>
      <c r="I914" s="2">
        <v>18</v>
      </c>
      <c r="J914" s="2" t="s">
        <v>58</v>
      </c>
      <c r="K914" s="2" t="s">
        <v>59</v>
      </c>
      <c r="L914" s="2" t="s">
        <v>60</v>
      </c>
      <c r="M914" s="2" t="s">
        <v>134</v>
      </c>
      <c r="N914" s="2" t="s">
        <v>62</v>
      </c>
      <c r="O914" s="2" t="s">
        <v>282</v>
      </c>
      <c r="P914" s="2">
        <v>20</v>
      </c>
      <c r="Q914" s="2" t="s">
        <v>39</v>
      </c>
      <c r="R914" s="2" t="s">
        <v>51</v>
      </c>
      <c r="S914" s="2">
        <v>156630</v>
      </c>
      <c r="T914" s="2">
        <v>108707</v>
      </c>
      <c r="U914" s="2">
        <v>47923</v>
      </c>
      <c r="V914" s="2">
        <v>148356</v>
      </c>
      <c r="W914" s="2">
        <v>1040</v>
      </c>
      <c r="X914" s="2">
        <v>2717</v>
      </c>
      <c r="Y914" s="2" t="s">
        <v>91</v>
      </c>
      <c r="Z914" s="2">
        <v>49</v>
      </c>
      <c r="AA914" s="2">
        <v>3.5</v>
      </c>
      <c r="AB914" s="2" t="s">
        <v>64</v>
      </c>
    </row>
    <row r="915" spans="1:28" x14ac:dyDescent="0.25">
      <c r="A915" s="4" t="s">
        <v>1610</v>
      </c>
      <c r="B915" s="4" t="s">
        <v>1159</v>
      </c>
      <c r="C915" s="4">
        <v>70</v>
      </c>
      <c r="D915" s="4" t="s">
        <v>55</v>
      </c>
      <c r="E915" s="4" t="s">
        <v>79</v>
      </c>
      <c r="F915" s="4" t="s">
        <v>46</v>
      </c>
      <c r="G915" s="5">
        <v>45116</v>
      </c>
      <c r="H915" s="5">
        <v>45131</v>
      </c>
      <c r="I915" s="4">
        <v>15</v>
      </c>
      <c r="J915" s="4" t="s">
        <v>33</v>
      </c>
      <c r="K915" s="4" t="s">
        <v>34</v>
      </c>
      <c r="L915" s="4" t="s">
        <v>35</v>
      </c>
      <c r="M915" s="4" t="s">
        <v>101</v>
      </c>
      <c r="N915" s="4" t="s">
        <v>109</v>
      </c>
      <c r="O915" s="4" t="s">
        <v>950</v>
      </c>
      <c r="P915" s="4">
        <v>407</v>
      </c>
      <c r="Q915" s="4" t="s">
        <v>39</v>
      </c>
      <c r="R915" s="4" t="s">
        <v>90</v>
      </c>
      <c r="S915" s="4">
        <v>147214</v>
      </c>
      <c r="T915" s="4">
        <v>106806</v>
      </c>
      <c r="U915" s="4">
        <v>40408</v>
      </c>
      <c r="V915" s="4">
        <v>112940</v>
      </c>
      <c r="W915" s="4">
        <v>19845</v>
      </c>
      <c r="X915" s="4">
        <v>13562</v>
      </c>
      <c r="Y915" s="4" t="s">
        <v>41</v>
      </c>
      <c r="Z915" s="4">
        <v>84</v>
      </c>
      <c r="AA915" s="4">
        <v>4.3</v>
      </c>
      <c r="AB915" s="4" t="s">
        <v>42</v>
      </c>
    </row>
    <row r="916" spans="1:28" x14ac:dyDescent="0.25">
      <c r="A916" s="2" t="s">
        <v>1611</v>
      </c>
      <c r="B916" s="2" t="s">
        <v>1612</v>
      </c>
      <c r="C916" s="2">
        <v>77</v>
      </c>
      <c r="D916" s="2" t="s">
        <v>55</v>
      </c>
      <c r="E916" s="2" t="s">
        <v>154</v>
      </c>
      <c r="F916" s="2" t="s">
        <v>94</v>
      </c>
      <c r="G916" s="3">
        <v>45131</v>
      </c>
      <c r="H916" s="3">
        <v>45151</v>
      </c>
      <c r="I916" s="2">
        <v>20</v>
      </c>
      <c r="J916" s="2" t="s">
        <v>202</v>
      </c>
      <c r="K916" s="2" t="s">
        <v>225</v>
      </c>
      <c r="L916" s="2" t="s">
        <v>226</v>
      </c>
      <c r="M916" s="2" t="s">
        <v>134</v>
      </c>
      <c r="N916" s="2" t="s">
        <v>118</v>
      </c>
      <c r="O916" s="2" t="s">
        <v>282</v>
      </c>
      <c r="P916" s="2">
        <v>439</v>
      </c>
      <c r="Q916" s="2" t="s">
        <v>39</v>
      </c>
      <c r="R916" s="2" t="s">
        <v>136</v>
      </c>
      <c r="S916" s="2">
        <v>181013</v>
      </c>
      <c r="T916" s="2">
        <v>0</v>
      </c>
      <c r="U916" s="2">
        <v>181013</v>
      </c>
      <c r="V916" s="2">
        <v>145938</v>
      </c>
      <c r="W916" s="2">
        <v>25530</v>
      </c>
      <c r="X916" s="2">
        <v>7933</v>
      </c>
      <c r="Y916" s="2" t="s">
        <v>41</v>
      </c>
      <c r="Z916" s="2">
        <v>47</v>
      </c>
      <c r="AA916" s="2">
        <v>3.4</v>
      </c>
      <c r="AB916" s="2" t="s">
        <v>64</v>
      </c>
    </row>
    <row r="917" spans="1:28" x14ac:dyDescent="0.25">
      <c r="A917" s="4" t="s">
        <v>1613</v>
      </c>
      <c r="B917" s="4" t="s">
        <v>1614</v>
      </c>
      <c r="C917" s="4">
        <v>75</v>
      </c>
      <c r="D917" s="4" t="s">
        <v>55</v>
      </c>
      <c r="E917" s="4" t="s">
        <v>56</v>
      </c>
      <c r="F917" s="4" t="s">
        <v>114</v>
      </c>
      <c r="G917" s="5">
        <v>45116</v>
      </c>
      <c r="H917" s="5">
        <v>45141</v>
      </c>
      <c r="I917" s="4">
        <v>25</v>
      </c>
      <c r="J917" s="4" t="s">
        <v>33</v>
      </c>
      <c r="K917" s="4" t="s">
        <v>197</v>
      </c>
      <c r="L917" s="4" t="s">
        <v>198</v>
      </c>
      <c r="M917" s="4" t="s">
        <v>134</v>
      </c>
      <c r="N917" s="4" t="s">
        <v>109</v>
      </c>
      <c r="O917" s="4" t="s">
        <v>259</v>
      </c>
      <c r="P917" s="4">
        <v>390</v>
      </c>
      <c r="Q917" s="4" t="s">
        <v>69</v>
      </c>
      <c r="R917" s="4" t="s">
        <v>51</v>
      </c>
      <c r="S917" s="4">
        <v>155914</v>
      </c>
      <c r="T917" s="4">
        <v>83095</v>
      </c>
      <c r="U917" s="4">
        <v>72819</v>
      </c>
      <c r="V917" s="4">
        <v>134346</v>
      </c>
      <c r="W917" s="4">
        <v>7735</v>
      </c>
      <c r="X917" s="4">
        <v>9484</v>
      </c>
      <c r="Y917" s="4" t="s">
        <v>41</v>
      </c>
      <c r="Z917" s="4">
        <v>72</v>
      </c>
      <c r="AA917" s="4">
        <v>2.7</v>
      </c>
      <c r="AB917" s="4" t="s">
        <v>64</v>
      </c>
    </row>
    <row r="918" spans="1:28" x14ac:dyDescent="0.25">
      <c r="A918" s="2" t="s">
        <v>1615</v>
      </c>
      <c r="B918" s="2" t="s">
        <v>450</v>
      </c>
      <c r="C918" s="2">
        <v>41</v>
      </c>
      <c r="D918" s="2" t="s">
        <v>30</v>
      </c>
      <c r="E918" s="2" t="s">
        <v>87</v>
      </c>
      <c r="F918" s="2" t="s">
        <v>57</v>
      </c>
      <c r="G918" s="3">
        <v>45076</v>
      </c>
      <c r="H918" s="3">
        <v>45080</v>
      </c>
      <c r="I918" s="2">
        <v>4</v>
      </c>
      <c r="J918" s="2" t="s">
        <v>73</v>
      </c>
      <c r="K918" s="2" t="s">
        <v>74</v>
      </c>
      <c r="L918" s="2" t="s">
        <v>73</v>
      </c>
      <c r="M918" s="2" t="s">
        <v>101</v>
      </c>
      <c r="N918" s="2" t="s">
        <v>62</v>
      </c>
      <c r="O918" s="2" t="s">
        <v>520</v>
      </c>
      <c r="P918" s="2">
        <v>483</v>
      </c>
      <c r="Q918" s="2" t="s">
        <v>50</v>
      </c>
      <c r="R918" s="2" t="s">
        <v>40</v>
      </c>
      <c r="S918" s="2">
        <v>182319</v>
      </c>
      <c r="T918" s="2">
        <v>125945</v>
      </c>
      <c r="U918" s="2">
        <v>56374</v>
      </c>
      <c r="V918" s="2">
        <v>139388</v>
      </c>
      <c r="W918" s="2">
        <v>28063</v>
      </c>
      <c r="X918" s="2">
        <v>10935</v>
      </c>
      <c r="Y918" s="2" t="s">
        <v>41</v>
      </c>
      <c r="Z918" s="2">
        <v>48</v>
      </c>
      <c r="AA918" s="2">
        <v>3.2</v>
      </c>
      <c r="AB918" s="2" t="s">
        <v>52</v>
      </c>
    </row>
    <row r="919" spans="1:28" x14ac:dyDescent="0.25">
      <c r="A919" s="4" t="s">
        <v>1616</v>
      </c>
      <c r="B919" s="4" t="s">
        <v>149</v>
      </c>
      <c r="C919" s="4">
        <v>10</v>
      </c>
      <c r="D919" s="4" t="s">
        <v>30</v>
      </c>
      <c r="E919" s="4" t="s">
        <v>56</v>
      </c>
      <c r="F919" s="4" t="s">
        <v>129</v>
      </c>
      <c r="G919" s="5">
        <v>45038</v>
      </c>
      <c r="H919" s="5">
        <v>45067</v>
      </c>
      <c r="I919" s="4">
        <v>29</v>
      </c>
      <c r="J919" s="4" t="s">
        <v>202</v>
      </c>
      <c r="K919" s="4" t="s">
        <v>203</v>
      </c>
      <c r="L919" s="4" t="s">
        <v>204</v>
      </c>
      <c r="M919" s="4" t="s">
        <v>130</v>
      </c>
      <c r="N919" s="4" t="s">
        <v>118</v>
      </c>
      <c r="O919" s="4" t="s">
        <v>189</v>
      </c>
      <c r="P919" s="4">
        <v>69</v>
      </c>
      <c r="Q919" s="4" t="s">
        <v>69</v>
      </c>
      <c r="R919" s="4" t="s">
        <v>136</v>
      </c>
      <c r="S919" s="4">
        <v>83225</v>
      </c>
      <c r="T919" s="4">
        <v>0</v>
      </c>
      <c r="U919" s="4">
        <v>83225</v>
      </c>
      <c r="V919" s="4">
        <v>78268</v>
      </c>
      <c r="W919" s="4">
        <v>3172</v>
      </c>
      <c r="X919" s="4">
        <v>822</v>
      </c>
      <c r="Y919" s="4" t="s">
        <v>41</v>
      </c>
      <c r="Z919" s="4">
        <v>71</v>
      </c>
      <c r="AA919" s="4">
        <v>4.0999999999999996</v>
      </c>
      <c r="AB919" s="4" t="s">
        <v>52</v>
      </c>
    </row>
    <row r="920" spans="1:28" x14ac:dyDescent="0.25">
      <c r="A920" s="2" t="s">
        <v>1617</v>
      </c>
      <c r="B920" s="2" t="s">
        <v>261</v>
      </c>
      <c r="C920" s="2">
        <v>32</v>
      </c>
      <c r="D920" s="2" t="s">
        <v>55</v>
      </c>
      <c r="E920" s="2" t="s">
        <v>79</v>
      </c>
      <c r="F920" s="2" t="s">
        <v>80</v>
      </c>
      <c r="G920" s="3">
        <v>45053</v>
      </c>
      <c r="H920" s="3">
        <v>45080</v>
      </c>
      <c r="I920" s="2">
        <v>27</v>
      </c>
      <c r="J920" s="2" t="s">
        <v>33</v>
      </c>
      <c r="K920" s="2" t="s">
        <v>99</v>
      </c>
      <c r="L920" s="2" t="s">
        <v>100</v>
      </c>
      <c r="M920" s="2" t="s">
        <v>130</v>
      </c>
      <c r="N920" s="2" t="s">
        <v>37</v>
      </c>
      <c r="O920" s="2" t="s">
        <v>326</v>
      </c>
      <c r="P920" s="2">
        <v>51</v>
      </c>
      <c r="Q920" s="2" t="s">
        <v>39</v>
      </c>
      <c r="R920" s="2" t="s">
        <v>40</v>
      </c>
      <c r="S920" s="2">
        <v>105309</v>
      </c>
      <c r="T920" s="2">
        <v>60681</v>
      </c>
      <c r="U920" s="2">
        <v>44628</v>
      </c>
      <c r="V920" s="2">
        <v>77626</v>
      </c>
      <c r="W920" s="2">
        <v>18825</v>
      </c>
      <c r="X920" s="2">
        <v>8128</v>
      </c>
      <c r="Y920" s="2" t="s">
        <v>41</v>
      </c>
      <c r="Z920" s="2">
        <v>70</v>
      </c>
      <c r="AA920" s="2">
        <v>2.5</v>
      </c>
      <c r="AB920" s="2" t="s">
        <v>137</v>
      </c>
    </row>
    <row r="921" spans="1:28" x14ac:dyDescent="0.25">
      <c r="A921" s="4" t="s">
        <v>1618</v>
      </c>
      <c r="B921" s="4" t="s">
        <v>1300</v>
      </c>
      <c r="C921" s="4">
        <v>57</v>
      </c>
      <c r="D921" s="4" t="s">
        <v>55</v>
      </c>
      <c r="E921" s="4" t="s">
        <v>154</v>
      </c>
      <c r="F921" s="4" t="s">
        <v>129</v>
      </c>
      <c r="G921" s="5">
        <v>45326</v>
      </c>
      <c r="H921" s="5">
        <v>45329</v>
      </c>
      <c r="I921" s="4">
        <v>3</v>
      </c>
      <c r="J921" s="4" t="s">
        <v>33</v>
      </c>
      <c r="K921" s="4" t="s">
        <v>174</v>
      </c>
      <c r="L921" s="4" t="s">
        <v>48</v>
      </c>
      <c r="M921" s="4" t="s">
        <v>143</v>
      </c>
      <c r="N921" s="4" t="s">
        <v>109</v>
      </c>
      <c r="O921" s="4" t="s">
        <v>246</v>
      </c>
      <c r="P921" s="4">
        <v>136</v>
      </c>
      <c r="Q921" s="4" t="s">
        <v>39</v>
      </c>
      <c r="R921" s="4" t="s">
        <v>40</v>
      </c>
      <c r="S921" s="4">
        <v>126298</v>
      </c>
      <c r="T921" s="4">
        <v>81908</v>
      </c>
      <c r="U921" s="4">
        <v>44390</v>
      </c>
      <c r="V921" s="4">
        <v>114894</v>
      </c>
      <c r="W921" s="4">
        <v>4266</v>
      </c>
      <c r="X921" s="4">
        <v>2267</v>
      </c>
      <c r="Y921" s="4" t="s">
        <v>91</v>
      </c>
      <c r="Z921" s="4">
        <v>52</v>
      </c>
      <c r="AA921" s="4">
        <v>2.9</v>
      </c>
      <c r="AB921" s="4" t="s">
        <v>42</v>
      </c>
    </row>
    <row r="922" spans="1:28" x14ac:dyDescent="0.25">
      <c r="A922" s="2" t="s">
        <v>1619</v>
      </c>
      <c r="B922" s="2" t="s">
        <v>749</v>
      </c>
      <c r="C922" s="2">
        <v>53</v>
      </c>
      <c r="D922" s="2" t="s">
        <v>55</v>
      </c>
      <c r="E922" s="2" t="s">
        <v>122</v>
      </c>
      <c r="F922" s="2" t="s">
        <v>150</v>
      </c>
      <c r="G922" s="3">
        <v>44586</v>
      </c>
      <c r="H922" s="3">
        <v>44591</v>
      </c>
      <c r="I922" s="2">
        <v>5</v>
      </c>
      <c r="J922" s="2" t="s">
        <v>33</v>
      </c>
      <c r="K922" s="2" t="s">
        <v>99</v>
      </c>
      <c r="L922" s="2" t="s">
        <v>100</v>
      </c>
      <c r="M922" s="2" t="s">
        <v>83</v>
      </c>
      <c r="N922" s="2" t="s">
        <v>109</v>
      </c>
      <c r="O922" s="2" t="s">
        <v>208</v>
      </c>
      <c r="P922" s="2">
        <v>399</v>
      </c>
      <c r="Q922" s="2" t="s">
        <v>69</v>
      </c>
      <c r="R922" s="2" t="s">
        <v>90</v>
      </c>
      <c r="S922" s="2">
        <v>135335</v>
      </c>
      <c r="T922" s="2">
        <v>97073</v>
      </c>
      <c r="U922" s="2">
        <v>38262</v>
      </c>
      <c r="V922" s="2">
        <v>92876</v>
      </c>
      <c r="W922" s="2">
        <v>26540</v>
      </c>
      <c r="X922" s="2">
        <v>13483</v>
      </c>
      <c r="Y922" s="2" t="s">
        <v>41</v>
      </c>
      <c r="Z922" s="2">
        <v>86</v>
      </c>
      <c r="AA922" s="2">
        <v>2.4</v>
      </c>
      <c r="AB922" s="2" t="s">
        <v>42</v>
      </c>
    </row>
    <row r="923" spans="1:28" x14ac:dyDescent="0.25">
      <c r="A923" s="4" t="s">
        <v>1620</v>
      </c>
      <c r="B923" s="4" t="s">
        <v>826</v>
      </c>
      <c r="C923" s="4">
        <v>57</v>
      </c>
      <c r="D923" s="4" t="s">
        <v>55</v>
      </c>
      <c r="E923" s="4" t="s">
        <v>122</v>
      </c>
      <c r="F923" s="4" t="s">
        <v>80</v>
      </c>
      <c r="G923" s="5">
        <v>45514</v>
      </c>
      <c r="H923" s="5">
        <v>45530</v>
      </c>
      <c r="I923" s="4">
        <v>16</v>
      </c>
      <c r="J923" s="4" t="s">
        <v>33</v>
      </c>
      <c r="K923" s="4" t="s">
        <v>233</v>
      </c>
      <c r="L923" s="4" t="s">
        <v>35</v>
      </c>
      <c r="M923" s="4" t="s">
        <v>130</v>
      </c>
      <c r="N923" s="4" t="s">
        <v>62</v>
      </c>
      <c r="O923" s="4" t="s">
        <v>178</v>
      </c>
      <c r="P923" s="4">
        <v>125</v>
      </c>
      <c r="Q923" s="4" t="s">
        <v>39</v>
      </c>
      <c r="R923" s="4" t="s">
        <v>136</v>
      </c>
      <c r="S923" s="4">
        <v>27943</v>
      </c>
      <c r="T923" s="4">
        <v>0</v>
      </c>
      <c r="U923" s="4">
        <v>27943</v>
      </c>
      <c r="V923" s="4">
        <v>8230</v>
      </c>
      <c r="W923" s="4">
        <v>1851</v>
      </c>
      <c r="X923" s="4">
        <v>13583</v>
      </c>
      <c r="Y923" s="4" t="s">
        <v>41</v>
      </c>
      <c r="Z923" s="4">
        <v>69</v>
      </c>
      <c r="AA923" s="4">
        <v>2.2999999999999998</v>
      </c>
      <c r="AB923" s="4" t="s">
        <v>104</v>
      </c>
    </row>
    <row r="924" spans="1:28" x14ac:dyDescent="0.25">
      <c r="A924" s="2" t="s">
        <v>1621</v>
      </c>
      <c r="B924" s="2" t="s">
        <v>1002</v>
      </c>
      <c r="C924" s="2">
        <v>26</v>
      </c>
      <c r="D924" s="2" t="s">
        <v>55</v>
      </c>
      <c r="E924" s="2" t="s">
        <v>56</v>
      </c>
      <c r="F924" s="2" t="s">
        <v>157</v>
      </c>
      <c r="G924" s="3">
        <v>44980</v>
      </c>
      <c r="H924" s="3">
        <v>44998</v>
      </c>
      <c r="I924" s="2">
        <v>18</v>
      </c>
      <c r="J924" s="2" t="s">
        <v>115</v>
      </c>
      <c r="K924" s="2" t="s">
        <v>116</v>
      </c>
      <c r="L924" s="2" t="s">
        <v>117</v>
      </c>
      <c r="M924" s="2" t="s">
        <v>130</v>
      </c>
      <c r="N924" s="2" t="s">
        <v>37</v>
      </c>
      <c r="O924" s="2" t="s">
        <v>230</v>
      </c>
      <c r="P924" s="2">
        <v>254</v>
      </c>
      <c r="Q924" s="2" t="s">
        <v>39</v>
      </c>
      <c r="R924" s="2" t="s">
        <v>40</v>
      </c>
      <c r="S924" s="2">
        <v>54517</v>
      </c>
      <c r="T924" s="2">
        <v>26979</v>
      </c>
      <c r="U924" s="2">
        <v>27538</v>
      </c>
      <c r="V924" s="2">
        <v>36444</v>
      </c>
      <c r="W924" s="2">
        <v>1817</v>
      </c>
      <c r="X924" s="2">
        <v>13677</v>
      </c>
      <c r="Y924" s="2" t="s">
        <v>41</v>
      </c>
      <c r="Z924" s="2">
        <v>89</v>
      </c>
      <c r="AA924" s="2">
        <v>2.8</v>
      </c>
      <c r="AB924" s="2" t="s">
        <v>137</v>
      </c>
    </row>
    <row r="925" spans="1:28" x14ac:dyDescent="0.25">
      <c r="A925" s="4" t="s">
        <v>1622</v>
      </c>
      <c r="B925" s="4" t="s">
        <v>401</v>
      </c>
      <c r="C925" s="4">
        <v>68</v>
      </c>
      <c r="D925" s="4" t="s">
        <v>55</v>
      </c>
      <c r="E925" s="4" t="s">
        <v>154</v>
      </c>
      <c r="F925" s="4" t="s">
        <v>94</v>
      </c>
      <c r="G925" s="5">
        <v>44702</v>
      </c>
      <c r="H925" s="5">
        <v>44718</v>
      </c>
      <c r="I925" s="4">
        <v>16</v>
      </c>
      <c r="J925" s="4" t="s">
        <v>123</v>
      </c>
      <c r="K925" s="4" t="s">
        <v>251</v>
      </c>
      <c r="L925" s="4" t="s">
        <v>125</v>
      </c>
      <c r="M925" s="4" t="s">
        <v>134</v>
      </c>
      <c r="N925" s="4" t="s">
        <v>118</v>
      </c>
      <c r="O925" s="4" t="s">
        <v>126</v>
      </c>
      <c r="P925" s="4">
        <v>28</v>
      </c>
      <c r="Q925" s="4" t="s">
        <v>39</v>
      </c>
      <c r="R925" s="4" t="s">
        <v>40</v>
      </c>
      <c r="S925" s="4">
        <v>110767</v>
      </c>
      <c r="T925" s="4">
        <v>50410</v>
      </c>
      <c r="U925" s="4">
        <v>60357</v>
      </c>
      <c r="V925" s="4">
        <v>84045</v>
      </c>
      <c r="W925" s="4">
        <v>10605</v>
      </c>
      <c r="X925" s="4">
        <v>14538</v>
      </c>
      <c r="Y925" s="4" t="s">
        <v>91</v>
      </c>
      <c r="Z925" s="4">
        <v>81</v>
      </c>
      <c r="AA925" s="4">
        <v>3.2</v>
      </c>
      <c r="AB925" s="4" t="s">
        <v>64</v>
      </c>
    </row>
    <row r="926" spans="1:28" x14ac:dyDescent="0.25">
      <c r="A926" s="2" t="s">
        <v>1623</v>
      </c>
      <c r="B926" s="2" t="s">
        <v>466</v>
      </c>
      <c r="C926" s="2">
        <v>32</v>
      </c>
      <c r="D926" s="2" t="s">
        <v>30</v>
      </c>
      <c r="E926" s="2" t="s">
        <v>56</v>
      </c>
      <c r="F926" s="2" t="s">
        <v>129</v>
      </c>
      <c r="G926" s="3">
        <v>44596</v>
      </c>
      <c r="H926" s="3">
        <v>44615</v>
      </c>
      <c r="I926" s="2">
        <v>19</v>
      </c>
      <c r="J926" s="2" t="s">
        <v>140</v>
      </c>
      <c r="K926" s="2" t="s">
        <v>167</v>
      </c>
      <c r="L926" s="2" t="s">
        <v>142</v>
      </c>
      <c r="M926" s="2" t="s">
        <v>83</v>
      </c>
      <c r="N926" s="2" t="s">
        <v>37</v>
      </c>
      <c r="O926" s="2" t="s">
        <v>571</v>
      </c>
      <c r="P926" s="2">
        <v>316</v>
      </c>
      <c r="Q926" s="2" t="s">
        <v>69</v>
      </c>
      <c r="R926" s="2" t="s">
        <v>40</v>
      </c>
      <c r="S926" s="2">
        <v>82062</v>
      </c>
      <c r="T926" s="2">
        <v>40600</v>
      </c>
      <c r="U926" s="2">
        <v>41462</v>
      </c>
      <c r="V926" s="2">
        <v>52875</v>
      </c>
      <c r="W926" s="2">
        <v>14784</v>
      </c>
      <c r="X926" s="2">
        <v>11011</v>
      </c>
      <c r="Y926" s="2" t="s">
        <v>41</v>
      </c>
      <c r="Z926" s="2">
        <v>48</v>
      </c>
      <c r="AA926" s="2">
        <v>3.4</v>
      </c>
      <c r="AB926" s="2" t="s">
        <v>104</v>
      </c>
    </row>
    <row r="927" spans="1:28" x14ac:dyDescent="0.25">
      <c r="A927" s="4" t="s">
        <v>1624</v>
      </c>
      <c r="B927" s="4" t="s">
        <v>1002</v>
      </c>
      <c r="C927" s="4">
        <v>82</v>
      </c>
      <c r="D927" s="4" t="s">
        <v>30</v>
      </c>
      <c r="E927" s="4" t="s">
        <v>122</v>
      </c>
      <c r="F927" s="4" t="s">
        <v>129</v>
      </c>
      <c r="G927" s="5">
        <v>45115</v>
      </c>
      <c r="H927" s="5">
        <v>45127</v>
      </c>
      <c r="I927" s="4">
        <v>12</v>
      </c>
      <c r="J927" s="4" t="s">
        <v>58</v>
      </c>
      <c r="K927" s="4" t="s">
        <v>88</v>
      </c>
      <c r="L927" s="4" t="s">
        <v>60</v>
      </c>
      <c r="M927" s="4" t="s">
        <v>75</v>
      </c>
      <c r="N927" s="4" t="s">
        <v>118</v>
      </c>
      <c r="O927" s="4" t="s">
        <v>230</v>
      </c>
      <c r="P927" s="4">
        <v>19</v>
      </c>
      <c r="Q927" s="4" t="s">
        <v>39</v>
      </c>
      <c r="R927" s="4" t="s">
        <v>90</v>
      </c>
      <c r="S927" s="4">
        <v>65544</v>
      </c>
      <c r="T927" s="4">
        <v>45612</v>
      </c>
      <c r="U927" s="4">
        <v>19932</v>
      </c>
      <c r="V927" s="4">
        <v>32866</v>
      </c>
      <c r="W927" s="4">
        <v>19840</v>
      </c>
      <c r="X927" s="4">
        <v>11434</v>
      </c>
      <c r="Y927" s="4" t="s">
        <v>41</v>
      </c>
      <c r="Z927" s="4">
        <v>77</v>
      </c>
      <c r="AA927" s="4">
        <v>4.8</v>
      </c>
      <c r="AB927" s="4" t="s">
        <v>104</v>
      </c>
    </row>
    <row r="928" spans="1:28" x14ac:dyDescent="0.25">
      <c r="A928" s="2" t="s">
        <v>1625</v>
      </c>
      <c r="B928" s="2" t="s">
        <v>113</v>
      </c>
      <c r="C928" s="2">
        <v>74</v>
      </c>
      <c r="D928" s="2" t="s">
        <v>30</v>
      </c>
      <c r="E928" s="2" t="s">
        <v>79</v>
      </c>
      <c r="F928" s="2" t="s">
        <v>72</v>
      </c>
      <c r="G928" s="3">
        <v>45409</v>
      </c>
      <c r="H928" s="3">
        <v>45418</v>
      </c>
      <c r="I928" s="2">
        <v>9</v>
      </c>
      <c r="J928" s="2" t="s">
        <v>33</v>
      </c>
      <c r="K928" s="2" t="s">
        <v>174</v>
      </c>
      <c r="L928" s="2" t="s">
        <v>48</v>
      </c>
      <c r="M928" s="2" t="s">
        <v>108</v>
      </c>
      <c r="N928" s="2" t="s">
        <v>37</v>
      </c>
      <c r="O928" s="2" t="s">
        <v>647</v>
      </c>
      <c r="P928" s="2">
        <v>238</v>
      </c>
      <c r="Q928" s="2" t="s">
        <v>103</v>
      </c>
      <c r="R928" s="2" t="s">
        <v>90</v>
      </c>
      <c r="S928" s="2">
        <v>36740</v>
      </c>
      <c r="T928" s="2">
        <v>25482</v>
      </c>
      <c r="U928" s="2">
        <v>11258</v>
      </c>
      <c r="V928" s="2">
        <v>7535</v>
      </c>
      <c r="W928" s="2">
        <v>17390</v>
      </c>
      <c r="X928" s="2">
        <v>9110</v>
      </c>
      <c r="Y928" s="2" t="s">
        <v>41</v>
      </c>
      <c r="Z928" s="2">
        <v>72</v>
      </c>
      <c r="AA928" s="2">
        <v>4.2</v>
      </c>
      <c r="AB928" s="2" t="s">
        <v>137</v>
      </c>
    </row>
    <row r="929" spans="1:28" x14ac:dyDescent="0.25">
      <c r="A929" s="4" t="s">
        <v>1626</v>
      </c>
      <c r="B929" s="4" t="s">
        <v>999</v>
      </c>
      <c r="C929" s="4">
        <v>16</v>
      </c>
      <c r="D929" s="4" t="s">
        <v>55</v>
      </c>
      <c r="E929" s="4" t="s">
        <v>122</v>
      </c>
      <c r="F929" s="4" t="s">
        <v>150</v>
      </c>
      <c r="G929" s="5">
        <v>45159</v>
      </c>
      <c r="H929" s="5">
        <v>45179</v>
      </c>
      <c r="I929" s="4">
        <v>20</v>
      </c>
      <c r="J929" s="4" t="s">
        <v>33</v>
      </c>
      <c r="K929" s="4" t="s">
        <v>278</v>
      </c>
      <c r="L929" s="4" t="s">
        <v>279</v>
      </c>
      <c r="M929" s="4" t="s">
        <v>36</v>
      </c>
      <c r="N929" s="4" t="s">
        <v>37</v>
      </c>
      <c r="O929" s="4" t="s">
        <v>246</v>
      </c>
      <c r="P929" s="4">
        <v>26</v>
      </c>
      <c r="Q929" s="4" t="s">
        <v>103</v>
      </c>
      <c r="R929" s="4" t="s">
        <v>51</v>
      </c>
      <c r="S929" s="4">
        <v>186934</v>
      </c>
      <c r="T929" s="4">
        <v>96815</v>
      </c>
      <c r="U929" s="4">
        <v>90119</v>
      </c>
      <c r="V929" s="4">
        <v>143696</v>
      </c>
      <c r="W929" s="4">
        <v>27996</v>
      </c>
      <c r="X929" s="4">
        <v>13091</v>
      </c>
      <c r="Y929" s="4" t="s">
        <v>41</v>
      </c>
      <c r="Z929" s="4">
        <v>80</v>
      </c>
      <c r="AA929" s="4">
        <v>2.4</v>
      </c>
      <c r="AB929" s="4" t="s">
        <v>64</v>
      </c>
    </row>
    <row r="930" spans="1:28" x14ac:dyDescent="0.25">
      <c r="A930" s="2" t="s">
        <v>1627</v>
      </c>
      <c r="B930" s="2" t="s">
        <v>1220</v>
      </c>
      <c r="C930" s="2">
        <v>34</v>
      </c>
      <c r="D930" s="2" t="s">
        <v>30</v>
      </c>
      <c r="E930" s="2" t="s">
        <v>79</v>
      </c>
      <c r="F930" s="2" t="s">
        <v>94</v>
      </c>
      <c r="G930" s="3">
        <v>45457</v>
      </c>
      <c r="H930" s="3">
        <v>45466</v>
      </c>
      <c r="I930" s="2">
        <v>9</v>
      </c>
      <c r="J930" s="2" t="s">
        <v>33</v>
      </c>
      <c r="K930" s="2" t="s">
        <v>107</v>
      </c>
      <c r="L930" s="2" t="s">
        <v>48</v>
      </c>
      <c r="M930" s="2" t="s">
        <v>75</v>
      </c>
      <c r="N930" s="2" t="s">
        <v>109</v>
      </c>
      <c r="O930" s="2" t="s">
        <v>199</v>
      </c>
      <c r="P930" s="2">
        <v>294</v>
      </c>
      <c r="Q930" s="2" t="s">
        <v>103</v>
      </c>
      <c r="R930" s="2" t="s">
        <v>136</v>
      </c>
      <c r="S930" s="2">
        <v>97339</v>
      </c>
      <c r="T930" s="2">
        <v>0</v>
      </c>
      <c r="U930" s="2">
        <v>97339</v>
      </c>
      <c r="V930" s="2">
        <v>76911</v>
      </c>
      <c r="W930" s="2">
        <v>15145</v>
      </c>
      <c r="X930" s="2">
        <v>3571</v>
      </c>
      <c r="Y930" s="2" t="s">
        <v>41</v>
      </c>
      <c r="Z930" s="2">
        <v>40</v>
      </c>
      <c r="AA930" s="2">
        <v>2.5</v>
      </c>
      <c r="AB930" s="2" t="s">
        <v>64</v>
      </c>
    </row>
    <row r="931" spans="1:28" x14ac:dyDescent="0.25">
      <c r="A931" s="4" t="s">
        <v>1628</v>
      </c>
      <c r="B931" s="4" t="s">
        <v>1264</v>
      </c>
      <c r="C931" s="4">
        <v>23</v>
      </c>
      <c r="D931" s="4" t="s">
        <v>55</v>
      </c>
      <c r="E931" s="4" t="s">
        <v>45</v>
      </c>
      <c r="F931" s="4" t="s">
        <v>80</v>
      </c>
      <c r="G931" s="5">
        <v>44565</v>
      </c>
      <c r="H931" s="5">
        <v>44594</v>
      </c>
      <c r="I931" s="4">
        <v>29</v>
      </c>
      <c r="J931" s="4" t="s">
        <v>115</v>
      </c>
      <c r="K931" s="4" t="s">
        <v>160</v>
      </c>
      <c r="L931" s="4" t="s">
        <v>117</v>
      </c>
      <c r="M931" s="4" t="s">
        <v>130</v>
      </c>
      <c r="N931" s="4" t="s">
        <v>62</v>
      </c>
      <c r="O931" s="4" t="s">
        <v>38</v>
      </c>
      <c r="P931" s="4">
        <v>281</v>
      </c>
      <c r="Q931" s="4" t="s">
        <v>103</v>
      </c>
      <c r="R931" s="4" t="s">
        <v>40</v>
      </c>
      <c r="S931" s="4">
        <v>122842</v>
      </c>
      <c r="T931" s="4">
        <v>65847</v>
      </c>
      <c r="U931" s="4">
        <v>56995</v>
      </c>
      <c r="V931" s="4">
        <v>81464</v>
      </c>
      <c r="W931" s="4">
        <v>25372</v>
      </c>
      <c r="X931" s="4">
        <v>12203</v>
      </c>
      <c r="Y931" s="4" t="s">
        <v>41</v>
      </c>
      <c r="Z931" s="4">
        <v>79</v>
      </c>
      <c r="AA931" s="4">
        <v>2</v>
      </c>
      <c r="AB931" s="4" t="s">
        <v>42</v>
      </c>
    </row>
    <row r="932" spans="1:28" x14ac:dyDescent="0.25">
      <c r="A932" s="2" t="s">
        <v>1629</v>
      </c>
      <c r="B932" s="2" t="s">
        <v>477</v>
      </c>
      <c r="C932" s="2">
        <v>77</v>
      </c>
      <c r="D932" s="2" t="s">
        <v>55</v>
      </c>
      <c r="E932" s="2" t="s">
        <v>56</v>
      </c>
      <c r="F932" s="2" t="s">
        <v>46</v>
      </c>
      <c r="G932" s="3">
        <v>44805</v>
      </c>
      <c r="H932" s="3">
        <v>44818</v>
      </c>
      <c r="I932" s="2">
        <v>13</v>
      </c>
      <c r="J932" s="2" t="s">
        <v>123</v>
      </c>
      <c r="K932" s="2" t="s">
        <v>251</v>
      </c>
      <c r="L932" s="2" t="s">
        <v>125</v>
      </c>
      <c r="M932" s="2" t="s">
        <v>101</v>
      </c>
      <c r="N932" s="2" t="s">
        <v>62</v>
      </c>
      <c r="O932" s="2" t="s">
        <v>431</v>
      </c>
      <c r="P932" s="2">
        <v>386</v>
      </c>
      <c r="Q932" s="2" t="s">
        <v>39</v>
      </c>
      <c r="R932" s="2" t="s">
        <v>40</v>
      </c>
      <c r="S932" s="2">
        <v>75616</v>
      </c>
      <c r="T932" s="2">
        <v>51430</v>
      </c>
      <c r="U932" s="2">
        <v>24186</v>
      </c>
      <c r="V932" s="2">
        <v>41402</v>
      </c>
      <c r="W932" s="2">
        <v>23462</v>
      </c>
      <c r="X932" s="2">
        <v>8601</v>
      </c>
      <c r="Y932" s="2" t="s">
        <v>41</v>
      </c>
      <c r="Z932" s="2">
        <v>77</v>
      </c>
      <c r="AA932" s="2">
        <v>4</v>
      </c>
      <c r="AB932" s="2" t="s">
        <v>42</v>
      </c>
    </row>
    <row r="933" spans="1:28" x14ac:dyDescent="0.25">
      <c r="A933" s="4" t="s">
        <v>1630</v>
      </c>
      <c r="B933" s="4" t="s">
        <v>856</v>
      </c>
      <c r="C933" s="4">
        <v>84</v>
      </c>
      <c r="D933" s="4" t="s">
        <v>55</v>
      </c>
      <c r="E933" s="4" t="s">
        <v>67</v>
      </c>
      <c r="F933" s="4" t="s">
        <v>57</v>
      </c>
      <c r="G933" s="5">
        <v>45251</v>
      </c>
      <c r="H933" s="5">
        <v>45261</v>
      </c>
      <c r="I933" s="4">
        <v>10</v>
      </c>
      <c r="J933" s="4" t="s">
        <v>33</v>
      </c>
      <c r="K933" s="4" t="s">
        <v>99</v>
      </c>
      <c r="L933" s="4" t="s">
        <v>100</v>
      </c>
      <c r="M933" s="4" t="s">
        <v>75</v>
      </c>
      <c r="N933" s="4" t="s">
        <v>37</v>
      </c>
      <c r="O933" s="4" t="s">
        <v>119</v>
      </c>
      <c r="P933" s="4">
        <v>199</v>
      </c>
      <c r="Q933" s="4" t="s">
        <v>39</v>
      </c>
      <c r="R933" s="4" t="s">
        <v>90</v>
      </c>
      <c r="S933" s="4">
        <v>35030</v>
      </c>
      <c r="T933" s="4">
        <v>23932</v>
      </c>
      <c r="U933" s="4">
        <v>11098</v>
      </c>
      <c r="V933" s="4">
        <v>18280</v>
      </c>
      <c r="W933" s="4">
        <v>1755</v>
      </c>
      <c r="X933" s="4">
        <v>10276</v>
      </c>
      <c r="Y933" s="4" t="s">
        <v>41</v>
      </c>
      <c r="Z933" s="4">
        <v>67</v>
      </c>
      <c r="AA933" s="4">
        <v>2.4</v>
      </c>
      <c r="AB933" s="4" t="s">
        <v>104</v>
      </c>
    </row>
    <row r="934" spans="1:28" x14ac:dyDescent="0.25">
      <c r="A934" s="2" t="s">
        <v>1631</v>
      </c>
      <c r="B934" s="2" t="s">
        <v>1184</v>
      </c>
      <c r="C934" s="2">
        <v>62</v>
      </c>
      <c r="D934" s="2" t="s">
        <v>55</v>
      </c>
      <c r="E934" s="2" t="s">
        <v>56</v>
      </c>
      <c r="F934" s="2" t="s">
        <v>94</v>
      </c>
      <c r="G934" s="3">
        <v>44736</v>
      </c>
      <c r="H934" s="3">
        <v>44747</v>
      </c>
      <c r="I934" s="2">
        <v>11</v>
      </c>
      <c r="J934" s="2" t="s">
        <v>202</v>
      </c>
      <c r="K934" s="2" t="s">
        <v>203</v>
      </c>
      <c r="L934" s="2" t="s">
        <v>204</v>
      </c>
      <c r="M934" s="2" t="s">
        <v>75</v>
      </c>
      <c r="N934" s="2" t="s">
        <v>118</v>
      </c>
      <c r="O934" s="2" t="s">
        <v>399</v>
      </c>
      <c r="P934" s="2">
        <v>257</v>
      </c>
      <c r="Q934" s="2" t="s">
        <v>39</v>
      </c>
      <c r="R934" s="2" t="s">
        <v>51</v>
      </c>
      <c r="S934" s="2">
        <v>94777</v>
      </c>
      <c r="T934" s="2">
        <v>55992</v>
      </c>
      <c r="U934" s="2">
        <v>38785</v>
      </c>
      <c r="V934" s="2">
        <v>86014</v>
      </c>
      <c r="W934" s="2">
        <v>5917</v>
      </c>
      <c r="X934" s="2">
        <v>797</v>
      </c>
      <c r="Y934" s="2" t="s">
        <v>41</v>
      </c>
      <c r="Z934" s="2">
        <v>82</v>
      </c>
      <c r="AA934" s="2">
        <v>2</v>
      </c>
      <c r="AB934" s="2" t="s">
        <v>52</v>
      </c>
    </row>
    <row r="935" spans="1:28" x14ac:dyDescent="0.25">
      <c r="A935" s="4" t="s">
        <v>1632</v>
      </c>
      <c r="B935" s="4" t="s">
        <v>711</v>
      </c>
      <c r="C935" s="4">
        <v>35</v>
      </c>
      <c r="D935" s="4" t="s">
        <v>30</v>
      </c>
      <c r="E935" s="4" t="s">
        <v>67</v>
      </c>
      <c r="F935" s="4" t="s">
        <v>114</v>
      </c>
      <c r="G935" s="5">
        <v>44623</v>
      </c>
      <c r="H935" s="5">
        <v>44638</v>
      </c>
      <c r="I935" s="4">
        <v>15</v>
      </c>
      <c r="J935" s="4" t="s">
        <v>33</v>
      </c>
      <c r="K935" s="4" t="s">
        <v>47</v>
      </c>
      <c r="L935" s="4" t="s">
        <v>48</v>
      </c>
      <c r="M935" s="4" t="s">
        <v>101</v>
      </c>
      <c r="N935" s="4" t="s">
        <v>118</v>
      </c>
      <c r="O935" s="4" t="s">
        <v>211</v>
      </c>
      <c r="P935" s="4">
        <v>456</v>
      </c>
      <c r="Q935" s="4" t="s">
        <v>50</v>
      </c>
      <c r="R935" s="4" t="s">
        <v>111</v>
      </c>
      <c r="S935" s="4">
        <v>137569</v>
      </c>
      <c r="T935" s="4">
        <v>86482</v>
      </c>
      <c r="U935" s="4">
        <v>51087</v>
      </c>
      <c r="V935" s="4">
        <v>118231</v>
      </c>
      <c r="W935" s="4">
        <v>15470</v>
      </c>
      <c r="X935" s="4">
        <v>2929</v>
      </c>
      <c r="Y935" s="4" t="s">
        <v>41</v>
      </c>
      <c r="Z935" s="4">
        <v>57</v>
      </c>
      <c r="AA935" s="4">
        <v>4.5999999999999996</v>
      </c>
      <c r="AB935" s="4" t="s">
        <v>104</v>
      </c>
    </row>
    <row r="936" spans="1:28" x14ac:dyDescent="0.25">
      <c r="A936" s="2" t="s">
        <v>1633</v>
      </c>
      <c r="B936" s="2" t="s">
        <v>838</v>
      </c>
      <c r="C936" s="2">
        <v>74</v>
      </c>
      <c r="D936" s="2" t="s">
        <v>55</v>
      </c>
      <c r="E936" s="2" t="s">
        <v>154</v>
      </c>
      <c r="F936" s="2" t="s">
        <v>129</v>
      </c>
      <c r="G936" s="3">
        <v>45017</v>
      </c>
      <c r="H936" s="3">
        <v>45034</v>
      </c>
      <c r="I936" s="2">
        <v>17</v>
      </c>
      <c r="J936" s="2" t="s">
        <v>33</v>
      </c>
      <c r="K936" s="2" t="s">
        <v>107</v>
      </c>
      <c r="L936" s="2" t="s">
        <v>48</v>
      </c>
      <c r="M936" s="2" t="s">
        <v>134</v>
      </c>
      <c r="N936" s="2" t="s">
        <v>62</v>
      </c>
      <c r="O936" s="2" t="s">
        <v>571</v>
      </c>
      <c r="P936" s="2">
        <v>73</v>
      </c>
      <c r="Q936" s="2" t="s">
        <v>69</v>
      </c>
      <c r="R936" s="2" t="s">
        <v>51</v>
      </c>
      <c r="S936" s="2">
        <v>119499</v>
      </c>
      <c r="T936" s="2">
        <v>57195</v>
      </c>
      <c r="U936" s="2">
        <v>62304</v>
      </c>
      <c r="V936" s="2">
        <v>95872</v>
      </c>
      <c r="W936" s="2">
        <v>17410</v>
      </c>
      <c r="X936" s="2">
        <v>1647</v>
      </c>
      <c r="Y936" s="2" t="s">
        <v>41</v>
      </c>
      <c r="Z936" s="2">
        <v>48</v>
      </c>
      <c r="AA936" s="2">
        <v>3.4</v>
      </c>
      <c r="AB936" s="2" t="s">
        <v>52</v>
      </c>
    </row>
    <row r="937" spans="1:28" x14ac:dyDescent="0.25">
      <c r="A937" s="4" t="s">
        <v>1634</v>
      </c>
      <c r="B937" s="4" t="s">
        <v>1635</v>
      </c>
      <c r="C937" s="4">
        <v>57</v>
      </c>
      <c r="D937" s="4" t="s">
        <v>30</v>
      </c>
      <c r="E937" s="4" t="s">
        <v>154</v>
      </c>
      <c r="F937" s="4" t="s">
        <v>32</v>
      </c>
      <c r="G937" s="5">
        <v>45267</v>
      </c>
      <c r="H937" s="5">
        <v>45282</v>
      </c>
      <c r="I937" s="4">
        <v>15</v>
      </c>
      <c r="J937" s="4" t="s">
        <v>123</v>
      </c>
      <c r="K937" s="4" t="s">
        <v>251</v>
      </c>
      <c r="L937" s="4" t="s">
        <v>125</v>
      </c>
      <c r="M937" s="4" t="s">
        <v>134</v>
      </c>
      <c r="N937" s="4" t="s">
        <v>62</v>
      </c>
      <c r="O937" s="4" t="s">
        <v>530</v>
      </c>
      <c r="P937" s="4">
        <v>49</v>
      </c>
      <c r="Q937" s="4" t="s">
        <v>39</v>
      </c>
      <c r="R937" s="4" t="s">
        <v>51</v>
      </c>
      <c r="S937" s="4">
        <v>107492</v>
      </c>
      <c r="T937" s="4">
        <v>65139</v>
      </c>
      <c r="U937" s="4">
        <v>42353</v>
      </c>
      <c r="V937" s="4">
        <v>92035</v>
      </c>
      <c r="W937" s="4">
        <v>4512</v>
      </c>
      <c r="X937" s="4">
        <v>9494</v>
      </c>
      <c r="Y937" s="4" t="s">
        <v>41</v>
      </c>
      <c r="Z937" s="4">
        <v>80</v>
      </c>
      <c r="AA937" s="4">
        <v>2.5</v>
      </c>
      <c r="AB937" s="4" t="s">
        <v>52</v>
      </c>
    </row>
    <row r="938" spans="1:28" x14ac:dyDescent="0.25">
      <c r="A938" s="2" t="s">
        <v>1636</v>
      </c>
      <c r="B938" s="2" t="s">
        <v>1375</v>
      </c>
      <c r="C938" s="2">
        <v>7</v>
      </c>
      <c r="D938" s="2" t="s">
        <v>30</v>
      </c>
      <c r="E938" s="2" t="s">
        <v>67</v>
      </c>
      <c r="F938" s="2" t="s">
        <v>157</v>
      </c>
      <c r="G938" s="3">
        <v>44626</v>
      </c>
      <c r="H938" s="3">
        <v>44628</v>
      </c>
      <c r="I938" s="2">
        <v>2</v>
      </c>
      <c r="J938" s="2" t="s">
        <v>33</v>
      </c>
      <c r="K938" s="2" t="s">
        <v>107</v>
      </c>
      <c r="L938" s="2" t="s">
        <v>48</v>
      </c>
      <c r="M938" s="2" t="s">
        <v>143</v>
      </c>
      <c r="N938" s="2" t="s">
        <v>109</v>
      </c>
      <c r="O938" s="2" t="s">
        <v>428</v>
      </c>
      <c r="P938" s="2">
        <v>219</v>
      </c>
      <c r="Q938" s="2" t="s">
        <v>103</v>
      </c>
      <c r="R938" s="2" t="s">
        <v>90</v>
      </c>
      <c r="S938" s="2">
        <v>27968</v>
      </c>
      <c r="T938" s="2">
        <v>21164</v>
      </c>
      <c r="U938" s="2">
        <v>6804</v>
      </c>
      <c r="V938" s="2">
        <v>19098</v>
      </c>
      <c r="W938" s="2">
        <v>3793</v>
      </c>
      <c r="X938" s="2">
        <v>2593</v>
      </c>
      <c r="Y938" s="2" t="s">
        <v>41</v>
      </c>
      <c r="Z938" s="2">
        <v>41</v>
      </c>
      <c r="AA938" s="2">
        <v>2.2999999999999998</v>
      </c>
      <c r="AB938" s="2" t="s">
        <v>64</v>
      </c>
    </row>
    <row r="939" spans="1:28" x14ac:dyDescent="0.25">
      <c r="A939" s="4" t="s">
        <v>1637</v>
      </c>
      <c r="B939" s="4" t="s">
        <v>1638</v>
      </c>
      <c r="C939" s="4">
        <v>77</v>
      </c>
      <c r="D939" s="4" t="s">
        <v>30</v>
      </c>
      <c r="E939" s="4" t="s">
        <v>56</v>
      </c>
      <c r="F939" s="4" t="s">
        <v>80</v>
      </c>
      <c r="G939" s="5">
        <v>44745</v>
      </c>
      <c r="H939" s="5">
        <v>44750</v>
      </c>
      <c r="I939" s="4">
        <v>5</v>
      </c>
      <c r="J939" s="4" t="s">
        <v>123</v>
      </c>
      <c r="K939" s="4" t="s">
        <v>251</v>
      </c>
      <c r="L939" s="4" t="s">
        <v>125</v>
      </c>
      <c r="M939" s="4" t="s">
        <v>75</v>
      </c>
      <c r="N939" s="4" t="s">
        <v>118</v>
      </c>
      <c r="O939" s="4" t="s">
        <v>631</v>
      </c>
      <c r="P939" s="4">
        <v>377</v>
      </c>
      <c r="Q939" s="4" t="s">
        <v>103</v>
      </c>
      <c r="R939" s="4" t="s">
        <v>111</v>
      </c>
      <c r="S939" s="4">
        <v>115044</v>
      </c>
      <c r="T939" s="4">
        <v>79796</v>
      </c>
      <c r="U939" s="4">
        <v>35248</v>
      </c>
      <c r="V939" s="4">
        <v>90223</v>
      </c>
      <c r="W939" s="4">
        <v>8352</v>
      </c>
      <c r="X939" s="4">
        <v>13851</v>
      </c>
      <c r="Y939" s="4" t="s">
        <v>41</v>
      </c>
      <c r="Z939" s="4">
        <v>96</v>
      </c>
      <c r="AA939" s="4">
        <v>2.9</v>
      </c>
      <c r="AB939" s="4" t="s">
        <v>64</v>
      </c>
    </row>
    <row r="940" spans="1:28" x14ac:dyDescent="0.25">
      <c r="A940" s="2" t="s">
        <v>1639</v>
      </c>
      <c r="B940" s="2" t="s">
        <v>360</v>
      </c>
      <c r="C940" s="2">
        <v>61</v>
      </c>
      <c r="D940" s="2" t="s">
        <v>30</v>
      </c>
      <c r="E940" s="2" t="s">
        <v>31</v>
      </c>
      <c r="F940" s="2" t="s">
        <v>46</v>
      </c>
      <c r="G940" s="3">
        <v>45346</v>
      </c>
      <c r="H940" s="3">
        <v>45373</v>
      </c>
      <c r="I940" s="2">
        <v>27</v>
      </c>
      <c r="J940" s="2" t="s">
        <v>123</v>
      </c>
      <c r="K940" s="2" t="s">
        <v>251</v>
      </c>
      <c r="L940" s="2" t="s">
        <v>125</v>
      </c>
      <c r="M940" s="2" t="s">
        <v>101</v>
      </c>
      <c r="N940" s="2" t="s">
        <v>62</v>
      </c>
      <c r="O940" s="2" t="s">
        <v>248</v>
      </c>
      <c r="P940" s="2">
        <v>4</v>
      </c>
      <c r="Q940" s="2" t="s">
        <v>50</v>
      </c>
      <c r="R940" s="2" t="s">
        <v>111</v>
      </c>
      <c r="S940" s="2">
        <v>93802</v>
      </c>
      <c r="T940" s="2">
        <v>80070</v>
      </c>
      <c r="U940" s="2">
        <v>13732</v>
      </c>
      <c r="V940" s="2">
        <v>58728</v>
      </c>
      <c r="W940" s="2">
        <v>24982</v>
      </c>
      <c r="X940" s="2">
        <v>5564</v>
      </c>
      <c r="Y940" s="2" t="s">
        <v>41</v>
      </c>
      <c r="Z940" s="2">
        <v>62</v>
      </c>
      <c r="AA940" s="2">
        <v>3.7</v>
      </c>
      <c r="AB940" s="2" t="s">
        <v>137</v>
      </c>
    </row>
    <row r="941" spans="1:28" x14ac:dyDescent="0.25">
      <c r="A941" s="4" t="s">
        <v>1640</v>
      </c>
      <c r="B941" s="4" t="s">
        <v>1503</v>
      </c>
      <c r="C941" s="4">
        <v>57</v>
      </c>
      <c r="D941" s="4" t="s">
        <v>55</v>
      </c>
      <c r="E941" s="4" t="s">
        <v>154</v>
      </c>
      <c r="F941" s="4" t="s">
        <v>80</v>
      </c>
      <c r="G941" s="5">
        <v>44769</v>
      </c>
      <c r="H941" s="5">
        <v>44793</v>
      </c>
      <c r="I941" s="4">
        <v>24</v>
      </c>
      <c r="J941" s="4" t="s">
        <v>140</v>
      </c>
      <c r="K941" s="4" t="s">
        <v>141</v>
      </c>
      <c r="L941" s="4" t="s">
        <v>142</v>
      </c>
      <c r="M941" s="4" t="s">
        <v>143</v>
      </c>
      <c r="N941" s="4" t="s">
        <v>37</v>
      </c>
      <c r="O941" s="4" t="s">
        <v>373</v>
      </c>
      <c r="P941" s="4">
        <v>261</v>
      </c>
      <c r="Q941" s="4" t="s">
        <v>103</v>
      </c>
      <c r="R941" s="4" t="s">
        <v>111</v>
      </c>
      <c r="S941" s="4">
        <v>134791</v>
      </c>
      <c r="T941" s="4">
        <v>119399</v>
      </c>
      <c r="U941" s="4">
        <v>15392</v>
      </c>
      <c r="V941" s="4">
        <v>106561</v>
      </c>
      <c r="W941" s="4">
        <v>12504</v>
      </c>
      <c r="X941" s="4">
        <v>11948</v>
      </c>
      <c r="Y941" s="4" t="s">
        <v>41</v>
      </c>
      <c r="Z941" s="4">
        <v>57</v>
      </c>
      <c r="AA941" s="4">
        <v>5</v>
      </c>
      <c r="AB941" s="4" t="s">
        <v>42</v>
      </c>
    </row>
    <row r="942" spans="1:28" x14ac:dyDescent="0.25">
      <c r="A942" s="2" t="s">
        <v>1641</v>
      </c>
      <c r="B942" s="2" t="s">
        <v>440</v>
      </c>
      <c r="C942" s="2">
        <v>57</v>
      </c>
      <c r="D942" s="2" t="s">
        <v>30</v>
      </c>
      <c r="E942" s="2" t="s">
        <v>79</v>
      </c>
      <c r="F942" s="2" t="s">
        <v>72</v>
      </c>
      <c r="G942" s="3">
        <v>45162</v>
      </c>
      <c r="H942" s="3">
        <v>45178</v>
      </c>
      <c r="I942" s="2">
        <v>16</v>
      </c>
      <c r="J942" s="2" t="s">
        <v>33</v>
      </c>
      <c r="K942" s="2" t="s">
        <v>107</v>
      </c>
      <c r="L942" s="2" t="s">
        <v>48</v>
      </c>
      <c r="M942" s="2" t="s">
        <v>143</v>
      </c>
      <c r="N942" s="2" t="s">
        <v>62</v>
      </c>
      <c r="O942" s="2" t="s">
        <v>627</v>
      </c>
      <c r="P942" s="2">
        <v>8</v>
      </c>
      <c r="Q942" s="2" t="s">
        <v>69</v>
      </c>
      <c r="R942" s="2" t="s">
        <v>111</v>
      </c>
      <c r="S942" s="2">
        <v>72799</v>
      </c>
      <c r="T942" s="2">
        <v>54612</v>
      </c>
      <c r="U942" s="2">
        <v>18187</v>
      </c>
      <c r="V942" s="2">
        <v>33535</v>
      </c>
      <c r="W942" s="2">
        <v>27420</v>
      </c>
      <c r="X942" s="2">
        <v>8860</v>
      </c>
      <c r="Y942" s="2" t="s">
        <v>41</v>
      </c>
      <c r="Z942" s="2">
        <v>59</v>
      </c>
      <c r="AA942" s="2">
        <v>4.9000000000000004</v>
      </c>
      <c r="AB942" s="2" t="s">
        <v>64</v>
      </c>
    </row>
    <row r="943" spans="1:28" x14ac:dyDescent="0.25">
      <c r="A943" s="4" t="s">
        <v>1642</v>
      </c>
      <c r="B943" s="4" t="s">
        <v>593</v>
      </c>
      <c r="C943" s="4">
        <v>39</v>
      </c>
      <c r="D943" s="4" t="s">
        <v>55</v>
      </c>
      <c r="E943" s="4" t="s">
        <v>79</v>
      </c>
      <c r="F943" s="4" t="s">
        <v>57</v>
      </c>
      <c r="G943" s="5">
        <v>45191</v>
      </c>
      <c r="H943" s="5">
        <v>45215</v>
      </c>
      <c r="I943" s="4">
        <v>24</v>
      </c>
      <c r="J943" s="4" t="s">
        <v>33</v>
      </c>
      <c r="K943" s="4" t="s">
        <v>81</v>
      </c>
      <c r="L943" s="4" t="s">
        <v>82</v>
      </c>
      <c r="M943" s="4" t="s">
        <v>75</v>
      </c>
      <c r="N943" s="4" t="s">
        <v>109</v>
      </c>
      <c r="O943" s="4" t="s">
        <v>241</v>
      </c>
      <c r="P943" s="4">
        <v>45</v>
      </c>
      <c r="Q943" s="4" t="s">
        <v>50</v>
      </c>
      <c r="R943" s="4" t="s">
        <v>111</v>
      </c>
      <c r="S943" s="4">
        <v>108088</v>
      </c>
      <c r="T943" s="4">
        <v>70159</v>
      </c>
      <c r="U943" s="4">
        <v>37929</v>
      </c>
      <c r="V943" s="4">
        <v>71264</v>
      </c>
      <c r="W943" s="4">
        <v>20811</v>
      </c>
      <c r="X943" s="4">
        <v>12595</v>
      </c>
      <c r="Y943" s="4" t="s">
        <v>41</v>
      </c>
      <c r="Z943" s="4">
        <v>90</v>
      </c>
      <c r="AA943" s="4">
        <v>2.5</v>
      </c>
      <c r="AB943" s="4" t="s">
        <v>137</v>
      </c>
    </row>
    <row r="944" spans="1:28" x14ac:dyDescent="0.25">
      <c r="A944" s="2" t="s">
        <v>1643</v>
      </c>
      <c r="B944" s="2" t="s">
        <v>1644</v>
      </c>
      <c r="C944" s="2">
        <v>41</v>
      </c>
      <c r="D944" s="2" t="s">
        <v>55</v>
      </c>
      <c r="E944" s="2" t="s">
        <v>56</v>
      </c>
      <c r="F944" s="2" t="s">
        <v>157</v>
      </c>
      <c r="G944" s="3">
        <v>45571</v>
      </c>
      <c r="H944" s="3">
        <v>45596</v>
      </c>
      <c r="I944" s="2">
        <v>25</v>
      </c>
      <c r="J944" s="2" t="s">
        <v>115</v>
      </c>
      <c r="K944" s="2" t="s">
        <v>160</v>
      </c>
      <c r="L944" s="2" t="s">
        <v>117</v>
      </c>
      <c r="M944" s="2" t="s">
        <v>75</v>
      </c>
      <c r="N944" s="2" t="s">
        <v>62</v>
      </c>
      <c r="O944" s="2" t="s">
        <v>217</v>
      </c>
      <c r="P944" s="2">
        <v>238</v>
      </c>
      <c r="Q944" s="2" t="s">
        <v>39</v>
      </c>
      <c r="R944" s="2" t="s">
        <v>90</v>
      </c>
      <c r="S944" s="2">
        <v>133990</v>
      </c>
      <c r="T944" s="2">
        <v>93955</v>
      </c>
      <c r="U944" s="2">
        <v>40035</v>
      </c>
      <c r="V944" s="2">
        <v>117468</v>
      </c>
      <c r="W944" s="2">
        <v>8651</v>
      </c>
      <c r="X944" s="2">
        <v>5525</v>
      </c>
      <c r="Y944" s="2" t="s">
        <v>41</v>
      </c>
      <c r="Z944" s="2">
        <v>58</v>
      </c>
      <c r="AA944" s="2">
        <v>3.5</v>
      </c>
      <c r="AB944" s="2" t="s">
        <v>42</v>
      </c>
    </row>
    <row r="945" spans="1:28" x14ac:dyDescent="0.25">
      <c r="A945" s="4" t="s">
        <v>1645</v>
      </c>
      <c r="B945" s="4" t="s">
        <v>375</v>
      </c>
      <c r="C945" s="4">
        <v>13</v>
      </c>
      <c r="D945" s="4" t="s">
        <v>30</v>
      </c>
      <c r="E945" s="4" t="s">
        <v>67</v>
      </c>
      <c r="F945" s="4" t="s">
        <v>94</v>
      </c>
      <c r="G945" s="5">
        <v>44609</v>
      </c>
      <c r="H945" s="5">
        <v>44622</v>
      </c>
      <c r="I945" s="4">
        <v>13</v>
      </c>
      <c r="J945" s="4" t="s">
        <v>115</v>
      </c>
      <c r="K945" s="4" t="s">
        <v>116</v>
      </c>
      <c r="L945" s="4" t="s">
        <v>117</v>
      </c>
      <c r="M945" s="4" t="s">
        <v>130</v>
      </c>
      <c r="N945" s="4" t="s">
        <v>118</v>
      </c>
      <c r="O945" s="4" t="s">
        <v>580</v>
      </c>
      <c r="P945" s="4">
        <v>23</v>
      </c>
      <c r="Q945" s="4" t="s">
        <v>39</v>
      </c>
      <c r="R945" s="4" t="s">
        <v>90</v>
      </c>
      <c r="S945" s="4">
        <v>93341</v>
      </c>
      <c r="T945" s="4">
        <v>64713</v>
      </c>
      <c r="U945" s="4">
        <v>28628</v>
      </c>
      <c r="V945" s="4">
        <v>47204</v>
      </c>
      <c r="W945" s="4">
        <v>27711</v>
      </c>
      <c r="X945" s="4">
        <v>14887</v>
      </c>
      <c r="Y945" s="4" t="s">
        <v>41</v>
      </c>
      <c r="Z945" s="4">
        <v>57</v>
      </c>
      <c r="AA945" s="4">
        <v>2.2000000000000002</v>
      </c>
      <c r="AB945" s="4" t="s">
        <v>64</v>
      </c>
    </row>
    <row r="946" spans="1:28" x14ac:dyDescent="0.25">
      <c r="A946" s="2" t="s">
        <v>1646</v>
      </c>
      <c r="B946" s="2" t="s">
        <v>874</v>
      </c>
      <c r="C946" s="2">
        <v>20</v>
      </c>
      <c r="D946" s="2" t="s">
        <v>30</v>
      </c>
      <c r="E946" s="2" t="s">
        <v>122</v>
      </c>
      <c r="F946" s="2" t="s">
        <v>46</v>
      </c>
      <c r="G946" s="3">
        <v>45643</v>
      </c>
      <c r="H946" s="3">
        <v>45657</v>
      </c>
      <c r="I946" s="2">
        <v>14</v>
      </c>
      <c r="J946" s="2" t="s">
        <v>123</v>
      </c>
      <c r="K946" s="2" t="s">
        <v>251</v>
      </c>
      <c r="L946" s="2" t="s">
        <v>125</v>
      </c>
      <c r="M946" s="2" t="s">
        <v>83</v>
      </c>
      <c r="N946" s="2" t="s">
        <v>109</v>
      </c>
      <c r="O946" s="2" t="s">
        <v>135</v>
      </c>
      <c r="P946" s="2">
        <v>198</v>
      </c>
      <c r="Q946" s="2" t="s">
        <v>69</v>
      </c>
      <c r="R946" s="2" t="s">
        <v>90</v>
      </c>
      <c r="S946" s="2">
        <v>68139</v>
      </c>
      <c r="T946" s="2">
        <v>43030</v>
      </c>
      <c r="U946" s="2">
        <v>25109</v>
      </c>
      <c r="V946" s="2">
        <v>58119</v>
      </c>
      <c r="W946" s="2">
        <v>6346</v>
      </c>
      <c r="X946" s="2">
        <v>1523</v>
      </c>
      <c r="Y946" s="2" t="s">
        <v>41</v>
      </c>
      <c r="Z946" s="2">
        <v>92</v>
      </c>
      <c r="AA946" s="2">
        <v>3.8</v>
      </c>
      <c r="AB946" s="2" t="s">
        <v>42</v>
      </c>
    </row>
    <row r="947" spans="1:28" x14ac:dyDescent="0.25">
      <c r="A947" s="4" t="s">
        <v>1647</v>
      </c>
      <c r="B947" s="4" t="s">
        <v>659</v>
      </c>
      <c r="C947" s="4">
        <v>15</v>
      </c>
      <c r="D947" s="4" t="s">
        <v>55</v>
      </c>
      <c r="E947" s="4" t="s">
        <v>79</v>
      </c>
      <c r="F947" s="4" t="s">
        <v>57</v>
      </c>
      <c r="G947" s="5">
        <v>44589</v>
      </c>
      <c r="H947" s="5">
        <v>44596</v>
      </c>
      <c r="I947" s="4">
        <v>7</v>
      </c>
      <c r="J947" s="4" t="s">
        <v>58</v>
      </c>
      <c r="K947" s="4" t="s">
        <v>59</v>
      </c>
      <c r="L947" s="4" t="s">
        <v>60</v>
      </c>
      <c r="M947" s="4" t="s">
        <v>36</v>
      </c>
      <c r="N947" s="4" t="s">
        <v>109</v>
      </c>
      <c r="O947" s="4" t="s">
        <v>178</v>
      </c>
      <c r="P947" s="4">
        <v>383</v>
      </c>
      <c r="Q947" s="4" t="s">
        <v>69</v>
      </c>
      <c r="R947" s="4" t="s">
        <v>51</v>
      </c>
      <c r="S947" s="4">
        <v>168376</v>
      </c>
      <c r="T947" s="4">
        <v>69653</v>
      </c>
      <c r="U947" s="4">
        <v>98723</v>
      </c>
      <c r="V947" s="4">
        <v>127325</v>
      </c>
      <c r="W947" s="4">
        <v>25966</v>
      </c>
      <c r="X947" s="4">
        <v>11186</v>
      </c>
      <c r="Y947" s="4" t="s">
        <v>41</v>
      </c>
      <c r="Z947" s="4">
        <v>96</v>
      </c>
      <c r="AA947" s="4">
        <v>3.9</v>
      </c>
      <c r="AB947" s="4" t="s">
        <v>137</v>
      </c>
    </row>
    <row r="948" spans="1:28" x14ac:dyDescent="0.25">
      <c r="A948" s="2" t="s">
        <v>1648</v>
      </c>
      <c r="B948" s="2" t="s">
        <v>360</v>
      </c>
      <c r="C948" s="2">
        <v>50</v>
      </c>
      <c r="D948" s="2" t="s">
        <v>55</v>
      </c>
      <c r="E948" s="2" t="s">
        <v>79</v>
      </c>
      <c r="F948" s="2" t="s">
        <v>157</v>
      </c>
      <c r="G948" s="3">
        <v>45145</v>
      </c>
      <c r="H948" s="3">
        <v>45173</v>
      </c>
      <c r="I948" s="2">
        <v>28</v>
      </c>
      <c r="J948" s="2" t="s">
        <v>33</v>
      </c>
      <c r="K948" s="2" t="s">
        <v>107</v>
      </c>
      <c r="L948" s="2" t="s">
        <v>48</v>
      </c>
      <c r="M948" s="2" t="s">
        <v>95</v>
      </c>
      <c r="N948" s="2" t="s">
        <v>118</v>
      </c>
      <c r="O948" s="2" t="s">
        <v>396</v>
      </c>
      <c r="P948" s="2">
        <v>40</v>
      </c>
      <c r="Q948" s="2" t="s">
        <v>39</v>
      </c>
      <c r="R948" s="2" t="s">
        <v>111</v>
      </c>
      <c r="S948" s="2">
        <v>113515</v>
      </c>
      <c r="T948" s="2">
        <v>73750</v>
      </c>
      <c r="U948" s="2">
        <v>39765</v>
      </c>
      <c r="V948" s="2">
        <v>94319</v>
      </c>
      <c r="W948" s="2">
        <v>8322</v>
      </c>
      <c r="X948" s="2">
        <v>6032</v>
      </c>
      <c r="Y948" s="2" t="s">
        <v>91</v>
      </c>
      <c r="Z948" s="2">
        <v>70</v>
      </c>
      <c r="AA948" s="2">
        <v>4.8</v>
      </c>
      <c r="AB948" s="2" t="s">
        <v>42</v>
      </c>
    </row>
    <row r="949" spans="1:28" x14ac:dyDescent="0.25">
      <c r="A949" s="4" t="s">
        <v>1649</v>
      </c>
      <c r="B949" s="4" t="s">
        <v>1650</v>
      </c>
      <c r="C949" s="4">
        <v>71</v>
      </c>
      <c r="D949" s="4" t="s">
        <v>55</v>
      </c>
      <c r="E949" s="4" t="s">
        <v>87</v>
      </c>
      <c r="F949" s="4" t="s">
        <v>129</v>
      </c>
      <c r="G949" s="5">
        <v>45520</v>
      </c>
      <c r="H949" s="5">
        <v>45540</v>
      </c>
      <c r="I949" s="4">
        <v>20</v>
      </c>
      <c r="J949" s="4" t="s">
        <v>33</v>
      </c>
      <c r="K949" s="4" t="s">
        <v>197</v>
      </c>
      <c r="L949" s="4" t="s">
        <v>198</v>
      </c>
      <c r="M949" s="4" t="s">
        <v>83</v>
      </c>
      <c r="N949" s="4" t="s">
        <v>62</v>
      </c>
      <c r="O949" s="4" t="s">
        <v>376</v>
      </c>
      <c r="P949" s="4">
        <v>219</v>
      </c>
      <c r="Q949" s="4" t="s">
        <v>69</v>
      </c>
      <c r="R949" s="4" t="s">
        <v>51</v>
      </c>
      <c r="S949" s="4">
        <v>161468</v>
      </c>
      <c r="T949" s="4">
        <v>111863</v>
      </c>
      <c r="U949" s="4">
        <v>49605</v>
      </c>
      <c r="V949" s="4">
        <v>139213</v>
      </c>
      <c r="W949" s="4">
        <v>4639</v>
      </c>
      <c r="X949" s="4">
        <v>13266</v>
      </c>
      <c r="Y949" s="4" t="s">
        <v>41</v>
      </c>
      <c r="Z949" s="4">
        <v>97</v>
      </c>
      <c r="AA949" s="4">
        <v>2.6</v>
      </c>
      <c r="AB949" s="4" t="s">
        <v>42</v>
      </c>
    </row>
    <row r="950" spans="1:28" x14ac:dyDescent="0.25">
      <c r="A950" s="2" t="s">
        <v>1651</v>
      </c>
      <c r="B950" s="2" t="s">
        <v>582</v>
      </c>
      <c r="C950" s="2">
        <v>54</v>
      </c>
      <c r="D950" s="2" t="s">
        <v>30</v>
      </c>
      <c r="E950" s="2" t="s">
        <v>87</v>
      </c>
      <c r="F950" s="2" t="s">
        <v>150</v>
      </c>
      <c r="G950" s="3">
        <v>44809</v>
      </c>
      <c r="H950" s="3">
        <v>44827</v>
      </c>
      <c r="I950" s="2">
        <v>18</v>
      </c>
      <c r="J950" s="2" t="s">
        <v>115</v>
      </c>
      <c r="K950" s="2" t="s">
        <v>160</v>
      </c>
      <c r="L950" s="2" t="s">
        <v>117</v>
      </c>
      <c r="M950" s="2" t="s">
        <v>95</v>
      </c>
      <c r="N950" s="2" t="s">
        <v>109</v>
      </c>
      <c r="O950" s="2" t="s">
        <v>631</v>
      </c>
      <c r="P950" s="2">
        <v>450</v>
      </c>
      <c r="Q950" s="2" t="s">
        <v>103</v>
      </c>
      <c r="R950" s="2" t="s">
        <v>51</v>
      </c>
      <c r="S950" s="2">
        <v>40357</v>
      </c>
      <c r="T950" s="2">
        <v>22766</v>
      </c>
      <c r="U950" s="2">
        <v>17591</v>
      </c>
      <c r="V950" s="2">
        <v>32798</v>
      </c>
      <c r="W950" s="2">
        <v>1228</v>
      </c>
      <c r="X950" s="2">
        <v>3482</v>
      </c>
      <c r="Y950" s="2" t="s">
        <v>41</v>
      </c>
      <c r="Z950" s="2">
        <v>85</v>
      </c>
      <c r="AA950" s="2">
        <v>3.6</v>
      </c>
      <c r="AB950" s="2" t="s">
        <v>52</v>
      </c>
    </row>
    <row r="951" spans="1:28" x14ac:dyDescent="0.25">
      <c r="A951" s="4" t="s">
        <v>1652</v>
      </c>
      <c r="B951" s="4" t="s">
        <v>1482</v>
      </c>
      <c r="C951" s="4">
        <v>9</v>
      </c>
      <c r="D951" s="4" t="s">
        <v>55</v>
      </c>
      <c r="E951" s="4" t="s">
        <v>154</v>
      </c>
      <c r="F951" s="4" t="s">
        <v>46</v>
      </c>
      <c r="G951" s="5">
        <v>45162</v>
      </c>
      <c r="H951" s="5">
        <v>45169</v>
      </c>
      <c r="I951" s="4">
        <v>7</v>
      </c>
      <c r="J951" s="4" t="s">
        <v>140</v>
      </c>
      <c r="K951" s="4" t="s">
        <v>141</v>
      </c>
      <c r="L951" s="4" t="s">
        <v>142</v>
      </c>
      <c r="M951" s="4" t="s">
        <v>108</v>
      </c>
      <c r="N951" s="4" t="s">
        <v>109</v>
      </c>
      <c r="O951" s="4" t="s">
        <v>509</v>
      </c>
      <c r="P951" s="4">
        <v>201</v>
      </c>
      <c r="Q951" s="4" t="s">
        <v>69</v>
      </c>
      <c r="R951" s="4" t="s">
        <v>111</v>
      </c>
      <c r="S951" s="4">
        <v>134828</v>
      </c>
      <c r="T951" s="4">
        <v>91396</v>
      </c>
      <c r="U951" s="4">
        <v>43432</v>
      </c>
      <c r="V951" s="4">
        <v>105250</v>
      </c>
      <c r="W951" s="4">
        <v>19071</v>
      </c>
      <c r="X951" s="4">
        <v>6273</v>
      </c>
      <c r="Y951" s="4" t="s">
        <v>41</v>
      </c>
      <c r="Z951" s="4">
        <v>41</v>
      </c>
      <c r="AA951" s="4">
        <v>3.2</v>
      </c>
      <c r="AB951" s="4" t="s">
        <v>137</v>
      </c>
    </row>
    <row r="952" spans="1:28" x14ac:dyDescent="0.25">
      <c r="A952" s="2" t="s">
        <v>1653</v>
      </c>
      <c r="B952" s="2" t="s">
        <v>1058</v>
      </c>
      <c r="C952" s="2">
        <v>13</v>
      </c>
      <c r="D952" s="2" t="s">
        <v>30</v>
      </c>
      <c r="E952" s="2" t="s">
        <v>56</v>
      </c>
      <c r="F952" s="2" t="s">
        <v>32</v>
      </c>
      <c r="G952" s="3">
        <v>45308</v>
      </c>
      <c r="H952" s="3">
        <v>45331</v>
      </c>
      <c r="I952" s="2">
        <v>23</v>
      </c>
      <c r="J952" s="2" t="s">
        <v>140</v>
      </c>
      <c r="K952" s="2" t="s">
        <v>141</v>
      </c>
      <c r="L952" s="2" t="s">
        <v>142</v>
      </c>
      <c r="M952" s="2" t="s">
        <v>95</v>
      </c>
      <c r="N952" s="2" t="s">
        <v>62</v>
      </c>
      <c r="O952" s="2" t="s">
        <v>230</v>
      </c>
      <c r="P952" s="2">
        <v>459</v>
      </c>
      <c r="Q952" s="2" t="s">
        <v>50</v>
      </c>
      <c r="R952" s="2" t="s">
        <v>40</v>
      </c>
      <c r="S952" s="2">
        <v>115203</v>
      </c>
      <c r="T952" s="2">
        <v>78145</v>
      </c>
      <c r="U952" s="2">
        <v>37058</v>
      </c>
      <c r="V952" s="2">
        <v>106815</v>
      </c>
      <c r="W952" s="2">
        <v>3382</v>
      </c>
      <c r="X952" s="2">
        <v>572</v>
      </c>
      <c r="Y952" s="2" t="s">
        <v>41</v>
      </c>
      <c r="Z952" s="2">
        <v>63</v>
      </c>
      <c r="AA952" s="2">
        <v>2.1</v>
      </c>
      <c r="AB952" s="2" t="s">
        <v>42</v>
      </c>
    </row>
    <row r="953" spans="1:28" x14ac:dyDescent="0.25">
      <c r="A953" s="4" t="s">
        <v>1654</v>
      </c>
      <c r="B953" s="4" t="s">
        <v>1056</v>
      </c>
      <c r="C953" s="4">
        <v>25</v>
      </c>
      <c r="D953" s="4" t="s">
        <v>30</v>
      </c>
      <c r="E953" s="4" t="s">
        <v>31</v>
      </c>
      <c r="F953" s="4" t="s">
        <v>157</v>
      </c>
      <c r="G953" s="5">
        <v>45016</v>
      </c>
      <c r="H953" s="5">
        <v>45035</v>
      </c>
      <c r="I953" s="4">
        <v>19</v>
      </c>
      <c r="J953" s="4" t="s">
        <v>140</v>
      </c>
      <c r="K953" s="4" t="s">
        <v>141</v>
      </c>
      <c r="L953" s="4" t="s">
        <v>142</v>
      </c>
      <c r="M953" s="4" t="s">
        <v>75</v>
      </c>
      <c r="N953" s="4" t="s">
        <v>118</v>
      </c>
      <c r="O953" s="4" t="s">
        <v>205</v>
      </c>
      <c r="P953" s="4">
        <v>113</v>
      </c>
      <c r="Q953" s="4" t="s">
        <v>69</v>
      </c>
      <c r="R953" s="4" t="s">
        <v>90</v>
      </c>
      <c r="S953" s="4">
        <v>105110</v>
      </c>
      <c r="T953" s="4">
        <v>82007</v>
      </c>
      <c r="U953" s="4">
        <v>23103</v>
      </c>
      <c r="V953" s="4">
        <v>84017</v>
      </c>
      <c r="W953" s="4">
        <v>4510</v>
      </c>
      <c r="X953" s="4">
        <v>12601</v>
      </c>
      <c r="Y953" s="4" t="s">
        <v>41</v>
      </c>
      <c r="Z953" s="4">
        <v>92</v>
      </c>
      <c r="AA953" s="4">
        <v>2</v>
      </c>
      <c r="AB953" s="4" t="s">
        <v>64</v>
      </c>
    </row>
    <row r="954" spans="1:28" x14ac:dyDescent="0.25">
      <c r="A954" s="2" t="s">
        <v>1655</v>
      </c>
      <c r="B954" s="2" t="s">
        <v>306</v>
      </c>
      <c r="C954" s="2">
        <v>17</v>
      </c>
      <c r="D954" s="2" t="s">
        <v>30</v>
      </c>
      <c r="E954" s="2" t="s">
        <v>56</v>
      </c>
      <c r="F954" s="2" t="s">
        <v>114</v>
      </c>
      <c r="G954" s="3">
        <v>45537</v>
      </c>
      <c r="H954" s="3">
        <v>45561</v>
      </c>
      <c r="I954" s="2">
        <v>24</v>
      </c>
      <c r="J954" s="2" t="s">
        <v>58</v>
      </c>
      <c r="K954" s="2" t="s">
        <v>88</v>
      </c>
      <c r="L954" s="2" t="s">
        <v>60</v>
      </c>
      <c r="M954" s="2" t="s">
        <v>108</v>
      </c>
      <c r="N954" s="2" t="s">
        <v>118</v>
      </c>
      <c r="O954" s="2" t="s">
        <v>164</v>
      </c>
      <c r="P954" s="2">
        <v>119</v>
      </c>
      <c r="Q954" s="2" t="s">
        <v>50</v>
      </c>
      <c r="R954" s="2" t="s">
        <v>40</v>
      </c>
      <c r="S954" s="2">
        <v>108498</v>
      </c>
      <c r="T954" s="2">
        <v>43501</v>
      </c>
      <c r="U954" s="2">
        <v>64997</v>
      </c>
      <c r="V954" s="2">
        <v>86227</v>
      </c>
      <c r="W954" s="2">
        <v>19020</v>
      </c>
      <c r="X954" s="2">
        <v>1986</v>
      </c>
      <c r="Y954" s="2" t="s">
        <v>91</v>
      </c>
      <c r="Z954" s="2">
        <v>47</v>
      </c>
      <c r="AA954" s="2">
        <v>4.5999999999999996</v>
      </c>
      <c r="AB954" s="2" t="s">
        <v>52</v>
      </c>
    </row>
    <row r="955" spans="1:28" x14ac:dyDescent="0.25">
      <c r="A955" s="4" t="s">
        <v>1656</v>
      </c>
      <c r="B955" s="4" t="s">
        <v>330</v>
      </c>
      <c r="C955" s="4">
        <v>58</v>
      </c>
      <c r="D955" s="4" t="s">
        <v>30</v>
      </c>
      <c r="E955" s="4" t="s">
        <v>154</v>
      </c>
      <c r="F955" s="4" t="s">
        <v>150</v>
      </c>
      <c r="G955" s="5">
        <v>45597</v>
      </c>
      <c r="H955" s="5">
        <v>45624</v>
      </c>
      <c r="I955" s="4">
        <v>27</v>
      </c>
      <c r="J955" s="4" t="s">
        <v>33</v>
      </c>
      <c r="K955" s="4" t="s">
        <v>278</v>
      </c>
      <c r="L955" s="4" t="s">
        <v>279</v>
      </c>
      <c r="M955" s="4" t="s">
        <v>36</v>
      </c>
      <c r="N955" s="4" t="s">
        <v>118</v>
      </c>
      <c r="O955" s="4" t="s">
        <v>256</v>
      </c>
      <c r="P955" s="4">
        <v>283</v>
      </c>
      <c r="Q955" s="4" t="s">
        <v>50</v>
      </c>
      <c r="R955" s="4" t="s">
        <v>136</v>
      </c>
      <c r="S955" s="4">
        <v>50194</v>
      </c>
      <c r="T955" s="4">
        <v>0</v>
      </c>
      <c r="U955" s="4">
        <v>50194</v>
      </c>
      <c r="V955" s="4">
        <v>34141</v>
      </c>
      <c r="W955" s="4">
        <v>5483</v>
      </c>
      <c r="X955" s="4">
        <v>9445</v>
      </c>
      <c r="Y955" s="4" t="s">
        <v>41</v>
      </c>
      <c r="Z955" s="4">
        <v>98</v>
      </c>
      <c r="AA955" s="4">
        <v>3.5</v>
      </c>
      <c r="AB955" s="4" t="s">
        <v>104</v>
      </c>
    </row>
    <row r="956" spans="1:28" x14ac:dyDescent="0.25">
      <c r="A956" s="2" t="s">
        <v>1657</v>
      </c>
      <c r="B956" s="2" t="s">
        <v>232</v>
      </c>
      <c r="C956" s="2">
        <v>80</v>
      </c>
      <c r="D956" s="2" t="s">
        <v>30</v>
      </c>
      <c r="E956" s="2" t="s">
        <v>87</v>
      </c>
      <c r="F956" s="2" t="s">
        <v>94</v>
      </c>
      <c r="G956" s="3">
        <v>44763</v>
      </c>
      <c r="H956" s="3">
        <v>44774</v>
      </c>
      <c r="I956" s="2">
        <v>11</v>
      </c>
      <c r="J956" s="2" t="s">
        <v>58</v>
      </c>
      <c r="K956" s="2" t="s">
        <v>88</v>
      </c>
      <c r="L956" s="2" t="s">
        <v>60</v>
      </c>
      <c r="M956" s="2" t="s">
        <v>143</v>
      </c>
      <c r="N956" s="2" t="s">
        <v>37</v>
      </c>
      <c r="O956" s="2" t="s">
        <v>321</v>
      </c>
      <c r="P956" s="2">
        <v>237</v>
      </c>
      <c r="Q956" s="2" t="s">
        <v>39</v>
      </c>
      <c r="R956" s="2" t="s">
        <v>40</v>
      </c>
      <c r="S956" s="2">
        <v>113047</v>
      </c>
      <c r="T956" s="2">
        <v>71901</v>
      </c>
      <c r="U956" s="2">
        <v>41146</v>
      </c>
      <c r="V956" s="2">
        <v>105493</v>
      </c>
      <c r="W956" s="2">
        <v>1618</v>
      </c>
      <c r="X956" s="2">
        <v>3015</v>
      </c>
      <c r="Y956" s="2" t="s">
        <v>41</v>
      </c>
      <c r="Z956" s="2">
        <v>87</v>
      </c>
      <c r="AA956" s="2">
        <v>4.5</v>
      </c>
      <c r="AB956" s="2" t="s">
        <v>52</v>
      </c>
    </row>
    <row r="957" spans="1:28" x14ac:dyDescent="0.25">
      <c r="A957" s="4" t="s">
        <v>1658</v>
      </c>
      <c r="B957" s="4" t="s">
        <v>1056</v>
      </c>
      <c r="C957" s="4">
        <v>59</v>
      </c>
      <c r="D957" s="4" t="s">
        <v>30</v>
      </c>
      <c r="E957" s="4" t="s">
        <v>87</v>
      </c>
      <c r="F957" s="4" t="s">
        <v>129</v>
      </c>
      <c r="G957" s="5">
        <v>44637</v>
      </c>
      <c r="H957" s="5">
        <v>44649</v>
      </c>
      <c r="I957" s="4">
        <v>12</v>
      </c>
      <c r="J957" s="4" t="s">
        <v>202</v>
      </c>
      <c r="K957" s="4" t="s">
        <v>203</v>
      </c>
      <c r="L957" s="4" t="s">
        <v>204</v>
      </c>
      <c r="M957" s="4" t="s">
        <v>36</v>
      </c>
      <c r="N957" s="4" t="s">
        <v>62</v>
      </c>
      <c r="O957" s="4" t="s">
        <v>256</v>
      </c>
      <c r="P957" s="4">
        <v>32</v>
      </c>
      <c r="Q957" s="4" t="s">
        <v>103</v>
      </c>
      <c r="R957" s="4" t="s">
        <v>90</v>
      </c>
      <c r="S957" s="4">
        <v>129752</v>
      </c>
      <c r="T957" s="4">
        <v>107228</v>
      </c>
      <c r="U957" s="4">
        <v>22524</v>
      </c>
      <c r="V957" s="4">
        <v>99805</v>
      </c>
      <c r="W957" s="4">
        <v>13591</v>
      </c>
      <c r="X957" s="4">
        <v>13697</v>
      </c>
      <c r="Y957" s="4" t="s">
        <v>41</v>
      </c>
      <c r="Z957" s="4">
        <v>81</v>
      </c>
      <c r="AA957" s="4">
        <v>4.3</v>
      </c>
      <c r="AB957" s="4" t="s">
        <v>137</v>
      </c>
    </row>
    <row r="958" spans="1:28" x14ac:dyDescent="0.25">
      <c r="A958" s="2" t="s">
        <v>1659</v>
      </c>
      <c r="B958" s="2" t="s">
        <v>1660</v>
      </c>
      <c r="C958" s="2">
        <v>32</v>
      </c>
      <c r="D958" s="2" t="s">
        <v>55</v>
      </c>
      <c r="E958" s="2" t="s">
        <v>87</v>
      </c>
      <c r="F958" s="2" t="s">
        <v>80</v>
      </c>
      <c r="G958" s="3">
        <v>45190</v>
      </c>
      <c r="H958" s="3">
        <v>45198</v>
      </c>
      <c r="I958" s="2">
        <v>8</v>
      </c>
      <c r="J958" s="2" t="s">
        <v>202</v>
      </c>
      <c r="K958" s="2" t="s">
        <v>225</v>
      </c>
      <c r="L958" s="2" t="s">
        <v>226</v>
      </c>
      <c r="M958" s="2" t="s">
        <v>143</v>
      </c>
      <c r="N958" s="2" t="s">
        <v>37</v>
      </c>
      <c r="O958" s="2" t="s">
        <v>438</v>
      </c>
      <c r="P958" s="2">
        <v>431</v>
      </c>
      <c r="Q958" s="2" t="s">
        <v>50</v>
      </c>
      <c r="R958" s="2" t="s">
        <v>51</v>
      </c>
      <c r="S958" s="2">
        <v>124143</v>
      </c>
      <c r="T958" s="2">
        <v>63933</v>
      </c>
      <c r="U958" s="2">
        <v>60210</v>
      </c>
      <c r="V958" s="2">
        <v>90017</v>
      </c>
      <c r="W958" s="2">
        <v>24123</v>
      </c>
      <c r="X958" s="2">
        <v>8020</v>
      </c>
      <c r="Y958" s="2" t="s">
        <v>41</v>
      </c>
      <c r="Z958" s="2">
        <v>51</v>
      </c>
      <c r="AA958" s="2">
        <v>3</v>
      </c>
      <c r="AB958" s="2" t="s">
        <v>137</v>
      </c>
    </row>
    <row r="959" spans="1:28" x14ac:dyDescent="0.25">
      <c r="A959" s="4" t="s">
        <v>1661</v>
      </c>
      <c r="B959" s="4" t="s">
        <v>1424</v>
      </c>
      <c r="C959" s="4">
        <v>56</v>
      </c>
      <c r="D959" s="4" t="s">
        <v>55</v>
      </c>
      <c r="E959" s="4" t="s">
        <v>87</v>
      </c>
      <c r="F959" s="4" t="s">
        <v>129</v>
      </c>
      <c r="G959" s="5">
        <v>45619</v>
      </c>
      <c r="H959" s="5">
        <v>45646</v>
      </c>
      <c r="I959" s="4">
        <v>27</v>
      </c>
      <c r="J959" s="4" t="s">
        <v>58</v>
      </c>
      <c r="K959" s="4" t="s">
        <v>59</v>
      </c>
      <c r="L959" s="4" t="s">
        <v>60</v>
      </c>
      <c r="M959" s="4" t="s">
        <v>83</v>
      </c>
      <c r="N959" s="4" t="s">
        <v>37</v>
      </c>
      <c r="O959" s="4" t="s">
        <v>63</v>
      </c>
      <c r="P959" s="4">
        <v>70</v>
      </c>
      <c r="Q959" s="4" t="s">
        <v>69</v>
      </c>
      <c r="R959" s="4" t="s">
        <v>111</v>
      </c>
      <c r="S959" s="4">
        <v>132846</v>
      </c>
      <c r="T959" s="4">
        <v>98767</v>
      </c>
      <c r="U959" s="4">
        <v>34079</v>
      </c>
      <c r="V959" s="4">
        <v>103893</v>
      </c>
      <c r="W959" s="4">
        <v>23386</v>
      </c>
      <c r="X959" s="4">
        <v>3889</v>
      </c>
      <c r="Y959" s="4" t="s">
        <v>91</v>
      </c>
      <c r="Z959" s="4">
        <v>93</v>
      </c>
      <c r="AA959" s="4">
        <v>4.0999999999999996</v>
      </c>
      <c r="AB959" s="4" t="s">
        <v>52</v>
      </c>
    </row>
    <row r="960" spans="1:28" x14ac:dyDescent="0.25">
      <c r="A960" s="2" t="s">
        <v>1662</v>
      </c>
      <c r="B960" s="2" t="s">
        <v>960</v>
      </c>
      <c r="C960" s="2">
        <v>56</v>
      </c>
      <c r="D960" s="2" t="s">
        <v>30</v>
      </c>
      <c r="E960" s="2" t="s">
        <v>67</v>
      </c>
      <c r="F960" s="2" t="s">
        <v>129</v>
      </c>
      <c r="G960" s="3">
        <v>45295</v>
      </c>
      <c r="H960" s="3">
        <v>45315</v>
      </c>
      <c r="I960" s="2">
        <v>20</v>
      </c>
      <c r="J960" s="2" t="s">
        <v>140</v>
      </c>
      <c r="K960" s="2" t="s">
        <v>141</v>
      </c>
      <c r="L960" s="2" t="s">
        <v>142</v>
      </c>
      <c r="M960" s="2" t="s">
        <v>75</v>
      </c>
      <c r="N960" s="2" t="s">
        <v>37</v>
      </c>
      <c r="O960" s="2" t="s">
        <v>96</v>
      </c>
      <c r="P960" s="2">
        <v>311</v>
      </c>
      <c r="Q960" s="2" t="s">
        <v>69</v>
      </c>
      <c r="R960" s="2" t="s">
        <v>111</v>
      </c>
      <c r="S960" s="2">
        <v>49593</v>
      </c>
      <c r="T960" s="2">
        <v>43421</v>
      </c>
      <c r="U960" s="2">
        <v>6172</v>
      </c>
      <c r="V960" s="2">
        <v>12919</v>
      </c>
      <c r="W960" s="2">
        <v>27126</v>
      </c>
      <c r="X960" s="2">
        <v>4813</v>
      </c>
      <c r="Y960" s="2" t="s">
        <v>41</v>
      </c>
      <c r="Z960" s="2">
        <v>65</v>
      </c>
      <c r="AA960" s="2">
        <v>3.8</v>
      </c>
      <c r="AB960" s="2" t="s">
        <v>64</v>
      </c>
    </row>
    <row r="961" spans="1:28" x14ac:dyDescent="0.25">
      <c r="A961" s="4" t="s">
        <v>1663</v>
      </c>
      <c r="B961" s="4" t="s">
        <v>972</v>
      </c>
      <c r="C961" s="4">
        <v>47</v>
      </c>
      <c r="D961" s="4" t="s">
        <v>30</v>
      </c>
      <c r="E961" s="4" t="s">
        <v>31</v>
      </c>
      <c r="F961" s="4" t="s">
        <v>46</v>
      </c>
      <c r="G961" s="5">
        <v>44574</v>
      </c>
      <c r="H961" s="5">
        <v>44586</v>
      </c>
      <c r="I961" s="4">
        <v>12</v>
      </c>
      <c r="J961" s="4" t="s">
        <v>123</v>
      </c>
      <c r="K961" s="4" t="s">
        <v>251</v>
      </c>
      <c r="L961" s="4" t="s">
        <v>125</v>
      </c>
      <c r="M961" s="4" t="s">
        <v>101</v>
      </c>
      <c r="N961" s="4" t="s">
        <v>109</v>
      </c>
      <c r="O961" s="4" t="s">
        <v>256</v>
      </c>
      <c r="P961" s="4">
        <v>296</v>
      </c>
      <c r="Q961" s="4" t="s">
        <v>103</v>
      </c>
      <c r="R961" s="4" t="s">
        <v>90</v>
      </c>
      <c r="S961" s="4">
        <v>130021</v>
      </c>
      <c r="T961" s="4">
        <v>94749</v>
      </c>
      <c r="U961" s="4">
        <v>35272</v>
      </c>
      <c r="V961" s="4">
        <v>90818</v>
      </c>
      <c r="W961" s="4">
        <v>20535</v>
      </c>
      <c r="X961" s="4">
        <v>14487</v>
      </c>
      <c r="Y961" s="4" t="s">
        <v>41</v>
      </c>
      <c r="Z961" s="4">
        <v>40</v>
      </c>
      <c r="AA961" s="4">
        <v>2.9</v>
      </c>
      <c r="AB961" s="4" t="s">
        <v>52</v>
      </c>
    </row>
    <row r="962" spans="1:28" x14ac:dyDescent="0.25">
      <c r="A962" s="2" t="s">
        <v>1664</v>
      </c>
      <c r="B962" s="2" t="s">
        <v>410</v>
      </c>
      <c r="C962" s="2">
        <v>12</v>
      </c>
      <c r="D962" s="2" t="s">
        <v>30</v>
      </c>
      <c r="E962" s="2" t="s">
        <v>87</v>
      </c>
      <c r="F962" s="2" t="s">
        <v>150</v>
      </c>
      <c r="G962" s="3">
        <v>45256</v>
      </c>
      <c r="H962" s="3">
        <v>45268</v>
      </c>
      <c r="I962" s="2">
        <v>12</v>
      </c>
      <c r="J962" s="2" t="s">
        <v>140</v>
      </c>
      <c r="K962" s="2" t="s">
        <v>167</v>
      </c>
      <c r="L962" s="2" t="s">
        <v>142</v>
      </c>
      <c r="M962" s="2" t="s">
        <v>108</v>
      </c>
      <c r="N962" s="2" t="s">
        <v>62</v>
      </c>
      <c r="O962" s="2" t="s">
        <v>464</v>
      </c>
      <c r="P962" s="2">
        <v>124</v>
      </c>
      <c r="Q962" s="2" t="s">
        <v>50</v>
      </c>
      <c r="R962" s="2" t="s">
        <v>40</v>
      </c>
      <c r="S962" s="2">
        <v>76791</v>
      </c>
      <c r="T962" s="2">
        <v>47985</v>
      </c>
      <c r="U962" s="2">
        <v>28806</v>
      </c>
      <c r="V962" s="2">
        <v>52429</v>
      </c>
      <c r="W962" s="2">
        <v>16625</v>
      </c>
      <c r="X962" s="2">
        <v>3941</v>
      </c>
      <c r="Y962" s="2" t="s">
        <v>91</v>
      </c>
      <c r="Z962" s="2">
        <v>86</v>
      </c>
      <c r="AA962" s="2">
        <v>2.6</v>
      </c>
      <c r="AB962" s="2" t="s">
        <v>104</v>
      </c>
    </row>
    <row r="963" spans="1:28" x14ac:dyDescent="0.25">
      <c r="A963" s="4" t="s">
        <v>1665</v>
      </c>
      <c r="B963" s="4" t="s">
        <v>1666</v>
      </c>
      <c r="C963" s="4">
        <v>27</v>
      </c>
      <c r="D963" s="4" t="s">
        <v>55</v>
      </c>
      <c r="E963" s="4" t="s">
        <v>87</v>
      </c>
      <c r="F963" s="4" t="s">
        <v>157</v>
      </c>
      <c r="G963" s="5">
        <v>44779</v>
      </c>
      <c r="H963" s="5">
        <v>44804</v>
      </c>
      <c r="I963" s="4">
        <v>25</v>
      </c>
      <c r="J963" s="4" t="s">
        <v>202</v>
      </c>
      <c r="K963" s="4" t="s">
        <v>203</v>
      </c>
      <c r="L963" s="4" t="s">
        <v>204</v>
      </c>
      <c r="M963" s="4" t="s">
        <v>95</v>
      </c>
      <c r="N963" s="4" t="s">
        <v>37</v>
      </c>
      <c r="O963" s="4" t="s">
        <v>431</v>
      </c>
      <c r="P963" s="4">
        <v>62</v>
      </c>
      <c r="Q963" s="4" t="s">
        <v>103</v>
      </c>
      <c r="R963" s="4" t="s">
        <v>90</v>
      </c>
      <c r="S963" s="4">
        <v>126604</v>
      </c>
      <c r="T963" s="4">
        <v>81949</v>
      </c>
      <c r="U963" s="4">
        <v>44655</v>
      </c>
      <c r="V963" s="4">
        <v>115869</v>
      </c>
      <c r="W963" s="4">
        <v>6386</v>
      </c>
      <c r="X963" s="4">
        <v>1437</v>
      </c>
      <c r="Y963" s="4" t="s">
        <v>41</v>
      </c>
      <c r="Z963" s="4">
        <v>63</v>
      </c>
      <c r="AA963" s="4">
        <v>2.2999999999999998</v>
      </c>
      <c r="AB963" s="4" t="s">
        <v>52</v>
      </c>
    </row>
    <row r="964" spans="1:28" x14ac:dyDescent="0.25">
      <c r="A964" s="2" t="s">
        <v>1667</v>
      </c>
      <c r="B964" s="2" t="s">
        <v>999</v>
      </c>
      <c r="C964" s="2">
        <v>56</v>
      </c>
      <c r="D964" s="2" t="s">
        <v>55</v>
      </c>
      <c r="E964" s="2" t="s">
        <v>122</v>
      </c>
      <c r="F964" s="2" t="s">
        <v>80</v>
      </c>
      <c r="G964" s="3">
        <v>44921</v>
      </c>
      <c r="H964" s="3">
        <v>44925</v>
      </c>
      <c r="I964" s="2">
        <v>4</v>
      </c>
      <c r="J964" s="2" t="s">
        <v>33</v>
      </c>
      <c r="K964" s="2" t="s">
        <v>81</v>
      </c>
      <c r="L964" s="2" t="s">
        <v>82</v>
      </c>
      <c r="M964" s="2" t="s">
        <v>130</v>
      </c>
      <c r="N964" s="2" t="s">
        <v>109</v>
      </c>
      <c r="O964" s="2" t="s">
        <v>147</v>
      </c>
      <c r="P964" s="2">
        <v>96</v>
      </c>
      <c r="Q964" s="2" t="s">
        <v>69</v>
      </c>
      <c r="R964" s="2" t="s">
        <v>40</v>
      </c>
      <c r="S964" s="2">
        <v>147086</v>
      </c>
      <c r="T964" s="2">
        <v>63055</v>
      </c>
      <c r="U964" s="2">
        <v>84031</v>
      </c>
      <c r="V964" s="2">
        <v>113320</v>
      </c>
      <c r="W964" s="2">
        <v>19633</v>
      </c>
      <c r="X964" s="2">
        <v>13520</v>
      </c>
      <c r="Y964" s="2" t="s">
        <v>41</v>
      </c>
      <c r="Z964" s="2">
        <v>57</v>
      </c>
      <c r="AA964" s="2">
        <v>2.6</v>
      </c>
      <c r="AB964" s="2" t="s">
        <v>137</v>
      </c>
    </row>
    <row r="965" spans="1:28" x14ac:dyDescent="0.25">
      <c r="A965" s="4" t="s">
        <v>1668</v>
      </c>
      <c r="B965" s="4" t="s">
        <v>482</v>
      </c>
      <c r="C965" s="4">
        <v>14</v>
      </c>
      <c r="D965" s="4" t="s">
        <v>55</v>
      </c>
      <c r="E965" s="4" t="s">
        <v>67</v>
      </c>
      <c r="F965" s="4" t="s">
        <v>94</v>
      </c>
      <c r="G965" s="5">
        <v>44613</v>
      </c>
      <c r="H965" s="5">
        <v>44641</v>
      </c>
      <c r="I965" s="4">
        <v>28</v>
      </c>
      <c r="J965" s="4" t="s">
        <v>202</v>
      </c>
      <c r="K965" s="4" t="s">
        <v>203</v>
      </c>
      <c r="L965" s="4" t="s">
        <v>204</v>
      </c>
      <c r="M965" s="4" t="s">
        <v>83</v>
      </c>
      <c r="N965" s="4" t="s">
        <v>62</v>
      </c>
      <c r="O965" s="4" t="s">
        <v>365</v>
      </c>
      <c r="P965" s="4">
        <v>205</v>
      </c>
      <c r="Q965" s="4" t="s">
        <v>39</v>
      </c>
      <c r="R965" s="4" t="s">
        <v>111</v>
      </c>
      <c r="S965" s="4">
        <v>39847</v>
      </c>
      <c r="T965" s="4">
        <v>35161</v>
      </c>
      <c r="U965" s="4">
        <v>4686</v>
      </c>
      <c r="V965" s="4">
        <v>15312</v>
      </c>
      <c r="W965" s="4">
        <v>12220</v>
      </c>
      <c r="X965" s="4">
        <v>11727</v>
      </c>
      <c r="Y965" s="4" t="s">
        <v>41</v>
      </c>
      <c r="Z965" s="4">
        <v>52</v>
      </c>
      <c r="AA965" s="4">
        <v>2.6</v>
      </c>
      <c r="AB965" s="4" t="s">
        <v>137</v>
      </c>
    </row>
    <row r="966" spans="1:28" x14ac:dyDescent="0.25">
      <c r="A966" s="2" t="s">
        <v>1669</v>
      </c>
      <c r="B966" s="2" t="s">
        <v>1128</v>
      </c>
      <c r="C966" s="2">
        <v>28</v>
      </c>
      <c r="D966" s="2" t="s">
        <v>30</v>
      </c>
      <c r="E966" s="2" t="s">
        <v>79</v>
      </c>
      <c r="F966" s="2" t="s">
        <v>114</v>
      </c>
      <c r="G966" s="3">
        <v>45020</v>
      </c>
      <c r="H966" s="3">
        <v>45048</v>
      </c>
      <c r="I966" s="2">
        <v>28</v>
      </c>
      <c r="J966" s="2" t="s">
        <v>33</v>
      </c>
      <c r="K966" s="2" t="s">
        <v>34</v>
      </c>
      <c r="L966" s="2" t="s">
        <v>35</v>
      </c>
      <c r="M966" s="2" t="s">
        <v>143</v>
      </c>
      <c r="N966" s="2" t="s">
        <v>118</v>
      </c>
      <c r="O966" s="2" t="s">
        <v>352</v>
      </c>
      <c r="P966" s="2">
        <v>124</v>
      </c>
      <c r="Q966" s="2" t="s">
        <v>69</v>
      </c>
      <c r="R966" s="2" t="s">
        <v>51</v>
      </c>
      <c r="S966" s="2">
        <v>87503</v>
      </c>
      <c r="T966" s="2">
        <v>54853</v>
      </c>
      <c r="U966" s="2">
        <v>32650</v>
      </c>
      <c r="V966" s="2">
        <v>63272</v>
      </c>
      <c r="W966" s="2">
        <v>19442</v>
      </c>
      <c r="X966" s="2">
        <v>1032</v>
      </c>
      <c r="Y966" s="2" t="s">
        <v>41</v>
      </c>
      <c r="Z966" s="2">
        <v>43</v>
      </c>
      <c r="AA966" s="2">
        <v>2.5</v>
      </c>
      <c r="AB966" s="2" t="s">
        <v>52</v>
      </c>
    </row>
    <row r="967" spans="1:28" x14ac:dyDescent="0.25">
      <c r="A967" s="4" t="s">
        <v>1670</v>
      </c>
      <c r="B967" s="4" t="s">
        <v>277</v>
      </c>
      <c r="C967" s="4">
        <v>75</v>
      </c>
      <c r="D967" s="4" t="s">
        <v>30</v>
      </c>
      <c r="E967" s="4" t="s">
        <v>56</v>
      </c>
      <c r="F967" s="4" t="s">
        <v>72</v>
      </c>
      <c r="G967" s="5">
        <v>45010</v>
      </c>
      <c r="H967" s="5">
        <v>45034</v>
      </c>
      <c r="I967" s="4">
        <v>24</v>
      </c>
      <c r="J967" s="4" t="s">
        <v>33</v>
      </c>
      <c r="K967" s="4" t="s">
        <v>233</v>
      </c>
      <c r="L967" s="4" t="s">
        <v>35</v>
      </c>
      <c r="M967" s="4" t="s">
        <v>143</v>
      </c>
      <c r="N967" s="4" t="s">
        <v>37</v>
      </c>
      <c r="O967" s="4" t="s">
        <v>331</v>
      </c>
      <c r="P967" s="4">
        <v>93</v>
      </c>
      <c r="Q967" s="4" t="s">
        <v>69</v>
      </c>
      <c r="R967" s="4" t="s">
        <v>40</v>
      </c>
      <c r="S967" s="4">
        <v>73012</v>
      </c>
      <c r="T967" s="4">
        <v>36829</v>
      </c>
      <c r="U967" s="4">
        <v>36183</v>
      </c>
      <c r="V967" s="4">
        <v>35899</v>
      </c>
      <c r="W967" s="4">
        <v>27943</v>
      </c>
      <c r="X967" s="4">
        <v>6850</v>
      </c>
      <c r="Y967" s="4" t="s">
        <v>91</v>
      </c>
      <c r="Z967" s="4">
        <v>89</v>
      </c>
      <c r="AA967" s="4">
        <v>3.7</v>
      </c>
      <c r="AB967" s="4" t="s">
        <v>137</v>
      </c>
    </row>
    <row r="968" spans="1:28" x14ac:dyDescent="0.25">
      <c r="A968" s="2" t="s">
        <v>1671</v>
      </c>
      <c r="B968" s="2" t="s">
        <v>306</v>
      </c>
      <c r="C968" s="2">
        <v>60</v>
      </c>
      <c r="D968" s="2" t="s">
        <v>30</v>
      </c>
      <c r="E968" s="2" t="s">
        <v>87</v>
      </c>
      <c r="F968" s="2" t="s">
        <v>114</v>
      </c>
      <c r="G968" s="3">
        <v>45240</v>
      </c>
      <c r="H968" s="3">
        <v>45267</v>
      </c>
      <c r="I968" s="2">
        <v>27</v>
      </c>
      <c r="J968" s="2" t="s">
        <v>123</v>
      </c>
      <c r="K968" s="2" t="s">
        <v>124</v>
      </c>
      <c r="L968" s="2" t="s">
        <v>125</v>
      </c>
      <c r="M968" s="2" t="s">
        <v>143</v>
      </c>
      <c r="N968" s="2" t="s">
        <v>118</v>
      </c>
      <c r="O968" s="2" t="s">
        <v>248</v>
      </c>
      <c r="P968" s="2">
        <v>302</v>
      </c>
      <c r="Q968" s="2" t="s">
        <v>103</v>
      </c>
      <c r="R968" s="2" t="s">
        <v>136</v>
      </c>
      <c r="S968" s="2">
        <v>113132</v>
      </c>
      <c r="T968" s="2">
        <v>0</v>
      </c>
      <c r="U968" s="2">
        <v>113132</v>
      </c>
      <c r="V968" s="2">
        <v>102946</v>
      </c>
      <c r="W968" s="2">
        <v>1766</v>
      </c>
      <c r="X968" s="2">
        <v>7916</v>
      </c>
      <c r="Y968" s="2" t="s">
        <v>41</v>
      </c>
      <c r="Z968" s="2">
        <v>74</v>
      </c>
      <c r="AA968" s="2">
        <v>3.3</v>
      </c>
      <c r="AB968" s="2" t="s">
        <v>104</v>
      </c>
    </row>
    <row r="969" spans="1:28" x14ac:dyDescent="0.25">
      <c r="A969" s="4" t="s">
        <v>1672</v>
      </c>
      <c r="B969" s="4" t="s">
        <v>794</v>
      </c>
      <c r="C969" s="4">
        <v>51</v>
      </c>
      <c r="D969" s="4" t="s">
        <v>30</v>
      </c>
      <c r="E969" s="4" t="s">
        <v>122</v>
      </c>
      <c r="F969" s="4" t="s">
        <v>129</v>
      </c>
      <c r="G969" s="5">
        <v>44653</v>
      </c>
      <c r="H969" s="5">
        <v>44671</v>
      </c>
      <c r="I969" s="4">
        <v>18</v>
      </c>
      <c r="J969" s="4" t="s">
        <v>123</v>
      </c>
      <c r="K969" s="4" t="s">
        <v>251</v>
      </c>
      <c r="L969" s="4" t="s">
        <v>125</v>
      </c>
      <c r="M969" s="4" t="s">
        <v>101</v>
      </c>
      <c r="N969" s="4" t="s">
        <v>109</v>
      </c>
      <c r="O969" s="4" t="s">
        <v>464</v>
      </c>
      <c r="P969" s="4">
        <v>85</v>
      </c>
      <c r="Q969" s="4" t="s">
        <v>39</v>
      </c>
      <c r="R969" s="4" t="s">
        <v>90</v>
      </c>
      <c r="S969" s="4">
        <v>145781</v>
      </c>
      <c r="T969" s="4">
        <v>126047</v>
      </c>
      <c r="U969" s="4">
        <v>19734</v>
      </c>
      <c r="V969" s="4">
        <v>102361</v>
      </c>
      <c r="W969" s="4">
        <v>26448</v>
      </c>
      <c r="X969" s="4">
        <v>14021</v>
      </c>
      <c r="Y969" s="4" t="s">
        <v>41</v>
      </c>
      <c r="Z969" s="4">
        <v>42</v>
      </c>
      <c r="AA969" s="4">
        <v>2.8</v>
      </c>
      <c r="AB969" s="4" t="s">
        <v>42</v>
      </c>
    </row>
    <row r="970" spans="1:28" x14ac:dyDescent="0.25">
      <c r="A970" s="2" t="s">
        <v>1673</v>
      </c>
      <c r="B970" s="2" t="s">
        <v>381</v>
      </c>
      <c r="C970" s="2">
        <v>79</v>
      </c>
      <c r="D970" s="2" t="s">
        <v>55</v>
      </c>
      <c r="E970" s="2" t="s">
        <v>154</v>
      </c>
      <c r="F970" s="2" t="s">
        <v>129</v>
      </c>
      <c r="G970" s="3">
        <v>45275</v>
      </c>
      <c r="H970" s="3">
        <v>45282</v>
      </c>
      <c r="I970" s="2">
        <v>7</v>
      </c>
      <c r="J970" s="2" t="s">
        <v>73</v>
      </c>
      <c r="K970" s="2" t="s">
        <v>74</v>
      </c>
      <c r="L970" s="2" t="s">
        <v>73</v>
      </c>
      <c r="M970" s="2" t="s">
        <v>143</v>
      </c>
      <c r="N970" s="2" t="s">
        <v>62</v>
      </c>
      <c r="O970" s="2" t="s">
        <v>647</v>
      </c>
      <c r="P970" s="2">
        <v>184</v>
      </c>
      <c r="Q970" s="2" t="s">
        <v>69</v>
      </c>
      <c r="R970" s="2" t="s">
        <v>90</v>
      </c>
      <c r="S970" s="2">
        <v>82733</v>
      </c>
      <c r="T970" s="2">
        <v>58179</v>
      </c>
      <c r="U970" s="2">
        <v>24554</v>
      </c>
      <c r="V970" s="2">
        <v>45360</v>
      </c>
      <c r="W970" s="2">
        <v>27528</v>
      </c>
      <c r="X970" s="2">
        <v>6631</v>
      </c>
      <c r="Y970" s="2" t="s">
        <v>41</v>
      </c>
      <c r="Z970" s="2">
        <v>47</v>
      </c>
      <c r="AA970" s="2">
        <v>3.9</v>
      </c>
      <c r="AB970" s="2" t="s">
        <v>64</v>
      </c>
    </row>
    <row r="971" spans="1:28" x14ac:dyDescent="0.25">
      <c r="A971" s="4" t="s">
        <v>1674</v>
      </c>
      <c r="B971" s="4" t="s">
        <v>1675</v>
      </c>
      <c r="C971" s="4">
        <v>47</v>
      </c>
      <c r="D971" s="4" t="s">
        <v>55</v>
      </c>
      <c r="E971" s="4" t="s">
        <v>31</v>
      </c>
      <c r="F971" s="4" t="s">
        <v>114</v>
      </c>
      <c r="G971" s="5">
        <v>45594</v>
      </c>
      <c r="H971" s="5">
        <v>45621</v>
      </c>
      <c r="I971" s="4">
        <v>27</v>
      </c>
      <c r="J971" s="4" t="s">
        <v>33</v>
      </c>
      <c r="K971" s="4" t="s">
        <v>99</v>
      </c>
      <c r="L971" s="4" t="s">
        <v>100</v>
      </c>
      <c r="M971" s="4" t="s">
        <v>134</v>
      </c>
      <c r="N971" s="4" t="s">
        <v>109</v>
      </c>
      <c r="O971" s="4" t="s">
        <v>382</v>
      </c>
      <c r="P971" s="4">
        <v>387</v>
      </c>
      <c r="Q971" s="4" t="s">
        <v>39</v>
      </c>
      <c r="R971" s="4" t="s">
        <v>40</v>
      </c>
      <c r="S971" s="4">
        <v>75111</v>
      </c>
      <c r="T971" s="4">
        <v>38925</v>
      </c>
      <c r="U971" s="4">
        <v>36186</v>
      </c>
      <c r="V971" s="4">
        <v>47520</v>
      </c>
      <c r="W971" s="4">
        <v>10651</v>
      </c>
      <c r="X971" s="4">
        <v>14423</v>
      </c>
      <c r="Y971" s="4" t="s">
        <v>41</v>
      </c>
      <c r="Z971" s="4">
        <v>67</v>
      </c>
      <c r="AA971" s="4">
        <v>2.4</v>
      </c>
      <c r="AB971" s="4" t="s">
        <v>42</v>
      </c>
    </row>
    <row r="972" spans="1:28" x14ac:dyDescent="0.25">
      <c r="A972" s="2" t="s">
        <v>1676</v>
      </c>
      <c r="B972" s="2" t="s">
        <v>1269</v>
      </c>
      <c r="C972" s="2">
        <v>77</v>
      </c>
      <c r="D972" s="2" t="s">
        <v>55</v>
      </c>
      <c r="E972" s="2" t="s">
        <v>56</v>
      </c>
      <c r="F972" s="2" t="s">
        <v>129</v>
      </c>
      <c r="G972" s="3">
        <v>45113</v>
      </c>
      <c r="H972" s="3">
        <v>45138</v>
      </c>
      <c r="I972" s="2">
        <v>25</v>
      </c>
      <c r="J972" s="2" t="s">
        <v>140</v>
      </c>
      <c r="K972" s="2" t="s">
        <v>167</v>
      </c>
      <c r="L972" s="2" t="s">
        <v>142</v>
      </c>
      <c r="M972" s="2" t="s">
        <v>143</v>
      </c>
      <c r="N972" s="2" t="s">
        <v>62</v>
      </c>
      <c r="O972" s="2" t="s">
        <v>343</v>
      </c>
      <c r="P972" s="2">
        <v>385</v>
      </c>
      <c r="Q972" s="2" t="s">
        <v>103</v>
      </c>
      <c r="R972" s="2" t="s">
        <v>136</v>
      </c>
      <c r="S972" s="2">
        <v>47048</v>
      </c>
      <c r="T972" s="2">
        <v>0</v>
      </c>
      <c r="U972" s="2">
        <v>47048</v>
      </c>
      <c r="V972" s="2">
        <v>40100</v>
      </c>
      <c r="W972" s="2">
        <v>2849</v>
      </c>
      <c r="X972" s="2">
        <v>2431</v>
      </c>
      <c r="Y972" s="2" t="s">
        <v>41</v>
      </c>
      <c r="Z972" s="2">
        <v>71</v>
      </c>
      <c r="AA972" s="2">
        <v>3.2</v>
      </c>
      <c r="AB972" s="2" t="s">
        <v>104</v>
      </c>
    </row>
    <row r="973" spans="1:28" x14ac:dyDescent="0.25">
      <c r="A973" s="4" t="s">
        <v>1677</v>
      </c>
      <c r="B973" s="4" t="s">
        <v>210</v>
      </c>
      <c r="C973" s="4">
        <v>44</v>
      </c>
      <c r="D973" s="4" t="s">
        <v>30</v>
      </c>
      <c r="E973" s="4" t="s">
        <v>79</v>
      </c>
      <c r="F973" s="4" t="s">
        <v>129</v>
      </c>
      <c r="G973" s="5">
        <v>44696</v>
      </c>
      <c r="H973" s="5">
        <v>44726</v>
      </c>
      <c r="I973" s="4">
        <v>30</v>
      </c>
      <c r="J973" s="4" t="s">
        <v>123</v>
      </c>
      <c r="K973" s="4" t="s">
        <v>251</v>
      </c>
      <c r="L973" s="4" t="s">
        <v>125</v>
      </c>
      <c r="M973" s="4" t="s">
        <v>143</v>
      </c>
      <c r="N973" s="4" t="s">
        <v>118</v>
      </c>
      <c r="O973" s="4" t="s">
        <v>337</v>
      </c>
      <c r="P973" s="4">
        <v>105</v>
      </c>
      <c r="Q973" s="4" t="s">
        <v>103</v>
      </c>
      <c r="R973" s="4" t="s">
        <v>136</v>
      </c>
      <c r="S973" s="4">
        <v>55484</v>
      </c>
      <c r="T973" s="4">
        <v>0</v>
      </c>
      <c r="U973" s="4">
        <v>55484</v>
      </c>
      <c r="V973" s="4">
        <v>30634</v>
      </c>
      <c r="W973" s="4">
        <v>20200</v>
      </c>
      <c r="X973" s="4">
        <v>2669</v>
      </c>
      <c r="Y973" s="4" t="s">
        <v>41</v>
      </c>
      <c r="Z973" s="4">
        <v>44</v>
      </c>
      <c r="AA973" s="4">
        <v>4.0999999999999996</v>
      </c>
      <c r="AB973" s="4" t="s">
        <v>104</v>
      </c>
    </row>
    <row r="974" spans="1:28" x14ac:dyDescent="0.25">
      <c r="A974" s="2" t="s">
        <v>1678</v>
      </c>
      <c r="B974" s="2" t="s">
        <v>213</v>
      </c>
      <c r="C974" s="2">
        <v>34</v>
      </c>
      <c r="D974" s="2" t="s">
        <v>30</v>
      </c>
      <c r="E974" s="2" t="s">
        <v>154</v>
      </c>
      <c r="F974" s="2" t="s">
        <v>114</v>
      </c>
      <c r="G974" s="3">
        <v>45123</v>
      </c>
      <c r="H974" s="3">
        <v>45139</v>
      </c>
      <c r="I974" s="2">
        <v>16</v>
      </c>
      <c r="J974" s="2" t="s">
        <v>33</v>
      </c>
      <c r="K974" s="2" t="s">
        <v>47</v>
      </c>
      <c r="L974" s="2" t="s">
        <v>48</v>
      </c>
      <c r="M974" s="2" t="s">
        <v>75</v>
      </c>
      <c r="N974" s="2" t="s">
        <v>37</v>
      </c>
      <c r="O974" s="2" t="s">
        <v>538</v>
      </c>
      <c r="P974" s="2">
        <v>53</v>
      </c>
      <c r="Q974" s="2" t="s">
        <v>39</v>
      </c>
      <c r="R974" s="2" t="s">
        <v>90</v>
      </c>
      <c r="S974" s="2">
        <v>131768</v>
      </c>
      <c r="T974" s="2">
        <v>80106</v>
      </c>
      <c r="U974" s="2">
        <v>51662</v>
      </c>
      <c r="V974" s="2">
        <v>116600</v>
      </c>
      <c r="W974" s="2">
        <v>4947</v>
      </c>
      <c r="X974" s="2">
        <v>7849</v>
      </c>
      <c r="Y974" s="2" t="s">
        <v>41</v>
      </c>
      <c r="Z974" s="2">
        <v>50</v>
      </c>
      <c r="AA974" s="2">
        <v>4</v>
      </c>
      <c r="AB974" s="2" t="s">
        <v>42</v>
      </c>
    </row>
    <row r="975" spans="1:28" x14ac:dyDescent="0.25">
      <c r="A975" s="4" t="s">
        <v>1679</v>
      </c>
      <c r="B975" s="4" t="s">
        <v>1680</v>
      </c>
      <c r="C975" s="4">
        <v>45</v>
      </c>
      <c r="D975" s="4" t="s">
        <v>55</v>
      </c>
      <c r="E975" s="4" t="s">
        <v>79</v>
      </c>
      <c r="F975" s="4" t="s">
        <v>57</v>
      </c>
      <c r="G975" s="5">
        <v>44953</v>
      </c>
      <c r="H975" s="5">
        <v>44959</v>
      </c>
      <c r="I975" s="4">
        <v>6</v>
      </c>
      <c r="J975" s="4" t="s">
        <v>33</v>
      </c>
      <c r="K975" s="4" t="s">
        <v>34</v>
      </c>
      <c r="L975" s="4" t="s">
        <v>35</v>
      </c>
      <c r="M975" s="4" t="s">
        <v>95</v>
      </c>
      <c r="N975" s="4" t="s">
        <v>109</v>
      </c>
      <c r="O975" s="4" t="s">
        <v>222</v>
      </c>
      <c r="P975" s="4">
        <v>6</v>
      </c>
      <c r="Q975" s="4" t="s">
        <v>50</v>
      </c>
      <c r="R975" s="4" t="s">
        <v>90</v>
      </c>
      <c r="S975" s="4">
        <v>97829</v>
      </c>
      <c r="T975" s="4">
        <v>61643</v>
      </c>
      <c r="U975" s="4">
        <v>36186</v>
      </c>
      <c r="V975" s="4">
        <v>76016</v>
      </c>
      <c r="W975" s="4">
        <v>7877</v>
      </c>
      <c r="X975" s="4">
        <v>12293</v>
      </c>
      <c r="Y975" s="4" t="s">
        <v>41</v>
      </c>
      <c r="Z975" s="4">
        <v>59</v>
      </c>
      <c r="AA975" s="4">
        <v>2.7</v>
      </c>
      <c r="AB975" s="4" t="s">
        <v>104</v>
      </c>
    </row>
    <row r="976" spans="1:28" x14ac:dyDescent="0.25">
      <c r="A976" s="2" t="s">
        <v>1681</v>
      </c>
      <c r="B976" s="2" t="s">
        <v>1650</v>
      </c>
      <c r="C976" s="2">
        <v>67</v>
      </c>
      <c r="D976" s="2" t="s">
        <v>30</v>
      </c>
      <c r="E976" s="2" t="s">
        <v>154</v>
      </c>
      <c r="F976" s="2" t="s">
        <v>46</v>
      </c>
      <c r="G976" s="3">
        <v>45516</v>
      </c>
      <c r="H976" s="3">
        <v>45536</v>
      </c>
      <c r="I976" s="2">
        <v>20</v>
      </c>
      <c r="J976" s="2" t="s">
        <v>140</v>
      </c>
      <c r="K976" s="2" t="s">
        <v>141</v>
      </c>
      <c r="L976" s="2" t="s">
        <v>142</v>
      </c>
      <c r="M976" s="2" t="s">
        <v>134</v>
      </c>
      <c r="N976" s="2" t="s">
        <v>109</v>
      </c>
      <c r="O976" s="2" t="s">
        <v>509</v>
      </c>
      <c r="P976" s="2">
        <v>257</v>
      </c>
      <c r="Q976" s="2" t="s">
        <v>39</v>
      </c>
      <c r="R976" s="2" t="s">
        <v>136</v>
      </c>
      <c r="S976" s="2">
        <v>123925</v>
      </c>
      <c r="T976" s="2">
        <v>0</v>
      </c>
      <c r="U976" s="2">
        <v>123925</v>
      </c>
      <c r="V976" s="2">
        <v>89236</v>
      </c>
      <c r="W976" s="2">
        <v>23951</v>
      </c>
      <c r="X976" s="2">
        <v>9342</v>
      </c>
      <c r="Y976" s="2" t="s">
        <v>41</v>
      </c>
      <c r="Z976" s="2">
        <v>87</v>
      </c>
      <c r="AA976" s="2">
        <v>4.8</v>
      </c>
      <c r="AB976" s="2" t="s">
        <v>104</v>
      </c>
    </row>
    <row r="977" spans="1:28" x14ac:dyDescent="0.25">
      <c r="A977" s="4" t="s">
        <v>1682</v>
      </c>
      <c r="B977" s="4" t="s">
        <v>523</v>
      </c>
      <c r="C977" s="4">
        <v>66</v>
      </c>
      <c r="D977" s="4" t="s">
        <v>30</v>
      </c>
      <c r="E977" s="4" t="s">
        <v>122</v>
      </c>
      <c r="F977" s="4" t="s">
        <v>114</v>
      </c>
      <c r="G977" s="5">
        <v>45571</v>
      </c>
      <c r="H977" s="5">
        <v>45592</v>
      </c>
      <c r="I977" s="4">
        <v>21</v>
      </c>
      <c r="J977" s="4" t="s">
        <v>115</v>
      </c>
      <c r="K977" s="4" t="s">
        <v>116</v>
      </c>
      <c r="L977" s="4" t="s">
        <v>117</v>
      </c>
      <c r="M977" s="4" t="s">
        <v>61</v>
      </c>
      <c r="N977" s="4" t="s">
        <v>109</v>
      </c>
      <c r="O977" s="4" t="s">
        <v>678</v>
      </c>
      <c r="P977" s="4">
        <v>302</v>
      </c>
      <c r="Q977" s="4" t="s">
        <v>103</v>
      </c>
      <c r="R977" s="4" t="s">
        <v>136</v>
      </c>
      <c r="S977" s="4">
        <v>58468</v>
      </c>
      <c r="T977" s="4">
        <v>0</v>
      </c>
      <c r="U977" s="4">
        <v>58468</v>
      </c>
      <c r="V977" s="4">
        <v>29975</v>
      </c>
      <c r="W977" s="4">
        <v>12729</v>
      </c>
      <c r="X977" s="4">
        <v>14796</v>
      </c>
      <c r="Y977" s="4" t="s">
        <v>41</v>
      </c>
      <c r="Z977" s="4">
        <v>69</v>
      </c>
      <c r="AA977" s="4">
        <v>4.0999999999999996</v>
      </c>
      <c r="AB977" s="4" t="s">
        <v>52</v>
      </c>
    </row>
    <row r="978" spans="1:28" x14ac:dyDescent="0.25">
      <c r="A978" s="2" t="s">
        <v>1683</v>
      </c>
      <c r="B978" s="2" t="s">
        <v>1381</v>
      </c>
      <c r="C978" s="2">
        <v>12</v>
      </c>
      <c r="D978" s="2" t="s">
        <v>30</v>
      </c>
      <c r="E978" s="2" t="s">
        <v>45</v>
      </c>
      <c r="F978" s="2" t="s">
        <v>94</v>
      </c>
      <c r="G978" s="3">
        <v>45648</v>
      </c>
      <c r="H978" s="3">
        <v>45655</v>
      </c>
      <c r="I978" s="2">
        <v>7</v>
      </c>
      <c r="J978" s="2" t="s">
        <v>33</v>
      </c>
      <c r="K978" s="2" t="s">
        <v>99</v>
      </c>
      <c r="L978" s="2" t="s">
        <v>100</v>
      </c>
      <c r="M978" s="2" t="s">
        <v>95</v>
      </c>
      <c r="N978" s="2" t="s">
        <v>37</v>
      </c>
      <c r="O978" s="2" t="s">
        <v>591</v>
      </c>
      <c r="P978" s="2">
        <v>208</v>
      </c>
      <c r="Q978" s="2" t="s">
        <v>39</v>
      </c>
      <c r="R978" s="2" t="s">
        <v>90</v>
      </c>
      <c r="S978" s="2">
        <v>159335</v>
      </c>
      <c r="T978" s="2">
        <v>101592</v>
      </c>
      <c r="U978" s="2">
        <v>57743</v>
      </c>
      <c r="V978" s="2">
        <v>138146</v>
      </c>
      <c r="W978" s="2">
        <v>9720</v>
      </c>
      <c r="X978" s="2">
        <v>7019</v>
      </c>
      <c r="Y978" s="2" t="s">
        <v>41</v>
      </c>
      <c r="Z978" s="2">
        <v>50</v>
      </c>
      <c r="AA978" s="2">
        <v>3.1</v>
      </c>
      <c r="AB978" s="2" t="s">
        <v>64</v>
      </c>
    </row>
    <row r="979" spans="1:28" x14ac:dyDescent="0.25">
      <c r="A979" s="4" t="s">
        <v>1684</v>
      </c>
      <c r="B979" s="4" t="s">
        <v>302</v>
      </c>
      <c r="C979" s="4">
        <v>52</v>
      </c>
      <c r="D979" s="4" t="s">
        <v>55</v>
      </c>
      <c r="E979" s="4" t="s">
        <v>67</v>
      </c>
      <c r="F979" s="4" t="s">
        <v>129</v>
      </c>
      <c r="G979" s="5">
        <v>44887</v>
      </c>
      <c r="H979" s="5">
        <v>44893</v>
      </c>
      <c r="I979" s="4">
        <v>6</v>
      </c>
      <c r="J979" s="4" t="s">
        <v>123</v>
      </c>
      <c r="K979" s="4" t="s">
        <v>124</v>
      </c>
      <c r="L979" s="4" t="s">
        <v>125</v>
      </c>
      <c r="M979" s="4" t="s">
        <v>130</v>
      </c>
      <c r="N979" s="4" t="s">
        <v>62</v>
      </c>
      <c r="O979" s="4" t="s">
        <v>217</v>
      </c>
      <c r="P979" s="4">
        <v>181</v>
      </c>
      <c r="Q979" s="4" t="s">
        <v>103</v>
      </c>
      <c r="R979" s="4" t="s">
        <v>40</v>
      </c>
      <c r="S979" s="4">
        <v>106451</v>
      </c>
      <c r="T979" s="4">
        <v>48607</v>
      </c>
      <c r="U979" s="4">
        <v>57844</v>
      </c>
      <c r="V979" s="4">
        <v>83610</v>
      </c>
      <c r="W979" s="4">
        <v>15654</v>
      </c>
      <c r="X979" s="4">
        <v>3319</v>
      </c>
      <c r="Y979" s="4" t="s">
        <v>41</v>
      </c>
      <c r="Z979" s="4">
        <v>96</v>
      </c>
      <c r="AA979" s="4">
        <v>2.5</v>
      </c>
      <c r="AB979" s="4" t="s">
        <v>104</v>
      </c>
    </row>
    <row r="980" spans="1:28" x14ac:dyDescent="0.25">
      <c r="A980" s="2" t="s">
        <v>1685</v>
      </c>
      <c r="B980" s="2" t="s">
        <v>919</v>
      </c>
      <c r="C980" s="2">
        <v>25</v>
      </c>
      <c r="D980" s="2" t="s">
        <v>55</v>
      </c>
      <c r="E980" s="2" t="s">
        <v>79</v>
      </c>
      <c r="F980" s="2" t="s">
        <v>157</v>
      </c>
      <c r="G980" s="3">
        <v>45150</v>
      </c>
      <c r="H980" s="3">
        <v>45169</v>
      </c>
      <c r="I980" s="2">
        <v>19</v>
      </c>
      <c r="J980" s="2" t="s">
        <v>33</v>
      </c>
      <c r="K980" s="2" t="s">
        <v>278</v>
      </c>
      <c r="L980" s="2" t="s">
        <v>279</v>
      </c>
      <c r="M980" s="2" t="s">
        <v>101</v>
      </c>
      <c r="N980" s="2" t="s">
        <v>62</v>
      </c>
      <c r="O980" s="2" t="s">
        <v>321</v>
      </c>
      <c r="P980" s="2">
        <v>360</v>
      </c>
      <c r="Q980" s="2" t="s">
        <v>103</v>
      </c>
      <c r="R980" s="2" t="s">
        <v>111</v>
      </c>
      <c r="S980" s="2">
        <v>93868</v>
      </c>
      <c r="T980" s="2">
        <v>57440</v>
      </c>
      <c r="U980" s="2">
        <v>36428</v>
      </c>
      <c r="V980" s="2">
        <v>49627</v>
      </c>
      <c r="W980" s="2">
        <v>28245</v>
      </c>
      <c r="X980" s="2">
        <v>11864</v>
      </c>
      <c r="Y980" s="2" t="s">
        <v>41</v>
      </c>
      <c r="Z980" s="2">
        <v>40</v>
      </c>
      <c r="AA980" s="2">
        <v>2.8</v>
      </c>
      <c r="AB980" s="2" t="s">
        <v>52</v>
      </c>
    </row>
    <row r="981" spans="1:28" x14ac:dyDescent="0.25">
      <c r="A981" s="4" t="s">
        <v>1686</v>
      </c>
      <c r="B981" s="4" t="s">
        <v>1687</v>
      </c>
      <c r="C981" s="4">
        <v>79</v>
      </c>
      <c r="D981" s="4" t="s">
        <v>30</v>
      </c>
      <c r="E981" s="4" t="s">
        <v>67</v>
      </c>
      <c r="F981" s="4" t="s">
        <v>32</v>
      </c>
      <c r="G981" s="5">
        <v>44941</v>
      </c>
      <c r="H981" s="5">
        <v>44944</v>
      </c>
      <c r="I981" s="4">
        <v>3</v>
      </c>
      <c r="J981" s="4" t="s">
        <v>33</v>
      </c>
      <c r="K981" s="4" t="s">
        <v>174</v>
      </c>
      <c r="L981" s="4" t="s">
        <v>48</v>
      </c>
      <c r="M981" s="4" t="s">
        <v>130</v>
      </c>
      <c r="N981" s="4" t="s">
        <v>62</v>
      </c>
      <c r="O981" s="4" t="s">
        <v>89</v>
      </c>
      <c r="P981" s="4">
        <v>39</v>
      </c>
      <c r="Q981" s="4" t="s">
        <v>69</v>
      </c>
      <c r="R981" s="4" t="s">
        <v>90</v>
      </c>
      <c r="S981" s="4">
        <v>80334</v>
      </c>
      <c r="T981" s="4">
        <v>61184</v>
      </c>
      <c r="U981" s="4">
        <v>19150</v>
      </c>
      <c r="V981" s="4">
        <v>62568</v>
      </c>
      <c r="W981" s="4">
        <v>9048</v>
      </c>
      <c r="X981" s="4">
        <v>6574</v>
      </c>
      <c r="Y981" s="4" t="s">
        <v>41</v>
      </c>
      <c r="Z981" s="4">
        <v>50</v>
      </c>
      <c r="AA981" s="4">
        <v>2.9</v>
      </c>
      <c r="AB981" s="4" t="s">
        <v>137</v>
      </c>
    </row>
    <row r="982" spans="1:28" x14ac:dyDescent="0.25">
      <c r="A982" s="2" t="s">
        <v>1688</v>
      </c>
      <c r="B982" s="2" t="s">
        <v>1478</v>
      </c>
      <c r="C982" s="2">
        <v>80</v>
      </c>
      <c r="D982" s="2" t="s">
        <v>55</v>
      </c>
      <c r="E982" s="2" t="s">
        <v>67</v>
      </c>
      <c r="F982" s="2" t="s">
        <v>57</v>
      </c>
      <c r="G982" s="3">
        <v>44657</v>
      </c>
      <c r="H982" s="3">
        <v>44671</v>
      </c>
      <c r="I982" s="2">
        <v>14</v>
      </c>
      <c r="J982" s="2" t="s">
        <v>123</v>
      </c>
      <c r="K982" s="2" t="s">
        <v>251</v>
      </c>
      <c r="L982" s="2" t="s">
        <v>125</v>
      </c>
      <c r="M982" s="2" t="s">
        <v>143</v>
      </c>
      <c r="N982" s="2" t="s">
        <v>37</v>
      </c>
      <c r="O982" s="2" t="s">
        <v>373</v>
      </c>
      <c r="P982" s="2">
        <v>165</v>
      </c>
      <c r="Q982" s="2" t="s">
        <v>103</v>
      </c>
      <c r="R982" s="2" t="s">
        <v>136</v>
      </c>
      <c r="S982" s="2">
        <v>130199</v>
      </c>
      <c r="T982" s="2">
        <v>0</v>
      </c>
      <c r="U982" s="2">
        <v>130199</v>
      </c>
      <c r="V982" s="2">
        <v>109918</v>
      </c>
      <c r="W982" s="2">
        <v>4633</v>
      </c>
      <c r="X982" s="2">
        <v>11724</v>
      </c>
      <c r="Y982" s="2" t="s">
        <v>41</v>
      </c>
      <c r="Z982" s="2">
        <v>43</v>
      </c>
      <c r="AA982" s="2">
        <v>3.4</v>
      </c>
      <c r="AB982" s="2" t="s">
        <v>137</v>
      </c>
    </row>
    <row r="983" spans="1:28" x14ac:dyDescent="0.25">
      <c r="A983" s="4" t="s">
        <v>1689</v>
      </c>
      <c r="B983" s="4" t="s">
        <v>250</v>
      </c>
      <c r="C983" s="4">
        <v>55</v>
      </c>
      <c r="D983" s="4" t="s">
        <v>30</v>
      </c>
      <c r="E983" s="4" t="s">
        <v>31</v>
      </c>
      <c r="F983" s="4" t="s">
        <v>94</v>
      </c>
      <c r="G983" s="5">
        <v>45286</v>
      </c>
      <c r="H983" s="5">
        <v>45287</v>
      </c>
      <c r="I983" s="4">
        <v>1</v>
      </c>
      <c r="J983" s="4" t="s">
        <v>123</v>
      </c>
      <c r="K983" s="4" t="s">
        <v>251</v>
      </c>
      <c r="L983" s="4" t="s">
        <v>125</v>
      </c>
      <c r="M983" s="4" t="s">
        <v>95</v>
      </c>
      <c r="N983" s="4" t="s">
        <v>109</v>
      </c>
      <c r="O983" s="4" t="s">
        <v>591</v>
      </c>
      <c r="P983" s="4">
        <v>103</v>
      </c>
      <c r="Q983" s="4" t="s">
        <v>50</v>
      </c>
      <c r="R983" s="4" t="s">
        <v>111</v>
      </c>
      <c r="S983" s="4">
        <v>62219</v>
      </c>
      <c r="T983" s="4">
        <v>49633</v>
      </c>
      <c r="U983" s="4">
        <v>12586</v>
      </c>
      <c r="V983" s="4">
        <v>28627</v>
      </c>
      <c r="W983" s="4">
        <v>15571</v>
      </c>
      <c r="X983" s="4">
        <v>14035</v>
      </c>
      <c r="Y983" s="4" t="s">
        <v>41</v>
      </c>
      <c r="Z983" s="4">
        <v>83</v>
      </c>
      <c r="AA983" s="4">
        <v>2.2999999999999998</v>
      </c>
      <c r="AB983" s="4" t="s">
        <v>64</v>
      </c>
    </row>
    <row r="984" spans="1:28" x14ac:dyDescent="0.25">
      <c r="A984" s="2" t="s">
        <v>1690</v>
      </c>
      <c r="B984" s="2" t="s">
        <v>668</v>
      </c>
      <c r="C984" s="2">
        <v>19</v>
      </c>
      <c r="D984" s="2" t="s">
        <v>55</v>
      </c>
      <c r="E984" s="2" t="s">
        <v>79</v>
      </c>
      <c r="F984" s="2" t="s">
        <v>46</v>
      </c>
      <c r="G984" s="3">
        <v>44752</v>
      </c>
      <c r="H984" s="3">
        <v>44766</v>
      </c>
      <c r="I984" s="2">
        <v>14</v>
      </c>
      <c r="J984" s="2" t="s">
        <v>58</v>
      </c>
      <c r="K984" s="2" t="s">
        <v>59</v>
      </c>
      <c r="L984" s="2" t="s">
        <v>60</v>
      </c>
      <c r="M984" s="2" t="s">
        <v>61</v>
      </c>
      <c r="N984" s="2" t="s">
        <v>62</v>
      </c>
      <c r="O984" s="2" t="s">
        <v>390</v>
      </c>
      <c r="P984" s="2">
        <v>142</v>
      </c>
      <c r="Q984" s="2" t="s">
        <v>50</v>
      </c>
      <c r="R984" s="2" t="s">
        <v>90</v>
      </c>
      <c r="S984" s="2">
        <v>80336</v>
      </c>
      <c r="T984" s="2">
        <v>59526</v>
      </c>
      <c r="U984" s="2">
        <v>20810</v>
      </c>
      <c r="V984" s="2">
        <v>56544</v>
      </c>
      <c r="W984" s="2">
        <v>16065</v>
      </c>
      <c r="X984" s="2">
        <v>3427</v>
      </c>
      <c r="Y984" s="2" t="s">
        <v>41</v>
      </c>
      <c r="Z984" s="2">
        <v>73</v>
      </c>
      <c r="AA984" s="2">
        <v>3.1</v>
      </c>
      <c r="AB984" s="2" t="s">
        <v>137</v>
      </c>
    </row>
    <row r="985" spans="1:28" x14ac:dyDescent="0.25">
      <c r="A985" s="4" t="s">
        <v>1691</v>
      </c>
      <c r="B985" s="4" t="s">
        <v>1009</v>
      </c>
      <c r="C985" s="4">
        <v>59</v>
      </c>
      <c r="D985" s="4" t="s">
        <v>55</v>
      </c>
      <c r="E985" s="4" t="s">
        <v>79</v>
      </c>
      <c r="F985" s="4" t="s">
        <v>72</v>
      </c>
      <c r="G985" s="5">
        <v>45160</v>
      </c>
      <c r="H985" s="5">
        <v>45166</v>
      </c>
      <c r="I985" s="4">
        <v>6</v>
      </c>
      <c r="J985" s="4" t="s">
        <v>33</v>
      </c>
      <c r="K985" s="4" t="s">
        <v>233</v>
      </c>
      <c r="L985" s="4" t="s">
        <v>35</v>
      </c>
      <c r="M985" s="4" t="s">
        <v>134</v>
      </c>
      <c r="N985" s="4" t="s">
        <v>37</v>
      </c>
      <c r="O985" s="4" t="s">
        <v>178</v>
      </c>
      <c r="P985" s="4">
        <v>168</v>
      </c>
      <c r="Q985" s="4" t="s">
        <v>50</v>
      </c>
      <c r="R985" s="4" t="s">
        <v>90</v>
      </c>
      <c r="S985" s="4">
        <v>166542</v>
      </c>
      <c r="T985" s="4">
        <v>149788</v>
      </c>
      <c r="U985" s="4">
        <v>16754</v>
      </c>
      <c r="V985" s="4">
        <v>139112</v>
      </c>
      <c r="W985" s="4">
        <v>19038</v>
      </c>
      <c r="X985" s="4">
        <v>7731</v>
      </c>
      <c r="Y985" s="4" t="s">
        <v>41</v>
      </c>
      <c r="Z985" s="4">
        <v>71</v>
      </c>
      <c r="AA985" s="4">
        <v>3.9</v>
      </c>
      <c r="AB985" s="4" t="s">
        <v>42</v>
      </c>
    </row>
    <row r="986" spans="1:28" x14ac:dyDescent="0.25">
      <c r="A986" s="2" t="s">
        <v>1692</v>
      </c>
      <c r="B986" s="2" t="s">
        <v>675</v>
      </c>
      <c r="C986" s="2">
        <v>43</v>
      </c>
      <c r="D986" s="2" t="s">
        <v>55</v>
      </c>
      <c r="E986" s="2" t="s">
        <v>122</v>
      </c>
      <c r="F986" s="2" t="s">
        <v>129</v>
      </c>
      <c r="G986" s="3">
        <v>45149</v>
      </c>
      <c r="H986" s="3">
        <v>45167</v>
      </c>
      <c r="I986" s="2">
        <v>18</v>
      </c>
      <c r="J986" s="2" t="s">
        <v>73</v>
      </c>
      <c r="K986" s="2" t="s">
        <v>74</v>
      </c>
      <c r="L986" s="2" t="s">
        <v>73</v>
      </c>
      <c r="M986" s="2" t="s">
        <v>134</v>
      </c>
      <c r="N986" s="2" t="s">
        <v>118</v>
      </c>
      <c r="O986" s="2" t="s">
        <v>438</v>
      </c>
      <c r="P986" s="2">
        <v>394</v>
      </c>
      <c r="Q986" s="2" t="s">
        <v>103</v>
      </c>
      <c r="R986" s="2" t="s">
        <v>40</v>
      </c>
      <c r="S986" s="2">
        <v>82385</v>
      </c>
      <c r="T986" s="2">
        <v>52254</v>
      </c>
      <c r="U986" s="2">
        <v>30131</v>
      </c>
      <c r="V986" s="2">
        <v>62415</v>
      </c>
      <c r="W986" s="2">
        <v>9803</v>
      </c>
      <c r="X986" s="2">
        <v>6158</v>
      </c>
      <c r="Y986" s="2" t="s">
        <v>41</v>
      </c>
      <c r="Z986" s="2">
        <v>72</v>
      </c>
      <c r="AA986" s="2">
        <v>4.5</v>
      </c>
      <c r="AB986" s="2" t="s">
        <v>42</v>
      </c>
    </row>
    <row r="987" spans="1:28" x14ac:dyDescent="0.25">
      <c r="A987" s="4" t="s">
        <v>1693</v>
      </c>
      <c r="B987" s="4" t="s">
        <v>506</v>
      </c>
      <c r="C987" s="4">
        <v>77</v>
      </c>
      <c r="D987" s="4" t="s">
        <v>55</v>
      </c>
      <c r="E987" s="4" t="s">
        <v>154</v>
      </c>
      <c r="F987" s="4" t="s">
        <v>80</v>
      </c>
      <c r="G987" s="5">
        <v>45162</v>
      </c>
      <c r="H987" s="5">
        <v>45187</v>
      </c>
      <c r="I987" s="4">
        <v>25</v>
      </c>
      <c r="J987" s="4" t="s">
        <v>33</v>
      </c>
      <c r="K987" s="4" t="s">
        <v>99</v>
      </c>
      <c r="L987" s="4" t="s">
        <v>100</v>
      </c>
      <c r="M987" s="4" t="s">
        <v>61</v>
      </c>
      <c r="N987" s="4" t="s">
        <v>37</v>
      </c>
      <c r="O987" s="4" t="s">
        <v>571</v>
      </c>
      <c r="P987" s="4">
        <v>287</v>
      </c>
      <c r="Q987" s="4" t="s">
        <v>69</v>
      </c>
      <c r="R987" s="4" t="s">
        <v>136</v>
      </c>
      <c r="S987" s="4">
        <v>142713</v>
      </c>
      <c r="T987" s="4">
        <v>0</v>
      </c>
      <c r="U987" s="4">
        <v>142713</v>
      </c>
      <c r="V987" s="4">
        <v>127581</v>
      </c>
      <c r="W987" s="4">
        <v>6667</v>
      </c>
      <c r="X987" s="4">
        <v>3741</v>
      </c>
      <c r="Y987" s="4" t="s">
        <v>41</v>
      </c>
      <c r="Z987" s="4">
        <v>85</v>
      </c>
      <c r="AA987" s="4">
        <v>2.8</v>
      </c>
      <c r="AB987" s="4" t="s">
        <v>104</v>
      </c>
    </row>
    <row r="988" spans="1:28" x14ac:dyDescent="0.25">
      <c r="A988" s="2" t="s">
        <v>1694</v>
      </c>
      <c r="B988" s="2" t="s">
        <v>893</v>
      </c>
      <c r="C988" s="2">
        <v>48</v>
      </c>
      <c r="D988" s="2" t="s">
        <v>55</v>
      </c>
      <c r="E988" s="2" t="s">
        <v>45</v>
      </c>
      <c r="F988" s="2" t="s">
        <v>80</v>
      </c>
      <c r="G988" s="3">
        <v>45548</v>
      </c>
      <c r="H988" s="3">
        <v>45572</v>
      </c>
      <c r="I988" s="2">
        <v>24</v>
      </c>
      <c r="J988" s="2" t="s">
        <v>140</v>
      </c>
      <c r="K988" s="2" t="s">
        <v>167</v>
      </c>
      <c r="L988" s="2" t="s">
        <v>142</v>
      </c>
      <c r="M988" s="2" t="s">
        <v>36</v>
      </c>
      <c r="N988" s="2" t="s">
        <v>37</v>
      </c>
      <c r="O988" s="2" t="s">
        <v>543</v>
      </c>
      <c r="P988" s="2">
        <v>165</v>
      </c>
      <c r="Q988" s="2" t="s">
        <v>69</v>
      </c>
      <c r="R988" s="2" t="s">
        <v>90</v>
      </c>
      <c r="S988" s="2">
        <v>89776</v>
      </c>
      <c r="T988" s="2">
        <v>60918</v>
      </c>
      <c r="U988" s="2">
        <v>28858</v>
      </c>
      <c r="V988" s="2">
        <v>62769</v>
      </c>
      <c r="W988" s="2">
        <v>16628</v>
      </c>
      <c r="X988" s="2">
        <v>9243</v>
      </c>
      <c r="Y988" s="2" t="s">
        <v>41</v>
      </c>
      <c r="Z988" s="2">
        <v>59</v>
      </c>
      <c r="AA988" s="2">
        <v>3.5</v>
      </c>
      <c r="AB988" s="2" t="s">
        <v>137</v>
      </c>
    </row>
    <row r="989" spans="1:28" x14ac:dyDescent="0.25">
      <c r="A989" s="4" t="s">
        <v>1695</v>
      </c>
      <c r="B989" s="4" t="s">
        <v>1364</v>
      </c>
      <c r="C989" s="4">
        <v>42</v>
      </c>
      <c r="D989" s="4" t="s">
        <v>55</v>
      </c>
      <c r="E989" s="4" t="s">
        <v>87</v>
      </c>
      <c r="F989" s="4" t="s">
        <v>94</v>
      </c>
      <c r="G989" s="5">
        <v>45632</v>
      </c>
      <c r="H989" s="5">
        <v>45641</v>
      </c>
      <c r="I989" s="4">
        <v>9</v>
      </c>
      <c r="J989" s="4" t="s">
        <v>140</v>
      </c>
      <c r="K989" s="4" t="s">
        <v>167</v>
      </c>
      <c r="L989" s="4" t="s">
        <v>142</v>
      </c>
      <c r="M989" s="4" t="s">
        <v>83</v>
      </c>
      <c r="N989" s="4" t="s">
        <v>62</v>
      </c>
      <c r="O989" s="4" t="s">
        <v>171</v>
      </c>
      <c r="P989" s="4">
        <v>43</v>
      </c>
      <c r="Q989" s="4" t="s">
        <v>103</v>
      </c>
      <c r="R989" s="4" t="s">
        <v>136</v>
      </c>
      <c r="S989" s="4">
        <v>134969</v>
      </c>
      <c r="T989" s="4">
        <v>0</v>
      </c>
      <c r="U989" s="4">
        <v>134969</v>
      </c>
      <c r="V989" s="4">
        <v>113956</v>
      </c>
      <c r="W989" s="4">
        <v>9401</v>
      </c>
      <c r="X989" s="4">
        <v>7284</v>
      </c>
      <c r="Y989" s="4" t="s">
        <v>91</v>
      </c>
      <c r="Z989" s="4">
        <v>96</v>
      </c>
      <c r="AA989" s="4">
        <v>3.2</v>
      </c>
      <c r="AB989" s="4" t="s">
        <v>64</v>
      </c>
    </row>
    <row r="990" spans="1:28" x14ac:dyDescent="0.25">
      <c r="A990" s="2" t="s">
        <v>1696</v>
      </c>
      <c r="B990" s="2" t="s">
        <v>1383</v>
      </c>
      <c r="C990" s="2">
        <v>13</v>
      </c>
      <c r="D990" s="2" t="s">
        <v>30</v>
      </c>
      <c r="E990" s="2" t="s">
        <v>79</v>
      </c>
      <c r="F990" s="2" t="s">
        <v>157</v>
      </c>
      <c r="G990" s="3">
        <v>45625</v>
      </c>
      <c r="H990" s="3">
        <v>45637</v>
      </c>
      <c r="I990" s="2">
        <v>12</v>
      </c>
      <c r="J990" s="2" t="s">
        <v>202</v>
      </c>
      <c r="K990" s="2" t="s">
        <v>225</v>
      </c>
      <c r="L990" s="2" t="s">
        <v>226</v>
      </c>
      <c r="M990" s="2" t="s">
        <v>101</v>
      </c>
      <c r="N990" s="2" t="s">
        <v>62</v>
      </c>
      <c r="O990" s="2" t="s">
        <v>208</v>
      </c>
      <c r="P990" s="2">
        <v>232</v>
      </c>
      <c r="Q990" s="2" t="s">
        <v>103</v>
      </c>
      <c r="R990" s="2" t="s">
        <v>40</v>
      </c>
      <c r="S990" s="2">
        <v>53163</v>
      </c>
      <c r="T990" s="2">
        <v>26179</v>
      </c>
      <c r="U990" s="2">
        <v>26984</v>
      </c>
      <c r="V990" s="2">
        <v>33834</v>
      </c>
      <c r="W990" s="2">
        <v>1363</v>
      </c>
      <c r="X990" s="2">
        <v>13231</v>
      </c>
      <c r="Y990" s="2" t="s">
        <v>91</v>
      </c>
      <c r="Z990" s="2">
        <v>69</v>
      </c>
      <c r="AA990" s="2">
        <v>3.9</v>
      </c>
      <c r="AB990" s="2" t="s">
        <v>42</v>
      </c>
    </row>
    <row r="991" spans="1:28" x14ac:dyDescent="0.25">
      <c r="A991" s="4" t="s">
        <v>1697</v>
      </c>
      <c r="B991" s="4" t="s">
        <v>1698</v>
      </c>
      <c r="C991" s="4">
        <v>42</v>
      </c>
      <c r="D991" s="4" t="s">
        <v>55</v>
      </c>
      <c r="E991" s="4" t="s">
        <v>45</v>
      </c>
      <c r="F991" s="4" t="s">
        <v>114</v>
      </c>
      <c r="G991" s="5">
        <v>45439</v>
      </c>
      <c r="H991" s="5">
        <v>45441</v>
      </c>
      <c r="I991" s="4">
        <v>2</v>
      </c>
      <c r="J991" s="4" t="s">
        <v>33</v>
      </c>
      <c r="K991" s="4" t="s">
        <v>47</v>
      </c>
      <c r="L991" s="4" t="s">
        <v>48</v>
      </c>
      <c r="M991" s="4" t="s">
        <v>61</v>
      </c>
      <c r="N991" s="4" t="s">
        <v>109</v>
      </c>
      <c r="O991" s="4" t="s">
        <v>119</v>
      </c>
      <c r="P991" s="4">
        <v>469</v>
      </c>
      <c r="Q991" s="4" t="s">
        <v>103</v>
      </c>
      <c r="R991" s="4" t="s">
        <v>51</v>
      </c>
      <c r="S991" s="4">
        <v>152213</v>
      </c>
      <c r="T991" s="4">
        <v>78984</v>
      </c>
      <c r="U991" s="4">
        <v>73229</v>
      </c>
      <c r="V991" s="4">
        <v>138482</v>
      </c>
      <c r="W991" s="4">
        <v>9049</v>
      </c>
      <c r="X991" s="4">
        <v>3961</v>
      </c>
      <c r="Y991" s="4" t="s">
        <v>41</v>
      </c>
      <c r="Z991" s="4">
        <v>82</v>
      </c>
      <c r="AA991" s="4">
        <v>2.6</v>
      </c>
      <c r="AB991" s="4" t="s">
        <v>137</v>
      </c>
    </row>
    <row r="992" spans="1:28" x14ac:dyDescent="0.25">
      <c r="A992" s="2" t="s">
        <v>1699</v>
      </c>
      <c r="B992" s="2" t="s">
        <v>1004</v>
      </c>
      <c r="C992" s="2">
        <v>75</v>
      </c>
      <c r="D992" s="2" t="s">
        <v>55</v>
      </c>
      <c r="E992" s="2" t="s">
        <v>154</v>
      </c>
      <c r="F992" s="2" t="s">
        <v>129</v>
      </c>
      <c r="G992" s="3">
        <v>45423</v>
      </c>
      <c r="H992" s="3">
        <v>45437</v>
      </c>
      <c r="I992" s="2">
        <v>14</v>
      </c>
      <c r="J992" s="2" t="s">
        <v>33</v>
      </c>
      <c r="K992" s="2" t="s">
        <v>174</v>
      </c>
      <c r="L992" s="2" t="s">
        <v>48</v>
      </c>
      <c r="M992" s="2" t="s">
        <v>134</v>
      </c>
      <c r="N992" s="2" t="s">
        <v>62</v>
      </c>
      <c r="O992" s="2" t="s">
        <v>464</v>
      </c>
      <c r="P992" s="2">
        <v>395</v>
      </c>
      <c r="Q992" s="2" t="s">
        <v>103</v>
      </c>
      <c r="R992" s="2" t="s">
        <v>51</v>
      </c>
      <c r="S992" s="2">
        <v>161220</v>
      </c>
      <c r="T992" s="2">
        <v>88786</v>
      </c>
      <c r="U992" s="2">
        <v>72434</v>
      </c>
      <c r="V992" s="2">
        <v>137924</v>
      </c>
      <c r="W992" s="2">
        <v>15119</v>
      </c>
      <c r="X992" s="2">
        <v>5891</v>
      </c>
      <c r="Y992" s="2" t="s">
        <v>41</v>
      </c>
      <c r="Z992" s="2">
        <v>78</v>
      </c>
      <c r="AA992" s="2">
        <v>4.4000000000000004</v>
      </c>
      <c r="AB992" s="2" t="s">
        <v>104</v>
      </c>
    </row>
    <row r="993" spans="1:28" x14ac:dyDescent="0.25">
      <c r="A993" s="4" t="s">
        <v>1700</v>
      </c>
      <c r="B993" s="4" t="s">
        <v>714</v>
      </c>
      <c r="C993" s="4">
        <v>31</v>
      </c>
      <c r="D993" s="4" t="s">
        <v>30</v>
      </c>
      <c r="E993" s="4" t="s">
        <v>31</v>
      </c>
      <c r="F993" s="4" t="s">
        <v>46</v>
      </c>
      <c r="G993" s="5">
        <v>44908</v>
      </c>
      <c r="H993" s="5">
        <v>44931</v>
      </c>
      <c r="I993" s="4">
        <v>23</v>
      </c>
      <c r="J993" s="4" t="s">
        <v>202</v>
      </c>
      <c r="K993" s="4" t="s">
        <v>225</v>
      </c>
      <c r="L993" s="4" t="s">
        <v>226</v>
      </c>
      <c r="M993" s="4" t="s">
        <v>75</v>
      </c>
      <c r="N993" s="4" t="s">
        <v>37</v>
      </c>
      <c r="O993" s="4" t="s">
        <v>368</v>
      </c>
      <c r="P993" s="4">
        <v>380</v>
      </c>
      <c r="Q993" s="4" t="s">
        <v>50</v>
      </c>
      <c r="R993" s="4" t="s">
        <v>136</v>
      </c>
      <c r="S993" s="4">
        <v>53861</v>
      </c>
      <c r="T993" s="4">
        <v>0</v>
      </c>
      <c r="U993" s="4">
        <v>53861</v>
      </c>
      <c r="V993" s="4">
        <v>10742</v>
      </c>
      <c r="W993" s="4">
        <v>28651</v>
      </c>
      <c r="X993" s="4">
        <v>11489</v>
      </c>
      <c r="Y993" s="4" t="s">
        <v>41</v>
      </c>
      <c r="Z993" s="4">
        <v>48</v>
      </c>
      <c r="AA993" s="4">
        <v>4.5</v>
      </c>
      <c r="AB993" s="4" t="s">
        <v>137</v>
      </c>
    </row>
    <row r="994" spans="1:28" x14ac:dyDescent="0.25">
      <c r="A994" s="2" t="s">
        <v>1701</v>
      </c>
      <c r="B994" s="2" t="s">
        <v>834</v>
      </c>
      <c r="C994" s="2">
        <v>76</v>
      </c>
      <c r="D994" s="2" t="s">
        <v>30</v>
      </c>
      <c r="E994" s="2" t="s">
        <v>56</v>
      </c>
      <c r="F994" s="2" t="s">
        <v>94</v>
      </c>
      <c r="G994" s="3">
        <v>45384</v>
      </c>
      <c r="H994" s="3">
        <v>45406</v>
      </c>
      <c r="I994" s="2">
        <v>22</v>
      </c>
      <c r="J994" s="2" t="s">
        <v>33</v>
      </c>
      <c r="K994" s="2" t="s">
        <v>107</v>
      </c>
      <c r="L994" s="2" t="s">
        <v>48</v>
      </c>
      <c r="M994" s="2" t="s">
        <v>108</v>
      </c>
      <c r="N994" s="2" t="s">
        <v>37</v>
      </c>
      <c r="O994" s="2" t="s">
        <v>678</v>
      </c>
      <c r="P994" s="2">
        <v>430</v>
      </c>
      <c r="Q994" s="2" t="s">
        <v>69</v>
      </c>
      <c r="R994" s="2" t="s">
        <v>90</v>
      </c>
      <c r="S994" s="2">
        <v>140230</v>
      </c>
      <c r="T994" s="2">
        <v>104103</v>
      </c>
      <c r="U994" s="2">
        <v>36127</v>
      </c>
      <c r="V994" s="2">
        <v>110439</v>
      </c>
      <c r="W994" s="2">
        <v>26002</v>
      </c>
      <c r="X994" s="2">
        <v>3168</v>
      </c>
      <c r="Y994" s="2" t="s">
        <v>41</v>
      </c>
      <c r="Z994" s="2">
        <v>77</v>
      </c>
      <c r="AA994" s="2">
        <v>3.7</v>
      </c>
      <c r="AB994" s="2" t="s">
        <v>42</v>
      </c>
    </row>
    <row r="995" spans="1:28" x14ac:dyDescent="0.25">
      <c r="A995" s="4" t="s">
        <v>1702</v>
      </c>
      <c r="B995" s="4" t="s">
        <v>54</v>
      </c>
      <c r="C995" s="4">
        <v>15</v>
      </c>
      <c r="D995" s="4" t="s">
        <v>55</v>
      </c>
      <c r="E995" s="4" t="s">
        <v>87</v>
      </c>
      <c r="F995" s="4" t="s">
        <v>157</v>
      </c>
      <c r="G995" s="5">
        <v>44877</v>
      </c>
      <c r="H995" s="5">
        <v>44891</v>
      </c>
      <c r="I995" s="4">
        <v>14</v>
      </c>
      <c r="J995" s="4" t="s">
        <v>33</v>
      </c>
      <c r="K995" s="4" t="s">
        <v>47</v>
      </c>
      <c r="L995" s="4" t="s">
        <v>48</v>
      </c>
      <c r="M995" s="4" t="s">
        <v>61</v>
      </c>
      <c r="N995" s="4" t="s">
        <v>37</v>
      </c>
      <c r="O995" s="4" t="s">
        <v>178</v>
      </c>
      <c r="P995" s="4">
        <v>378</v>
      </c>
      <c r="Q995" s="4" t="s">
        <v>69</v>
      </c>
      <c r="R995" s="4" t="s">
        <v>51</v>
      </c>
      <c r="S995" s="4">
        <v>160932</v>
      </c>
      <c r="T995" s="4">
        <v>93859</v>
      </c>
      <c r="U995" s="4">
        <v>67073</v>
      </c>
      <c r="V995" s="4">
        <v>115857</v>
      </c>
      <c r="W995" s="4">
        <v>27947</v>
      </c>
      <c r="X995" s="4">
        <v>14106</v>
      </c>
      <c r="Y995" s="4" t="s">
        <v>41</v>
      </c>
      <c r="Z995" s="4">
        <v>77</v>
      </c>
      <c r="AA995" s="4">
        <v>2.9</v>
      </c>
      <c r="AB995" s="4" t="s">
        <v>104</v>
      </c>
    </row>
    <row r="996" spans="1:28" x14ac:dyDescent="0.25">
      <c r="A996" s="2" t="s">
        <v>1703</v>
      </c>
      <c r="B996" s="2" t="s">
        <v>943</v>
      </c>
      <c r="C996" s="2">
        <v>73</v>
      </c>
      <c r="D996" s="2" t="s">
        <v>55</v>
      </c>
      <c r="E996" s="2" t="s">
        <v>56</v>
      </c>
      <c r="F996" s="2" t="s">
        <v>32</v>
      </c>
      <c r="G996" s="3">
        <v>45231</v>
      </c>
      <c r="H996" s="3">
        <v>45241</v>
      </c>
      <c r="I996" s="2">
        <v>10</v>
      </c>
      <c r="J996" s="2" t="s">
        <v>33</v>
      </c>
      <c r="K996" s="2" t="s">
        <v>233</v>
      </c>
      <c r="L996" s="2" t="s">
        <v>35</v>
      </c>
      <c r="M996" s="2" t="s">
        <v>36</v>
      </c>
      <c r="N996" s="2" t="s">
        <v>118</v>
      </c>
      <c r="O996" s="2" t="s">
        <v>379</v>
      </c>
      <c r="P996" s="2">
        <v>313</v>
      </c>
      <c r="Q996" s="2" t="s">
        <v>103</v>
      </c>
      <c r="R996" s="2" t="s">
        <v>111</v>
      </c>
      <c r="S996" s="2">
        <v>37766</v>
      </c>
      <c r="T996" s="2">
        <v>23379</v>
      </c>
      <c r="U996" s="2">
        <v>14387</v>
      </c>
      <c r="V996" s="2">
        <v>12021</v>
      </c>
      <c r="W996" s="2">
        <v>13464</v>
      </c>
      <c r="X996" s="2">
        <v>10310</v>
      </c>
      <c r="Y996" s="2" t="s">
        <v>41</v>
      </c>
      <c r="Z996" s="2">
        <v>74</v>
      </c>
      <c r="AA996" s="2">
        <v>3.3</v>
      </c>
      <c r="AB996" s="2" t="s">
        <v>104</v>
      </c>
    </row>
    <row r="997" spans="1:28" x14ac:dyDescent="0.25">
      <c r="A997" s="4" t="s">
        <v>1704</v>
      </c>
      <c r="B997" s="4" t="s">
        <v>1273</v>
      </c>
      <c r="C997" s="4">
        <v>82</v>
      </c>
      <c r="D997" s="4" t="s">
        <v>55</v>
      </c>
      <c r="E997" s="4" t="s">
        <v>79</v>
      </c>
      <c r="F997" s="4" t="s">
        <v>32</v>
      </c>
      <c r="G997" s="5">
        <v>45611</v>
      </c>
      <c r="H997" s="5">
        <v>45635</v>
      </c>
      <c r="I997" s="4">
        <v>24</v>
      </c>
      <c r="J997" s="4" t="s">
        <v>140</v>
      </c>
      <c r="K997" s="4" t="s">
        <v>167</v>
      </c>
      <c r="L997" s="4" t="s">
        <v>142</v>
      </c>
      <c r="M997" s="4" t="s">
        <v>130</v>
      </c>
      <c r="N997" s="4" t="s">
        <v>109</v>
      </c>
      <c r="O997" s="4" t="s">
        <v>178</v>
      </c>
      <c r="P997" s="4">
        <v>372</v>
      </c>
      <c r="Q997" s="4" t="s">
        <v>69</v>
      </c>
      <c r="R997" s="4" t="s">
        <v>111</v>
      </c>
      <c r="S997" s="4">
        <v>161178</v>
      </c>
      <c r="T997" s="4">
        <v>115389</v>
      </c>
      <c r="U997" s="4">
        <v>45789</v>
      </c>
      <c r="V997" s="4">
        <v>128594</v>
      </c>
      <c r="W997" s="4">
        <v>17449</v>
      </c>
      <c r="X997" s="4">
        <v>14590</v>
      </c>
      <c r="Y997" s="4" t="s">
        <v>41</v>
      </c>
      <c r="Z997" s="4">
        <v>81</v>
      </c>
      <c r="AA997" s="4">
        <v>2.8</v>
      </c>
      <c r="AB997" s="4" t="s">
        <v>64</v>
      </c>
    </row>
    <row r="998" spans="1:28" x14ac:dyDescent="0.25">
      <c r="A998" s="2" t="s">
        <v>1705</v>
      </c>
      <c r="B998" s="2" t="s">
        <v>1078</v>
      </c>
      <c r="C998" s="2">
        <v>48</v>
      </c>
      <c r="D998" s="2" t="s">
        <v>55</v>
      </c>
      <c r="E998" s="2" t="s">
        <v>56</v>
      </c>
      <c r="F998" s="2" t="s">
        <v>114</v>
      </c>
      <c r="G998" s="3">
        <v>45079</v>
      </c>
      <c r="H998" s="3">
        <v>45108</v>
      </c>
      <c r="I998" s="2">
        <v>29</v>
      </c>
      <c r="J998" s="2" t="s">
        <v>33</v>
      </c>
      <c r="K998" s="2" t="s">
        <v>278</v>
      </c>
      <c r="L998" s="2" t="s">
        <v>279</v>
      </c>
      <c r="M998" s="2" t="s">
        <v>75</v>
      </c>
      <c r="N998" s="2" t="s">
        <v>62</v>
      </c>
      <c r="O998" s="2" t="s">
        <v>497</v>
      </c>
      <c r="P998" s="2">
        <v>103</v>
      </c>
      <c r="Q998" s="2" t="s">
        <v>103</v>
      </c>
      <c r="R998" s="2" t="s">
        <v>90</v>
      </c>
      <c r="S998" s="2">
        <v>54764</v>
      </c>
      <c r="T998" s="2">
        <v>39632</v>
      </c>
      <c r="U998" s="2">
        <v>15132</v>
      </c>
      <c r="V998" s="2">
        <v>34999</v>
      </c>
      <c r="W998" s="2">
        <v>16596</v>
      </c>
      <c r="X998" s="2">
        <v>1391</v>
      </c>
      <c r="Y998" s="2" t="s">
        <v>41</v>
      </c>
      <c r="Z998" s="2">
        <v>68</v>
      </c>
      <c r="AA998" s="2">
        <v>4.5999999999999996</v>
      </c>
      <c r="AB998" s="2" t="s">
        <v>64</v>
      </c>
    </row>
    <row r="999" spans="1:28" x14ac:dyDescent="0.25">
      <c r="A999" s="4" t="s">
        <v>1706</v>
      </c>
      <c r="B999" s="4" t="s">
        <v>599</v>
      </c>
      <c r="C999" s="4">
        <v>85</v>
      </c>
      <c r="D999" s="4" t="s">
        <v>55</v>
      </c>
      <c r="E999" s="4" t="s">
        <v>56</v>
      </c>
      <c r="F999" s="4" t="s">
        <v>150</v>
      </c>
      <c r="G999" s="5">
        <v>44888</v>
      </c>
      <c r="H999" s="5">
        <v>44901</v>
      </c>
      <c r="I999" s="4">
        <v>13</v>
      </c>
      <c r="J999" s="4" t="s">
        <v>140</v>
      </c>
      <c r="K999" s="4" t="s">
        <v>141</v>
      </c>
      <c r="L999" s="4" t="s">
        <v>142</v>
      </c>
      <c r="M999" s="4" t="s">
        <v>143</v>
      </c>
      <c r="N999" s="4" t="s">
        <v>37</v>
      </c>
      <c r="O999" s="4" t="s">
        <v>217</v>
      </c>
      <c r="P999" s="4">
        <v>334</v>
      </c>
      <c r="Q999" s="4" t="s">
        <v>50</v>
      </c>
      <c r="R999" s="4" t="s">
        <v>136</v>
      </c>
      <c r="S999" s="4">
        <v>168301</v>
      </c>
      <c r="T999" s="4">
        <v>0</v>
      </c>
      <c r="U999" s="4">
        <v>168301</v>
      </c>
      <c r="V999" s="4">
        <v>143039</v>
      </c>
      <c r="W999" s="4">
        <v>11690</v>
      </c>
      <c r="X999" s="4">
        <v>12825</v>
      </c>
      <c r="Y999" s="4" t="s">
        <v>41</v>
      </c>
      <c r="Z999" s="4">
        <v>41</v>
      </c>
      <c r="AA999" s="4">
        <v>3.4</v>
      </c>
      <c r="AB999" s="4" t="s">
        <v>42</v>
      </c>
    </row>
    <row r="1000" spans="1:28" x14ac:dyDescent="0.25">
      <c r="A1000" s="2" t="s">
        <v>1707</v>
      </c>
      <c r="B1000" s="2" t="s">
        <v>477</v>
      </c>
      <c r="C1000" s="2">
        <v>48</v>
      </c>
      <c r="D1000" s="2" t="s">
        <v>55</v>
      </c>
      <c r="E1000" s="2" t="s">
        <v>87</v>
      </c>
      <c r="F1000" s="2" t="s">
        <v>46</v>
      </c>
      <c r="G1000" s="3">
        <v>44743</v>
      </c>
      <c r="H1000" s="3">
        <v>44746</v>
      </c>
      <c r="I1000" s="2">
        <v>3</v>
      </c>
      <c r="J1000" s="2" t="s">
        <v>33</v>
      </c>
      <c r="K1000" s="2" t="s">
        <v>81</v>
      </c>
      <c r="L1000" s="2" t="s">
        <v>82</v>
      </c>
      <c r="M1000" s="2" t="s">
        <v>130</v>
      </c>
      <c r="N1000" s="2" t="s">
        <v>37</v>
      </c>
      <c r="O1000" s="2" t="s">
        <v>520</v>
      </c>
      <c r="P1000" s="2">
        <v>369</v>
      </c>
      <c r="Q1000" s="2" t="s">
        <v>103</v>
      </c>
      <c r="R1000" s="2" t="s">
        <v>90</v>
      </c>
      <c r="S1000" s="2">
        <v>89227</v>
      </c>
      <c r="T1000" s="2">
        <v>64027</v>
      </c>
      <c r="U1000" s="2">
        <v>25200</v>
      </c>
      <c r="V1000" s="2">
        <v>49955</v>
      </c>
      <c r="W1000" s="2">
        <v>27208</v>
      </c>
      <c r="X1000" s="2">
        <v>8237</v>
      </c>
      <c r="Y1000" s="2" t="s">
        <v>91</v>
      </c>
      <c r="Z1000" s="2">
        <v>42</v>
      </c>
      <c r="AA1000" s="2">
        <v>3.6</v>
      </c>
      <c r="AB1000" s="2" t="s">
        <v>104</v>
      </c>
    </row>
    <row r="1001" spans="1:28" x14ac:dyDescent="0.25">
      <c r="A1001" s="4" t="s">
        <v>1708</v>
      </c>
      <c r="B1001" s="4" t="s">
        <v>1709</v>
      </c>
      <c r="C1001" s="4">
        <v>20</v>
      </c>
      <c r="D1001" s="4" t="s">
        <v>30</v>
      </c>
      <c r="E1001" s="4" t="s">
        <v>122</v>
      </c>
      <c r="F1001" s="4" t="s">
        <v>129</v>
      </c>
      <c r="G1001" s="5">
        <v>45424</v>
      </c>
      <c r="H1001" s="5">
        <v>45431</v>
      </c>
      <c r="I1001" s="4">
        <v>7</v>
      </c>
      <c r="J1001" s="4" t="s">
        <v>140</v>
      </c>
      <c r="K1001" s="4" t="s">
        <v>167</v>
      </c>
      <c r="L1001" s="4" t="s">
        <v>142</v>
      </c>
      <c r="M1001" s="4" t="s">
        <v>134</v>
      </c>
      <c r="N1001" s="4" t="s">
        <v>109</v>
      </c>
      <c r="O1001" s="4" t="s">
        <v>379</v>
      </c>
      <c r="P1001" s="4">
        <v>196</v>
      </c>
      <c r="Q1001" s="4" t="s">
        <v>39</v>
      </c>
      <c r="R1001" s="4" t="s">
        <v>136</v>
      </c>
      <c r="S1001" s="4">
        <v>126777</v>
      </c>
      <c r="T1001" s="4">
        <v>0</v>
      </c>
      <c r="U1001" s="4">
        <v>126777</v>
      </c>
      <c r="V1001" s="4">
        <v>92558</v>
      </c>
      <c r="W1001" s="4">
        <v>18102</v>
      </c>
      <c r="X1001" s="4">
        <v>11648</v>
      </c>
      <c r="Y1001" s="4" t="s">
        <v>41</v>
      </c>
      <c r="Z1001" s="4">
        <v>45</v>
      </c>
      <c r="AA1001" s="4">
        <v>2.5</v>
      </c>
      <c r="AB1001" s="4" t="s">
        <v>52</v>
      </c>
    </row>
    <row r="1002" spans="1:28" x14ac:dyDescent="0.25">
      <c r="A1002" s="2" t="s">
        <v>1710</v>
      </c>
      <c r="B1002" s="2" t="s">
        <v>838</v>
      </c>
      <c r="C1002" s="2">
        <v>43</v>
      </c>
      <c r="D1002" s="2" t="s">
        <v>55</v>
      </c>
      <c r="E1002" s="2" t="s">
        <v>45</v>
      </c>
      <c r="F1002" s="2" t="s">
        <v>32</v>
      </c>
      <c r="G1002" s="3">
        <v>45397</v>
      </c>
      <c r="H1002" s="3">
        <v>45417</v>
      </c>
      <c r="I1002" s="2">
        <v>20</v>
      </c>
      <c r="J1002" s="2" t="s">
        <v>123</v>
      </c>
      <c r="K1002" s="2" t="s">
        <v>251</v>
      </c>
      <c r="L1002" s="2" t="s">
        <v>125</v>
      </c>
      <c r="M1002" s="2" t="s">
        <v>36</v>
      </c>
      <c r="N1002" s="2" t="s">
        <v>109</v>
      </c>
      <c r="O1002" s="2" t="s">
        <v>102</v>
      </c>
      <c r="P1002" s="2">
        <v>187</v>
      </c>
      <c r="Q1002" s="2" t="s">
        <v>39</v>
      </c>
      <c r="R1002" s="2" t="s">
        <v>90</v>
      </c>
      <c r="S1002" s="2">
        <v>81001</v>
      </c>
      <c r="T1002" s="2">
        <v>58444</v>
      </c>
      <c r="U1002" s="2">
        <v>22557</v>
      </c>
      <c r="V1002" s="2">
        <v>52877</v>
      </c>
      <c r="W1002" s="2">
        <v>19065</v>
      </c>
      <c r="X1002" s="2">
        <v>4862</v>
      </c>
      <c r="Y1002" s="2" t="s">
        <v>41</v>
      </c>
      <c r="Z1002" s="2">
        <v>85</v>
      </c>
      <c r="AA1002" s="2">
        <v>2.2000000000000002</v>
      </c>
      <c r="AB1002" s="2" t="s">
        <v>42</v>
      </c>
    </row>
    <row r="1003" spans="1:28" x14ac:dyDescent="0.25">
      <c r="A1003" s="4" t="s">
        <v>1711</v>
      </c>
      <c r="B1003" s="4" t="s">
        <v>911</v>
      </c>
      <c r="C1003" s="4">
        <v>5</v>
      </c>
      <c r="D1003" s="4" t="s">
        <v>55</v>
      </c>
      <c r="E1003" s="4" t="s">
        <v>79</v>
      </c>
      <c r="F1003" s="4" t="s">
        <v>32</v>
      </c>
      <c r="G1003" s="5">
        <v>45330</v>
      </c>
      <c r="H1003" s="5">
        <v>45341</v>
      </c>
      <c r="I1003" s="4">
        <v>11</v>
      </c>
      <c r="J1003" s="4" t="s">
        <v>140</v>
      </c>
      <c r="K1003" s="4" t="s">
        <v>141</v>
      </c>
      <c r="L1003" s="4" t="s">
        <v>142</v>
      </c>
      <c r="M1003" s="4" t="s">
        <v>130</v>
      </c>
      <c r="N1003" s="4" t="s">
        <v>118</v>
      </c>
      <c r="O1003" s="4" t="s">
        <v>248</v>
      </c>
      <c r="P1003" s="4">
        <v>358</v>
      </c>
      <c r="Q1003" s="4" t="s">
        <v>103</v>
      </c>
      <c r="R1003" s="4" t="s">
        <v>136</v>
      </c>
      <c r="S1003" s="4">
        <v>168758</v>
      </c>
      <c r="T1003" s="4">
        <v>0</v>
      </c>
      <c r="U1003" s="4">
        <v>168758</v>
      </c>
      <c r="V1003" s="4">
        <v>136395</v>
      </c>
      <c r="W1003" s="4">
        <v>25703</v>
      </c>
      <c r="X1003" s="4">
        <v>1796</v>
      </c>
      <c r="Y1003" s="4" t="s">
        <v>41</v>
      </c>
      <c r="Z1003" s="4">
        <v>90</v>
      </c>
      <c r="AA1003" s="4">
        <v>3.1</v>
      </c>
      <c r="AB1003" s="4" t="s">
        <v>52</v>
      </c>
    </row>
    <row r="1004" spans="1:28" x14ac:dyDescent="0.25">
      <c r="A1004" s="2" t="s">
        <v>1712</v>
      </c>
      <c r="B1004" s="2" t="s">
        <v>868</v>
      </c>
      <c r="C1004" s="2">
        <v>36</v>
      </c>
      <c r="D1004" s="2" t="s">
        <v>30</v>
      </c>
      <c r="E1004" s="2" t="s">
        <v>79</v>
      </c>
      <c r="F1004" s="2" t="s">
        <v>94</v>
      </c>
      <c r="G1004" s="3">
        <v>44862</v>
      </c>
      <c r="H1004" s="3">
        <v>44866</v>
      </c>
      <c r="I1004" s="2">
        <v>4</v>
      </c>
      <c r="J1004" s="2" t="s">
        <v>58</v>
      </c>
      <c r="K1004" s="2" t="s">
        <v>88</v>
      </c>
      <c r="L1004" s="2" t="s">
        <v>60</v>
      </c>
      <c r="M1004" s="2" t="s">
        <v>83</v>
      </c>
      <c r="N1004" s="2" t="s">
        <v>37</v>
      </c>
      <c r="O1004" s="2" t="s">
        <v>266</v>
      </c>
      <c r="P1004" s="2">
        <v>190</v>
      </c>
      <c r="Q1004" s="2" t="s">
        <v>50</v>
      </c>
      <c r="R1004" s="2" t="s">
        <v>111</v>
      </c>
      <c r="S1004" s="2">
        <v>124038</v>
      </c>
      <c r="T1004" s="2">
        <v>83012</v>
      </c>
      <c r="U1004" s="2">
        <v>41026</v>
      </c>
      <c r="V1004" s="2">
        <v>112771</v>
      </c>
      <c r="W1004" s="2">
        <v>5989</v>
      </c>
      <c r="X1004" s="2">
        <v>3737</v>
      </c>
      <c r="Y1004" s="2" t="s">
        <v>91</v>
      </c>
      <c r="Z1004" s="2">
        <v>65</v>
      </c>
      <c r="AA1004" s="2">
        <v>4.4000000000000004</v>
      </c>
      <c r="AB1004" s="2" t="s">
        <v>42</v>
      </c>
    </row>
    <row r="1005" spans="1:28" x14ac:dyDescent="0.25">
      <c r="A1005" s="4" t="s">
        <v>1713</v>
      </c>
      <c r="B1005" s="4" t="s">
        <v>847</v>
      </c>
      <c r="C1005" s="4">
        <v>72</v>
      </c>
      <c r="D1005" s="4" t="s">
        <v>30</v>
      </c>
      <c r="E1005" s="4" t="s">
        <v>79</v>
      </c>
      <c r="F1005" s="4" t="s">
        <v>72</v>
      </c>
      <c r="G1005" s="5">
        <v>44712</v>
      </c>
      <c r="H1005" s="5">
        <v>44717</v>
      </c>
      <c r="I1005" s="4">
        <v>5</v>
      </c>
      <c r="J1005" s="4" t="s">
        <v>58</v>
      </c>
      <c r="K1005" s="4" t="s">
        <v>88</v>
      </c>
      <c r="L1005" s="4" t="s">
        <v>60</v>
      </c>
      <c r="M1005" s="4" t="s">
        <v>134</v>
      </c>
      <c r="N1005" s="4" t="s">
        <v>37</v>
      </c>
      <c r="O1005" s="4" t="s">
        <v>560</v>
      </c>
      <c r="P1005" s="4">
        <v>384</v>
      </c>
      <c r="Q1005" s="4" t="s">
        <v>69</v>
      </c>
      <c r="R1005" s="4" t="s">
        <v>136</v>
      </c>
      <c r="S1005" s="4">
        <v>87337</v>
      </c>
      <c r="T1005" s="4">
        <v>0</v>
      </c>
      <c r="U1005" s="4">
        <v>87337</v>
      </c>
      <c r="V1005" s="4">
        <v>53757</v>
      </c>
      <c r="W1005" s="4">
        <v>20819</v>
      </c>
      <c r="X1005" s="4">
        <v>9092</v>
      </c>
      <c r="Y1005" s="4" t="s">
        <v>41</v>
      </c>
      <c r="Z1005" s="4">
        <v>66</v>
      </c>
      <c r="AA1005" s="4">
        <v>3.7</v>
      </c>
      <c r="AB1005" s="4" t="s">
        <v>64</v>
      </c>
    </row>
    <row r="1006" spans="1:28" x14ac:dyDescent="0.25">
      <c r="A1006" s="2" t="s">
        <v>1714</v>
      </c>
      <c r="B1006" s="2" t="s">
        <v>525</v>
      </c>
      <c r="C1006" s="2">
        <v>58</v>
      </c>
      <c r="D1006" s="2" t="s">
        <v>30</v>
      </c>
      <c r="E1006" s="2" t="s">
        <v>56</v>
      </c>
      <c r="F1006" s="2" t="s">
        <v>150</v>
      </c>
      <c r="G1006" s="3">
        <v>45397</v>
      </c>
      <c r="H1006" s="3">
        <v>45403</v>
      </c>
      <c r="I1006" s="2">
        <v>6</v>
      </c>
      <c r="J1006" s="2" t="s">
        <v>115</v>
      </c>
      <c r="K1006" s="2" t="s">
        <v>160</v>
      </c>
      <c r="L1006" s="2" t="s">
        <v>117</v>
      </c>
      <c r="M1006" s="2" t="s">
        <v>108</v>
      </c>
      <c r="N1006" s="2" t="s">
        <v>109</v>
      </c>
      <c r="O1006" s="2" t="s">
        <v>131</v>
      </c>
      <c r="P1006" s="2">
        <v>406</v>
      </c>
      <c r="Q1006" s="2" t="s">
        <v>39</v>
      </c>
      <c r="R1006" s="2" t="s">
        <v>40</v>
      </c>
      <c r="S1006" s="2">
        <v>128640</v>
      </c>
      <c r="T1006" s="2">
        <v>84844</v>
      </c>
      <c r="U1006" s="2">
        <v>43796</v>
      </c>
      <c r="V1006" s="2">
        <v>89047</v>
      </c>
      <c r="W1006" s="2">
        <v>25625</v>
      </c>
      <c r="X1006" s="2">
        <v>9557</v>
      </c>
      <c r="Y1006" s="2" t="s">
        <v>41</v>
      </c>
      <c r="Z1006" s="2">
        <v>72</v>
      </c>
      <c r="AA1006" s="2">
        <v>3.4</v>
      </c>
      <c r="AB1006" s="2" t="s">
        <v>137</v>
      </c>
    </row>
    <row r="1007" spans="1:28" x14ac:dyDescent="0.25">
      <c r="A1007" s="4" t="s">
        <v>1715</v>
      </c>
      <c r="B1007" s="4" t="s">
        <v>433</v>
      </c>
      <c r="C1007" s="4">
        <v>28</v>
      </c>
      <c r="D1007" s="4" t="s">
        <v>30</v>
      </c>
      <c r="E1007" s="4" t="s">
        <v>67</v>
      </c>
      <c r="F1007" s="4" t="s">
        <v>57</v>
      </c>
      <c r="G1007" s="5">
        <v>45178</v>
      </c>
      <c r="H1007" s="5">
        <v>45182</v>
      </c>
      <c r="I1007" s="4">
        <v>4</v>
      </c>
      <c r="J1007" s="4" t="s">
        <v>73</v>
      </c>
      <c r="K1007" s="4" t="s">
        <v>74</v>
      </c>
      <c r="L1007" s="4" t="s">
        <v>73</v>
      </c>
      <c r="M1007" s="4" t="s">
        <v>75</v>
      </c>
      <c r="N1007" s="4" t="s">
        <v>109</v>
      </c>
      <c r="O1007" s="4" t="s">
        <v>194</v>
      </c>
      <c r="P1007" s="4">
        <v>486</v>
      </c>
      <c r="Q1007" s="4" t="s">
        <v>50</v>
      </c>
      <c r="R1007" s="4" t="s">
        <v>51</v>
      </c>
      <c r="S1007" s="4">
        <v>81890</v>
      </c>
      <c r="T1007" s="4">
        <v>47573</v>
      </c>
      <c r="U1007" s="4">
        <v>34317</v>
      </c>
      <c r="V1007" s="4">
        <v>69754</v>
      </c>
      <c r="W1007" s="4">
        <v>4134</v>
      </c>
      <c r="X1007" s="4">
        <v>5863</v>
      </c>
      <c r="Y1007" s="4" t="s">
        <v>41</v>
      </c>
      <c r="Z1007" s="4">
        <v>88</v>
      </c>
      <c r="AA1007" s="4">
        <v>3.8</v>
      </c>
      <c r="AB1007" s="4" t="s">
        <v>64</v>
      </c>
    </row>
    <row r="1008" spans="1:28" x14ac:dyDescent="0.25">
      <c r="A1008" s="2" t="s">
        <v>1716</v>
      </c>
      <c r="B1008" s="2" t="s">
        <v>245</v>
      </c>
      <c r="C1008" s="2">
        <v>6</v>
      </c>
      <c r="D1008" s="2" t="s">
        <v>55</v>
      </c>
      <c r="E1008" s="2" t="s">
        <v>122</v>
      </c>
      <c r="F1008" s="2" t="s">
        <v>157</v>
      </c>
      <c r="G1008" s="3">
        <v>45155</v>
      </c>
      <c r="H1008" s="3">
        <v>45165</v>
      </c>
      <c r="I1008" s="2">
        <v>10</v>
      </c>
      <c r="J1008" s="2" t="s">
        <v>33</v>
      </c>
      <c r="K1008" s="2" t="s">
        <v>197</v>
      </c>
      <c r="L1008" s="2" t="s">
        <v>198</v>
      </c>
      <c r="M1008" s="2" t="s">
        <v>108</v>
      </c>
      <c r="N1008" s="2" t="s">
        <v>109</v>
      </c>
      <c r="O1008" s="2" t="s">
        <v>520</v>
      </c>
      <c r="P1008" s="2">
        <v>490</v>
      </c>
      <c r="Q1008" s="2" t="s">
        <v>50</v>
      </c>
      <c r="R1008" s="2" t="s">
        <v>40</v>
      </c>
      <c r="S1008" s="2">
        <v>49615</v>
      </c>
      <c r="T1008" s="2">
        <v>23087</v>
      </c>
      <c r="U1008" s="2">
        <v>26528</v>
      </c>
      <c r="V1008" s="2">
        <v>13848</v>
      </c>
      <c r="W1008" s="2">
        <v>29531</v>
      </c>
      <c r="X1008" s="2">
        <v>5157</v>
      </c>
      <c r="Y1008" s="2" t="s">
        <v>91</v>
      </c>
      <c r="Z1008" s="2">
        <v>53</v>
      </c>
      <c r="AA1008" s="2">
        <v>3.5</v>
      </c>
      <c r="AB1008" s="2" t="s">
        <v>42</v>
      </c>
    </row>
    <row r="1009" spans="1:28" x14ac:dyDescent="0.25">
      <c r="A1009" s="4" t="s">
        <v>1717</v>
      </c>
      <c r="B1009" s="4" t="s">
        <v>392</v>
      </c>
      <c r="C1009" s="4">
        <v>24</v>
      </c>
      <c r="D1009" s="4" t="s">
        <v>30</v>
      </c>
      <c r="E1009" s="4" t="s">
        <v>154</v>
      </c>
      <c r="F1009" s="4" t="s">
        <v>57</v>
      </c>
      <c r="G1009" s="5">
        <v>45452</v>
      </c>
      <c r="H1009" s="5">
        <v>45473</v>
      </c>
      <c r="I1009" s="4">
        <v>21</v>
      </c>
      <c r="J1009" s="4" t="s">
        <v>33</v>
      </c>
      <c r="K1009" s="4" t="s">
        <v>47</v>
      </c>
      <c r="L1009" s="4" t="s">
        <v>48</v>
      </c>
      <c r="M1009" s="4" t="s">
        <v>134</v>
      </c>
      <c r="N1009" s="4" t="s">
        <v>109</v>
      </c>
      <c r="O1009" s="4" t="s">
        <v>181</v>
      </c>
      <c r="P1009" s="4">
        <v>466</v>
      </c>
      <c r="Q1009" s="4" t="s">
        <v>69</v>
      </c>
      <c r="R1009" s="4" t="s">
        <v>136</v>
      </c>
      <c r="S1009" s="4">
        <v>58484</v>
      </c>
      <c r="T1009" s="4">
        <v>0</v>
      </c>
      <c r="U1009" s="4">
        <v>58484</v>
      </c>
      <c r="V1009" s="4">
        <v>44670</v>
      </c>
      <c r="W1009" s="4">
        <v>2822</v>
      </c>
      <c r="X1009" s="4">
        <v>8996</v>
      </c>
      <c r="Y1009" s="4" t="s">
        <v>41</v>
      </c>
      <c r="Z1009" s="4">
        <v>93</v>
      </c>
      <c r="AA1009" s="4">
        <v>2.7</v>
      </c>
      <c r="AB1009" s="4" t="s">
        <v>42</v>
      </c>
    </row>
    <row r="1010" spans="1:28" x14ac:dyDescent="0.25">
      <c r="A1010" s="2" t="s">
        <v>1718</v>
      </c>
      <c r="B1010" s="2" t="s">
        <v>330</v>
      </c>
      <c r="C1010" s="2">
        <v>59</v>
      </c>
      <c r="D1010" s="2" t="s">
        <v>30</v>
      </c>
      <c r="E1010" s="2" t="s">
        <v>56</v>
      </c>
      <c r="F1010" s="2" t="s">
        <v>72</v>
      </c>
      <c r="G1010" s="3">
        <v>45096</v>
      </c>
      <c r="H1010" s="3">
        <v>45114</v>
      </c>
      <c r="I1010" s="2">
        <v>18</v>
      </c>
      <c r="J1010" s="2" t="s">
        <v>33</v>
      </c>
      <c r="K1010" s="2" t="s">
        <v>233</v>
      </c>
      <c r="L1010" s="2" t="s">
        <v>35</v>
      </c>
      <c r="M1010" s="2" t="s">
        <v>143</v>
      </c>
      <c r="N1010" s="2" t="s">
        <v>62</v>
      </c>
      <c r="O1010" s="2" t="s">
        <v>68</v>
      </c>
      <c r="P1010" s="2">
        <v>274</v>
      </c>
      <c r="Q1010" s="2" t="s">
        <v>39</v>
      </c>
      <c r="R1010" s="2" t="s">
        <v>90</v>
      </c>
      <c r="S1010" s="2">
        <v>58635</v>
      </c>
      <c r="T1010" s="2">
        <v>39508</v>
      </c>
      <c r="U1010" s="2">
        <v>19127</v>
      </c>
      <c r="V1010" s="2">
        <v>27328</v>
      </c>
      <c r="W1010" s="2">
        <v>16527</v>
      </c>
      <c r="X1010" s="2">
        <v>11295</v>
      </c>
      <c r="Y1010" s="2" t="s">
        <v>41</v>
      </c>
      <c r="Z1010" s="2">
        <v>68</v>
      </c>
      <c r="AA1010" s="2">
        <v>3.8</v>
      </c>
      <c r="AB1010" s="2" t="s">
        <v>137</v>
      </c>
    </row>
    <row r="1011" spans="1:28" x14ac:dyDescent="0.25">
      <c r="A1011" s="4" t="s">
        <v>1719</v>
      </c>
      <c r="B1011" s="4" t="s">
        <v>1405</v>
      </c>
      <c r="C1011" s="4">
        <v>60</v>
      </c>
      <c r="D1011" s="4" t="s">
        <v>30</v>
      </c>
      <c r="E1011" s="4" t="s">
        <v>87</v>
      </c>
      <c r="F1011" s="4" t="s">
        <v>129</v>
      </c>
      <c r="G1011" s="5">
        <v>45156</v>
      </c>
      <c r="H1011" s="5">
        <v>45184</v>
      </c>
      <c r="I1011" s="4">
        <v>28</v>
      </c>
      <c r="J1011" s="4" t="s">
        <v>123</v>
      </c>
      <c r="K1011" s="4" t="s">
        <v>251</v>
      </c>
      <c r="L1011" s="4" t="s">
        <v>125</v>
      </c>
      <c r="M1011" s="4" t="s">
        <v>61</v>
      </c>
      <c r="N1011" s="4" t="s">
        <v>118</v>
      </c>
      <c r="O1011" s="4" t="s">
        <v>119</v>
      </c>
      <c r="P1011" s="4">
        <v>62</v>
      </c>
      <c r="Q1011" s="4" t="s">
        <v>39</v>
      </c>
      <c r="R1011" s="4" t="s">
        <v>136</v>
      </c>
      <c r="S1011" s="4">
        <v>80848</v>
      </c>
      <c r="T1011" s="4">
        <v>0</v>
      </c>
      <c r="U1011" s="4">
        <v>80848</v>
      </c>
      <c r="V1011" s="4">
        <v>64123</v>
      </c>
      <c r="W1011" s="4">
        <v>3377</v>
      </c>
      <c r="X1011" s="4">
        <v>11258</v>
      </c>
      <c r="Y1011" s="4" t="s">
        <v>41</v>
      </c>
      <c r="Z1011" s="4">
        <v>79</v>
      </c>
      <c r="AA1011" s="4">
        <v>2.9</v>
      </c>
      <c r="AB1011" s="4" t="s">
        <v>137</v>
      </c>
    </row>
    <row r="1012" spans="1:28" x14ac:dyDescent="0.25">
      <c r="A1012" s="2" t="s">
        <v>1720</v>
      </c>
      <c r="B1012" s="2" t="s">
        <v>661</v>
      </c>
      <c r="C1012" s="2">
        <v>11</v>
      </c>
      <c r="D1012" s="2" t="s">
        <v>30</v>
      </c>
      <c r="E1012" s="2" t="s">
        <v>87</v>
      </c>
      <c r="F1012" s="2" t="s">
        <v>150</v>
      </c>
      <c r="G1012" s="3">
        <v>44964</v>
      </c>
      <c r="H1012" s="3">
        <v>44985</v>
      </c>
      <c r="I1012" s="2">
        <v>21</v>
      </c>
      <c r="J1012" s="2" t="s">
        <v>123</v>
      </c>
      <c r="K1012" s="2" t="s">
        <v>124</v>
      </c>
      <c r="L1012" s="2" t="s">
        <v>125</v>
      </c>
      <c r="M1012" s="2" t="s">
        <v>83</v>
      </c>
      <c r="N1012" s="2" t="s">
        <v>118</v>
      </c>
      <c r="O1012" s="2" t="s">
        <v>1038</v>
      </c>
      <c r="P1012" s="2">
        <v>215</v>
      </c>
      <c r="Q1012" s="2" t="s">
        <v>69</v>
      </c>
      <c r="R1012" s="2" t="s">
        <v>51</v>
      </c>
      <c r="S1012" s="2">
        <v>60620</v>
      </c>
      <c r="T1012" s="2">
        <v>39403</v>
      </c>
      <c r="U1012" s="2">
        <v>21217</v>
      </c>
      <c r="V1012" s="2">
        <v>52012</v>
      </c>
      <c r="W1012" s="2">
        <v>2474</v>
      </c>
      <c r="X1012" s="2">
        <v>2902</v>
      </c>
      <c r="Y1012" s="2" t="s">
        <v>41</v>
      </c>
      <c r="Z1012" s="2">
        <v>77</v>
      </c>
      <c r="AA1012" s="2">
        <v>3.8</v>
      </c>
      <c r="AB1012" s="2" t="s">
        <v>104</v>
      </c>
    </row>
    <row r="1013" spans="1:28" x14ac:dyDescent="0.25">
      <c r="A1013" s="4" t="s">
        <v>1721</v>
      </c>
      <c r="B1013" s="4" t="s">
        <v>342</v>
      </c>
      <c r="C1013" s="4">
        <v>71</v>
      </c>
      <c r="D1013" s="4" t="s">
        <v>30</v>
      </c>
      <c r="E1013" s="4" t="s">
        <v>31</v>
      </c>
      <c r="F1013" s="4" t="s">
        <v>32</v>
      </c>
      <c r="G1013" s="5">
        <v>45503</v>
      </c>
      <c r="H1013" s="5">
        <v>45505</v>
      </c>
      <c r="I1013" s="4">
        <v>2</v>
      </c>
      <c r="J1013" s="4" t="s">
        <v>115</v>
      </c>
      <c r="K1013" s="4" t="s">
        <v>160</v>
      </c>
      <c r="L1013" s="4" t="s">
        <v>117</v>
      </c>
      <c r="M1013" s="4" t="s">
        <v>143</v>
      </c>
      <c r="N1013" s="4" t="s">
        <v>118</v>
      </c>
      <c r="O1013" s="4" t="s">
        <v>471</v>
      </c>
      <c r="P1013" s="4">
        <v>434</v>
      </c>
      <c r="Q1013" s="4" t="s">
        <v>103</v>
      </c>
      <c r="R1013" s="4" t="s">
        <v>136</v>
      </c>
      <c r="S1013" s="4">
        <v>173339</v>
      </c>
      <c r="T1013" s="4">
        <v>0</v>
      </c>
      <c r="U1013" s="4">
        <v>173339</v>
      </c>
      <c r="V1013" s="4">
        <v>149166</v>
      </c>
      <c r="W1013" s="4">
        <v>20953</v>
      </c>
      <c r="X1013" s="4">
        <v>501</v>
      </c>
      <c r="Y1013" s="4" t="s">
        <v>41</v>
      </c>
      <c r="Z1013" s="4">
        <v>41</v>
      </c>
      <c r="AA1013" s="4">
        <v>3.3</v>
      </c>
      <c r="AB1013" s="4" t="s">
        <v>42</v>
      </c>
    </row>
    <row r="1014" spans="1:28" x14ac:dyDescent="0.25">
      <c r="A1014" s="2" t="s">
        <v>1722</v>
      </c>
      <c r="B1014" s="2" t="s">
        <v>1159</v>
      </c>
      <c r="C1014" s="2">
        <v>33</v>
      </c>
      <c r="D1014" s="2" t="s">
        <v>30</v>
      </c>
      <c r="E1014" s="2" t="s">
        <v>56</v>
      </c>
      <c r="F1014" s="2" t="s">
        <v>57</v>
      </c>
      <c r="G1014" s="3">
        <v>45525</v>
      </c>
      <c r="H1014" s="3">
        <v>45539</v>
      </c>
      <c r="I1014" s="2">
        <v>14</v>
      </c>
      <c r="J1014" s="2" t="s">
        <v>33</v>
      </c>
      <c r="K1014" s="2" t="s">
        <v>47</v>
      </c>
      <c r="L1014" s="2" t="s">
        <v>48</v>
      </c>
      <c r="M1014" s="2" t="s">
        <v>101</v>
      </c>
      <c r="N1014" s="2" t="s">
        <v>62</v>
      </c>
      <c r="O1014" s="2" t="s">
        <v>373</v>
      </c>
      <c r="P1014" s="2">
        <v>471</v>
      </c>
      <c r="Q1014" s="2" t="s">
        <v>50</v>
      </c>
      <c r="R1014" s="2" t="s">
        <v>90</v>
      </c>
      <c r="S1014" s="2">
        <v>161752</v>
      </c>
      <c r="T1014" s="2">
        <v>138971</v>
      </c>
      <c r="U1014" s="2">
        <v>22781</v>
      </c>
      <c r="V1014" s="2">
        <v>131699</v>
      </c>
      <c r="W1014" s="2">
        <v>23776</v>
      </c>
      <c r="X1014" s="2">
        <v>4414</v>
      </c>
      <c r="Y1014" s="2" t="s">
        <v>41</v>
      </c>
      <c r="Z1014" s="2">
        <v>45</v>
      </c>
      <c r="AA1014" s="2">
        <v>2.8</v>
      </c>
      <c r="AB1014" s="2" t="s">
        <v>137</v>
      </c>
    </row>
    <row r="1015" spans="1:28" x14ac:dyDescent="0.25">
      <c r="A1015" s="4" t="s">
        <v>1723</v>
      </c>
      <c r="B1015" s="4" t="s">
        <v>1139</v>
      </c>
      <c r="C1015" s="4">
        <v>9</v>
      </c>
      <c r="D1015" s="4" t="s">
        <v>55</v>
      </c>
      <c r="E1015" s="4" t="s">
        <v>45</v>
      </c>
      <c r="F1015" s="4" t="s">
        <v>94</v>
      </c>
      <c r="G1015" s="5">
        <v>44564</v>
      </c>
      <c r="H1015" s="5">
        <v>44576</v>
      </c>
      <c r="I1015" s="4">
        <v>12</v>
      </c>
      <c r="J1015" s="4" t="s">
        <v>58</v>
      </c>
      <c r="K1015" s="4" t="s">
        <v>88</v>
      </c>
      <c r="L1015" s="4" t="s">
        <v>60</v>
      </c>
      <c r="M1015" s="4" t="s">
        <v>36</v>
      </c>
      <c r="N1015" s="4" t="s">
        <v>62</v>
      </c>
      <c r="O1015" s="4" t="s">
        <v>416</v>
      </c>
      <c r="P1015" s="4">
        <v>134</v>
      </c>
      <c r="Q1015" s="4" t="s">
        <v>50</v>
      </c>
      <c r="R1015" s="4" t="s">
        <v>51</v>
      </c>
      <c r="S1015" s="4">
        <v>139819</v>
      </c>
      <c r="T1015" s="4">
        <v>81191</v>
      </c>
      <c r="U1015" s="4">
        <v>58628</v>
      </c>
      <c r="V1015" s="4">
        <v>107865</v>
      </c>
      <c r="W1015" s="4">
        <v>22924</v>
      </c>
      <c r="X1015" s="4">
        <v>6492</v>
      </c>
      <c r="Y1015" s="4" t="s">
        <v>91</v>
      </c>
      <c r="Z1015" s="4">
        <v>65</v>
      </c>
      <c r="AA1015" s="4">
        <v>2.1</v>
      </c>
      <c r="AB1015" s="4" t="s">
        <v>137</v>
      </c>
    </row>
    <row r="1016" spans="1:28" x14ac:dyDescent="0.25">
      <c r="A1016" s="2" t="s">
        <v>1724</v>
      </c>
      <c r="B1016" s="2" t="s">
        <v>1559</v>
      </c>
      <c r="C1016" s="2">
        <v>5</v>
      </c>
      <c r="D1016" s="2" t="s">
        <v>55</v>
      </c>
      <c r="E1016" s="2" t="s">
        <v>79</v>
      </c>
      <c r="F1016" s="2" t="s">
        <v>57</v>
      </c>
      <c r="G1016" s="3">
        <v>45065</v>
      </c>
      <c r="H1016" s="3">
        <v>45094</v>
      </c>
      <c r="I1016" s="2">
        <v>29</v>
      </c>
      <c r="J1016" s="2" t="s">
        <v>123</v>
      </c>
      <c r="K1016" s="2" t="s">
        <v>251</v>
      </c>
      <c r="L1016" s="2" t="s">
        <v>125</v>
      </c>
      <c r="M1016" s="2" t="s">
        <v>95</v>
      </c>
      <c r="N1016" s="2" t="s">
        <v>118</v>
      </c>
      <c r="O1016" s="2" t="s">
        <v>135</v>
      </c>
      <c r="P1016" s="2">
        <v>142</v>
      </c>
      <c r="Q1016" s="2" t="s">
        <v>69</v>
      </c>
      <c r="R1016" s="2" t="s">
        <v>40</v>
      </c>
      <c r="S1016" s="2">
        <v>158600</v>
      </c>
      <c r="T1016" s="2">
        <v>101707</v>
      </c>
      <c r="U1016" s="2">
        <v>56893</v>
      </c>
      <c r="V1016" s="2">
        <v>148112</v>
      </c>
      <c r="W1016" s="2">
        <v>5902</v>
      </c>
      <c r="X1016" s="2">
        <v>3419</v>
      </c>
      <c r="Y1016" s="2" t="s">
        <v>91</v>
      </c>
      <c r="Z1016" s="2">
        <v>53</v>
      </c>
      <c r="AA1016" s="2">
        <v>3.8</v>
      </c>
      <c r="AB1016" s="2" t="s">
        <v>137</v>
      </c>
    </row>
    <row r="1017" spans="1:28" x14ac:dyDescent="0.25">
      <c r="A1017" s="4" t="s">
        <v>1725</v>
      </c>
      <c r="B1017" s="4" t="s">
        <v>1726</v>
      </c>
      <c r="C1017" s="4">
        <v>10</v>
      </c>
      <c r="D1017" s="4" t="s">
        <v>55</v>
      </c>
      <c r="E1017" s="4" t="s">
        <v>45</v>
      </c>
      <c r="F1017" s="4" t="s">
        <v>94</v>
      </c>
      <c r="G1017" s="5">
        <v>45379</v>
      </c>
      <c r="H1017" s="5">
        <v>45401</v>
      </c>
      <c r="I1017" s="4">
        <v>22</v>
      </c>
      <c r="J1017" s="4" t="s">
        <v>140</v>
      </c>
      <c r="K1017" s="4" t="s">
        <v>167</v>
      </c>
      <c r="L1017" s="4" t="s">
        <v>142</v>
      </c>
      <c r="M1017" s="4" t="s">
        <v>83</v>
      </c>
      <c r="N1017" s="4" t="s">
        <v>62</v>
      </c>
      <c r="O1017" s="4" t="s">
        <v>571</v>
      </c>
      <c r="P1017" s="4">
        <v>165</v>
      </c>
      <c r="Q1017" s="4" t="s">
        <v>39</v>
      </c>
      <c r="R1017" s="4" t="s">
        <v>51</v>
      </c>
      <c r="S1017" s="4">
        <v>107130</v>
      </c>
      <c r="T1017" s="4">
        <v>65094</v>
      </c>
      <c r="U1017" s="4">
        <v>42036</v>
      </c>
      <c r="V1017" s="4">
        <v>93590</v>
      </c>
      <c r="W1017" s="4">
        <v>3966</v>
      </c>
      <c r="X1017" s="4">
        <v>6760</v>
      </c>
      <c r="Y1017" s="4" t="s">
        <v>41</v>
      </c>
      <c r="Z1017" s="4">
        <v>53</v>
      </c>
      <c r="AA1017" s="4">
        <v>4.5999999999999996</v>
      </c>
      <c r="AB1017" s="4" t="s">
        <v>64</v>
      </c>
    </row>
    <row r="1018" spans="1:28" x14ac:dyDescent="0.25">
      <c r="A1018" s="2" t="s">
        <v>1727</v>
      </c>
      <c r="B1018" s="2" t="s">
        <v>1153</v>
      </c>
      <c r="C1018" s="2">
        <v>21</v>
      </c>
      <c r="D1018" s="2" t="s">
        <v>55</v>
      </c>
      <c r="E1018" s="2" t="s">
        <v>122</v>
      </c>
      <c r="F1018" s="2" t="s">
        <v>32</v>
      </c>
      <c r="G1018" s="3">
        <v>45521</v>
      </c>
      <c r="H1018" s="3">
        <v>45531</v>
      </c>
      <c r="I1018" s="2">
        <v>10</v>
      </c>
      <c r="J1018" s="2" t="s">
        <v>140</v>
      </c>
      <c r="K1018" s="2" t="s">
        <v>167</v>
      </c>
      <c r="L1018" s="2" t="s">
        <v>142</v>
      </c>
      <c r="M1018" s="2" t="s">
        <v>75</v>
      </c>
      <c r="N1018" s="2" t="s">
        <v>62</v>
      </c>
      <c r="O1018" s="2" t="s">
        <v>448</v>
      </c>
      <c r="P1018" s="2">
        <v>22</v>
      </c>
      <c r="Q1018" s="2" t="s">
        <v>103</v>
      </c>
      <c r="R1018" s="2" t="s">
        <v>90</v>
      </c>
      <c r="S1018" s="2">
        <v>64527</v>
      </c>
      <c r="T1018" s="2">
        <v>50321</v>
      </c>
      <c r="U1018" s="2">
        <v>14206</v>
      </c>
      <c r="V1018" s="2">
        <v>49089</v>
      </c>
      <c r="W1018" s="2">
        <v>2344</v>
      </c>
      <c r="X1018" s="2">
        <v>11632</v>
      </c>
      <c r="Y1018" s="2" t="s">
        <v>41</v>
      </c>
      <c r="Z1018" s="2">
        <v>74</v>
      </c>
      <c r="AA1018" s="2">
        <v>4.5</v>
      </c>
      <c r="AB1018" s="2" t="s">
        <v>52</v>
      </c>
    </row>
    <row r="1019" spans="1:28" x14ac:dyDescent="0.25">
      <c r="A1019" s="4" t="s">
        <v>1728</v>
      </c>
      <c r="B1019" s="4" t="s">
        <v>832</v>
      </c>
      <c r="C1019" s="4">
        <v>15</v>
      </c>
      <c r="D1019" s="4" t="s">
        <v>55</v>
      </c>
      <c r="E1019" s="4" t="s">
        <v>31</v>
      </c>
      <c r="F1019" s="4" t="s">
        <v>129</v>
      </c>
      <c r="G1019" s="5">
        <v>45360</v>
      </c>
      <c r="H1019" s="5">
        <v>45373</v>
      </c>
      <c r="I1019" s="4">
        <v>13</v>
      </c>
      <c r="J1019" s="4" t="s">
        <v>33</v>
      </c>
      <c r="K1019" s="4" t="s">
        <v>34</v>
      </c>
      <c r="L1019" s="4" t="s">
        <v>35</v>
      </c>
      <c r="M1019" s="4" t="s">
        <v>95</v>
      </c>
      <c r="N1019" s="4" t="s">
        <v>118</v>
      </c>
      <c r="O1019" s="4" t="s">
        <v>673</v>
      </c>
      <c r="P1019" s="4">
        <v>288</v>
      </c>
      <c r="Q1019" s="4" t="s">
        <v>69</v>
      </c>
      <c r="R1019" s="4" t="s">
        <v>136</v>
      </c>
      <c r="S1019" s="4">
        <v>84472</v>
      </c>
      <c r="T1019" s="4">
        <v>0</v>
      </c>
      <c r="U1019" s="4">
        <v>84472</v>
      </c>
      <c r="V1019" s="4">
        <v>47731</v>
      </c>
      <c r="W1019" s="4">
        <v>27225</v>
      </c>
      <c r="X1019" s="4">
        <v>7042</v>
      </c>
      <c r="Y1019" s="4" t="s">
        <v>41</v>
      </c>
      <c r="Z1019" s="4">
        <v>47</v>
      </c>
      <c r="AA1019" s="4">
        <v>2.2999999999999998</v>
      </c>
      <c r="AB1019" s="4" t="s">
        <v>137</v>
      </c>
    </row>
    <row r="1020" spans="1:28" x14ac:dyDescent="0.25">
      <c r="A1020" s="2" t="s">
        <v>1729</v>
      </c>
      <c r="B1020" s="2" t="s">
        <v>1314</v>
      </c>
      <c r="C1020" s="2">
        <v>63</v>
      </c>
      <c r="D1020" s="2" t="s">
        <v>55</v>
      </c>
      <c r="E1020" s="2" t="s">
        <v>154</v>
      </c>
      <c r="F1020" s="2" t="s">
        <v>57</v>
      </c>
      <c r="G1020" s="3">
        <v>45204</v>
      </c>
      <c r="H1020" s="3">
        <v>45212</v>
      </c>
      <c r="I1020" s="2">
        <v>8</v>
      </c>
      <c r="J1020" s="2" t="s">
        <v>33</v>
      </c>
      <c r="K1020" s="2" t="s">
        <v>233</v>
      </c>
      <c r="L1020" s="2" t="s">
        <v>35</v>
      </c>
      <c r="M1020" s="2" t="s">
        <v>130</v>
      </c>
      <c r="N1020" s="2" t="s">
        <v>37</v>
      </c>
      <c r="O1020" s="2" t="s">
        <v>119</v>
      </c>
      <c r="P1020" s="2">
        <v>187</v>
      </c>
      <c r="Q1020" s="2" t="s">
        <v>50</v>
      </c>
      <c r="R1020" s="2" t="s">
        <v>136</v>
      </c>
      <c r="S1020" s="2">
        <v>168599</v>
      </c>
      <c r="T1020" s="2">
        <v>0</v>
      </c>
      <c r="U1020" s="2">
        <v>168599</v>
      </c>
      <c r="V1020" s="2">
        <v>130894</v>
      </c>
      <c r="W1020" s="2">
        <v>24802</v>
      </c>
      <c r="X1020" s="2">
        <v>11939</v>
      </c>
      <c r="Y1020" s="2" t="s">
        <v>41</v>
      </c>
      <c r="Z1020" s="2">
        <v>83</v>
      </c>
      <c r="AA1020" s="2">
        <v>4.7</v>
      </c>
      <c r="AB1020" s="2" t="s">
        <v>64</v>
      </c>
    </row>
    <row r="1021" spans="1:28" x14ac:dyDescent="0.25">
      <c r="A1021" s="4" t="s">
        <v>1730</v>
      </c>
      <c r="B1021" s="4" t="s">
        <v>1731</v>
      </c>
      <c r="C1021" s="4">
        <v>15</v>
      </c>
      <c r="D1021" s="4" t="s">
        <v>30</v>
      </c>
      <c r="E1021" s="4" t="s">
        <v>56</v>
      </c>
      <c r="F1021" s="4" t="s">
        <v>46</v>
      </c>
      <c r="G1021" s="5">
        <v>45361</v>
      </c>
      <c r="H1021" s="5">
        <v>45385</v>
      </c>
      <c r="I1021" s="4">
        <v>24</v>
      </c>
      <c r="J1021" s="4" t="s">
        <v>202</v>
      </c>
      <c r="K1021" s="4" t="s">
        <v>203</v>
      </c>
      <c r="L1021" s="4" t="s">
        <v>204</v>
      </c>
      <c r="M1021" s="4" t="s">
        <v>101</v>
      </c>
      <c r="N1021" s="4" t="s">
        <v>118</v>
      </c>
      <c r="O1021" s="4" t="s">
        <v>89</v>
      </c>
      <c r="P1021" s="4">
        <v>140</v>
      </c>
      <c r="Q1021" s="4" t="s">
        <v>103</v>
      </c>
      <c r="R1021" s="4" t="s">
        <v>111</v>
      </c>
      <c r="S1021" s="4">
        <v>127456</v>
      </c>
      <c r="T1021" s="4">
        <v>83349</v>
      </c>
      <c r="U1021" s="4">
        <v>44107</v>
      </c>
      <c r="V1021" s="4">
        <v>106577</v>
      </c>
      <c r="W1021" s="4">
        <v>14375</v>
      </c>
      <c r="X1021" s="4">
        <v>2667</v>
      </c>
      <c r="Y1021" s="4" t="s">
        <v>41</v>
      </c>
      <c r="Z1021" s="4">
        <v>88</v>
      </c>
      <c r="AA1021" s="4">
        <v>3.7</v>
      </c>
      <c r="AB1021" s="4" t="s">
        <v>104</v>
      </c>
    </row>
    <row r="1022" spans="1:28" x14ac:dyDescent="0.25">
      <c r="A1022" s="2" t="s">
        <v>1732</v>
      </c>
      <c r="B1022" s="2" t="s">
        <v>292</v>
      </c>
      <c r="C1022" s="2">
        <v>6</v>
      </c>
      <c r="D1022" s="2" t="s">
        <v>55</v>
      </c>
      <c r="E1022" s="2" t="s">
        <v>67</v>
      </c>
      <c r="F1022" s="2" t="s">
        <v>157</v>
      </c>
      <c r="G1022" s="3">
        <v>45656</v>
      </c>
      <c r="H1022" s="3">
        <v>45657</v>
      </c>
      <c r="I1022" s="2">
        <v>1</v>
      </c>
      <c r="J1022" s="2" t="s">
        <v>123</v>
      </c>
      <c r="K1022" s="2" t="s">
        <v>251</v>
      </c>
      <c r="L1022" s="2" t="s">
        <v>125</v>
      </c>
      <c r="M1022" s="2" t="s">
        <v>95</v>
      </c>
      <c r="N1022" s="2" t="s">
        <v>37</v>
      </c>
      <c r="O1022" s="2" t="s">
        <v>96</v>
      </c>
      <c r="P1022" s="2">
        <v>4</v>
      </c>
      <c r="Q1022" s="2" t="s">
        <v>39</v>
      </c>
      <c r="R1022" s="2" t="s">
        <v>111</v>
      </c>
      <c r="S1022" s="2">
        <v>159161</v>
      </c>
      <c r="T1022" s="2">
        <v>139813</v>
      </c>
      <c r="U1022" s="2">
        <v>19348</v>
      </c>
      <c r="V1022" s="2">
        <v>140511</v>
      </c>
      <c r="W1022" s="2">
        <v>14149</v>
      </c>
      <c r="X1022" s="2">
        <v>1293</v>
      </c>
      <c r="Y1022" s="2" t="s">
        <v>91</v>
      </c>
      <c r="Z1022" s="2">
        <v>55</v>
      </c>
      <c r="AA1022" s="2">
        <v>2.1</v>
      </c>
      <c r="AB1022" s="2" t="s">
        <v>137</v>
      </c>
    </row>
    <row r="1023" spans="1:28" x14ac:dyDescent="0.25">
      <c r="A1023" s="4" t="s">
        <v>1733</v>
      </c>
      <c r="B1023" s="4" t="s">
        <v>1204</v>
      </c>
      <c r="C1023" s="4">
        <v>6</v>
      </c>
      <c r="D1023" s="4" t="s">
        <v>30</v>
      </c>
      <c r="E1023" s="4" t="s">
        <v>122</v>
      </c>
      <c r="F1023" s="4" t="s">
        <v>129</v>
      </c>
      <c r="G1023" s="5">
        <v>45649</v>
      </c>
      <c r="H1023" s="5">
        <v>45657</v>
      </c>
      <c r="I1023" s="4">
        <v>8</v>
      </c>
      <c r="J1023" s="4" t="s">
        <v>202</v>
      </c>
      <c r="K1023" s="4" t="s">
        <v>203</v>
      </c>
      <c r="L1023" s="4" t="s">
        <v>204</v>
      </c>
      <c r="M1023" s="4" t="s">
        <v>134</v>
      </c>
      <c r="N1023" s="4" t="s">
        <v>62</v>
      </c>
      <c r="O1023" s="4" t="s">
        <v>259</v>
      </c>
      <c r="P1023" s="4">
        <v>301</v>
      </c>
      <c r="Q1023" s="4" t="s">
        <v>69</v>
      </c>
      <c r="R1023" s="4" t="s">
        <v>90</v>
      </c>
      <c r="S1023" s="4">
        <v>84624</v>
      </c>
      <c r="T1023" s="4">
        <v>75868</v>
      </c>
      <c r="U1023" s="4">
        <v>8756</v>
      </c>
      <c r="V1023" s="4">
        <v>61716</v>
      </c>
      <c r="W1023" s="4">
        <v>20223</v>
      </c>
      <c r="X1023" s="4">
        <v>1217</v>
      </c>
      <c r="Y1023" s="4" t="s">
        <v>91</v>
      </c>
      <c r="Z1023" s="4">
        <v>87</v>
      </c>
      <c r="AA1023" s="4">
        <v>2.7</v>
      </c>
      <c r="AB1023" s="4" t="s">
        <v>104</v>
      </c>
    </row>
    <row r="1024" spans="1:28" x14ac:dyDescent="0.25">
      <c r="A1024" s="2" t="s">
        <v>1734</v>
      </c>
      <c r="B1024" s="2" t="s">
        <v>398</v>
      </c>
      <c r="C1024" s="2">
        <v>22</v>
      </c>
      <c r="D1024" s="2" t="s">
        <v>55</v>
      </c>
      <c r="E1024" s="2" t="s">
        <v>79</v>
      </c>
      <c r="F1024" s="2" t="s">
        <v>80</v>
      </c>
      <c r="G1024" s="3">
        <v>44885</v>
      </c>
      <c r="H1024" s="3">
        <v>44908</v>
      </c>
      <c r="I1024" s="2">
        <v>23</v>
      </c>
      <c r="J1024" s="2" t="s">
        <v>115</v>
      </c>
      <c r="K1024" s="2" t="s">
        <v>160</v>
      </c>
      <c r="L1024" s="2" t="s">
        <v>117</v>
      </c>
      <c r="M1024" s="2" t="s">
        <v>95</v>
      </c>
      <c r="N1024" s="2" t="s">
        <v>37</v>
      </c>
      <c r="O1024" s="2" t="s">
        <v>950</v>
      </c>
      <c r="P1024" s="2">
        <v>119</v>
      </c>
      <c r="Q1024" s="2" t="s">
        <v>69</v>
      </c>
      <c r="R1024" s="2" t="s">
        <v>51</v>
      </c>
      <c r="S1024" s="2">
        <v>69880</v>
      </c>
      <c r="T1024" s="2">
        <v>41018</v>
      </c>
      <c r="U1024" s="2">
        <v>28862</v>
      </c>
      <c r="V1024" s="2">
        <v>53935</v>
      </c>
      <c r="W1024" s="2">
        <v>13858</v>
      </c>
      <c r="X1024" s="2">
        <v>1182</v>
      </c>
      <c r="Y1024" s="2" t="s">
        <v>41</v>
      </c>
      <c r="Z1024" s="2">
        <v>42</v>
      </c>
      <c r="AA1024" s="2">
        <v>2.4</v>
      </c>
      <c r="AB1024" s="2" t="s">
        <v>137</v>
      </c>
    </row>
    <row r="1025" spans="1:28" x14ac:dyDescent="0.25">
      <c r="A1025" s="4" t="s">
        <v>1735</v>
      </c>
      <c r="B1025" s="4" t="s">
        <v>1736</v>
      </c>
      <c r="C1025" s="4">
        <v>42</v>
      </c>
      <c r="D1025" s="4" t="s">
        <v>30</v>
      </c>
      <c r="E1025" s="4" t="s">
        <v>79</v>
      </c>
      <c r="F1025" s="4" t="s">
        <v>46</v>
      </c>
      <c r="G1025" s="5">
        <v>44842</v>
      </c>
      <c r="H1025" s="5">
        <v>44844</v>
      </c>
      <c r="I1025" s="4">
        <v>2</v>
      </c>
      <c r="J1025" s="4" t="s">
        <v>33</v>
      </c>
      <c r="K1025" s="4" t="s">
        <v>47</v>
      </c>
      <c r="L1025" s="4" t="s">
        <v>48</v>
      </c>
      <c r="M1025" s="4" t="s">
        <v>75</v>
      </c>
      <c r="N1025" s="4" t="s">
        <v>118</v>
      </c>
      <c r="O1025" s="4" t="s">
        <v>399</v>
      </c>
      <c r="P1025" s="4">
        <v>116</v>
      </c>
      <c r="Q1025" s="4" t="s">
        <v>69</v>
      </c>
      <c r="R1025" s="4" t="s">
        <v>90</v>
      </c>
      <c r="S1025" s="4">
        <v>42115</v>
      </c>
      <c r="T1025" s="4">
        <v>34345</v>
      </c>
      <c r="U1025" s="4">
        <v>7770</v>
      </c>
      <c r="V1025" s="4">
        <v>9270</v>
      </c>
      <c r="W1025" s="4">
        <v>21664</v>
      </c>
      <c r="X1025" s="4">
        <v>9692</v>
      </c>
      <c r="Y1025" s="4" t="s">
        <v>41</v>
      </c>
      <c r="Z1025" s="4">
        <v>62</v>
      </c>
      <c r="AA1025" s="4">
        <v>3.9</v>
      </c>
      <c r="AB1025" s="4" t="s">
        <v>42</v>
      </c>
    </row>
    <row r="1026" spans="1:28" x14ac:dyDescent="0.25">
      <c r="A1026" s="2" t="s">
        <v>1737</v>
      </c>
      <c r="B1026" s="2" t="s">
        <v>643</v>
      </c>
      <c r="C1026" s="2">
        <v>41</v>
      </c>
      <c r="D1026" s="2" t="s">
        <v>30</v>
      </c>
      <c r="E1026" s="2" t="s">
        <v>67</v>
      </c>
      <c r="F1026" s="2" t="s">
        <v>114</v>
      </c>
      <c r="G1026" s="3">
        <v>44883</v>
      </c>
      <c r="H1026" s="3">
        <v>44911</v>
      </c>
      <c r="I1026" s="2">
        <v>28</v>
      </c>
      <c r="J1026" s="2" t="s">
        <v>123</v>
      </c>
      <c r="K1026" s="2" t="s">
        <v>124</v>
      </c>
      <c r="L1026" s="2" t="s">
        <v>125</v>
      </c>
      <c r="M1026" s="2" t="s">
        <v>95</v>
      </c>
      <c r="N1026" s="2" t="s">
        <v>109</v>
      </c>
      <c r="O1026" s="2" t="s">
        <v>178</v>
      </c>
      <c r="P1026" s="2">
        <v>316</v>
      </c>
      <c r="Q1026" s="2" t="s">
        <v>103</v>
      </c>
      <c r="R1026" s="2" t="s">
        <v>90</v>
      </c>
      <c r="S1026" s="2">
        <v>122252</v>
      </c>
      <c r="T1026" s="2">
        <v>73794</v>
      </c>
      <c r="U1026" s="2">
        <v>48458</v>
      </c>
      <c r="V1026" s="2">
        <v>87548</v>
      </c>
      <c r="W1026" s="2">
        <v>23918</v>
      </c>
      <c r="X1026" s="2">
        <v>7174</v>
      </c>
      <c r="Y1026" s="2" t="s">
        <v>41</v>
      </c>
      <c r="Z1026" s="2">
        <v>66</v>
      </c>
      <c r="AA1026" s="2">
        <v>2.2999999999999998</v>
      </c>
      <c r="AB1026" s="2" t="s">
        <v>137</v>
      </c>
    </row>
    <row r="1027" spans="1:28" x14ac:dyDescent="0.25">
      <c r="A1027" s="4" t="s">
        <v>1738</v>
      </c>
      <c r="B1027" s="4" t="s">
        <v>605</v>
      </c>
      <c r="C1027" s="4">
        <v>44</v>
      </c>
      <c r="D1027" s="4" t="s">
        <v>30</v>
      </c>
      <c r="E1027" s="4" t="s">
        <v>122</v>
      </c>
      <c r="F1027" s="4" t="s">
        <v>150</v>
      </c>
      <c r="G1027" s="5">
        <v>44583</v>
      </c>
      <c r="H1027" s="5">
        <v>44593</v>
      </c>
      <c r="I1027" s="4">
        <v>10</v>
      </c>
      <c r="J1027" s="4" t="s">
        <v>33</v>
      </c>
      <c r="K1027" s="4" t="s">
        <v>107</v>
      </c>
      <c r="L1027" s="4" t="s">
        <v>48</v>
      </c>
      <c r="M1027" s="4" t="s">
        <v>108</v>
      </c>
      <c r="N1027" s="4" t="s">
        <v>37</v>
      </c>
      <c r="O1027" s="4" t="s">
        <v>208</v>
      </c>
      <c r="P1027" s="4">
        <v>101</v>
      </c>
      <c r="Q1027" s="4" t="s">
        <v>50</v>
      </c>
      <c r="R1027" s="4" t="s">
        <v>90</v>
      </c>
      <c r="S1027" s="4">
        <v>125655</v>
      </c>
      <c r="T1027" s="4">
        <v>78070</v>
      </c>
      <c r="U1027" s="4">
        <v>47585</v>
      </c>
      <c r="V1027" s="4">
        <v>100937</v>
      </c>
      <c r="W1027" s="4">
        <v>17514</v>
      </c>
      <c r="X1027" s="4">
        <v>6482</v>
      </c>
      <c r="Y1027" s="4" t="s">
        <v>41</v>
      </c>
      <c r="Z1027" s="4">
        <v>83</v>
      </c>
      <c r="AA1027" s="4">
        <v>2</v>
      </c>
      <c r="AB1027" s="4" t="s">
        <v>137</v>
      </c>
    </row>
    <row r="1028" spans="1:28" x14ac:dyDescent="0.25">
      <c r="A1028" s="2" t="s">
        <v>1739</v>
      </c>
      <c r="B1028" s="2" t="s">
        <v>1740</v>
      </c>
      <c r="C1028" s="2">
        <v>59</v>
      </c>
      <c r="D1028" s="2" t="s">
        <v>30</v>
      </c>
      <c r="E1028" s="2" t="s">
        <v>56</v>
      </c>
      <c r="F1028" s="2" t="s">
        <v>80</v>
      </c>
      <c r="G1028" s="3">
        <v>45428</v>
      </c>
      <c r="H1028" s="3">
        <v>45430</v>
      </c>
      <c r="I1028" s="2">
        <v>2</v>
      </c>
      <c r="J1028" s="2" t="s">
        <v>58</v>
      </c>
      <c r="K1028" s="2" t="s">
        <v>88</v>
      </c>
      <c r="L1028" s="2" t="s">
        <v>60</v>
      </c>
      <c r="M1028" s="2" t="s">
        <v>83</v>
      </c>
      <c r="N1028" s="2" t="s">
        <v>62</v>
      </c>
      <c r="O1028" s="2" t="s">
        <v>355</v>
      </c>
      <c r="P1028" s="2">
        <v>92</v>
      </c>
      <c r="Q1028" s="2" t="s">
        <v>50</v>
      </c>
      <c r="R1028" s="2" t="s">
        <v>136</v>
      </c>
      <c r="S1028" s="2">
        <v>40219</v>
      </c>
      <c r="T1028" s="2">
        <v>0</v>
      </c>
      <c r="U1028" s="2">
        <v>40219</v>
      </c>
      <c r="V1028" s="2">
        <v>24674</v>
      </c>
      <c r="W1028" s="2">
        <v>7854</v>
      </c>
      <c r="X1028" s="2">
        <v>4518</v>
      </c>
      <c r="Y1028" s="2" t="s">
        <v>41</v>
      </c>
      <c r="Z1028" s="2">
        <v>76</v>
      </c>
      <c r="AA1028" s="2">
        <v>2.8</v>
      </c>
      <c r="AB1028" s="2" t="s">
        <v>137</v>
      </c>
    </row>
    <row r="1029" spans="1:28" x14ac:dyDescent="0.25">
      <c r="A1029" s="4" t="s">
        <v>1741</v>
      </c>
      <c r="B1029" s="4" t="s">
        <v>367</v>
      </c>
      <c r="C1029" s="4">
        <v>32</v>
      </c>
      <c r="D1029" s="4" t="s">
        <v>55</v>
      </c>
      <c r="E1029" s="4" t="s">
        <v>45</v>
      </c>
      <c r="F1029" s="4" t="s">
        <v>150</v>
      </c>
      <c r="G1029" s="5">
        <v>44673</v>
      </c>
      <c r="H1029" s="5">
        <v>44684</v>
      </c>
      <c r="I1029" s="4">
        <v>11</v>
      </c>
      <c r="J1029" s="4" t="s">
        <v>33</v>
      </c>
      <c r="K1029" s="4" t="s">
        <v>107</v>
      </c>
      <c r="L1029" s="4" t="s">
        <v>48</v>
      </c>
      <c r="M1029" s="4" t="s">
        <v>101</v>
      </c>
      <c r="N1029" s="4" t="s">
        <v>62</v>
      </c>
      <c r="O1029" s="4" t="s">
        <v>295</v>
      </c>
      <c r="P1029" s="4">
        <v>273</v>
      </c>
      <c r="Q1029" s="4" t="s">
        <v>103</v>
      </c>
      <c r="R1029" s="4" t="s">
        <v>111</v>
      </c>
      <c r="S1029" s="4">
        <v>128592</v>
      </c>
      <c r="T1029" s="4">
        <v>99559</v>
      </c>
      <c r="U1029" s="4">
        <v>29033</v>
      </c>
      <c r="V1029" s="4">
        <v>83733</v>
      </c>
      <c r="W1029" s="4">
        <v>28774</v>
      </c>
      <c r="X1029" s="4">
        <v>12271</v>
      </c>
      <c r="Y1029" s="4" t="s">
        <v>41</v>
      </c>
      <c r="Z1029" s="4">
        <v>64</v>
      </c>
      <c r="AA1029" s="4">
        <v>4.7</v>
      </c>
      <c r="AB1029" s="4" t="s">
        <v>42</v>
      </c>
    </row>
    <row r="1030" spans="1:28" x14ac:dyDescent="0.25">
      <c r="A1030" s="2" t="s">
        <v>1742</v>
      </c>
      <c r="B1030" s="2" t="s">
        <v>954</v>
      </c>
      <c r="C1030" s="2">
        <v>46</v>
      </c>
      <c r="D1030" s="2" t="s">
        <v>30</v>
      </c>
      <c r="E1030" s="2" t="s">
        <v>79</v>
      </c>
      <c r="F1030" s="2" t="s">
        <v>94</v>
      </c>
      <c r="G1030" s="3">
        <v>45504</v>
      </c>
      <c r="H1030" s="3">
        <v>45517</v>
      </c>
      <c r="I1030" s="2">
        <v>13</v>
      </c>
      <c r="J1030" s="2" t="s">
        <v>33</v>
      </c>
      <c r="K1030" s="2" t="s">
        <v>99</v>
      </c>
      <c r="L1030" s="2" t="s">
        <v>100</v>
      </c>
      <c r="M1030" s="2" t="s">
        <v>95</v>
      </c>
      <c r="N1030" s="2" t="s">
        <v>37</v>
      </c>
      <c r="O1030" s="2" t="s">
        <v>208</v>
      </c>
      <c r="P1030" s="2">
        <v>497</v>
      </c>
      <c r="Q1030" s="2" t="s">
        <v>39</v>
      </c>
      <c r="R1030" s="2" t="s">
        <v>111</v>
      </c>
      <c r="S1030" s="2">
        <v>170227</v>
      </c>
      <c r="T1030" s="2">
        <v>129818</v>
      </c>
      <c r="U1030" s="2">
        <v>40409</v>
      </c>
      <c r="V1030" s="2">
        <v>129268</v>
      </c>
      <c r="W1030" s="2">
        <v>27256</v>
      </c>
      <c r="X1030" s="2">
        <v>12477</v>
      </c>
      <c r="Y1030" s="2" t="s">
        <v>41</v>
      </c>
      <c r="Z1030" s="2">
        <v>40</v>
      </c>
      <c r="AA1030" s="2">
        <v>4.4000000000000004</v>
      </c>
      <c r="AB1030" s="2" t="s">
        <v>104</v>
      </c>
    </row>
    <row r="1031" spans="1:28" x14ac:dyDescent="0.25">
      <c r="A1031" s="4" t="s">
        <v>1743</v>
      </c>
      <c r="B1031" s="4" t="s">
        <v>1744</v>
      </c>
      <c r="C1031" s="4">
        <v>25</v>
      </c>
      <c r="D1031" s="4" t="s">
        <v>55</v>
      </c>
      <c r="E1031" s="4" t="s">
        <v>45</v>
      </c>
      <c r="F1031" s="4" t="s">
        <v>114</v>
      </c>
      <c r="G1031" s="5">
        <v>45563</v>
      </c>
      <c r="H1031" s="5">
        <v>45571</v>
      </c>
      <c r="I1031" s="4">
        <v>8</v>
      </c>
      <c r="J1031" s="4" t="s">
        <v>115</v>
      </c>
      <c r="K1031" s="4" t="s">
        <v>160</v>
      </c>
      <c r="L1031" s="4" t="s">
        <v>117</v>
      </c>
      <c r="M1031" s="4" t="s">
        <v>143</v>
      </c>
      <c r="N1031" s="4" t="s">
        <v>37</v>
      </c>
      <c r="O1031" s="4" t="s">
        <v>678</v>
      </c>
      <c r="P1031" s="4">
        <v>108</v>
      </c>
      <c r="Q1031" s="4" t="s">
        <v>103</v>
      </c>
      <c r="R1031" s="4" t="s">
        <v>136</v>
      </c>
      <c r="S1031" s="4">
        <v>80363</v>
      </c>
      <c r="T1031" s="4">
        <v>0</v>
      </c>
      <c r="U1031" s="4">
        <v>80363</v>
      </c>
      <c r="V1031" s="4">
        <v>72915</v>
      </c>
      <c r="W1031" s="4">
        <v>2308</v>
      </c>
      <c r="X1031" s="4">
        <v>3548</v>
      </c>
      <c r="Y1031" s="4" t="s">
        <v>41</v>
      </c>
      <c r="Z1031" s="4">
        <v>88</v>
      </c>
      <c r="AA1031" s="4">
        <v>2.5</v>
      </c>
      <c r="AB1031" s="4" t="s">
        <v>137</v>
      </c>
    </row>
    <row r="1032" spans="1:28" x14ac:dyDescent="0.25">
      <c r="A1032" s="2" t="s">
        <v>1745</v>
      </c>
      <c r="B1032" s="2" t="s">
        <v>557</v>
      </c>
      <c r="C1032" s="2">
        <v>53</v>
      </c>
      <c r="D1032" s="2" t="s">
        <v>55</v>
      </c>
      <c r="E1032" s="2" t="s">
        <v>79</v>
      </c>
      <c r="F1032" s="2" t="s">
        <v>129</v>
      </c>
      <c r="G1032" s="3">
        <v>45461</v>
      </c>
      <c r="H1032" s="3">
        <v>45477</v>
      </c>
      <c r="I1032" s="2">
        <v>16</v>
      </c>
      <c r="J1032" s="2" t="s">
        <v>73</v>
      </c>
      <c r="K1032" s="2" t="s">
        <v>74</v>
      </c>
      <c r="L1032" s="2" t="s">
        <v>73</v>
      </c>
      <c r="M1032" s="2" t="s">
        <v>143</v>
      </c>
      <c r="N1032" s="2" t="s">
        <v>109</v>
      </c>
      <c r="O1032" s="2" t="s">
        <v>673</v>
      </c>
      <c r="P1032" s="2">
        <v>334</v>
      </c>
      <c r="Q1032" s="2" t="s">
        <v>39</v>
      </c>
      <c r="R1032" s="2" t="s">
        <v>90</v>
      </c>
      <c r="S1032" s="2">
        <v>63364</v>
      </c>
      <c r="T1032" s="2">
        <v>38431</v>
      </c>
      <c r="U1032" s="2">
        <v>24933</v>
      </c>
      <c r="V1032" s="2">
        <v>40824</v>
      </c>
      <c r="W1032" s="2">
        <v>8808</v>
      </c>
      <c r="X1032" s="2">
        <v>11739</v>
      </c>
      <c r="Y1032" s="2" t="s">
        <v>91</v>
      </c>
      <c r="Z1032" s="2">
        <v>84</v>
      </c>
      <c r="AA1032" s="2">
        <v>5</v>
      </c>
      <c r="AB1032" s="2" t="s">
        <v>104</v>
      </c>
    </row>
    <row r="1033" spans="1:28" x14ac:dyDescent="0.25">
      <c r="A1033" s="4" t="s">
        <v>1746</v>
      </c>
      <c r="B1033" s="4" t="s">
        <v>1747</v>
      </c>
      <c r="C1033" s="4">
        <v>29</v>
      </c>
      <c r="D1033" s="4" t="s">
        <v>55</v>
      </c>
      <c r="E1033" s="4" t="s">
        <v>154</v>
      </c>
      <c r="F1033" s="4" t="s">
        <v>94</v>
      </c>
      <c r="G1033" s="5">
        <v>45133</v>
      </c>
      <c r="H1033" s="5">
        <v>45143</v>
      </c>
      <c r="I1033" s="4">
        <v>10</v>
      </c>
      <c r="J1033" s="4" t="s">
        <v>140</v>
      </c>
      <c r="K1033" s="4" t="s">
        <v>141</v>
      </c>
      <c r="L1033" s="4" t="s">
        <v>142</v>
      </c>
      <c r="M1033" s="4" t="s">
        <v>134</v>
      </c>
      <c r="N1033" s="4" t="s">
        <v>37</v>
      </c>
      <c r="O1033" s="4" t="s">
        <v>337</v>
      </c>
      <c r="P1033" s="4">
        <v>303</v>
      </c>
      <c r="Q1033" s="4" t="s">
        <v>39</v>
      </c>
      <c r="R1033" s="4" t="s">
        <v>51</v>
      </c>
      <c r="S1033" s="4">
        <v>50565</v>
      </c>
      <c r="T1033" s="4">
        <v>25253</v>
      </c>
      <c r="U1033" s="4">
        <v>25312</v>
      </c>
      <c r="V1033" s="4">
        <v>7383</v>
      </c>
      <c r="W1033" s="4">
        <v>27204</v>
      </c>
      <c r="X1033" s="4">
        <v>11520</v>
      </c>
      <c r="Y1033" s="4" t="s">
        <v>41</v>
      </c>
      <c r="Z1033" s="4">
        <v>45</v>
      </c>
      <c r="AA1033" s="4">
        <v>3</v>
      </c>
      <c r="AB1033" s="4" t="s">
        <v>52</v>
      </c>
    </row>
    <row r="1034" spans="1:28" x14ac:dyDescent="0.25">
      <c r="A1034" s="2" t="s">
        <v>1748</v>
      </c>
      <c r="B1034" s="2" t="s">
        <v>641</v>
      </c>
      <c r="C1034" s="2">
        <v>21</v>
      </c>
      <c r="D1034" s="2" t="s">
        <v>30</v>
      </c>
      <c r="E1034" s="2" t="s">
        <v>122</v>
      </c>
      <c r="F1034" s="2" t="s">
        <v>150</v>
      </c>
      <c r="G1034" s="3">
        <v>45224</v>
      </c>
      <c r="H1034" s="3">
        <v>45238</v>
      </c>
      <c r="I1034" s="2">
        <v>14</v>
      </c>
      <c r="J1034" s="2" t="s">
        <v>33</v>
      </c>
      <c r="K1034" s="2" t="s">
        <v>278</v>
      </c>
      <c r="L1034" s="2" t="s">
        <v>279</v>
      </c>
      <c r="M1034" s="2" t="s">
        <v>101</v>
      </c>
      <c r="N1034" s="2" t="s">
        <v>62</v>
      </c>
      <c r="O1034" s="2" t="s">
        <v>266</v>
      </c>
      <c r="P1034" s="2">
        <v>492</v>
      </c>
      <c r="Q1034" s="2" t="s">
        <v>39</v>
      </c>
      <c r="R1034" s="2" t="s">
        <v>90</v>
      </c>
      <c r="S1034" s="2">
        <v>29807</v>
      </c>
      <c r="T1034" s="2">
        <v>24936</v>
      </c>
      <c r="U1034" s="2">
        <v>4871</v>
      </c>
      <c r="V1034" s="2">
        <v>12721</v>
      </c>
      <c r="W1034" s="2">
        <v>1123</v>
      </c>
      <c r="X1034" s="2">
        <v>12241</v>
      </c>
      <c r="Y1034" s="2" t="s">
        <v>41</v>
      </c>
      <c r="Z1034" s="2">
        <v>53</v>
      </c>
      <c r="AA1034" s="2">
        <v>4</v>
      </c>
      <c r="AB1034" s="2" t="s">
        <v>64</v>
      </c>
    </row>
    <row r="1035" spans="1:28" x14ac:dyDescent="0.25">
      <c r="A1035" s="4" t="s">
        <v>1749</v>
      </c>
      <c r="B1035" s="4" t="s">
        <v>693</v>
      </c>
      <c r="C1035" s="4">
        <v>85</v>
      </c>
      <c r="D1035" s="4" t="s">
        <v>55</v>
      </c>
      <c r="E1035" s="4" t="s">
        <v>154</v>
      </c>
      <c r="F1035" s="4" t="s">
        <v>150</v>
      </c>
      <c r="G1035" s="5">
        <v>45482</v>
      </c>
      <c r="H1035" s="5">
        <v>45497</v>
      </c>
      <c r="I1035" s="4">
        <v>15</v>
      </c>
      <c r="J1035" s="4" t="s">
        <v>33</v>
      </c>
      <c r="K1035" s="4" t="s">
        <v>107</v>
      </c>
      <c r="L1035" s="4" t="s">
        <v>48</v>
      </c>
      <c r="M1035" s="4" t="s">
        <v>61</v>
      </c>
      <c r="N1035" s="4" t="s">
        <v>62</v>
      </c>
      <c r="O1035" s="4" t="s">
        <v>285</v>
      </c>
      <c r="P1035" s="4">
        <v>359</v>
      </c>
      <c r="Q1035" s="4" t="s">
        <v>69</v>
      </c>
      <c r="R1035" s="4" t="s">
        <v>111</v>
      </c>
      <c r="S1035" s="4">
        <v>137998</v>
      </c>
      <c r="T1035" s="4">
        <v>83969</v>
      </c>
      <c r="U1035" s="4">
        <v>54029</v>
      </c>
      <c r="V1035" s="4">
        <v>110331</v>
      </c>
      <c r="W1035" s="4">
        <v>10789</v>
      </c>
      <c r="X1035" s="4">
        <v>12462</v>
      </c>
      <c r="Y1035" s="4" t="s">
        <v>41</v>
      </c>
      <c r="Z1035" s="4">
        <v>40</v>
      </c>
      <c r="AA1035" s="4">
        <v>2.6</v>
      </c>
      <c r="AB1035" s="4" t="s">
        <v>52</v>
      </c>
    </row>
    <row r="1036" spans="1:28" x14ac:dyDescent="0.25">
      <c r="A1036" s="2" t="s">
        <v>1750</v>
      </c>
      <c r="B1036" s="2" t="s">
        <v>1295</v>
      </c>
      <c r="C1036" s="2">
        <v>53</v>
      </c>
      <c r="D1036" s="2" t="s">
        <v>55</v>
      </c>
      <c r="E1036" s="2" t="s">
        <v>45</v>
      </c>
      <c r="F1036" s="2" t="s">
        <v>72</v>
      </c>
      <c r="G1036" s="3">
        <v>45203</v>
      </c>
      <c r="H1036" s="3">
        <v>45209</v>
      </c>
      <c r="I1036" s="2">
        <v>6</v>
      </c>
      <c r="J1036" s="2" t="s">
        <v>33</v>
      </c>
      <c r="K1036" s="2" t="s">
        <v>233</v>
      </c>
      <c r="L1036" s="2" t="s">
        <v>35</v>
      </c>
      <c r="M1036" s="2" t="s">
        <v>134</v>
      </c>
      <c r="N1036" s="2" t="s">
        <v>109</v>
      </c>
      <c r="O1036" s="2" t="s">
        <v>438</v>
      </c>
      <c r="P1036" s="2">
        <v>373</v>
      </c>
      <c r="Q1036" s="2" t="s">
        <v>69</v>
      </c>
      <c r="R1036" s="2" t="s">
        <v>111</v>
      </c>
      <c r="S1036" s="2">
        <v>110803</v>
      </c>
      <c r="T1036" s="2">
        <v>96326</v>
      </c>
      <c r="U1036" s="2">
        <v>14477</v>
      </c>
      <c r="V1036" s="2">
        <v>82990</v>
      </c>
      <c r="W1036" s="2">
        <v>24852</v>
      </c>
      <c r="X1036" s="2">
        <v>1378</v>
      </c>
      <c r="Y1036" s="2" t="s">
        <v>41</v>
      </c>
      <c r="Z1036" s="2">
        <v>83</v>
      </c>
      <c r="AA1036" s="2">
        <v>3.9</v>
      </c>
      <c r="AB1036" s="2" t="s">
        <v>137</v>
      </c>
    </row>
    <row r="1037" spans="1:28" x14ac:dyDescent="0.25">
      <c r="A1037" s="4" t="s">
        <v>1751</v>
      </c>
      <c r="B1037" s="4" t="s">
        <v>213</v>
      </c>
      <c r="C1037" s="4">
        <v>69</v>
      </c>
      <c r="D1037" s="4" t="s">
        <v>55</v>
      </c>
      <c r="E1037" s="4" t="s">
        <v>67</v>
      </c>
      <c r="F1037" s="4" t="s">
        <v>150</v>
      </c>
      <c r="G1037" s="5">
        <v>45422</v>
      </c>
      <c r="H1037" s="5">
        <v>45427</v>
      </c>
      <c r="I1037" s="4">
        <v>5</v>
      </c>
      <c r="J1037" s="4" t="s">
        <v>58</v>
      </c>
      <c r="K1037" s="4" t="s">
        <v>88</v>
      </c>
      <c r="L1037" s="4" t="s">
        <v>60</v>
      </c>
      <c r="M1037" s="4" t="s">
        <v>130</v>
      </c>
      <c r="N1037" s="4" t="s">
        <v>37</v>
      </c>
      <c r="O1037" s="4" t="s">
        <v>548</v>
      </c>
      <c r="P1037" s="4">
        <v>432</v>
      </c>
      <c r="Q1037" s="4" t="s">
        <v>69</v>
      </c>
      <c r="R1037" s="4" t="s">
        <v>40</v>
      </c>
      <c r="S1037" s="4">
        <v>136730</v>
      </c>
      <c r="T1037" s="4">
        <v>81861</v>
      </c>
      <c r="U1037" s="4">
        <v>54869</v>
      </c>
      <c r="V1037" s="4">
        <v>111125</v>
      </c>
      <c r="W1037" s="4">
        <v>7255</v>
      </c>
      <c r="X1037" s="4">
        <v>13686</v>
      </c>
      <c r="Y1037" s="4" t="s">
        <v>41</v>
      </c>
      <c r="Z1037" s="4">
        <v>94</v>
      </c>
      <c r="AA1037" s="4">
        <v>4.4000000000000004</v>
      </c>
      <c r="AB1037" s="4" t="s">
        <v>137</v>
      </c>
    </row>
    <row r="1038" spans="1:28" x14ac:dyDescent="0.25">
      <c r="A1038" s="2" t="s">
        <v>1752</v>
      </c>
      <c r="B1038" s="2" t="s">
        <v>1680</v>
      </c>
      <c r="C1038" s="2">
        <v>57</v>
      </c>
      <c r="D1038" s="2" t="s">
        <v>55</v>
      </c>
      <c r="E1038" s="2" t="s">
        <v>79</v>
      </c>
      <c r="F1038" s="2" t="s">
        <v>72</v>
      </c>
      <c r="G1038" s="3">
        <v>45479</v>
      </c>
      <c r="H1038" s="3">
        <v>45488</v>
      </c>
      <c r="I1038" s="2">
        <v>9</v>
      </c>
      <c r="J1038" s="2" t="s">
        <v>33</v>
      </c>
      <c r="K1038" s="2" t="s">
        <v>47</v>
      </c>
      <c r="L1038" s="2" t="s">
        <v>48</v>
      </c>
      <c r="M1038" s="2" t="s">
        <v>83</v>
      </c>
      <c r="N1038" s="2" t="s">
        <v>109</v>
      </c>
      <c r="O1038" s="2" t="s">
        <v>135</v>
      </c>
      <c r="P1038" s="2">
        <v>474</v>
      </c>
      <c r="Q1038" s="2" t="s">
        <v>39</v>
      </c>
      <c r="R1038" s="2" t="s">
        <v>51</v>
      </c>
      <c r="S1038" s="2">
        <v>172357</v>
      </c>
      <c r="T1038" s="2">
        <v>105555</v>
      </c>
      <c r="U1038" s="2">
        <v>66802</v>
      </c>
      <c r="V1038" s="2">
        <v>131983</v>
      </c>
      <c r="W1038" s="2">
        <v>25528</v>
      </c>
      <c r="X1038" s="2">
        <v>9909</v>
      </c>
      <c r="Y1038" s="2" t="s">
        <v>41</v>
      </c>
      <c r="Z1038" s="2">
        <v>78</v>
      </c>
      <c r="AA1038" s="2">
        <v>4.4000000000000004</v>
      </c>
      <c r="AB1038" s="2" t="s">
        <v>52</v>
      </c>
    </row>
    <row r="1039" spans="1:28" x14ac:dyDescent="0.25">
      <c r="A1039" s="4" t="s">
        <v>1753</v>
      </c>
      <c r="B1039" s="4" t="s">
        <v>1754</v>
      </c>
      <c r="C1039" s="4">
        <v>59</v>
      </c>
      <c r="D1039" s="4" t="s">
        <v>55</v>
      </c>
      <c r="E1039" s="4" t="s">
        <v>45</v>
      </c>
      <c r="F1039" s="4" t="s">
        <v>80</v>
      </c>
      <c r="G1039" s="5">
        <v>44591</v>
      </c>
      <c r="H1039" s="5">
        <v>44619</v>
      </c>
      <c r="I1039" s="4">
        <v>28</v>
      </c>
      <c r="J1039" s="4" t="s">
        <v>58</v>
      </c>
      <c r="K1039" s="4" t="s">
        <v>59</v>
      </c>
      <c r="L1039" s="4" t="s">
        <v>60</v>
      </c>
      <c r="M1039" s="4" t="s">
        <v>61</v>
      </c>
      <c r="N1039" s="4" t="s">
        <v>109</v>
      </c>
      <c r="O1039" s="4" t="s">
        <v>171</v>
      </c>
      <c r="P1039" s="4">
        <v>152</v>
      </c>
      <c r="Q1039" s="4" t="s">
        <v>39</v>
      </c>
      <c r="R1039" s="4" t="s">
        <v>40</v>
      </c>
      <c r="S1039" s="4">
        <v>71720</v>
      </c>
      <c r="T1039" s="4">
        <v>47906</v>
      </c>
      <c r="U1039" s="4">
        <v>23814</v>
      </c>
      <c r="V1039" s="4">
        <v>39547</v>
      </c>
      <c r="W1039" s="4">
        <v>25422</v>
      </c>
      <c r="X1039" s="4">
        <v>4144</v>
      </c>
      <c r="Y1039" s="4" t="s">
        <v>91</v>
      </c>
      <c r="Z1039" s="4">
        <v>46</v>
      </c>
      <c r="AA1039" s="4">
        <v>2.5</v>
      </c>
      <c r="AB1039" s="4" t="s">
        <v>42</v>
      </c>
    </row>
    <row r="1040" spans="1:28" x14ac:dyDescent="0.25">
      <c r="A1040" s="2" t="s">
        <v>1755</v>
      </c>
      <c r="B1040" s="2" t="s">
        <v>1327</v>
      </c>
      <c r="C1040" s="2">
        <v>14</v>
      </c>
      <c r="D1040" s="2" t="s">
        <v>55</v>
      </c>
      <c r="E1040" s="2" t="s">
        <v>45</v>
      </c>
      <c r="F1040" s="2" t="s">
        <v>72</v>
      </c>
      <c r="G1040" s="3">
        <v>45152</v>
      </c>
      <c r="H1040" s="3">
        <v>45170</v>
      </c>
      <c r="I1040" s="2">
        <v>18</v>
      </c>
      <c r="J1040" s="2" t="s">
        <v>33</v>
      </c>
      <c r="K1040" s="2" t="s">
        <v>47</v>
      </c>
      <c r="L1040" s="2" t="s">
        <v>48</v>
      </c>
      <c r="M1040" s="2" t="s">
        <v>134</v>
      </c>
      <c r="N1040" s="2" t="s">
        <v>62</v>
      </c>
      <c r="O1040" s="2" t="s">
        <v>396</v>
      </c>
      <c r="P1040" s="2">
        <v>94</v>
      </c>
      <c r="Q1040" s="2" t="s">
        <v>103</v>
      </c>
      <c r="R1040" s="2" t="s">
        <v>111</v>
      </c>
      <c r="S1040" s="2">
        <v>61837</v>
      </c>
      <c r="T1040" s="2">
        <v>50147</v>
      </c>
      <c r="U1040" s="2">
        <v>11690</v>
      </c>
      <c r="V1040" s="2">
        <v>47820</v>
      </c>
      <c r="W1040" s="2">
        <v>5504</v>
      </c>
      <c r="X1040" s="2">
        <v>3663</v>
      </c>
      <c r="Y1040" s="2" t="s">
        <v>41</v>
      </c>
      <c r="Z1040" s="2">
        <v>71</v>
      </c>
      <c r="AA1040" s="2">
        <v>2.9</v>
      </c>
      <c r="AB1040" s="2" t="s">
        <v>64</v>
      </c>
    </row>
    <row r="1041" spans="1:28" x14ac:dyDescent="0.25">
      <c r="A1041" s="4" t="s">
        <v>1756</v>
      </c>
      <c r="B1041" s="4" t="s">
        <v>1551</v>
      </c>
      <c r="C1041" s="4">
        <v>64</v>
      </c>
      <c r="D1041" s="4" t="s">
        <v>30</v>
      </c>
      <c r="E1041" s="4" t="s">
        <v>56</v>
      </c>
      <c r="F1041" s="4" t="s">
        <v>94</v>
      </c>
      <c r="G1041" s="5">
        <v>45588</v>
      </c>
      <c r="H1041" s="5">
        <v>45605</v>
      </c>
      <c r="I1041" s="4">
        <v>17</v>
      </c>
      <c r="J1041" s="4" t="s">
        <v>140</v>
      </c>
      <c r="K1041" s="4" t="s">
        <v>141</v>
      </c>
      <c r="L1041" s="4" t="s">
        <v>142</v>
      </c>
      <c r="M1041" s="4" t="s">
        <v>61</v>
      </c>
      <c r="N1041" s="4" t="s">
        <v>37</v>
      </c>
      <c r="O1041" s="4" t="s">
        <v>553</v>
      </c>
      <c r="P1041" s="4">
        <v>333</v>
      </c>
      <c r="Q1041" s="4" t="s">
        <v>103</v>
      </c>
      <c r="R1041" s="4" t="s">
        <v>90</v>
      </c>
      <c r="S1041" s="4">
        <v>126331</v>
      </c>
      <c r="T1041" s="4">
        <v>78353</v>
      </c>
      <c r="U1041" s="4">
        <v>47978</v>
      </c>
      <c r="V1041" s="4">
        <v>91462</v>
      </c>
      <c r="W1041" s="4">
        <v>22537</v>
      </c>
      <c r="X1041" s="4">
        <v>9456</v>
      </c>
      <c r="Y1041" s="4" t="s">
        <v>41</v>
      </c>
      <c r="Z1041" s="4">
        <v>64</v>
      </c>
      <c r="AA1041" s="4">
        <v>4.0999999999999996</v>
      </c>
      <c r="AB1041" s="4" t="s">
        <v>64</v>
      </c>
    </row>
    <row r="1042" spans="1:28" x14ac:dyDescent="0.25">
      <c r="A1042" s="2" t="s">
        <v>1757</v>
      </c>
      <c r="B1042" s="2" t="s">
        <v>769</v>
      </c>
      <c r="C1042" s="2">
        <v>78</v>
      </c>
      <c r="D1042" s="2" t="s">
        <v>30</v>
      </c>
      <c r="E1042" s="2" t="s">
        <v>67</v>
      </c>
      <c r="F1042" s="2" t="s">
        <v>46</v>
      </c>
      <c r="G1042" s="3">
        <v>45519</v>
      </c>
      <c r="H1042" s="3">
        <v>45543</v>
      </c>
      <c r="I1042" s="2">
        <v>24</v>
      </c>
      <c r="J1042" s="2" t="s">
        <v>33</v>
      </c>
      <c r="K1042" s="2" t="s">
        <v>278</v>
      </c>
      <c r="L1042" s="2" t="s">
        <v>279</v>
      </c>
      <c r="M1042" s="2" t="s">
        <v>75</v>
      </c>
      <c r="N1042" s="2" t="s">
        <v>118</v>
      </c>
      <c r="O1042" s="2" t="s">
        <v>368</v>
      </c>
      <c r="P1042" s="2">
        <v>386</v>
      </c>
      <c r="Q1042" s="2" t="s">
        <v>50</v>
      </c>
      <c r="R1042" s="2" t="s">
        <v>51</v>
      </c>
      <c r="S1042" s="2">
        <v>151275</v>
      </c>
      <c r="T1042" s="2">
        <v>86259</v>
      </c>
      <c r="U1042" s="2">
        <v>65016</v>
      </c>
      <c r="V1042" s="2">
        <v>117297</v>
      </c>
      <c r="W1042" s="2">
        <v>23501</v>
      </c>
      <c r="X1042" s="2">
        <v>7771</v>
      </c>
      <c r="Y1042" s="2" t="s">
        <v>41</v>
      </c>
      <c r="Z1042" s="2">
        <v>52</v>
      </c>
      <c r="AA1042" s="2">
        <v>4.7</v>
      </c>
      <c r="AB1042" s="2" t="s">
        <v>42</v>
      </c>
    </row>
    <row r="1043" spans="1:28" x14ac:dyDescent="0.25">
      <c r="A1043" s="4" t="s">
        <v>1758</v>
      </c>
      <c r="B1043" s="4" t="s">
        <v>874</v>
      </c>
      <c r="C1043" s="4">
        <v>84</v>
      </c>
      <c r="D1043" s="4" t="s">
        <v>30</v>
      </c>
      <c r="E1043" s="4" t="s">
        <v>154</v>
      </c>
      <c r="F1043" s="4" t="s">
        <v>32</v>
      </c>
      <c r="G1043" s="5">
        <v>45370</v>
      </c>
      <c r="H1043" s="5">
        <v>45396</v>
      </c>
      <c r="I1043" s="4">
        <v>26</v>
      </c>
      <c r="J1043" s="4" t="s">
        <v>33</v>
      </c>
      <c r="K1043" s="4" t="s">
        <v>34</v>
      </c>
      <c r="L1043" s="4" t="s">
        <v>35</v>
      </c>
      <c r="M1043" s="4" t="s">
        <v>75</v>
      </c>
      <c r="N1043" s="4" t="s">
        <v>62</v>
      </c>
      <c r="O1043" s="4" t="s">
        <v>147</v>
      </c>
      <c r="P1043" s="4">
        <v>214</v>
      </c>
      <c r="Q1043" s="4" t="s">
        <v>69</v>
      </c>
      <c r="R1043" s="4" t="s">
        <v>111</v>
      </c>
      <c r="S1043" s="4">
        <v>117330</v>
      </c>
      <c r="T1043" s="4">
        <v>85136</v>
      </c>
      <c r="U1043" s="4">
        <v>32194</v>
      </c>
      <c r="V1043" s="4">
        <v>110061</v>
      </c>
      <c r="W1043" s="4">
        <v>5338</v>
      </c>
      <c r="X1043" s="4">
        <v>621</v>
      </c>
      <c r="Y1043" s="4" t="s">
        <v>41</v>
      </c>
      <c r="Z1043" s="4">
        <v>60</v>
      </c>
      <c r="AA1043" s="4">
        <v>4.2</v>
      </c>
      <c r="AB1043" s="4" t="s">
        <v>42</v>
      </c>
    </row>
    <row r="1044" spans="1:28" x14ac:dyDescent="0.25">
      <c r="A1044" s="2" t="s">
        <v>1759</v>
      </c>
      <c r="B1044" s="2" t="s">
        <v>1381</v>
      </c>
      <c r="C1044" s="2">
        <v>47</v>
      </c>
      <c r="D1044" s="2" t="s">
        <v>30</v>
      </c>
      <c r="E1044" s="2" t="s">
        <v>67</v>
      </c>
      <c r="F1044" s="2" t="s">
        <v>80</v>
      </c>
      <c r="G1044" s="3">
        <v>45233</v>
      </c>
      <c r="H1044" s="3">
        <v>45258</v>
      </c>
      <c r="I1044" s="2">
        <v>25</v>
      </c>
      <c r="J1044" s="2" t="s">
        <v>58</v>
      </c>
      <c r="K1044" s="2" t="s">
        <v>88</v>
      </c>
      <c r="L1044" s="2" t="s">
        <v>60</v>
      </c>
      <c r="M1044" s="2" t="s">
        <v>95</v>
      </c>
      <c r="N1044" s="2" t="s">
        <v>62</v>
      </c>
      <c r="O1044" s="2" t="s">
        <v>181</v>
      </c>
      <c r="P1044" s="2">
        <v>241</v>
      </c>
      <c r="Q1044" s="2" t="s">
        <v>103</v>
      </c>
      <c r="R1044" s="2" t="s">
        <v>136</v>
      </c>
      <c r="S1044" s="2">
        <v>12744</v>
      </c>
      <c r="T1044" s="2">
        <v>0</v>
      </c>
      <c r="U1044" s="2">
        <v>12744</v>
      </c>
      <c r="V1044" s="2">
        <v>6499</v>
      </c>
      <c r="W1044" s="2">
        <v>1224</v>
      </c>
      <c r="X1044" s="2">
        <v>1356</v>
      </c>
      <c r="Y1044" s="2" t="s">
        <v>41</v>
      </c>
      <c r="Z1044" s="2">
        <v>61</v>
      </c>
      <c r="AA1044" s="2">
        <v>3.6</v>
      </c>
      <c r="AB1044" s="2" t="s">
        <v>137</v>
      </c>
    </row>
    <row r="1045" spans="1:28" x14ac:dyDescent="0.25">
      <c r="A1045" s="4" t="s">
        <v>1760</v>
      </c>
      <c r="B1045" s="4" t="s">
        <v>1191</v>
      </c>
      <c r="C1045" s="4">
        <v>21</v>
      </c>
      <c r="D1045" s="4" t="s">
        <v>30</v>
      </c>
      <c r="E1045" s="4" t="s">
        <v>122</v>
      </c>
      <c r="F1045" s="4" t="s">
        <v>80</v>
      </c>
      <c r="G1045" s="5">
        <v>44708</v>
      </c>
      <c r="H1045" s="5">
        <v>44722</v>
      </c>
      <c r="I1045" s="4">
        <v>14</v>
      </c>
      <c r="J1045" s="4" t="s">
        <v>115</v>
      </c>
      <c r="K1045" s="4" t="s">
        <v>116</v>
      </c>
      <c r="L1045" s="4" t="s">
        <v>117</v>
      </c>
      <c r="M1045" s="4" t="s">
        <v>134</v>
      </c>
      <c r="N1045" s="4" t="s">
        <v>118</v>
      </c>
      <c r="O1045" s="4" t="s">
        <v>241</v>
      </c>
      <c r="P1045" s="4">
        <v>90</v>
      </c>
      <c r="Q1045" s="4" t="s">
        <v>50</v>
      </c>
      <c r="R1045" s="4" t="s">
        <v>136</v>
      </c>
      <c r="S1045" s="4">
        <v>94220</v>
      </c>
      <c r="T1045" s="4">
        <v>0</v>
      </c>
      <c r="U1045" s="4">
        <v>94220</v>
      </c>
      <c r="V1045" s="4">
        <v>73160</v>
      </c>
      <c r="W1045" s="4">
        <v>3251</v>
      </c>
      <c r="X1045" s="4">
        <v>13113</v>
      </c>
      <c r="Y1045" s="4" t="s">
        <v>41</v>
      </c>
      <c r="Z1045" s="4">
        <v>70</v>
      </c>
      <c r="AA1045" s="4">
        <v>4.8</v>
      </c>
      <c r="AB1045" s="4" t="s">
        <v>104</v>
      </c>
    </row>
    <row r="1046" spans="1:28" x14ac:dyDescent="0.25">
      <c r="A1046" s="2" t="s">
        <v>1761</v>
      </c>
      <c r="B1046" s="2" t="s">
        <v>637</v>
      </c>
      <c r="C1046" s="2">
        <v>30</v>
      </c>
      <c r="D1046" s="2" t="s">
        <v>30</v>
      </c>
      <c r="E1046" s="2" t="s">
        <v>67</v>
      </c>
      <c r="F1046" s="2" t="s">
        <v>57</v>
      </c>
      <c r="G1046" s="3">
        <v>45611</v>
      </c>
      <c r="H1046" s="3">
        <v>45636</v>
      </c>
      <c r="I1046" s="2">
        <v>25</v>
      </c>
      <c r="J1046" s="2" t="s">
        <v>73</v>
      </c>
      <c r="K1046" s="2" t="s">
        <v>74</v>
      </c>
      <c r="L1046" s="2" t="s">
        <v>73</v>
      </c>
      <c r="M1046" s="2" t="s">
        <v>83</v>
      </c>
      <c r="N1046" s="2" t="s">
        <v>62</v>
      </c>
      <c r="O1046" s="2" t="s">
        <v>178</v>
      </c>
      <c r="P1046" s="2">
        <v>11</v>
      </c>
      <c r="Q1046" s="2" t="s">
        <v>39</v>
      </c>
      <c r="R1046" s="2" t="s">
        <v>111</v>
      </c>
      <c r="S1046" s="2">
        <v>76236</v>
      </c>
      <c r="T1046" s="2">
        <v>64264</v>
      </c>
      <c r="U1046" s="2">
        <v>11972</v>
      </c>
      <c r="V1046" s="2">
        <v>55852</v>
      </c>
      <c r="W1046" s="2">
        <v>2493</v>
      </c>
      <c r="X1046" s="2">
        <v>14948</v>
      </c>
      <c r="Y1046" s="2" t="s">
        <v>41</v>
      </c>
      <c r="Z1046" s="2">
        <v>98</v>
      </c>
      <c r="AA1046" s="2">
        <v>2.6</v>
      </c>
      <c r="AB1046" s="2" t="s">
        <v>137</v>
      </c>
    </row>
    <row r="1047" spans="1:28" x14ac:dyDescent="0.25">
      <c r="A1047" s="4" t="s">
        <v>1762</v>
      </c>
      <c r="B1047" s="4" t="s">
        <v>1763</v>
      </c>
      <c r="C1047" s="4">
        <v>10</v>
      </c>
      <c r="D1047" s="4" t="s">
        <v>30</v>
      </c>
      <c r="E1047" s="4" t="s">
        <v>122</v>
      </c>
      <c r="F1047" s="4" t="s">
        <v>94</v>
      </c>
      <c r="G1047" s="5">
        <v>45657</v>
      </c>
      <c r="H1047" s="5">
        <v>45657</v>
      </c>
      <c r="I1047" s="4">
        <v>1</v>
      </c>
      <c r="J1047" s="4" t="s">
        <v>123</v>
      </c>
      <c r="K1047" s="4" t="s">
        <v>251</v>
      </c>
      <c r="L1047" s="4" t="s">
        <v>125</v>
      </c>
      <c r="M1047" s="4" t="s">
        <v>134</v>
      </c>
      <c r="N1047" s="4" t="s">
        <v>62</v>
      </c>
      <c r="O1047" s="4" t="s">
        <v>168</v>
      </c>
      <c r="P1047" s="4">
        <v>343</v>
      </c>
      <c r="Q1047" s="4" t="s">
        <v>69</v>
      </c>
      <c r="R1047" s="4" t="s">
        <v>51</v>
      </c>
      <c r="S1047" s="4">
        <v>146461</v>
      </c>
      <c r="T1047" s="4">
        <v>84788</v>
      </c>
      <c r="U1047" s="4">
        <v>61673</v>
      </c>
      <c r="V1047" s="4">
        <v>118576</v>
      </c>
      <c r="W1047" s="4">
        <v>21905</v>
      </c>
      <c r="X1047" s="4">
        <v>1584</v>
      </c>
      <c r="Y1047" s="4" t="s">
        <v>41</v>
      </c>
      <c r="Z1047" s="4">
        <v>98</v>
      </c>
      <c r="AA1047" s="4">
        <v>4.5</v>
      </c>
      <c r="AB1047" s="4" t="s">
        <v>42</v>
      </c>
    </row>
    <row r="1048" spans="1:28" x14ac:dyDescent="0.25">
      <c r="A1048" s="2" t="s">
        <v>1764</v>
      </c>
      <c r="B1048" s="2" t="s">
        <v>744</v>
      </c>
      <c r="C1048" s="2">
        <v>22</v>
      </c>
      <c r="D1048" s="2" t="s">
        <v>30</v>
      </c>
      <c r="E1048" s="2" t="s">
        <v>45</v>
      </c>
      <c r="F1048" s="2" t="s">
        <v>129</v>
      </c>
      <c r="G1048" s="3">
        <v>45112</v>
      </c>
      <c r="H1048" s="3">
        <v>45116</v>
      </c>
      <c r="I1048" s="2">
        <v>4</v>
      </c>
      <c r="J1048" s="2" t="s">
        <v>115</v>
      </c>
      <c r="K1048" s="2" t="s">
        <v>160</v>
      </c>
      <c r="L1048" s="2" t="s">
        <v>117</v>
      </c>
      <c r="M1048" s="2" t="s">
        <v>108</v>
      </c>
      <c r="N1048" s="2" t="s">
        <v>118</v>
      </c>
      <c r="O1048" s="2" t="s">
        <v>214</v>
      </c>
      <c r="P1048" s="2">
        <v>153</v>
      </c>
      <c r="Q1048" s="2" t="s">
        <v>50</v>
      </c>
      <c r="R1048" s="2" t="s">
        <v>90</v>
      </c>
      <c r="S1048" s="2">
        <v>144240</v>
      </c>
      <c r="T1048" s="2">
        <v>119076</v>
      </c>
      <c r="U1048" s="2">
        <v>25164</v>
      </c>
      <c r="V1048" s="2">
        <v>126644</v>
      </c>
      <c r="W1048" s="2">
        <v>7705</v>
      </c>
      <c r="X1048" s="2">
        <v>6298</v>
      </c>
      <c r="Y1048" s="2" t="s">
        <v>41</v>
      </c>
      <c r="Z1048" s="2">
        <v>72</v>
      </c>
      <c r="AA1048" s="2">
        <v>4.9000000000000004</v>
      </c>
      <c r="AB1048" s="2" t="s">
        <v>104</v>
      </c>
    </row>
    <row r="1049" spans="1:28" x14ac:dyDescent="0.25">
      <c r="A1049" s="4" t="s">
        <v>1765</v>
      </c>
      <c r="B1049" s="4" t="s">
        <v>836</v>
      </c>
      <c r="C1049" s="4">
        <v>68</v>
      </c>
      <c r="D1049" s="4" t="s">
        <v>55</v>
      </c>
      <c r="E1049" s="4" t="s">
        <v>79</v>
      </c>
      <c r="F1049" s="4" t="s">
        <v>57</v>
      </c>
      <c r="G1049" s="5">
        <v>45251</v>
      </c>
      <c r="H1049" s="5">
        <v>45270</v>
      </c>
      <c r="I1049" s="4">
        <v>19</v>
      </c>
      <c r="J1049" s="4" t="s">
        <v>33</v>
      </c>
      <c r="K1049" s="4" t="s">
        <v>99</v>
      </c>
      <c r="L1049" s="4" t="s">
        <v>100</v>
      </c>
      <c r="M1049" s="4" t="s">
        <v>143</v>
      </c>
      <c r="N1049" s="4" t="s">
        <v>37</v>
      </c>
      <c r="O1049" s="4" t="s">
        <v>208</v>
      </c>
      <c r="P1049" s="4">
        <v>368</v>
      </c>
      <c r="Q1049" s="4" t="s">
        <v>50</v>
      </c>
      <c r="R1049" s="4" t="s">
        <v>136</v>
      </c>
      <c r="S1049" s="4">
        <v>81539</v>
      </c>
      <c r="T1049" s="4">
        <v>0</v>
      </c>
      <c r="U1049" s="4">
        <v>81539</v>
      </c>
      <c r="V1049" s="4">
        <v>43571</v>
      </c>
      <c r="W1049" s="4">
        <v>22321</v>
      </c>
      <c r="X1049" s="4">
        <v>14785</v>
      </c>
      <c r="Y1049" s="4" t="s">
        <v>41</v>
      </c>
      <c r="Z1049" s="4">
        <v>45</v>
      </c>
      <c r="AA1049" s="4">
        <v>3.1</v>
      </c>
      <c r="AB1049" s="4" t="s">
        <v>42</v>
      </c>
    </row>
    <row r="1050" spans="1:28" x14ac:dyDescent="0.25">
      <c r="A1050" s="2" t="s">
        <v>1766</v>
      </c>
      <c r="B1050" s="2" t="s">
        <v>180</v>
      </c>
      <c r="C1050" s="2">
        <v>47</v>
      </c>
      <c r="D1050" s="2" t="s">
        <v>30</v>
      </c>
      <c r="E1050" s="2" t="s">
        <v>122</v>
      </c>
      <c r="F1050" s="2" t="s">
        <v>150</v>
      </c>
      <c r="G1050" s="3">
        <v>44953</v>
      </c>
      <c r="H1050" s="3">
        <v>44981</v>
      </c>
      <c r="I1050" s="2">
        <v>28</v>
      </c>
      <c r="J1050" s="2" t="s">
        <v>58</v>
      </c>
      <c r="K1050" s="2" t="s">
        <v>59</v>
      </c>
      <c r="L1050" s="2" t="s">
        <v>60</v>
      </c>
      <c r="M1050" s="2" t="s">
        <v>130</v>
      </c>
      <c r="N1050" s="2" t="s">
        <v>109</v>
      </c>
      <c r="O1050" s="2" t="s">
        <v>337</v>
      </c>
      <c r="P1050" s="2">
        <v>381</v>
      </c>
      <c r="Q1050" s="2" t="s">
        <v>103</v>
      </c>
      <c r="R1050" s="2" t="s">
        <v>111</v>
      </c>
      <c r="S1050" s="2">
        <v>152177</v>
      </c>
      <c r="T1050" s="2">
        <v>112319</v>
      </c>
      <c r="U1050" s="2">
        <v>39858</v>
      </c>
      <c r="V1050" s="2">
        <v>128513</v>
      </c>
      <c r="W1050" s="2">
        <v>10361</v>
      </c>
      <c r="X1050" s="2">
        <v>9225</v>
      </c>
      <c r="Y1050" s="2" t="s">
        <v>41</v>
      </c>
      <c r="Z1050" s="2">
        <v>100</v>
      </c>
      <c r="AA1050" s="2">
        <v>2.2999999999999998</v>
      </c>
      <c r="AB1050" s="2" t="s">
        <v>52</v>
      </c>
    </row>
    <row r="1051" spans="1:28" x14ac:dyDescent="0.25">
      <c r="A1051" s="4" t="s">
        <v>1767</v>
      </c>
      <c r="B1051" s="4" t="s">
        <v>612</v>
      </c>
      <c r="C1051" s="4">
        <v>59</v>
      </c>
      <c r="D1051" s="4" t="s">
        <v>30</v>
      </c>
      <c r="E1051" s="4" t="s">
        <v>154</v>
      </c>
      <c r="F1051" s="4" t="s">
        <v>32</v>
      </c>
      <c r="G1051" s="5">
        <v>44569</v>
      </c>
      <c r="H1051" s="5">
        <v>44586</v>
      </c>
      <c r="I1051" s="4">
        <v>17</v>
      </c>
      <c r="J1051" s="4" t="s">
        <v>202</v>
      </c>
      <c r="K1051" s="4" t="s">
        <v>225</v>
      </c>
      <c r="L1051" s="4" t="s">
        <v>226</v>
      </c>
      <c r="M1051" s="4" t="s">
        <v>101</v>
      </c>
      <c r="N1051" s="4" t="s">
        <v>118</v>
      </c>
      <c r="O1051" s="4" t="s">
        <v>144</v>
      </c>
      <c r="P1051" s="4">
        <v>357</v>
      </c>
      <c r="Q1051" s="4" t="s">
        <v>50</v>
      </c>
      <c r="R1051" s="4" t="s">
        <v>90</v>
      </c>
      <c r="S1051" s="4">
        <v>128199</v>
      </c>
      <c r="T1051" s="4">
        <v>83393</v>
      </c>
      <c r="U1051" s="4">
        <v>44806</v>
      </c>
      <c r="V1051" s="4">
        <v>115175</v>
      </c>
      <c r="W1051" s="4">
        <v>6215</v>
      </c>
      <c r="X1051" s="4">
        <v>4509</v>
      </c>
      <c r="Y1051" s="4" t="s">
        <v>41</v>
      </c>
      <c r="Z1051" s="4">
        <v>41</v>
      </c>
      <c r="AA1051" s="4">
        <v>4.2</v>
      </c>
      <c r="AB1051" s="4" t="s">
        <v>52</v>
      </c>
    </row>
    <row r="1052" spans="1:28" x14ac:dyDescent="0.25">
      <c r="A1052" s="2" t="s">
        <v>1768</v>
      </c>
      <c r="B1052" s="2" t="s">
        <v>1028</v>
      </c>
      <c r="C1052" s="2">
        <v>53</v>
      </c>
      <c r="D1052" s="2" t="s">
        <v>30</v>
      </c>
      <c r="E1052" s="2" t="s">
        <v>154</v>
      </c>
      <c r="F1052" s="2" t="s">
        <v>150</v>
      </c>
      <c r="G1052" s="3">
        <v>45422</v>
      </c>
      <c r="H1052" s="3">
        <v>45449</v>
      </c>
      <c r="I1052" s="2">
        <v>27</v>
      </c>
      <c r="J1052" s="2" t="s">
        <v>33</v>
      </c>
      <c r="K1052" s="2" t="s">
        <v>174</v>
      </c>
      <c r="L1052" s="2" t="s">
        <v>48</v>
      </c>
      <c r="M1052" s="2" t="s">
        <v>75</v>
      </c>
      <c r="N1052" s="2" t="s">
        <v>109</v>
      </c>
      <c r="O1052" s="2" t="s">
        <v>178</v>
      </c>
      <c r="P1052" s="2">
        <v>99</v>
      </c>
      <c r="Q1052" s="2" t="s">
        <v>69</v>
      </c>
      <c r="R1052" s="2" t="s">
        <v>111</v>
      </c>
      <c r="S1052" s="2">
        <v>134131</v>
      </c>
      <c r="T1052" s="2">
        <v>106924</v>
      </c>
      <c r="U1052" s="2">
        <v>27207</v>
      </c>
      <c r="V1052" s="2">
        <v>110606</v>
      </c>
      <c r="W1052" s="2">
        <v>6957</v>
      </c>
      <c r="X1052" s="2">
        <v>14318</v>
      </c>
      <c r="Y1052" s="2" t="s">
        <v>41</v>
      </c>
      <c r="Z1052" s="2">
        <v>83</v>
      </c>
      <c r="AA1052" s="2">
        <v>2.2999999999999998</v>
      </c>
      <c r="AB1052" s="2" t="s">
        <v>104</v>
      </c>
    </row>
    <row r="1053" spans="1:28" x14ac:dyDescent="0.25">
      <c r="A1053" s="4" t="s">
        <v>1769</v>
      </c>
      <c r="B1053" s="4" t="s">
        <v>1191</v>
      </c>
      <c r="C1053" s="4">
        <v>16</v>
      </c>
      <c r="D1053" s="4" t="s">
        <v>30</v>
      </c>
      <c r="E1053" s="4" t="s">
        <v>154</v>
      </c>
      <c r="F1053" s="4" t="s">
        <v>46</v>
      </c>
      <c r="G1053" s="5">
        <v>44862</v>
      </c>
      <c r="H1053" s="5">
        <v>44891</v>
      </c>
      <c r="I1053" s="4">
        <v>29</v>
      </c>
      <c r="J1053" s="4" t="s">
        <v>115</v>
      </c>
      <c r="K1053" s="4" t="s">
        <v>116</v>
      </c>
      <c r="L1053" s="4" t="s">
        <v>117</v>
      </c>
      <c r="M1053" s="4" t="s">
        <v>95</v>
      </c>
      <c r="N1053" s="4" t="s">
        <v>118</v>
      </c>
      <c r="O1053" s="4" t="s">
        <v>431</v>
      </c>
      <c r="P1053" s="4">
        <v>281</v>
      </c>
      <c r="Q1053" s="4" t="s">
        <v>69</v>
      </c>
      <c r="R1053" s="4" t="s">
        <v>111</v>
      </c>
      <c r="S1053" s="4">
        <v>60720</v>
      </c>
      <c r="T1053" s="4">
        <v>49637</v>
      </c>
      <c r="U1053" s="4">
        <v>11083</v>
      </c>
      <c r="V1053" s="4">
        <v>45045</v>
      </c>
      <c r="W1053" s="4">
        <v>8719</v>
      </c>
      <c r="X1053" s="4">
        <v>2687</v>
      </c>
      <c r="Y1053" s="4" t="s">
        <v>41</v>
      </c>
      <c r="Z1053" s="4">
        <v>70</v>
      </c>
      <c r="AA1053" s="4">
        <v>2.4</v>
      </c>
      <c r="AB1053" s="4" t="s">
        <v>42</v>
      </c>
    </row>
    <row r="1054" spans="1:28" x14ac:dyDescent="0.25">
      <c r="A1054" s="2" t="s">
        <v>1770</v>
      </c>
      <c r="B1054" s="2" t="s">
        <v>477</v>
      </c>
      <c r="C1054" s="2">
        <v>8</v>
      </c>
      <c r="D1054" s="2" t="s">
        <v>55</v>
      </c>
      <c r="E1054" s="2" t="s">
        <v>154</v>
      </c>
      <c r="F1054" s="2" t="s">
        <v>32</v>
      </c>
      <c r="G1054" s="3">
        <v>45527</v>
      </c>
      <c r="H1054" s="3">
        <v>45549</v>
      </c>
      <c r="I1054" s="2">
        <v>22</v>
      </c>
      <c r="J1054" s="2" t="s">
        <v>33</v>
      </c>
      <c r="K1054" s="2" t="s">
        <v>278</v>
      </c>
      <c r="L1054" s="2" t="s">
        <v>279</v>
      </c>
      <c r="M1054" s="2" t="s">
        <v>130</v>
      </c>
      <c r="N1054" s="2" t="s">
        <v>37</v>
      </c>
      <c r="O1054" s="2" t="s">
        <v>461</v>
      </c>
      <c r="P1054" s="2">
        <v>447</v>
      </c>
      <c r="Q1054" s="2" t="s">
        <v>103</v>
      </c>
      <c r="R1054" s="2" t="s">
        <v>90</v>
      </c>
      <c r="S1054" s="2">
        <v>178032</v>
      </c>
      <c r="T1054" s="2">
        <v>159397</v>
      </c>
      <c r="U1054" s="2">
        <v>18635</v>
      </c>
      <c r="V1054" s="2">
        <v>149753</v>
      </c>
      <c r="W1054" s="2">
        <v>10193</v>
      </c>
      <c r="X1054" s="2">
        <v>13769</v>
      </c>
      <c r="Y1054" s="2" t="s">
        <v>41</v>
      </c>
      <c r="Z1054" s="2">
        <v>85</v>
      </c>
      <c r="AA1054" s="2">
        <v>2.8</v>
      </c>
      <c r="AB1054" s="2" t="s">
        <v>137</v>
      </c>
    </row>
    <row r="1055" spans="1:28" x14ac:dyDescent="0.25">
      <c r="A1055" s="4" t="s">
        <v>1771</v>
      </c>
      <c r="B1055" s="4" t="s">
        <v>794</v>
      </c>
      <c r="C1055" s="4">
        <v>45</v>
      </c>
      <c r="D1055" s="4" t="s">
        <v>30</v>
      </c>
      <c r="E1055" s="4" t="s">
        <v>31</v>
      </c>
      <c r="F1055" s="4" t="s">
        <v>72</v>
      </c>
      <c r="G1055" s="5">
        <v>45636</v>
      </c>
      <c r="H1055" s="5">
        <v>45639</v>
      </c>
      <c r="I1055" s="4">
        <v>3</v>
      </c>
      <c r="J1055" s="4" t="s">
        <v>33</v>
      </c>
      <c r="K1055" s="4" t="s">
        <v>99</v>
      </c>
      <c r="L1055" s="4" t="s">
        <v>100</v>
      </c>
      <c r="M1055" s="4" t="s">
        <v>101</v>
      </c>
      <c r="N1055" s="4" t="s">
        <v>62</v>
      </c>
      <c r="O1055" s="4" t="s">
        <v>256</v>
      </c>
      <c r="P1055" s="4">
        <v>237</v>
      </c>
      <c r="Q1055" s="4" t="s">
        <v>69</v>
      </c>
      <c r="R1055" s="4" t="s">
        <v>136</v>
      </c>
      <c r="S1055" s="4">
        <v>43056</v>
      </c>
      <c r="T1055" s="4">
        <v>0</v>
      </c>
      <c r="U1055" s="4">
        <v>43056</v>
      </c>
      <c r="V1055" s="4">
        <v>21987</v>
      </c>
      <c r="W1055" s="4">
        <v>11499</v>
      </c>
      <c r="X1055" s="4">
        <v>8595</v>
      </c>
      <c r="Y1055" s="4" t="s">
        <v>41</v>
      </c>
      <c r="Z1055" s="4">
        <v>59</v>
      </c>
      <c r="AA1055" s="4">
        <v>3.1</v>
      </c>
      <c r="AB1055" s="4" t="s">
        <v>42</v>
      </c>
    </row>
    <row r="1056" spans="1:28" x14ac:dyDescent="0.25">
      <c r="A1056" s="2" t="s">
        <v>1772</v>
      </c>
      <c r="B1056" s="2" t="s">
        <v>415</v>
      </c>
      <c r="C1056" s="2">
        <v>26</v>
      </c>
      <c r="D1056" s="2" t="s">
        <v>30</v>
      </c>
      <c r="E1056" s="2" t="s">
        <v>31</v>
      </c>
      <c r="F1056" s="2" t="s">
        <v>94</v>
      </c>
      <c r="G1056" s="3">
        <v>45101</v>
      </c>
      <c r="H1056" s="3">
        <v>45119</v>
      </c>
      <c r="I1056" s="2">
        <v>18</v>
      </c>
      <c r="J1056" s="2" t="s">
        <v>202</v>
      </c>
      <c r="K1056" s="2" t="s">
        <v>225</v>
      </c>
      <c r="L1056" s="2" t="s">
        <v>226</v>
      </c>
      <c r="M1056" s="2" t="s">
        <v>108</v>
      </c>
      <c r="N1056" s="2" t="s">
        <v>109</v>
      </c>
      <c r="O1056" s="2" t="s">
        <v>214</v>
      </c>
      <c r="P1056" s="2">
        <v>441</v>
      </c>
      <c r="Q1056" s="2" t="s">
        <v>39</v>
      </c>
      <c r="R1056" s="2" t="s">
        <v>90</v>
      </c>
      <c r="S1056" s="2">
        <v>148158</v>
      </c>
      <c r="T1056" s="2">
        <v>99464</v>
      </c>
      <c r="U1056" s="2">
        <v>48694</v>
      </c>
      <c r="V1056" s="2">
        <v>130563</v>
      </c>
      <c r="W1056" s="2">
        <v>14061</v>
      </c>
      <c r="X1056" s="2">
        <v>1798</v>
      </c>
      <c r="Y1056" s="2" t="s">
        <v>41</v>
      </c>
      <c r="Z1056" s="2">
        <v>46</v>
      </c>
      <c r="AA1056" s="2">
        <v>2.5</v>
      </c>
      <c r="AB1056" s="2" t="s">
        <v>42</v>
      </c>
    </row>
    <row r="1057" spans="1:28" x14ac:dyDescent="0.25">
      <c r="A1057" s="4" t="s">
        <v>1773</v>
      </c>
      <c r="B1057" s="4" t="s">
        <v>1321</v>
      </c>
      <c r="C1057" s="4">
        <v>16</v>
      </c>
      <c r="D1057" s="4" t="s">
        <v>55</v>
      </c>
      <c r="E1057" s="4" t="s">
        <v>154</v>
      </c>
      <c r="F1057" s="4" t="s">
        <v>72</v>
      </c>
      <c r="G1057" s="5">
        <v>45633</v>
      </c>
      <c r="H1057" s="5">
        <v>45654</v>
      </c>
      <c r="I1057" s="4">
        <v>21</v>
      </c>
      <c r="J1057" s="4" t="s">
        <v>115</v>
      </c>
      <c r="K1057" s="4" t="s">
        <v>116</v>
      </c>
      <c r="L1057" s="4" t="s">
        <v>117</v>
      </c>
      <c r="M1057" s="4" t="s">
        <v>75</v>
      </c>
      <c r="N1057" s="4" t="s">
        <v>109</v>
      </c>
      <c r="O1057" s="4" t="s">
        <v>631</v>
      </c>
      <c r="P1057" s="4">
        <v>4</v>
      </c>
      <c r="Q1057" s="4" t="s">
        <v>103</v>
      </c>
      <c r="R1057" s="4" t="s">
        <v>111</v>
      </c>
      <c r="S1057" s="4">
        <v>47540</v>
      </c>
      <c r="T1057" s="4">
        <v>35009</v>
      </c>
      <c r="U1057" s="4">
        <v>12531</v>
      </c>
      <c r="V1057" s="4">
        <v>14607</v>
      </c>
      <c r="W1057" s="4">
        <v>29608</v>
      </c>
      <c r="X1057" s="4">
        <v>2440</v>
      </c>
      <c r="Y1057" s="4" t="s">
        <v>91</v>
      </c>
      <c r="Z1057" s="4">
        <v>70</v>
      </c>
      <c r="AA1057" s="4">
        <v>4.3</v>
      </c>
      <c r="AB1057" s="4" t="s">
        <v>42</v>
      </c>
    </row>
    <row r="1058" spans="1:28" x14ac:dyDescent="0.25">
      <c r="A1058" s="2" t="s">
        <v>1774</v>
      </c>
      <c r="B1058" s="2" t="s">
        <v>1775</v>
      </c>
      <c r="C1058" s="2">
        <v>54</v>
      </c>
      <c r="D1058" s="2" t="s">
        <v>55</v>
      </c>
      <c r="E1058" s="2" t="s">
        <v>31</v>
      </c>
      <c r="F1058" s="2" t="s">
        <v>46</v>
      </c>
      <c r="G1058" s="3">
        <v>45609</v>
      </c>
      <c r="H1058" s="3">
        <v>45631</v>
      </c>
      <c r="I1058" s="2">
        <v>22</v>
      </c>
      <c r="J1058" s="2" t="s">
        <v>33</v>
      </c>
      <c r="K1058" s="2" t="s">
        <v>81</v>
      </c>
      <c r="L1058" s="2" t="s">
        <v>82</v>
      </c>
      <c r="M1058" s="2" t="s">
        <v>101</v>
      </c>
      <c r="N1058" s="2" t="s">
        <v>37</v>
      </c>
      <c r="O1058" s="2" t="s">
        <v>1038</v>
      </c>
      <c r="P1058" s="2">
        <v>366</v>
      </c>
      <c r="Q1058" s="2" t="s">
        <v>50</v>
      </c>
      <c r="R1058" s="2" t="s">
        <v>90</v>
      </c>
      <c r="S1058" s="2">
        <v>142515</v>
      </c>
      <c r="T1058" s="2">
        <v>107358</v>
      </c>
      <c r="U1058" s="2">
        <v>35157</v>
      </c>
      <c r="V1058" s="2">
        <v>115290</v>
      </c>
      <c r="W1058" s="2">
        <v>17083</v>
      </c>
      <c r="X1058" s="2">
        <v>5872</v>
      </c>
      <c r="Y1058" s="2" t="s">
        <v>41</v>
      </c>
      <c r="Z1058" s="2">
        <v>73</v>
      </c>
      <c r="AA1058" s="2">
        <v>4.3</v>
      </c>
      <c r="AB1058" s="2" t="s">
        <v>64</v>
      </c>
    </row>
    <row r="1059" spans="1:28" x14ac:dyDescent="0.25">
      <c r="A1059" s="4" t="s">
        <v>1776</v>
      </c>
      <c r="B1059" s="4" t="s">
        <v>711</v>
      </c>
      <c r="C1059" s="4">
        <v>50</v>
      </c>
      <c r="D1059" s="4" t="s">
        <v>30</v>
      </c>
      <c r="E1059" s="4" t="s">
        <v>122</v>
      </c>
      <c r="F1059" s="4" t="s">
        <v>150</v>
      </c>
      <c r="G1059" s="5">
        <v>45467</v>
      </c>
      <c r="H1059" s="5">
        <v>45475</v>
      </c>
      <c r="I1059" s="4">
        <v>8</v>
      </c>
      <c r="J1059" s="4" t="s">
        <v>33</v>
      </c>
      <c r="K1059" s="4" t="s">
        <v>34</v>
      </c>
      <c r="L1059" s="4" t="s">
        <v>35</v>
      </c>
      <c r="M1059" s="4" t="s">
        <v>61</v>
      </c>
      <c r="N1059" s="4" t="s">
        <v>62</v>
      </c>
      <c r="O1059" s="4" t="s">
        <v>222</v>
      </c>
      <c r="P1059" s="4">
        <v>175</v>
      </c>
      <c r="Q1059" s="4" t="s">
        <v>69</v>
      </c>
      <c r="R1059" s="4" t="s">
        <v>136</v>
      </c>
      <c r="S1059" s="4">
        <v>147956</v>
      </c>
      <c r="T1059" s="4">
        <v>0</v>
      </c>
      <c r="U1059" s="4">
        <v>147956</v>
      </c>
      <c r="V1059" s="4">
        <v>120337</v>
      </c>
      <c r="W1059" s="4">
        <v>23155</v>
      </c>
      <c r="X1059" s="4">
        <v>1036</v>
      </c>
      <c r="Y1059" s="4" t="s">
        <v>91</v>
      </c>
      <c r="Z1059" s="4">
        <v>45</v>
      </c>
      <c r="AA1059" s="4">
        <v>3.6</v>
      </c>
      <c r="AB1059" s="4" t="s">
        <v>42</v>
      </c>
    </row>
    <row r="1060" spans="1:28" x14ac:dyDescent="0.25">
      <c r="A1060" s="2" t="s">
        <v>1777</v>
      </c>
      <c r="B1060" s="2" t="s">
        <v>1778</v>
      </c>
      <c r="C1060" s="2">
        <v>71</v>
      </c>
      <c r="D1060" s="2" t="s">
        <v>30</v>
      </c>
      <c r="E1060" s="2" t="s">
        <v>79</v>
      </c>
      <c r="F1060" s="2" t="s">
        <v>46</v>
      </c>
      <c r="G1060" s="3">
        <v>44653</v>
      </c>
      <c r="H1060" s="3">
        <v>44663</v>
      </c>
      <c r="I1060" s="2">
        <v>10</v>
      </c>
      <c r="J1060" s="2" t="s">
        <v>58</v>
      </c>
      <c r="K1060" s="2" t="s">
        <v>88</v>
      </c>
      <c r="L1060" s="2" t="s">
        <v>60</v>
      </c>
      <c r="M1060" s="2" t="s">
        <v>75</v>
      </c>
      <c r="N1060" s="2" t="s">
        <v>109</v>
      </c>
      <c r="O1060" s="2" t="s">
        <v>580</v>
      </c>
      <c r="P1060" s="2">
        <v>160</v>
      </c>
      <c r="Q1060" s="2" t="s">
        <v>69</v>
      </c>
      <c r="R1060" s="2" t="s">
        <v>136</v>
      </c>
      <c r="S1060" s="2">
        <v>146913</v>
      </c>
      <c r="T1060" s="2">
        <v>0</v>
      </c>
      <c r="U1060" s="2">
        <v>146913</v>
      </c>
      <c r="V1060" s="2">
        <v>131719</v>
      </c>
      <c r="W1060" s="2">
        <v>2684</v>
      </c>
      <c r="X1060" s="2">
        <v>11172</v>
      </c>
      <c r="Y1060" s="2" t="s">
        <v>41</v>
      </c>
      <c r="Z1060" s="2">
        <v>99</v>
      </c>
      <c r="AA1060" s="2">
        <v>2.7</v>
      </c>
      <c r="AB1060" s="2" t="s">
        <v>52</v>
      </c>
    </row>
    <row r="1061" spans="1:28" x14ac:dyDescent="0.25">
      <c r="A1061" s="4" t="s">
        <v>1779</v>
      </c>
      <c r="B1061" s="4" t="s">
        <v>903</v>
      </c>
      <c r="C1061" s="4">
        <v>30</v>
      </c>
      <c r="D1061" s="4" t="s">
        <v>30</v>
      </c>
      <c r="E1061" s="4" t="s">
        <v>87</v>
      </c>
      <c r="F1061" s="4" t="s">
        <v>157</v>
      </c>
      <c r="G1061" s="5">
        <v>45226</v>
      </c>
      <c r="H1061" s="5">
        <v>45247</v>
      </c>
      <c r="I1061" s="4">
        <v>21</v>
      </c>
      <c r="J1061" s="4" t="s">
        <v>115</v>
      </c>
      <c r="K1061" s="4" t="s">
        <v>116</v>
      </c>
      <c r="L1061" s="4" t="s">
        <v>117</v>
      </c>
      <c r="M1061" s="4" t="s">
        <v>101</v>
      </c>
      <c r="N1061" s="4" t="s">
        <v>62</v>
      </c>
      <c r="O1061" s="4" t="s">
        <v>321</v>
      </c>
      <c r="P1061" s="4">
        <v>328</v>
      </c>
      <c r="Q1061" s="4" t="s">
        <v>103</v>
      </c>
      <c r="R1061" s="4" t="s">
        <v>111</v>
      </c>
      <c r="S1061" s="4">
        <v>143682</v>
      </c>
      <c r="T1061" s="4">
        <v>96215</v>
      </c>
      <c r="U1061" s="4">
        <v>47467</v>
      </c>
      <c r="V1061" s="4">
        <v>122023</v>
      </c>
      <c r="W1061" s="4">
        <v>18620</v>
      </c>
      <c r="X1061" s="4">
        <v>1375</v>
      </c>
      <c r="Y1061" s="4" t="s">
        <v>41</v>
      </c>
      <c r="Z1061" s="4">
        <v>91</v>
      </c>
      <c r="AA1061" s="4">
        <v>4.3</v>
      </c>
      <c r="AB1061" s="4" t="s">
        <v>52</v>
      </c>
    </row>
    <row r="1062" spans="1:28" x14ac:dyDescent="0.25">
      <c r="A1062" s="2" t="s">
        <v>1780</v>
      </c>
      <c r="B1062" s="2" t="s">
        <v>156</v>
      </c>
      <c r="C1062" s="2">
        <v>70</v>
      </c>
      <c r="D1062" s="2" t="s">
        <v>30</v>
      </c>
      <c r="E1062" s="2" t="s">
        <v>79</v>
      </c>
      <c r="F1062" s="2" t="s">
        <v>114</v>
      </c>
      <c r="G1062" s="3">
        <v>45530</v>
      </c>
      <c r="H1062" s="3">
        <v>45549</v>
      </c>
      <c r="I1062" s="2">
        <v>19</v>
      </c>
      <c r="J1062" s="2" t="s">
        <v>58</v>
      </c>
      <c r="K1062" s="2" t="s">
        <v>59</v>
      </c>
      <c r="L1062" s="2" t="s">
        <v>60</v>
      </c>
      <c r="M1062" s="2" t="s">
        <v>61</v>
      </c>
      <c r="N1062" s="2" t="s">
        <v>37</v>
      </c>
      <c r="O1062" s="2" t="s">
        <v>63</v>
      </c>
      <c r="P1062" s="2">
        <v>417</v>
      </c>
      <c r="Q1062" s="2" t="s">
        <v>69</v>
      </c>
      <c r="R1062" s="2" t="s">
        <v>90</v>
      </c>
      <c r="S1062" s="2">
        <v>132210</v>
      </c>
      <c r="T1062" s="2">
        <v>98355</v>
      </c>
      <c r="U1062" s="2">
        <v>33855</v>
      </c>
      <c r="V1062" s="2">
        <v>118247</v>
      </c>
      <c r="W1062" s="2">
        <v>8141</v>
      </c>
      <c r="X1062" s="2">
        <v>2707</v>
      </c>
      <c r="Y1062" s="2" t="s">
        <v>41</v>
      </c>
      <c r="Z1062" s="2">
        <v>72</v>
      </c>
      <c r="AA1062" s="2">
        <v>4</v>
      </c>
      <c r="AB1062" s="2" t="s">
        <v>104</v>
      </c>
    </row>
    <row r="1063" spans="1:28" x14ac:dyDescent="0.25">
      <c r="A1063" s="4" t="s">
        <v>1781</v>
      </c>
      <c r="B1063" s="4" t="s">
        <v>1375</v>
      </c>
      <c r="C1063" s="4">
        <v>68</v>
      </c>
      <c r="D1063" s="4" t="s">
        <v>30</v>
      </c>
      <c r="E1063" s="4" t="s">
        <v>87</v>
      </c>
      <c r="F1063" s="4" t="s">
        <v>129</v>
      </c>
      <c r="G1063" s="5">
        <v>44863</v>
      </c>
      <c r="H1063" s="5">
        <v>44885</v>
      </c>
      <c r="I1063" s="4">
        <v>22</v>
      </c>
      <c r="J1063" s="4" t="s">
        <v>33</v>
      </c>
      <c r="K1063" s="4" t="s">
        <v>107</v>
      </c>
      <c r="L1063" s="4" t="s">
        <v>48</v>
      </c>
      <c r="M1063" s="4" t="s">
        <v>36</v>
      </c>
      <c r="N1063" s="4" t="s">
        <v>37</v>
      </c>
      <c r="O1063" s="4" t="s">
        <v>358</v>
      </c>
      <c r="P1063" s="4">
        <v>364</v>
      </c>
      <c r="Q1063" s="4" t="s">
        <v>69</v>
      </c>
      <c r="R1063" s="4" t="s">
        <v>40</v>
      </c>
      <c r="S1063" s="4">
        <v>53298</v>
      </c>
      <c r="T1063" s="4">
        <v>36058</v>
      </c>
      <c r="U1063" s="4">
        <v>17240</v>
      </c>
      <c r="V1063" s="4">
        <v>28259</v>
      </c>
      <c r="W1063" s="4">
        <v>11860</v>
      </c>
      <c r="X1063" s="4">
        <v>9662</v>
      </c>
      <c r="Y1063" s="4" t="s">
        <v>41</v>
      </c>
      <c r="Z1063" s="4">
        <v>81</v>
      </c>
      <c r="AA1063" s="4">
        <v>2.5</v>
      </c>
      <c r="AB1063" s="4" t="s">
        <v>64</v>
      </c>
    </row>
    <row r="1064" spans="1:28" x14ac:dyDescent="0.25">
      <c r="A1064" s="2" t="s">
        <v>1782</v>
      </c>
      <c r="B1064" s="2" t="s">
        <v>457</v>
      </c>
      <c r="C1064" s="2">
        <v>43</v>
      </c>
      <c r="D1064" s="2" t="s">
        <v>55</v>
      </c>
      <c r="E1064" s="2" t="s">
        <v>67</v>
      </c>
      <c r="F1064" s="2" t="s">
        <v>80</v>
      </c>
      <c r="G1064" s="3">
        <v>44703</v>
      </c>
      <c r="H1064" s="3">
        <v>44721</v>
      </c>
      <c r="I1064" s="2">
        <v>18</v>
      </c>
      <c r="J1064" s="2" t="s">
        <v>58</v>
      </c>
      <c r="K1064" s="2" t="s">
        <v>88</v>
      </c>
      <c r="L1064" s="2" t="s">
        <v>60</v>
      </c>
      <c r="M1064" s="2" t="s">
        <v>75</v>
      </c>
      <c r="N1064" s="2" t="s">
        <v>109</v>
      </c>
      <c r="O1064" s="2" t="s">
        <v>1000</v>
      </c>
      <c r="P1064" s="2">
        <v>409</v>
      </c>
      <c r="Q1064" s="2" t="s">
        <v>103</v>
      </c>
      <c r="R1064" s="2" t="s">
        <v>90</v>
      </c>
      <c r="S1064" s="2">
        <v>143400</v>
      </c>
      <c r="T1064" s="2">
        <v>120228</v>
      </c>
      <c r="U1064" s="2">
        <v>23172</v>
      </c>
      <c r="V1064" s="2">
        <v>127306</v>
      </c>
      <c r="W1064" s="2">
        <v>7792</v>
      </c>
      <c r="X1064" s="2">
        <v>5413</v>
      </c>
      <c r="Y1064" s="2" t="s">
        <v>41</v>
      </c>
      <c r="Z1064" s="2">
        <v>85</v>
      </c>
      <c r="AA1064" s="2">
        <v>2.8</v>
      </c>
      <c r="AB1064" s="2" t="s">
        <v>64</v>
      </c>
    </row>
    <row r="1065" spans="1:28" x14ac:dyDescent="0.25">
      <c r="A1065" s="4" t="s">
        <v>1783</v>
      </c>
      <c r="B1065" s="4" t="s">
        <v>1364</v>
      </c>
      <c r="C1065" s="4">
        <v>49</v>
      </c>
      <c r="D1065" s="4" t="s">
        <v>30</v>
      </c>
      <c r="E1065" s="4" t="s">
        <v>79</v>
      </c>
      <c r="F1065" s="4" t="s">
        <v>157</v>
      </c>
      <c r="G1065" s="5">
        <v>45559</v>
      </c>
      <c r="H1065" s="5">
        <v>45568</v>
      </c>
      <c r="I1065" s="4">
        <v>9</v>
      </c>
      <c r="J1065" s="4" t="s">
        <v>33</v>
      </c>
      <c r="K1065" s="4" t="s">
        <v>233</v>
      </c>
      <c r="L1065" s="4" t="s">
        <v>35</v>
      </c>
      <c r="M1065" s="4" t="s">
        <v>108</v>
      </c>
      <c r="N1065" s="4" t="s">
        <v>62</v>
      </c>
      <c r="O1065" s="4" t="s">
        <v>373</v>
      </c>
      <c r="P1065" s="4">
        <v>173</v>
      </c>
      <c r="Q1065" s="4" t="s">
        <v>69</v>
      </c>
      <c r="R1065" s="4" t="s">
        <v>40</v>
      </c>
      <c r="S1065" s="4">
        <v>62112</v>
      </c>
      <c r="T1065" s="4">
        <v>32382</v>
      </c>
      <c r="U1065" s="4">
        <v>29730</v>
      </c>
      <c r="V1065" s="4">
        <v>48407</v>
      </c>
      <c r="W1065" s="4">
        <v>3520</v>
      </c>
      <c r="X1065" s="4">
        <v>8915</v>
      </c>
      <c r="Y1065" s="4" t="s">
        <v>41</v>
      </c>
      <c r="Z1065" s="4">
        <v>81</v>
      </c>
      <c r="AA1065" s="4">
        <v>4.5</v>
      </c>
      <c r="AB1065" s="4" t="s">
        <v>52</v>
      </c>
    </row>
    <row r="1066" spans="1:28" x14ac:dyDescent="0.25">
      <c r="A1066" s="2" t="s">
        <v>1784</v>
      </c>
      <c r="B1066" s="2" t="s">
        <v>1785</v>
      </c>
      <c r="C1066" s="2">
        <v>34</v>
      </c>
      <c r="D1066" s="2" t="s">
        <v>30</v>
      </c>
      <c r="E1066" s="2" t="s">
        <v>79</v>
      </c>
      <c r="F1066" s="2" t="s">
        <v>150</v>
      </c>
      <c r="G1066" s="3">
        <v>45353</v>
      </c>
      <c r="H1066" s="3">
        <v>45376</v>
      </c>
      <c r="I1066" s="2">
        <v>23</v>
      </c>
      <c r="J1066" s="2" t="s">
        <v>33</v>
      </c>
      <c r="K1066" s="2" t="s">
        <v>197</v>
      </c>
      <c r="L1066" s="2" t="s">
        <v>198</v>
      </c>
      <c r="M1066" s="2" t="s">
        <v>134</v>
      </c>
      <c r="N1066" s="2" t="s">
        <v>109</v>
      </c>
      <c r="O1066" s="2" t="s">
        <v>189</v>
      </c>
      <c r="P1066" s="2">
        <v>148</v>
      </c>
      <c r="Q1066" s="2" t="s">
        <v>69</v>
      </c>
      <c r="R1066" s="2" t="s">
        <v>40</v>
      </c>
      <c r="S1066" s="2">
        <v>66430</v>
      </c>
      <c r="T1066" s="2">
        <v>39814</v>
      </c>
      <c r="U1066" s="2">
        <v>26616</v>
      </c>
      <c r="V1066" s="2">
        <v>37866</v>
      </c>
      <c r="W1066" s="2">
        <v>18564</v>
      </c>
      <c r="X1066" s="2">
        <v>7136</v>
      </c>
      <c r="Y1066" s="2" t="s">
        <v>41</v>
      </c>
      <c r="Z1066" s="2">
        <v>52</v>
      </c>
      <c r="AA1066" s="2">
        <v>4.3</v>
      </c>
      <c r="AB1066" s="2" t="s">
        <v>104</v>
      </c>
    </row>
    <row r="1067" spans="1:28" x14ac:dyDescent="0.25">
      <c r="A1067" s="4" t="s">
        <v>1786</v>
      </c>
      <c r="B1067" s="4" t="s">
        <v>838</v>
      </c>
      <c r="C1067" s="4">
        <v>59</v>
      </c>
      <c r="D1067" s="4" t="s">
        <v>30</v>
      </c>
      <c r="E1067" s="4" t="s">
        <v>122</v>
      </c>
      <c r="F1067" s="4" t="s">
        <v>72</v>
      </c>
      <c r="G1067" s="5">
        <v>45349</v>
      </c>
      <c r="H1067" s="5">
        <v>45372</v>
      </c>
      <c r="I1067" s="4">
        <v>23</v>
      </c>
      <c r="J1067" s="4" t="s">
        <v>123</v>
      </c>
      <c r="K1067" s="4" t="s">
        <v>124</v>
      </c>
      <c r="L1067" s="4" t="s">
        <v>125</v>
      </c>
      <c r="M1067" s="4" t="s">
        <v>75</v>
      </c>
      <c r="N1067" s="4" t="s">
        <v>109</v>
      </c>
      <c r="O1067" s="4" t="s">
        <v>171</v>
      </c>
      <c r="P1067" s="4">
        <v>232</v>
      </c>
      <c r="Q1067" s="4" t="s">
        <v>103</v>
      </c>
      <c r="R1067" s="4" t="s">
        <v>90</v>
      </c>
      <c r="S1067" s="4">
        <v>129934</v>
      </c>
      <c r="T1067" s="4">
        <v>115091</v>
      </c>
      <c r="U1067" s="4">
        <v>14843</v>
      </c>
      <c r="V1067" s="4">
        <v>103973</v>
      </c>
      <c r="W1067" s="4">
        <v>14614</v>
      </c>
      <c r="X1067" s="4">
        <v>7280</v>
      </c>
      <c r="Y1067" s="4" t="s">
        <v>91</v>
      </c>
      <c r="Z1067" s="4">
        <v>60</v>
      </c>
      <c r="AA1067" s="4">
        <v>4.2</v>
      </c>
      <c r="AB1067" s="4" t="s">
        <v>64</v>
      </c>
    </row>
    <row r="1068" spans="1:28" x14ac:dyDescent="0.25">
      <c r="A1068" s="2" t="s">
        <v>1787</v>
      </c>
      <c r="B1068" s="2" t="s">
        <v>149</v>
      </c>
      <c r="C1068" s="2">
        <v>9</v>
      </c>
      <c r="D1068" s="2" t="s">
        <v>55</v>
      </c>
      <c r="E1068" s="2" t="s">
        <v>154</v>
      </c>
      <c r="F1068" s="2" t="s">
        <v>129</v>
      </c>
      <c r="G1068" s="3">
        <v>45012</v>
      </c>
      <c r="H1068" s="3">
        <v>45021</v>
      </c>
      <c r="I1068" s="2">
        <v>9</v>
      </c>
      <c r="J1068" s="2" t="s">
        <v>33</v>
      </c>
      <c r="K1068" s="2" t="s">
        <v>233</v>
      </c>
      <c r="L1068" s="2" t="s">
        <v>35</v>
      </c>
      <c r="M1068" s="2" t="s">
        <v>75</v>
      </c>
      <c r="N1068" s="2" t="s">
        <v>62</v>
      </c>
      <c r="O1068" s="2" t="s">
        <v>199</v>
      </c>
      <c r="P1068" s="2">
        <v>372</v>
      </c>
      <c r="Q1068" s="2" t="s">
        <v>103</v>
      </c>
      <c r="R1068" s="2" t="s">
        <v>111</v>
      </c>
      <c r="S1068" s="2">
        <v>89583</v>
      </c>
      <c r="T1068" s="2">
        <v>70337</v>
      </c>
      <c r="U1068" s="2">
        <v>19246</v>
      </c>
      <c r="V1068" s="2">
        <v>62857</v>
      </c>
      <c r="W1068" s="2">
        <v>14794</v>
      </c>
      <c r="X1068" s="2">
        <v>8499</v>
      </c>
      <c r="Y1068" s="2" t="s">
        <v>91</v>
      </c>
      <c r="Z1068" s="2">
        <v>70</v>
      </c>
      <c r="AA1068" s="2">
        <v>4.5999999999999996</v>
      </c>
      <c r="AB1068" s="2" t="s">
        <v>42</v>
      </c>
    </row>
    <row r="1069" spans="1:28" x14ac:dyDescent="0.25">
      <c r="A1069" s="4" t="s">
        <v>1788</v>
      </c>
      <c r="B1069" s="4" t="s">
        <v>1789</v>
      </c>
      <c r="C1069" s="4">
        <v>24</v>
      </c>
      <c r="D1069" s="4" t="s">
        <v>30</v>
      </c>
      <c r="E1069" s="4" t="s">
        <v>79</v>
      </c>
      <c r="F1069" s="4" t="s">
        <v>114</v>
      </c>
      <c r="G1069" s="5">
        <v>44808</v>
      </c>
      <c r="H1069" s="5">
        <v>44817</v>
      </c>
      <c r="I1069" s="4">
        <v>9</v>
      </c>
      <c r="J1069" s="4" t="s">
        <v>58</v>
      </c>
      <c r="K1069" s="4" t="s">
        <v>59</v>
      </c>
      <c r="L1069" s="4" t="s">
        <v>60</v>
      </c>
      <c r="M1069" s="4" t="s">
        <v>101</v>
      </c>
      <c r="N1069" s="4" t="s">
        <v>109</v>
      </c>
      <c r="O1069" s="4" t="s">
        <v>595</v>
      </c>
      <c r="P1069" s="4">
        <v>398</v>
      </c>
      <c r="Q1069" s="4" t="s">
        <v>50</v>
      </c>
      <c r="R1069" s="4" t="s">
        <v>90</v>
      </c>
      <c r="S1069" s="4">
        <v>154192</v>
      </c>
      <c r="T1069" s="4">
        <v>134516</v>
      </c>
      <c r="U1069" s="4">
        <v>19676</v>
      </c>
      <c r="V1069" s="4">
        <v>125041</v>
      </c>
      <c r="W1069" s="4">
        <v>10962</v>
      </c>
      <c r="X1069" s="4">
        <v>14450</v>
      </c>
      <c r="Y1069" s="4" t="s">
        <v>41</v>
      </c>
      <c r="Z1069" s="4">
        <v>59</v>
      </c>
      <c r="AA1069" s="4">
        <v>2.4</v>
      </c>
      <c r="AB1069" s="4" t="s">
        <v>137</v>
      </c>
    </row>
    <row r="1070" spans="1:28" x14ac:dyDescent="0.25">
      <c r="A1070" s="2" t="s">
        <v>1790</v>
      </c>
      <c r="B1070" s="2" t="s">
        <v>1687</v>
      </c>
      <c r="C1070" s="2">
        <v>19</v>
      </c>
      <c r="D1070" s="2" t="s">
        <v>30</v>
      </c>
      <c r="E1070" s="2" t="s">
        <v>31</v>
      </c>
      <c r="F1070" s="2" t="s">
        <v>150</v>
      </c>
      <c r="G1070" s="3">
        <v>44824</v>
      </c>
      <c r="H1070" s="3">
        <v>44837</v>
      </c>
      <c r="I1070" s="2">
        <v>13</v>
      </c>
      <c r="J1070" s="2" t="s">
        <v>115</v>
      </c>
      <c r="K1070" s="2" t="s">
        <v>160</v>
      </c>
      <c r="L1070" s="2" t="s">
        <v>117</v>
      </c>
      <c r="M1070" s="2" t="s">
        <v>101</v>
      </c>
      <c r="N1070" s="2" t="s">
        <v>118</v>
      </c>
      <c r="O1070" s="2" t="s">
        <v>431</v>
      </c>
      <c r="P1070" s="2">
        <v>325</v>
      </c>
      <c r="Q1070" s="2" t="s">
        <v>50</v>
      </c>
      <c r="R1070" s="2" t="s">
        <v>136</v>
      </c>
      <c r="S1070" s="2">
        <v>76329</v>
      </c>
      <c r="T1070" s="2">
        <v>0</v>
      </c>
      <c r="U1070" s="2">
        <v>76329</v>
      </c>
      <c r="V1070" s="2">
        <v>46405</v>
      </c>
      <c r="W1070" s="2">
        <v>21950</v>
      </c>
      <c r="X1070" s="2">
        <v>3493</v>
      </c>
      <c r="Y1070" s="2" t="s">
        <v>41</v>
      </c>
      <c r="Z1070" s="2">
        <v>64</v>
      </c>
      <c r="AA1070" s="2">
        <v>4.5999999999999996</v>
      </c>
      <c r="AB1070" s="2" t="s">
        <v>52</v>
      </c>
    </row>
    <row r="1071" spans="1:28" x14ac:dyDescent="0.25">
      <c r="A1071" s="4" t="s">
        <v>1791</v>
      </c>
      <c r="B1071" s="4" t="s">
        <v>1792</v>
      </c>
      <c r="C1071" s="4">
        <v>43</v>
      </c>
      <c r="D1071" s="4" t="s">
        <v>55</v>
      </c>
      <c r="E1071" s="4" t="s">
        <v>122</v>
      </c>
      <c r="F1071" s="4" t="s">
        <v>32</v>
      </c>
      <c r="G1071" s="5">
        <v>45224</v>
      </c>
      <c r="H1071" s="5">
        <v>45225</v>
      </c>
      <c r="I1071" s="4">
        <v>1</v>
      </c>
      <c r="J1071" s="4" t="s">
        <v>123</v>
      </c>
      <c r="K1071" s="4" t="s">
        <v>124</v>
      </c>
      <c r="L1071" s="4" t="s">
        <v>125</v>
      </c>
      <c r="M1071" s="4" t="s">
        <v>95</v>
      </c>
      <c r="N1071" s="4" t="s">
        <v>62</v>
      </c>
      <c r="O1071" s="4" t="s">
        <v>168</v>
      </c>
      <c r="P1071" s="4">
        <v>400</v>
      </c>
      <c r="Q1071" s="4" t="s">
        <v>50</v>
      </c>
      <c r="R1071" s="4" t="s">
        <v>136</v>
      </c>
      <c r="S1071" s="4">
        <v>173121</v>
      </c>
      <c r="T1071" s="4">
        <v>0</v>
      </c>
      <c r="U1071" s="4">
        <v>173121</v>
      </c>
      <c r="V1071" s="4">
        <v>149002</v>
      </c>
      <c r="W1071" s="4">
        <v>14085</v>
      </c>
      <c r="X1071" s="4">
        <v>8382</v>
      </c>
      <c r="Y1071" s="4" t="s">
        <v>41</v>
      </c>
      <c r="Z1071" s="4">
        <v>98</v>
      </c>
      <c r="AA1071" s="4">
        <v>3.6</v>
      </c>
      <c r="AB1071" s="4" t="s">
        <v>42</v>
      </c>
    </row>
    <row r="1072" spans="1:28" x14ac:dyDescent="0.25">
      <c r="A1072" s="2" t="s">
        <v>1793</v>
      </c>
      <c r="B1072" s="2" t="s">
        <v>1218</v>
      </c>
      <c r="C1072" s="2">
        <v>65</v>
      </c>
      <c r="D1072" s="2" t="s">
        <v>55</v>
      </c>
      <c r="E1072" s="2" t="s">
        <v>31</v>
      </c>
      <c r="F1072" s="2" t="s">
        <v>157</v>
      </c>
      <c r="G1072" s="3">
        <v>45079</v>
      </c>
      <c r="H1072" s="3">
        <v>45109</v>
      </c>
      <c r="I1072" s="2">
        <v>30</v>
      </c>
      <c r="J1072" s="2" t="s">
        <v>58</v>
      </c>
      <c r="K1072" s="2" t="s">
        <v>88</v>
      </c>
      <c r="L1072" s="2" t="s">
        <v>60</v>
      </c>
      <c r="M1072" s="2" t="s">
        <v>108</v>
      </c>
      <c r="N1072" s="2" t="s">
        <v>62</v>
      </c>
      <c r="O1072" s="2" t="s">
        <v>416</v>
      </c>
      <c r="P1072" s="2">
        <v>150</v>
      </c>
      <c r="Q1072" s="2" t="s">
        <v>39</v>
      </c>
      <c r="R1072" s="2" t="s">
        <v>40</v>
      </c>
      <c r="S1072" s="2">
        <v>107792</v>
      </c>
      <c r="T1072" s="2">
        <v>65646</v>
      </c>
      <c r="U1072" s="2">
        <v>42146</v>
      </c>
      <c r="V1072" s="2">
        <v>98742</v>
      </c>
      <c r="W1072" s="2">
        <v>4040</v>
      </c>
      <c r="X1072" s="2">
        <v>2375</v>
      </c>
      <c r="Y1072" s="2" t="s">
        <v>41</v>
      </c>
      <c r="Z1072" s="2">
        <v>73</v>
      </c>
      <c r="AA1072" s="2">
        <v>3.6</v>
      </c>
      <c r="AB1072" s="2" t="s">
        <v>42</v>
      </c>
    </row>
    <row r="1073" spans="1:28" x14ac:dyDescent="0.25">
      <c r="A1073" s="4" t="s">
        <v>1794</v>
      </c>
      <c r="B1073" s="4" t="s">
        <v>1795</v>
      </c>
      <c r="C1073" s="4">
        <v>32</v>
      </c>
      <c r="D1073" s="4" t="s">
        <v>55</v>
      </c>
      <c r="E1073" s="4" t="s">
        <v>154</v>
      </c>
      <c r="F1073" s="4" t="s">
        <v>57</v>
      </c>
      <c r="G1073" s="5">
        <v>45154</v>
      </c>
      <c r="H1073" s="5">
        <v>45155</v>
      </c>
      <c r="I1073" s="4">
        <v>1</v>
      </c>
      <c r="J1073" s="4" t="s">
        <v>33</v>
      </c>
      <c r="K1073" s="4" t="s">
        <v>278</v>
      </c>
      <c r="L1073" s="4" t="s">
        <v>279</v>
      </c>
      <c r="M1073" s="4" t="s">
        <v>134</v>
      </c>
      <c r="N1073" s="4" t="s">
        <v>109</v>
      </c>
      <c r="O1073" s="4" t="s">
        <v>189</v>
      </c>
      <c r="P1073" s="4">
        <v>334</v>
      </c>
      <c r="Q1073" s="4" t="s">
        <v>103</v>
      </c>
      <c r="R1073" s="4" t="s">
        <v>111</v>
      </c>
      <c r="S1073" s="4">
        <v>52284</v>
      </c>
      <c r="T1073" s="4">
        <v>42324</v>
      </c>
      <c r="U1073" s="4">
        <v>9960</v>
      </c>
      <c r="V1073" s="4">
        <v>29840</v>
      </c>
      <c r="W1073" s="4">
        <v>17837</v>
      </c>
      <c r="X1073" s="4">
        <v>3683</v>
      </c>
      <c r="Y1073" s="4" t="s">
        <v>41</v>
      </c>
      <c r="Z1073" s="4">
        <v>72</v>
      </c>
      <c r="AA1073" s="4">
        <v>2.2000000000000002</v>
      </c>
      <c r="AB1073" s="4" t="s">
        <v>104</v>
      </c>
    </row>
    <row r="1074" spans="1:28" x14ac:dyDescent="0.25">
      <c r="A1074" s="2" t="s">
        <v>1796</v>
      </c>
      <c r="B1074" s="2" t="s">
        <v>1028</v>
      </c>
      <c r="C1074" s="2">
        <v>66</v>
      </c>
      <c r="D1074" s="2" t="s">
        <v>55</v>
      </c>
      <c r="E1074" s="2" t="s">
        <v>56</v>
      </c>
      <c r="F1074" s="2" t="s">
        <v>46</v>
      </c>
      <c r="G1074" s="3">
        <v>44984</v>
      </c>
      <c r="H1074" s="3">
        <v>45003</v>
      </c>
      <c r="I1074" s="2">
        <v>19</v>
      </c>
      <c r="J1074" s="2" t="s">
        <v>202</v>
      </c>
      <c r="K1074" s="2" t="s">
        <v>203</v>
      </c>
      <c r="L1074" s="2" t="s">
        <v>204</v>
      </c>
      <c r="M1074" s="2" t="s">
        <v>36</v>
      </c>
      <c r="N1074" s="2" t="s">
        <v>62</v>
      </c>
      <c r="O1074" s="2" t="s">
        <v>543</v>
      </c>
      <c r="P1074" s="2">
        <v>222</v>
      </c>
      <c r="Q1074" s="2" t="s">
        <v>103</v>
      </c>
      <c r="R1074" s="2" t="s">
        <v>51</v>
      </c>
      <c r="S1074" s="2">
        <v>131939</v>
      </c>
      <c r="T1074" s="2">
        <v>90192</v>
      </c>
      <c r="U1074" s="2">
        <v>41747</v>
      </c>
      <c r="V1074" s="2">
        <v>113148</v>
      </c>
      <c r="W1074" s="2">
        <v>6597</v>
      </c>
      <c r="X1074" s="2">
        <v>10843</v>
      </c>
      <c r="Y1074" s="2" t="s">
        <v>91</v>
      </c>
      <c r="Z1074" s="2">
        <v>91</v>
      </c>
      <c r="AA1074" s="2">
        <v>3.6</v>
      </c>
      <c r="AB1074" s="2" t="s">
        <v>42</v>
      </c>
    </row>
    <row r="1075" spans="1:28" x14ac:dyDescent="0.25">
      <c r="A1075" s="4" t="s">
        <v>1797</v>
      </c>
      <c r="B1075" s="4" t="s">
        <v>1437</v>
      </c>
      <c r="C1075" s="4">
        <v>10</v>
      </c>
      <c r="D1075" s="4" t="s">
        <v>30</v>
      </c>
      <c r="E1075" s="4" t="s">
        <v>45</v>
      </c>
      <c r="F1075" s="4" t="s">
        <v>114</v>
      </c>
      <c r="G1075" s="5">
        <v>45178</v>
      </c>
      <c r="H1075" s="5">
        <v>45183</v>
      </c>
      <c r="I1075" s="4">
        <v>5</v>
      </c>
      <c r="J1075" s="4" t="s">
        <v>33</v>
      </c>
      <c r="K1075" s="4" t="s">
        <v>47</v>
      </c>
      <c r="L1075" s="4" t="s">
        <v>48</v>
      </c>
      <c r="M1075" s="4" t="s">
        <v>130</v>
      </c>
      <c r="N1075" s="4" t="s">
        <v>37</v>
      </c>
      <c r="O1075" s="4" t="s">
        <v>214</v>
      </c>
      <c r="P1075" s="4">
        <v>74</v>
      </c>
      <c r="Q1075" s="4" t="s">
        <v>103</v>
      </c>
      <c r="R1075" s="4" t="s">
        <v>51</v>
      </c>
      <c r="S1075" s="4">
        <v>80730</v>
      </c>
      <c r="T1075" s="4">
        <v>41308</v>
      </c>
      <c r="U1075" s="4">
        <v>39422</v>
      </c>
      <c r="V1075" s="4">
        <v>56884</v>
      </c>
      <c r="W1075" s="4">
        <v>9008</v>
      </c>
      <c r="X1075" s="4">
        <v>13748</v>
      </c>
      <c r="Y1075" s="4" t="s">
        <v>41</v>
      </c>
      <c r="Z1075" s="4">
        <v>85</v>
      </c>
      <c r="AA1075" s="4">
        <v>4.2</v>
      </c>
      <c r="AB1075" s="4" t="s">
        <v>104</v>
      </c>
    </row>
    <row r="1076" spans="1:28" x14ac:dyDescent="0.25">
      <c r="A1076" s="2" t="s">
        <v>1798</v>
      </c>
      <c r="B1076" s="2" t="s">
        <v>1799</v>
      </c>
      <c r="C1076" s="2">
        <v>11</v>
      </c>
      <c r="D1076" s="2" t="s">
        <v>55</v>
      </c>
      <c r="E1076" s="2" t="s">
        <v>31</v>
      </c>
      <c r="F1076" s="2" t="s">
        <v>57</v>
      </c>
      <c r="G1076" s="3">
        <v>44940</v>
      </c>
      <c r="H1076" s="3">
        <v>44957</v>
      </c>
      <c r="I1076" s="2">
        <v>17</v>
      </c>
      <c r="J1076" s="2" t="s">
        <v>33</v>
      </c>
      <c r="K1076" s="2" t="s">
        <v>81</v>
      </c>
      <c r="L1076" s="2" t="s">
        <v>82</v>
      </c>
      <c r="M1076" s="2" t="s">
        <v>95</v>
      </c>
      <c r="N1076" s="2" t="s">
        <v>62</v>
      </c>
      <c r="O1076" s="2" t="s">
        <v>355</v>
      </c>
      <c r="P1076" s="2">
        <v>87</v>
      </c>
      <c r="Q1076" s="2" t="s">
        <v>50</v>
      </c>
      <c r="R1076" s="2" t="s">
        <v>90</v>
      </c>
      <c r="S1076" s="2">
        <v>55771</v>
      </c>
      <c r="T1076" s="2">
        <v>33920</v>
      </c>
      <c r="U1076" s="2">
        <v>21851</v>
      </c>
      <c r="V1076" s="2">
        <v>30123</v>
      </c>
      <c r="W1076" s="2">
        <v>10478</v>
      </c>
      <c r="X1076" s="2">
        <v>13414</v>
      </c>
      <c r="Y1076" s="2" t="s">
        <v>41</v>
      </c>
      <c r="Z1076" s="2">
        <v>42</v>
      </c>
      <c r="AA1076" s="2">
        <v>2.2999999999999998</v>
      </c>
      <c r="AB1076" s="2" t="s">
        <v>104</v>
      </c>
    </row>
    <row r="1077" spans="1:28" x14ac:dyDescent="0.25">
      <c r="A1077" s="4" t="s">
        <v>1800</v>
      </c>
      <c r="B1077" s="4" t="s">
        <v>1133</v>
      </c>
      <c r="C1077" s="4">
        <v>80</v>
      </c>
      <c r="D1077" s="4" t="s">
        <v>55</v>
      </c>
      <c r="E1077" s="4" t="s">
        <v>122</v>
      </c>
      <c r="F1077" s="4" t="s">
        <v>157</v>
      </c>
      <c r="G1077" s="5">
        <v>45384</v>
      </c>
      <c r="H1077" s="5">
        <v>45398</v>
      </c>
      <c r="I1077" s="4">
        <v>14</v>
      </c>
      <c r="J1077" s="4" t="s">
        <v>73</v>
      </c>
      <c r="K1077" s="4" t="s">
        <v>74</v>
      </c>
      <c r="L1077" s="4" t="s">
        <v>73</v>
      </c>
      <c r="M1077" s="4" t="s">
        <v>75</v>
      </c>
      <c r="N1077" s="4" t="s">
        <v>109</v>
      </c>
      <c r="O1077" s="4" t="s">
        <v>560</v>
      </c>
      <c r="P1077" s="4">
        <v>437</v>
      </c>
      <c r="Q1077" s="4" t="s">
        <v>39</v>
      </c>
      <c r="R1077" s="4" t="s">
        <v>136</v>
      </c>
      <c r="S1077" s="4">
        <v>24960</v>
      </c>
      <c r="T1077" s="4">
        <v>0</v>
      </c>
      <c r="U1077" s="4">
        <v>24960</v>
      </c>
      <c r="V1077" s="4">
        <v>14793</v>
      </c>
      <c r="W1077" s="4">
        <v>2032</v>
      </c>
      <c r="X1077" s="4">
        <v>5734</v>
      </c>
      <c r="Y1077" s="4" t="s">
        <v>41</v>
      </c>
      <c r="Z1077" s="4">
        <v>77</v>
      </c>
      <c r="AA1077" s="4">
        <v>2.4</v>
      </c>
      <c r="AB1077" s="4" t="s">
        <v>64</v>
      </c>
    </row>
    <row r="1078" spans="1:28" x14ac:dyDescent="0.25">
      <c r="A1078" s="2" t="s">
        <v>1801</v>
      </c>
      <c r="B1078" s="2" t="s">
        <v>970</v>
      </c>
      <c r="C1078" s="2">
        <v>53</v>
      </c>
      <c r="D1078" s="2" t="s">
        <v>55</v>
      </c>
      <c r="E1078" s="2" t="s">
        <v>122</v>
      </c>
      <c r="F1078" s="2" t="s">
        <v>157</v>
      </c>
      <c r="G1078" s="3">
        <v>44656</v>
      </c>
      <c r="H1078" s="3">
        <v>44684</v>
      </c>
      <c r="I1078" s="2">
        <v>28</v>
      </c>
      <c r="J1078" s="2" t="s">
        <v>202</v>
      </c>
      <c r="K1078" s="2" t="s">
        <v>203</v>
      </c>
      <c r="L1078" s="2" t="s">
        <v>204</v>
      </c>
      <c r="M1078" s="2" t="s">
        <v>61</v>
      </c>
      <c r="N1078" s="2" t="s">
        <v>118</v>
      </c>
      <c r="O1078" s="2" t="s">
        <v>492</v>
      </c>
      <c r="P1078" s="2">
        <v>108</v>
      </c>
      <c r="Q1078" s="2" t="s">
        <v>39</v>
      </c>
      <c r="R1078" s="2" t="s">
        <v>51</v>
      </c>
      <c r="S1078" s="2">
        <v>44948</v>
      </c>
      <c r="T1078" s="2">
        <v>22882</v>
      </c>
      <c r="U1078" s="2">
        <v>22066</v>
      </c>
      <c r="V1078" s="2">
        <v>31484</v>
      </c>
      <c r="W1078" s="2">
        <v>7305</v>
      </c>
      <c r="X1078" s="2">
        <v>4232</v>
      </c>
      <c r="Y1078" s="2" t="s">
        <v>41</v>
      </c>
      <c r="Z1078" s="2">
        <v>47</v>
      </c>
      <c r="AA1078" s="2">
        <v>4.4000000000000004</v>
      </c>
      <c r="AB1078" s="2" t="s">
        <v>64</v>
      </c>
    </row>
    <row r="1079" spans="1:28" x14ac:dyDescent="0.25">
      <c r="A1079" s="4" t="s">
        <v>1802</v>
      </c>
      <c r="B1079" s="4" t="s">
        <v>1709</v>
      </c>
      <c r="C1079" s="4">
        <v>37</v>
      </c>
      <c r="D1079" s="4" t="s">
        <v>30</v>
      </c>
      <c r="E1079" s="4" t="s">
        <v>67</v>
      </c>
      <c r="F1079" s="4" t="s">
        <v>46</v>
      </c>
      <c r="G1079" s="5">
        <v>45244</v>
      </c>
      <c r="H1079" s="5">
        <v>45249</v>
      </c>
      <c r="I1079" s="4">
        <v>5</v>
      </c>
      <c r="J1079" s="4" t="s">
        <v>115</v>
      </c>
      <c r="K1079" s="4" t="s">
        <v>160</v>
      </c>
      <c r="L1079" s="4" t="s">
        <v>117</v>
      </c>
      <c r="M1079" s="4" t="s">
        <v>143</v>
      </c>
      <c r="N1079" s="4" t="s">
        <v>37</v>
      </c>
      <c r="O1079" s="4" t="s">
        <v>471</v>
      </c>
      <c r="P1079" s="4">
        <v>313</v>
      </c>
      <c r="Q1079" s="4" t="s">
        <v>103</v>
      </c>
      <c r="R1079" s="4" t="s">
        <v>111</v>
      </c>
      <c r="S1079" s="4">
        <v>22495</v>
      </c>
      <c r="T1079" s="4">
        <v>16399</v>
      </c>
      <c r="U1079" s="4">
        <v>6096</v>
      </c>
      <c r="V1079" s="4">
        <v>6304</v>
      </c>
      <c r="W1079" s="4">
        <v>6677</v>
      </c>
      <c r="X1079" s="4">
        <v>4820</v>
      </c>
      <c r="Y1079" s="4" t="s">
        <v>41</v>
      </c>
      <c r="Z1079" s="4">
        <v>51</v>
      </c>
      <c r="AA1079" s="4">
        <v>4.2</v>
      </c>
      <c r="AB1079" s="4" t="s">
        <v>42</v>
      </c>
    </row>
    <row r="1080" spans="1:28" x14ac:dyDescent="0.25">
      <c r="A1080" s="2" t="s">
        <v>1803</v>
      </c>
      <c r="B1080" s="2" t="s">
        <v>292</v>
      </c>
      <c r="C1080" s="2">
        <v>60</v>
      </c>
      <c r="D1080" s="2" t="s">
        <v>30</v>
      </c>
      <c r="E1080" s="2" t="s">
        <v>87</v>
      </c>
      <c r="F1080" s="2" t="s">
        <v>32</v>
      </c>
      <c r="G1080" s="3">
        <v>45128</v>
      </c>
      <c r="H1080" s="3">
        <v>45150</v>
      </c>
      <c r="I1080" s="2">
        <v>22</v>
      </c>
      <c r="J1080" s="2" t="s">
        <v>33</v>
      </c>
      <c r="K1080" s="2" t="s">
        <v>278</v>
      </c>
      <c r="L1080" s="2" t="s">
        <v>279</v>
      </c>
      <c r="M1080" s="2" t="s">
        <v>95</v>
      </c>
      <c r="N1080" s="2" t="s">
        <v>109</v>
      </c>
      <c r="O1080" s="2" t="s">
        <v>271</v>
      </c>
      <c r="P1080" s="2">
        <v>426</v>
      </c>
      <c r="Q1080" s="2" t="s">
        <v>39</v>
      </c>
      <c r="R1080" s="2" t="s">
        <v>136</v>
      </c>
      <c r="S1080" s="2">
        <v>153903</v>
      </c>
      <c r="T1080" s="2">
        <v>0</v>
      </c>
      <c r="U1080" s="2">
        <v>153903</v>
      </c>
      <c r="V1080" s="2">
        <v>111106</v>
      </c>
      <c r="W1080" s="2">
        <v>28356</v>
      </c>
      <c r="X1080" s="2">
        <v>13187</v>
      </c>
      <c r="Y1080" s="2" t="s">
        <v>41</v>
      </c>
      <c r="Z1080" s="2">
        <v>51</v>
      </c>
      <c r="AA1080" s="2">
        <v>5</v>
      </c>
      <c r="AB1080" s="2" t="s">
        <v>137</v>
      </c>
    </row>
    <row r="1081" spans="1:28" x14ac:dyDescent="0.25">
      <c r="A1081" s="4" t="s">
        <v>1804</v>
      </c>
      <c r="B1081" s="4" t="s">
        <v>1805</v>
      </c>
      <c r="C1081" s="4">
        <v>77</v>
      </c>
      <c r="D1081" s="4" t="s">
        <v>55</v>
      </c>
      <c r="E1081" s="4" t="s">
        <v>79</v>
      </c>
      <c r="F1081" s="4" t="s">
        <v>150</v>
      </c>
      <c r="G1081" s="5">
        <v>45360</v>
      </c>
      <c r="H1081" s="5">
        <v>45366</v>
      </c>
      <c r="I1081" s="4">
        <v>6</v>
      </c>
      <c r="J1081" s="4" t="s">
        <v>58</v>
      </c>
      <c r="K1081" s="4" t="s">
        <v>88</v>
      </c>
      <c r="L1081" s="4" t="s">
        <v>60</v>
      </c>
      <c r="M1081" s="4" t="s">
        <v>75</v>
      </c>
      <c r="N1081" s="4" t="s">
        <v>62</v>
      </c>
      <c r="O1081" s="4" t="s">
        <v>1000</v>
      </c>
      <c r="P1081" s="4">
        <v>214</v>
      </c>
      <c r="Q1081" s="4" t="s">
        <v>50</v>
      </c>
      <c r="R1081" s="4" t="s">
        <v>90</v>
      </c>
      <c r="S1081" s="4">
        <v>108227</v>
      </c>
      <c r="T1081" s="4">
        <v>72052</v>
      </c>
      <c r="U1081" s="4">
        <v>36175</v>
      </c>
      <c r="V1081" s="4">
        <v>74887</v>
      </c>
      <c r="W1081" s="4">
        <v>16490</v>
      </c>
      <c r="X1081" s="4">
        <v>13324</v>
      </c>
      <c r="Y1081" s="4" t="s">
        <v>41</v>
      </c>
      <c r="Z1081" s="4">
        <v>77</v>
      </c>
      <c r="AA1081" s="4">
        <v>4.0999999999999996</v>
      </c>
      <c r="AB1081" s="4" t="s">
        <v>64</v>
      </c>
    </row>
    <row r="1082" spans="1:28" x14ac:dyDescent="0.25">
      <c r="A1082" s="2" t="s">
        <v>1806</v>
      </c>
      <c r="B1082" s="2" t="s">
        <v>304</v>
      </c>
      <c r="C1082" s="2">
        <v>39</v>
      </c>
      <c r="D1082" s="2" t="s">
        <v>30</v>
      </c>
      <c r="E1082" s="2" t="s">
        <v>67</v>
      </c>
      <c r="F1082" s="2" t="s">
        <v>80</v>
      </c>
      <c r="G1082" s="3">
        <v>45039</v>
      </c>
      <c r="H1082" s="3">
        <v>45050</v>
      </c>
      <c r="I1082" s="2">
        <v>11</v>
      </c>
      <c r="J1082" s="2" t="s">
        <v>115</v>
      </c>
      <c r="K1082" s="2" t="s">
        <v>160</v>
      </c>
      <c r="L1082" s="2" t="s">
        <v>117</v>
      </c>
      <c r="M1082" s="2" t="s">
        <v>101</v>
      </c>
      <c r="N1082" s="2" t="s">
        <v>37</v>
      </c>
      <c r="O1082" s="2" t="s">
        <v>530</v>
      </c>
      <c r="P1082" s="2">
        <v>283</v>
      </c>
      <c r="Q1082" s="2" t="s">
        <v>50</v>
      </c>
      <c r="R1082" s="2" t="s">
        <v>40</v>
      </c>
      <c r="S1082" s="2">
        <v>63383</v>
      </c>
      <c r="T1082" s="2">
        <v>34744</v>
      </c>
      <c r="U1082" s="2">
        <v>28639</v>
      </c>
      <c r="V1082" s="2">
        <v>45395</v>
      </c>
      <c r="W1082" s="2">
        <v>10490</v>
      </c>
      <c r="X1082" s="2">
        <v>3818</v>
      </c>
      <c r="Y1082" s="2" t="s">
        <v>41</v>
      </c>
      <c r="Z1082" s="2">
        <v>59</v>
      </c>
      <c r="AA1082" s="2">
        <v>2.2999999999999998</v>
      </c>
      <c r="AB1082" s="2" t="s">
        <v>137</v>
      </c>
    </row>
    <row r="1083" spans="1:28" x14ac:dyDescent="0.25">
      <c r="A1083" s="4" t="s">
        <v>1807</v>
      </c>
      <c r="B1083" s="4" t="s">
        <v>919</v>
      </c>
      <c r="C1083" s="4">
        <v>63</v>
      </c>
      <c r="D1083" s="4" t="s">
        <v>30</v>
      </c>
      <c r="E1083" s="4" t="s">
        <v>31</v>
      </c>
      <c r="F1083" s="4" t="s">
        <v>94</v>
      </c>
      <c r="G1083" s="5">
        <v>45021</v>
      </c>
      <c r="H1083" s="5">
        <v>45032</v>
      </c>
      <c r="I1083" s="4">
        <v>11</v>
      </c>
      <c r="J1083" s="4" t="s">
        <v>140</v>
      </c>
      <c r="K1083" s="4" t="s">
        <v>167</v>
      </c>
      <c r="L1083" s="4" t="s">
        <v>142</v>
      </c>
      <c r="M1083" s="4" t="s">
        <v>134</v>
      </c>
      <c r="N1083" s="4" t="s">
        <v>37</v>
      </c>
      <c r="O1083" s="4" t="s">
        <v>673</v>
      </c>
      <c r="P1083" s="4">
        <v>257</v>
      </c>
      <c r="Q1083" s="4" t="s">
        <v>103</v>
      </c>
      <c r="R1083" s="4" t="s">
        <v>40</v>
      </c>
      <c r="S1083" s="4">
        <v>41068</v>
      </c>
      <c r="T1083" s="4">
        <v>21273</v>
      </c>
      <c r="U1083" s="4">
        <v>19795</v>
      </c>
      <c r="V1083" s="4">
        <v>11850</v>
      </c>
      <c r="W1083" s="4">
        <v>14531</v>
      </c>
      <c r="X1083" s="4">
        <v>13358</v>
      </c>
      <c r="Y1083" s="4" t="s">
        <v>41</v>
      </c>
      <c r="Z1083" s="4">
        <v>58</v>
      </c>
      <c r="AA1083" s="4">
        <v>3.7</v>
      </c>
      <c r="AB1083" s="4" t="s">
        <v>42</v>
      </c>
    </row>
    <row r="1084" spans="1:28" x14ac:dyDescent="0.25">
      <c r="A1084" s="2" t="s">
        <v>1808</v>
      </c>
      <c r="B1084" s="2" t="s">
        <v>1809</v>
      </c>
      <c r="C1084" s="2">
        <v>83</v>
      </c>
      <c r="D1084" s="2" t="s">
        <v>55</v>
      </c>
      <c r="E1084" s="2" t="s">
        <v>67</v>
      </c>
      <c r="F1084" s="2" t="s">
        <v>157</v>
      </c>
      <c r="G1084" s="3">
        <v>45287</v>
      </c>
      <c r="H1084" s="3">
        <v>45315</v>
      </c>
      <c r="I1084" s="2">
        <v>28</v>
      </c>
      <c r="J1084" s="2" t="s">
        <v>73</v>
      </c>
      <c r="K1084" s="2" t="s">
        <v>74</v>
      </c>
      <c r="L1084" s="2" t="s">
        <v>73</v>
      </c>
      <c r="M1084" s="2" t="s">
        <v>36</v>
      </c>
      <c r="N1084" s="2" t="s">
        <v>62</v>
      </c>
      <c r="O1084" s="2" t="s">
        <v>285</v>
      </c>
      <c r="P1084" s="2">
        <v>336</v>
      </c>
      <c r="Q1084" s="2" t="s">
        <v>39</v>
      </c>
      <c r="R1084" s="2" t="s">
        <v>111</v>
      </c>
      <c r="S1084" s="2">
        <v>35326</v>
      </c>
      <c r="T1084" s="2">
        <v>26464</v>
      </c>
      <c r="U1084" s="2">
        <v>8862</v>
      </c>
      <c r="V1084" s="2">
        <v>28169</v>
      </c>
      <c r="W1084" s="2">
        <v>1957</v>
      </c>
      <c r="X1084" s="2">
        <v>4511</v>
      </c>
      <c r="Y1084" s="2" t="s">
        <v>41</v>
      </c>
      <c r="Z1084" s="2">
        <v>48</v>
      </c>
      <c r="AA1084" s="2">
        <v>3.1</v>
      </c>
      <c r="AB1084" s="2" t="s">
        <v>137</v>
      </c>
    </row>
    <row r="1085" spans="1:28" x14ac:dyDescent="0.25">
      <c r="A1085" s="4" t="s">
        <v>1810</v>
      </c>
      <c r="B1085" s="4" t="s">
        <v>1666</v>
      </c>
      <c r="C1085" s="4">
        <v>5</v>
      </c>
      <c r="D1085" s="4" t="s">
        <v>55</v>
      </c>
      <c r="E1085" s="4" t="s">
        <v>79</v>
      </c>
      <c r="F1085" s="4" t="s">
        <v>94</v>
      </c>
      <c r="G1085" s="5">
        <v>45429</v>
      </c>
      <c r="H1085" s="5">
        <v>45456</v>
      </c>
      <c r="I1085" s="4">
        <v>27</v>
      </c>
      <c r="J1085" s="4" t="s">
        <v>33</v>
      </c>
      <c r="K1085" s="4" t="s">
        <v>174</v>
      </c>
      <c r="L1085" s="4" t="s">
        <v>48</v>
      </c>
      <c r="M1085" s="4" t="s">
        <v>130</v>
      </c>
      <c r="N1085" s="4" t="s">
        <v>109</v>
      </c>
      <c r="O1085" s="4" t="s">
        <v>63</v>
      </c>
      <c r="P1085" s="4">
        <v>294</v>
      </c>
      <c r="Q1085" s="4" t="s">
        <v>39</v>
      </c>
      <c r="R1085" s="4" t="s">
        <v>90</v>
      </c>
      <c r="S1085" s="4">
        <v>53506</v>
      </c>
      <c r="T1085" s="4">
        <v>44684</v>
      </c>
      <c r="U1085" s="4">
        <v>8822</v>
      </c>
      <c r="V1085" s="4">
        <v>39554</v>
      </c>
      <c r="W1085" s="4">
        <v>5013</v>
      </c>
      <c r="X1085" s="4">
        <v>5177</v>
      </c>
      <c r="Y1085" s="4" t="s">
        <v>41</v>
      </c>
      <c r="Z1085" s="4">
        <v>59</v>
      </c>
      <c r="AA1085" s="4">
        <v>4.3</v>
      </c>
      <c r="AB1085" s="4" t="s">
        <v>137</v>
      </c>
    </row>
    <row r="1086" spans="1:28" x14ac:dyDescent="0.25">
      <c r="A1086" s="2" t="s">
        <v>1811</v>
      </c>
      <c r="B1086" s="2" t="s">
        <v>1812</v>
      </c>
      <c r="C1086" s="2">
        <v>46</v>
      </c>
      <c r="D1086" s="2" t="s">
        <v>30</v>
      </c>
      <c r="E1086" s="2" t="s">
        <v>154</v>
      </c>
      <c r="F1086" s="2" t="s">
        <v>72</v>
      </c>
      <c r="G1086" s="3">
        <v>44898</v>
      </c>
      <c r="H1086" s="3">
        <v>44911</v>
      </c>
      <c r="I1086" s="2">
        <v>13</v>
      </c>
      <c r="J1086" s="2" t="s">
        <v>58</v>
      </c>
      <c r="K1086" s="2" t="s">
        <v>59</v>
      </c>
      <c r="L1086" s="2" t="s">
        <v>60</v>
      </c>
      <c r="M1086" s="2" t="s">
        <v>108</v>
      </c>
      <c r="N1086" s="2" t="s">
        <v>109</v>
      </c>
      <c r="O1086" s="2" t="s">
        <v>89</v>
      </c>
      <c r="P1086" s="2">
        <v>56</v>
      </c>
      <c r="Q1086" s="2" t="s">
        <v>103</v>
      </c>
      <c r="R1086" s="2" t="s">
        <v>40</v>
      </c>
      <c r="S1086" s="2">
        <v>92929</v>
      </c>
      <c r="T1086" s="2">
        <v>60051</v>
      </c>
      <c r="U1086" s="2">
        <v>32878</v>
      </c>
      <c r="V1086" s="2">
        <v>83793</v>
      </c>
      <c r="W1086" s="2">
        <v>1371</v>
      </c>
      <c r="X1086" s="2">
        <v>4026</v>
      </c>
      <c r="Y1086" s="2" t="s">
        <v>41</v>
      </c>
      <c r="Z1086" s="2">
        <v>94</v>
      </c>
      <c r="AA1086" s="2">
        <v>4</v>
      </c>
      <c r="AB1086" s="2" t="s">
        <v>104</v>
      </c>
    </row>
    <row r="1087" spans="1:28" x14ac:dyDescent="0.25">
      <c r="A1087" s="4" t="s">
        <v>1813</v>
      </c>
      <c r="B1087" s="4" t="s">
        <v>113</v>
      </c>
      <c r="C1087" s="4">
        <v>54</v>
      </c>
      <c r="D1087" s="4" t="s">
        <v>30</v>
      </c>
      <c r="E1087" s="4" t="s">
        <v>87</v>
      </c>
      <c r="F1087" s="4" t="s">
        <v>157</v>
      </c>
      <c r="G1087" s="5">
        <v>45401</v>
      </c>
      <c r="H1087" s="5">
        <v>45416</v>
      </c>
      <c r="I1087" s="4">
        <v>15</v>
      </c>
      <c r="J1087" s="4" t="s">
        <v>123</v>
      </c>
      <c r="K1087" s="4" t="s">
        <v>251</v>
      </c>
      <c r="L1087" s="4" t="s">
        <v>125</v>
      </c>
      <c r="M1087" s="4" t="s">
        <v>75</v>
      </c>
      <c r="N1087" s="4" t="s">
        <v>109</v>
      </c>
      <c r="O1087" s="4" t="s">
        <v>627</v>
      </c>
      <c r="P1087" s="4">
        <v>113</v>
      </c>
      <c r="Q1087" s="4" t="s">
        <v>69</v>
      </c>
      <c r="R1087" s="4" t="s">
        <v>90</v>
      </c>
      <c r="S1087" s="4">
        <v>50411</v>
      </c>
      <c r="T1087" s="4">
        <v>35538</v>
      </c>
      <c r="U1087" s="4">
        <v>14873</v>
      </c>
      <c r="V1087" s="4">
        <v>32493</v>
      </c>
      <c r="W1087" s="4">
        <v>13767</v>
      </c>
      <c r="X1087" s="4">
        <v>2260</v>
      </c>
      <c r="Y1087" s="4" t="s">
        <v>41</v>
      </c>
      <c r="Z1087" s="4">
        <v>41</v>
      </c>
      <c r="AA1087" s="4">
        <v>2.2999999999999998</v>
      </c>
      <c r="AB1087" s="4" t="s">
        <v>64</v>
      </c>
    </row>
    <row r="1088" spans="1:28" x14ac:dyDescent="0.25">
      <c r="A1088" s="2" t="s">
        <v>1814</v>
      </c>
      <c r="B1088" s="2" t="s">
        <v>1413</v>
      </c>
      <c r="C1088" s="2">
        <v>39</v>
      </c>
      <c r="D1088" s="2" t="s">
        <v>55</v>
      </c>
      <c r="E1088" s="2" t="s">
        <v>56</v>
      </c>
      <c r="F1088" s="2" t="s">
        <v>32</v>
      </c>
      <c r="G1088" s="3">
        <v>45025</v>
      </c>
      <c r="H1088" s="3">
        <v>45033</v>
      </c>
      <c r="I1088" s="2">
        <v>8</v>
      </c>
      <c r="J1088" s="2" t="s">
        <v>140</v>
      </c>
      <c r="K1088" s="2" t="s">
        <v>167</v>
      </c>
      <c r="L1088" s="2" t="s">
        <v>142</v>
      </c>
      <c r="M1088" s="2" t="s">
        <v>61</v>
      </c>
      <c r="N1088" s="2" t="s">
        <v>37</v>
      </c>
      <c r="O1088" s="2" t="s">
        <v>448</v>
      </c>
      <c r="P1088" s="2">
        <v>337</v>
      </c>
      <c r="Q1088" s="2" t="s">
        <v>39</v>
      </c>
      <c r="R1088" s="2" t="s">
        <v>136</v>
      </c>
      <c r="S1088" s="2">
        <v>176833</v>
      </c>
      <c r="T1088" s="2">
        <v>0</v>
      </c>
      <c r="U1088" s="2">
        <v>176833</v>
      </c>
      <c r="V1088" s="2">
        <v>144848</v>
      </c>
      <c r="W1088" s="2">
        <v>27036</v>
      </c>
      <c r="X1088" s="2">
        <v>2144</v>
      </c>
      <c r="Y1088" s="2" t="s">
        <v>91</v>
      </c>
      <c r="Z1088" s="2">
        <v>76</v>
      </c>
      <c r="AA1088" s="2">
        <v>3.6</v>
      </c>
      <c r="AB1088" s="2" t="s">
        <v>52</v>
      </c>
    </row>
    <row r="1089" spans="1:28" x14ac:dyDescent="0.25">
      <c r="A1089" s="4" t="s">
        <v>1815</v>
      </c>
      <c r="B1089" s="4" t="s">
        <v>98</v>
      </c>
      <c r="C1089" s="4">
        <v>14</v>
      </c>
      <c r="D1089" s="4" t="s">
        <v>30</v>
      </c>
      <c r="E1089" s="4" t="s">
        <v>87</v>
      </c>
      <c r="F1089" s="4" t="s">
        <v>72</v>
      </c>
      <c r="G1089" s="5">
        <v>45005</v>
      </c>
      <c r="H1089" s="5">
        <v>45007</v>
      </c>
      <c r="I1089" s="4">
        <v>2</v>
      </c>
      <c r="J1089" s="4" t="s">
        <v>202</v>
      </c>
      <c r="K1089" s="4" t="s">
        <v>203</v>
      </c>
      <c r="L1089" s="4" t="s">
        <v>204</v>
      </c>
      <c r="M1089" s="4" t="s">
        <v>75</v>
      </c>
      <c r="N1089" s="4" t="s">
        <v>62</v>
      </c>
      <c r="O1089" s="4" t="s">
        <v>230</v>
      </c>
      <c r="P1089" s="4">
        <v>6</v>
      </c>
      <c r="Q1089" s="4" t="s">
        <v>50</v>
      </c>
      <c r="R1089" s="4" t="s">
        <v>51</v>
      </c>
      <c r="S1089" s="4">
        <v>54849</v>
      </c>
      <c r="T1089" s="4">
        <v>35900</v>
      </c>
      <c r="U1089" s="4">
        <v>18949</v>
      </c>
      <c r="V1089" s="4">
        <v>26767</v>
      </c>
      <c r="W1089" s="4">
        <v>26285</v>
      </c>
      <c r="X1089" s="4">
        <v>908</v>
      </c>
      <c r="Y1089" s="4" t="s">
        <v>41</v>
      </c>
      <c r="Z1089" s="4">
        <v>99</v>
      </c>
      <c r="AA1089" s="4">
        <v>2.5</v>
      </c>
      <c r="AB1089" s="4" t="s">
        <v>104</v>
      </c>
    </row>
    <row r="1090" spans="1:28" x14ac:dyDescent="0.25">
      <c r="A1090" s="2" t="s">
        <v>1816</v>
      </c>
      <c r="B1090" s="2" t="s">
        <v>484</v>
      </c>
      <c r="C1090" s="2">
        <v>76</v>
      </c>
      <c r="D1090" s="2" t="s">
        <v>30</v>
      </c>
      <c r="E1090" s="2" t="s">
        <v>67</v>
      </c>
      <c r="F1090" s="2" t="s">
        <v>157</v>
      </c>
      <c r="G1090" s="3">
        <v>45389</v>
      </c>
      <c r="H1090" s="3">
        <v>45419</v>
      </c>
      <c r="I1090" s="2">
        <v>30</v>
      </c>
      <c r="J1090" s="2" t="s">
        <v>33</v>
      </c>
      <c r="K1090" s="2" t="s">
        <v>99</v>
      </c>
      <c r="L1090" s="2" t="s">
        <v>100</v>
      </c>
      <c r="M1090" s="2" t="s">
        <v>36</v>
      </c>
      <c r="N1090" s="2" t="s">
        <v>62</v>
      </c>
      <c r="O1090" s="2" t="s">
        <v>168</v>
      </c>
      <c r="P1090" s="2">
        <v>74</v>
      </c>
      <c r="Q1090" s="2" t="s">
        <v>69</v>
      </c>
      <c r="R1090" s="2" t="s">
        <v>40</v>
      </c>
      <c r="S1090" s="2">
        <v>105896</v>
      </c>
      <c r="T1090" s="2">
        <v>51964</v>
      </c>
      <c r="U1090" s="2">
        <v>53932</v>
      </c>
      <c r="V1090" s="2">
        <v>72585</v>
      </c>
      <c r="W1090" s="2">
        <v>17447</v>
      </c>
      <c r="X1090" s="2">
        <v>12668</v>
      </c>
      <c r="Y1090" s="2" t="s">
        <v>41</v>
      </c>
      <c r="Z1090" s="2">
        <v>49</v>
      </c>
      <c r="AA1090" s="2">
        <v>5</v>
      </c>
      <c r="AB1090" s="2" t="s">
        <v>64</v>
      </c>
    </row>
    <row r="1091" spans="1:28" x14ac:dyDescent="0.25">
      <c r="A1091" s="4" t="s">
        <v>1817</v>
      </c>
      <c r="B1091" s="4" t="s">
        <v>1818</v>
      </c>
      <c r="C1091" s="4">
        <v>14</v>
      </c>
      <c r="D1091" s="4" t="s">
        <v>30</v>
      </c>
      <c r="E1091" s="4" t="s">
        <v>122</v>
      </c>
      <c r="F1091" s="4" t="s">
        <v>150</v>
      </c>
      <c r="G1091" s="5">
        <v>44758</v>
      </c>
      <c r="H1091" s="5">
        <v>44774</v>
      </c>
      <c r="I1091" s="4">
        <v>16</v>
      </c>
      <c r="J1091" s="4" t="s">
        <v>33</v>
      </c>
      <c r="K1091" s="4" t="s">
        <v>278</v>
      </c>
      <c r="L1091" s="4" t="s">
        <v>279</v>
      </c>
      <c r="M1091" s="4" t="s">
        <v>61</v>
      </c>
      <c r="N1091" s="4" t="s">
        <v>37</v>
      </c>
      <c r="O1091" s="4" t="s">
        <v>396</v>
      </c>
      <c r="P1091" s="4">
        <v>166</v>
      </c>
      <c r="Q1091" s="4" t="s">
        <v>103</v>
      </c>
      <c r="R1091" s="4" t="s">
        <v>90</v>
      </c>
      <c r="S1091" s="4">
        <v>64629</v>
      </c>
      <c r="T1091" s="4">
        <v>42719</v>
      </c>
      <c r="U1091" s="4">
        <v>21910</v>
      </c>
      <c r="V1091" s="4">
        <v>27651</v>
      </c>
      <c r="W1091" s="4">
        <v>26910</v>
      </c>
      <c r="X1091" s="4">
        <v>8618</v>
      </c>
      <c r="Y1091" s="4" t="s">
        <v>91</v>
      </c>
      <c r="Z1091" s="4">
        <v>85</v>
      </c>
      <c r="AA1091" s="4">
        <v>2.2999999999999998</v>
      </c>
      <c r="AB1091" s="4" t="s">
        <v>52</v>
      </c>
    </row>
    <row r="1092" spans="1:28" x14ac:dyDescent="0.25">
      <c r="A1092" s="2" t="s">
        <v>1819</v>
      </c>
      <c r="B1092" s="2" t="s">
        <v>1250</v>
      </c>
      <c r="C1092" s="2">
        <v>22</v>
      </c>
      <c r="D1092" s="2" t="s">
        <v>30</v>
      </c>
      <c r="E1092" s="2" t="s">
        <v>87</v>
      </c>
      <c r="F1092" s="2" t="s">
        <v>57</v>
      </c>
      <c r="G1092" s="3">
        <v>44892</v>
      </c>
      <c r="H1092" s="3">
        <v>44922</v>
      </c>
      <c r="I1092" s="2">
        <v>30</v>
      </c>
      <c r="J1092" s="2" t="s">
        <v>202</v>
      </c>
      <c r="K1092" s="2" t="s">
        <v>225</v>
      </c>
      <c r="L1092" s="2" t="s">
        <v>226</v>
      </c>
      <c r="M1092" s="2" t="s">
        <v>36</v>
      </c>
      <c r="N1092" s="2" t="s">
        <v>118</v>
      </c>
      <c r="O1092" s="2" t="s">
        <v>580</v>
      </c>
      <c r="P1092" s="2">
        <v>68</v>
      </c>
      <c r="Q1092" s="2" t="s">
        <v>103</v>
      </c>
      <c r="R1092" s="2" t="s">
        <v>136</v>
      </c>
      <c r="S1092" s="2">
        <v>103162</v>
      </c>
      <c r="T1092" s="2">
        <v>0</v>
      </c>
      <c r="U1092" s="2">
        <v>103162</v>
      </c>
      <c r="V1092" s="2">
        <v>88129</v>
      </c>
      <c r="W1092" s="2">
        <v>5479</v>
      </c>
      <c r="X1092" s="2">
        <v>8439</v>
      </c>
      <c r="Y1092" s="2" t="s">
        <v>41</v>
      </c>
      <c r="Z1092" s="2">
        <v>78</v>
      </c>
      <c r="AA1092" s="2">
        <v>2.6</v>
      </c>
      <c r="AB1092" s="2" t="s">
        <v>137</v>
      </c>
    </row>
    <row r="1093" spans="1:28" x14ac:dyDescent="0.25">
      <c r="A1093" s="4" t="s">
        <v>1820</v>
      </c>
      <c r="B1093" s="4" t="s">
        <v>308</v>
      </c>
      <c r="C1093" s="4">
        <v>52</v>
      </c>
      <c r="D1093" s="4" t="s">
        <v>30</v>
      </c>
      <c r="E1093" s="4" t="s">
        <v>67</v>
      </c>
      <c r="F1093" s="4" t="s">
        <v>46</v>
      </c>
      <c r="G1093" s="5">
        <v>45439</v>
      </c>
      <c r="H1093" s="5">
        <v>45446</v>
      </c>
      <c r="I1093" s="4">
        <v>7</v>
      </c>
      <c r="J1093" s="4" t="s">
        <v>33</v>
      </c>
      <c r="K1093" s="4" t="s">
        <v>233</v>
      </c>
      <c r="L1093" s="4" t="s">
        <v>35</v>
      </c>
      <c r="M1093" s="4" t="s">
        <v>61</v>
      </c>
      <c r="N1093" s="4" t="s">
        <v>62</v>
      </c>
      <c r="O1093" s="4" t="s">
        <v>631</v>
      </c>
      <c r="P1093" s="4">
        <v>155</v>
      </c>
      <c r="Q1093" s="4" t="s">
        <v>69</v>
      </c>
      <c r="R1093" s="4" t="s">
        <v>111</v>
      </c>
      <c r="S1093" s="4">
        <v>76458</v>
      </c>
      <c r="T1093" s="4">
        <v>49759</v>
      </c>
      <c r="U1093" s="4">
        <v>26699</v>
      </c>
      <c r="V1093" s="4">
        <v>37011</v>
      </c>
      <c r="W1093" s="4">
        <v>26639</v>
      </c>
      <c r="X1093" s="4">
        <v>9963</v>
      </c>
      <c r="Y1093" s="4" t="s">
        <v>41</v>
      </c>
      <c r="Z1093" s="4">
        <v>47</v>
      </c>
      <c r="AA1093" s="4">
        <v>3</v>
      </c>
      <c r="AB1093" s="4" t="s">
        <v>104</v>
      </c>
    </row>
    <row r="1094" spans="1:28" x14ac:dyDescent="0.25">
      <c r="A1094" s="2" t="s">
        <v>1821</v>
      </c>
      <c r="B1094" s="2" t="s">
        <v>207</v>
      </c>
      <c r="C1094" s="2">
        <v>15</v>
      </c>
      <c r="D1094" s="2" t="s">
        <v>30</v>
      </c>
      <c r="E1094" s="2" t="s">
        <v>31</v>
      </c>
      <c r="F1094" s="2" t="s">
        <v>80</v>
      </c>
      <c r="G1094" s="3">
        <v>44667</v>
      </c>
      <c r="H1094" s="3">
        <v>44681</v>
      </c>
      <c r="I1094" s="2">
        <v>14</v>
      </c>
      <c r="J1094" s="2" t="s">
        <v>33</v>
      </c>
      <c r="K1094" s="2" t="s">
        <v>233</v>
      </c>
      <c r="L1094" s="2" t="s">
        <v>35</v>
      </c>
      <c r="M1094" s="2" t="s">
        <v>143</v>
      </c>
      <c r="N1094" s="2" t="s">
        <v>37</v>
      </c>
      <c r="O1094" s="2" t="s">
        <v>230</v>
      </c>
      <c r="P1094" s="2">
        <v>281</v>
      </c>
      <c r="Q1094" s="2" t="s">
        <v>50</v>
      </c>
      <c r="R1094" s="2" t="s">
        <v>136</v>
      </c>
      <c r="S1094" s="2">
        <v>107587</v>
      </c>
      <c r="T1094" s="2">
        <v>0</v>
      </c>
      <c r="U1094" s="2">
        <v>107587</v>
      </c>
      <c r="V1094" s="2">
        <v>93377</v>
      </c>
      <c r="W1094" s="2">
        <v>6479</v>
      </c>
      <c r="X1094" s="2">
        <v>5794</v>
      </c>
      <c r="Y1094" s="2" t="s">
        <v>41</v>
      </c>
      <c r="Z1094" s="2">
        <v>71</v>
      </c>
      <c r="AA1094" s="2">
        <v>4.2</v>
      </c>
      <c r="AB1094" s="2" t="s">
        <v>104</v>
      </c>
    </row>
    <row r="1095" spans="1:28" x14ac:dyDescent="0.25">
      <c r="A1095" s="4" t="s">
        <v>1822</v>
      </c>
      <c r="B1095" s="4" t="s">
        <v>603</v>
      </c>
      <c r="C1095" s="4">
        <v>51</v>
      </c>
      <c r="D1095" s="4" t="s">
        <v>30</v>
      </c>
      <c r="E1095" s="4" t="s">
        <v>87</v>
      </c>
      <c r="F1095" s="4" t="s">
        <v>157</v>
      </c>
      <c r="G1095" s="5">
        <v>45517</v>
      </c>
      <c r="H1095" s="5">
        <v>45536</v>
      </c>
      <c r="I1095" s="4">
        <v>19</v>
      </c>
      <c r="J1095" s="4" t="s">
        <v>33</v>
      </c>
      <c r="K1095" s="4" t="s">
        <v>99</v>
      </c>
      <c r="L1095" s="4" t="s">
        <v>100</v>
      </c>
      <c r="M1095" s="4" t="s">
        <v>101</v>
      </c>
      <c r="N1095" s="4" t="s">
        <v>118</v>
      </c>
      <c r="O1095" s="4" t="s">
        <v>553</v>
      </c>
      <c r="P1095" s="4">
        <v>469</v>
      </c>
      <c r="Q1095" s="4" t="s">
        <v>50</v>
      </c>
      <c r="R1095" s="4" t="s">
        <v>111</v>
      </c>
      <c r="S1095" s="4">
        <v>137931</v>
      </c>
      <c r="T1095" s="4">
        <v>106354</v>
      </c>
      <c r="U1095" s="4">
        <v>31577</v>
      </c>
      <c r="V1095" s="4">
        <v>107348</v>
      </c>
      <c r="W1095" s="4">
        <v>20808</v>
      </c>
      <c r="X1095" s="4">
        <v>5125</v>
      </c>
      <c r="Y1095" s="4" t="s">
        <v>41</v>
      </c>
      <c r="Z1095" s="4">
        <v>54</v>
      </c>
      <c r="AA1095" s="4">
        <v>4.9000000000000004</v>
      </c>
      <c r="AB1095" s="4" t="s">
        <v>104</v>
      </c>
    </row>
    <row r="1096" spans="1:28" x14ac:dyDescent="0.25">
      <c r="A1096" s="2" t="s">
        <v>1823</v>
      </c>
      <c r="B1096" s="2" t="s">
        <v>810</v>
      </c>
      <c r="C1096" s="2">
        <v>80</v>
      </c>
      <c r="D1096" s="2" t="s">
        <v>30</v>
      </c>
      <c r="E1096" s="2" t="s">
        <v>67</v>
      </c>
      <c r="F1096" s="2" t="s">
        <v>150</v>
      </c>
      <c r="G1096" s="3">
        <v>45274</v>
      </c>
      <c r="H1096" s="3">
        <v>45296</v>
      </c>
      <c r="I1096" s="2">
        <v>22</v>
      </c>
      <c r="J1096" s="2" t="s">
        <v>115</v>
      </c>
      <c r="K1096" s="2" t="s">
        <v>116</v>
      </c>
      <c r="L1096" s="2" t="s">
        <v>117</v>
      </c>
      <c r="M1096" s="2" t="s">
        <v>95</v>
      </c>
      <c r="N1096" s="2" t="s">
        <v>118</v>
      </c>
      <c r="O1096" s="2" t="s">
        <v>492</v>
      </c>
      <c r="P1096" s="2">
        <v>454</v>
      </c>
      <c r="Q1096" s="2" t="s">
        <v>39</v>
      </c>
      <c r="R1096" s="2" t="s">
        <v>40</v>
      </c>
      <c r="S1096" s="2">
        <v>157992</v>
      </c>
      <c r="T1096" s="2">
        <v>84795</v>
      </c>
      <c r="U1096" s="2">
        <v>73197</v>
      </c>
      <c r="V1096" s="2">
        <v>122507</v>
      </c>
      <c r="W1096" s="2">
        <v>21910</v>
      </c>
      <c r="X1096" s="2">
        <v>12368</v>
      </c>
      <c r="Y1096" s="2" t="s">
        <v>41</v>
      </c>
      <c r="Z1096" s="2">
        <v>48</v>
      </c>
      <c r="AA1096" s="2">
        <v>4.3</v>
      </c>
      <c r="AB1096" s="2" t="s">
        <v>52</v>
      </c>
    </row>
    <row r="1097" spans="1:28" x14ac:dyDescent="0.25">
      <c r="A1097" s="4" t="s">
        <v>1824</v>
      </c>
      <c r="B1097" s="4" t="s">
        <v>1825</v>
      </c>
      <c r="C1097" s="4">
        <v>8</v>
      </c>
      <c r="D1097" s="4" t="s">
        <v>30</v>
      </c>
      <c r="E1097" s="4" t="s">
        <v>67</v>
      </c>
      <c r="F1097" s="4" t="s">
        <v>57</v>
      </c>
      <c r="G1097" s="5">
        <v>45537</v>
      </c>
      <c r="H1097" s="5">
        <v>45538</v>
      </c>
      <c r="I1097" s="4">
        <v>1</v>
      </c>
      <c r="J1097" s="4" t="s">
        <v>33</v>
      </c>
      <c r="K1097" s="4" t="s">
        <v>197</v>
      </c>
      <c r="L1097" s="4" t="s">
        <v>198</v>
      </c>
      <c r="M1097" s="4" t="s">
        <v>134</v>
      </c>
      <c r="N1097" s="4" t="s">
        <v>118</v>
      </c>
      <c r="O1097" s="4" t="s">
        <v>199</v>
      </c>
      <c r="P1097" s="4">
        <v>3</v>
      </c>
      <c r="Q1097" s="4" t="s">
        <v>103</v>
      </c>
      <c r="R1097" s="4" t="s">
        <v>51</v>
      </c>
      <c r="S1097" s="4">
        <v>150659</v>
      </c>
      <c r="T1097" s="4">
        <v>62095</v>
      </c>
      <c r="U1097" s="4">
        <v>88564</v>
      </c>
      <c r="V1097" s="4">
        <v>115357</v>
      </c>
      <c r="W1097" s="4">
        <v>29218</v>
      </c>
      <c r="X1097" s="4">
        <v>3449</v>
      </c>
      <c r="Y1097" s="4" t="s">
        <v>41</v>
      </c>
      <c r="Z1097" s="4">
        <v>68</v>
      </c>
      <c r="AA1097" s="4">
        <v>4.3</v>
      </c>
      <c r="AB1097" s="4" t="s">
        <v>104</v>
      </c>
    </row>
    <row r="1098" spans="1:28" x14ac:dyDescent="0.25">
      <c r="A1098" s="2" t="s">
        <v>1826</v>
      </c>
      <c r="B1098" s="2" t="s">
        <v>1827</v>
      </c>
      <c r="C1098" s="2">
        <v>5</v>
      </c>
      <c r="D1098" s="2" t="s">
        <v>30</v>
      </c>
      <c r="E1098" s="2" t="s">
        <v>67</v>
      </c>
      <c r="F1098" s="2" t="s">
        <v>94</v>
      </c>
      <c r="G1098" s="3">
        <v>44682</v>
      </c>
      <c r="H1098" s="3">
        <v>44704</v>
      </c>
      <c r="I1098" s="2">
        <v>22</v>
      </c>
      <c r="J1098" s="2" t="s">
        <v>140</v>
      </c>
      <c r="K1098" s="2" t="s">
        <v>167</v>
      </c>
      <c r="L1098" s="2" t="s">
        <v>142</v>
      </c>
      <c r="M1098" s="2" t="s">
        <v>83</v>
      </c>
      <c r="N1098" s="2" t="s">
        <v>109</v>
      </c>
      <c r="O1098" s="2" t="s">
        <v>217</v>
      </c>
      <c r="P1098" s="2">
        <v>4</v>
      </c>
      <c r="Q1098" s="2" t="s">
        <v>103</v>
      </c>
      <c r="R1098" s="2" t="s">
        <v>111</v>
      </c>
      <c r="S1098" s="2">
        <v>66595</v>
      </c>
      <c r="T1098" s="2">
        <v>42389</v>
      </c>
      <c r="U1098" s="2">
        <v>24206</v>
      </c>
      <c r="V1098" s="2">
        <v>49171</v>
      </c>
      <c r="W1098" s="2">
        <v>7297</v>
      </c>
      <c r="X1098" s="2">
        <v>8716</v>
      </c>
      <c r="Y1098" s="2" t="s">
        <v>41</v>
      </c>
      <c r="Z1098" s="2">
        <v>82</v>
      </c>
      <c r="AA1098" s="2">
        <v>2.5</v>
      </c>
      <c r="AB1098" s="2" t="s">
        <v>64</v>
      </c>
    </row>
    <row r="1099" spans="1:28" x14ac:dyDescent="0.25">
      <c r="A1099" s="4" t="s">
        <v>1828</v>
      </c>
      <c r="B1099" s="4" t="s">
        <v>1243</v>
      </c>
      <c r="C1099" s="4">
        <v>23</v>
      </c>
      <c r="D1099" s="4" t="s">
        <v>55</v>
      </c>
      <c r="E1099" s="4" t="s">
        <v>154</v>
      </c>
      <c r="F1099" s="4" t="s">
        <v>94</v>
      </c>
      <c r="G1099" s="5">
        <v>44879</v>
      </c>
      <c r="H1099" s="5">
        <v>44889</v>
      </c>
      <c r="I1099" s="4">
        <v>10</v>
      </c>
      <c r="J1099" s="4" t="s">
        <v>123</v>
      </c>
      <c r="K1099" s="4" t="s">
        <v>251</v>
      </c>
      <c r="L1099" s="4" t="s">
        <v>125</v>
      </c>
      <c r="M1099" s="4" t="s">
        <v>134</v>
      </c>
      <c r="N1099" s="4" t="s">
        <v>37</v>
      </c>
      <c r="O1099" s="4" t="s">
        <v>355</v>
      </c>
      <c r="P1099" s="4">
        <v>270</v>
      </c>
      <c r="Q1099" s="4" t="s">
        <v>39</v>
      </c>
      <c r="R1099" s="4" t="s">
        <v>136</v>
      </c>
      <c r="S1099" s="4">
        <v>88200</v>
      </c>
      <c r="T1099" s="4">
        <v>0</v>
      </c>
      <c r="U1099" s="4">
        <v>88200</v>
      </c>
      <c r="V1099" s="4">
        <v>82898</v>
      </c>
      <c r="W1099" s="4">
        <v>2046</v>
      </c>
      <c r="X1099" s="4">
        <v>521</v>
      </c>
      <c r="Y1099" s="4" t="s">
        <v>91</v>
      </c>
      <c r="Z1099" s="4">
        <v>86</v>
      </c>
      <c r="AA1099" s="4">
        <v>4.3</v>
      </c>
      <c r="AB1099" s="4" t="s">
        <v>52</v>
      </c>
    </row>
    <row r="1100" spans="1:28" x14ac:dyDescent="0.25">
      <c r="A1100" s="2" t="s">
        <v>1829</v>
      </c>
      <c r="B1100" s="2" t="s">
        <v>433</v>
      </c>
      <c r="C1100" s="2">
        <v>19</v>
      </c>
      <c r="D1100" s="2" t="s">
        <v>55</v>
      </c>
      <c r="E1100" s="2" t="s">
        <v>45</v>
      </c>
      <c r="F1100" s="2" t="s">
        <v>157</v>
      </c>
      <c r="G1100" s="3">
        <v>44798</v>
      </c>
      <c r="H1100" s="3">
        <v>44828</v>
      </c>
      <c r="I1100" s="2">
        <v>30</v>
      </c>
      <c r="J1100" s="2" t="s">
        <v>73</v>
      </c>
      <c r="K1100" s="2" t="s">
        <v>74</v>
      </c>
      <c r="L1100" s="2" t="s">
        <v>73</v>
      </c>
      <c r="M1100" s="2" t="s">
        <v>130</v>
      </c>
      <c r="N1100" s="2" t="s">
        <v>118</v>
      </c>
      <c r="O1100" s="2" t="s">
        <v>627</v>
      </c>
      <c r="P1100" s="2">
        <v>496</v>
      </c>
      <c r="Q1100" s="2" t="s">
        <v>103</v>
      </c>
      <c r="R1100" s="2" t="s">
        <v>40</v>
      </c>
      <c r="S1100" s="2">
        <v>90170</v>
      </c>
      <c r="T1100" s="2">
        <v>52084</v>
      </c>
      <c r="U1100" s="2">
        <v>38086</v>
      </c>
      <c r="V1100" s="2">
        <v>48183</v>
      </c>
      <c r="W1100" s="2">
        <v>26104</v>
      </c>
      <c r="X1100" s="2">
        <v>11037</v>
      </c>
      <c r="Y1100" s="2" t="s">
        <v>41</v>
      </c>
      <c r="Z1100" s="2">
        <v>40</v>
      </c>
      <c r="AA1100" s="2">
        <v>4.4000000000000004</v>
      </c>
      <c r="AB1100" s="2" t="s">
        <v>137</v>
      </c>
    </row>
    <row r="1101" spans="1:28" x14ac:dyDescent="0.25">
      <c r="A1101" s="4" t="s">
        <v>1830</v>
      </c>
      <c r="B1101" s="4" t="s">
        <v>1831</v>
      </c>
      <c r="C1101" s="4">
        <v>51</v>
      </c>
      <c r="D1101" s="4" t="s">
        <v>30</v>
      </c>
      <c r="E1101" s="4" t="s">
        <v>122</v>
      </c>
      <c r="F1101" s="4" t="s">
        <v>72</v>
      </c>
      <c r="G1101" s="5">
        <v>45513</v>
      </c>
      <c r="H1101" s="5">
        <v>45530</v>
      </c>
      <c r="I1101" s="4">
        <v>17</v>
      </c>
      <c r="J1101" s="4" t="s">
        <v>73</v>
      </c>
      <c r="K1101" s="4" t="s">
        <v>74</v>
      </c>
      <c r="L1101" s="4" t="s">
        <v>73</v>
      </c>
      <c r="M1101" s="4" t="s">
        <v>143</v>
      </c>
      <c r="N1101" s="4" t="s">
        <v>62</v>
      </c>
      <c r="O1101" s="4" t="s">
        <v>76</v>
      </c>
      <c r="P1101" s="4">
        <v>459</v>
      </c>
      <c r="Q1101" s="4" t="s">
        <v>50</v>
      </c>
      <c r="R1101" s="4" t="s">
        <v>90</v>
      </c>
      <c r="S1101" s="4">
        <v>125186</v>
      </c>
      <c r="T1101" s="4">
        <v>84222</v>
      </c>
      <c r="U1101" s="4">
        <v>40964</v>
      </c>
      <c r="V1101" s="4">
        <v>80418</v>
      </c>
      <c r="W1101" s="4">
        <v>29400</v>
      </c>
      <c r="X1101" s="4">
        <v>12170</v>
      </c>
      <c r="Y1101" s="4" t="s">
        <v>91</v>
      </c>
      <c r="Z1101" s="4">
        <v>61</v>
      </c>
      <c r="AA1101" s="4">
        <v>4.5999999999999996</v>
      </c>
      <c r="AB1101" s="4" t="s">
        <v>64</v>
      </c>
    </row>
    <row r="1102" spans="1:28" x14ac:dyDescent="0.25">
      <c r="A1102" s="2" t="s">
        <v>1832</v>
      </c>
      <c r="B1102" s="2" t="s">
        <v>1191</v>
      </c>
      <c r="C1102" s="2">
        <v>17</v>
      </c>
      <c r="D1102" s="2" t="s">
        <v>30</v>
      </c>
      <c r="E1102" s="2" t="s">
        <v>79</v>
      </c>
      <c r="F1102" s="2" t="s">
        <v>150</v>
      </c>
      <c r="G1102" s="3">
        <v>45401</v>
      </c>
      <c r="H1102" s="3">
        <v>45427</v>
      </c>
      <c r="I1102" s="2">
        <v>26</v>
      </c>
      <c r="J1102" s="2" t="s">
        <v>33</v>
      </c>
      <c r="K1102" s="2" t="s">
        <v>107</v>
      </c>
      <c r="L1102" s="2" t="s">
        <v>48</v>
      </c>
      <c r="M1102" s="2" t="s">
        <v>143</v>
      </c>
      <c r="N1102" s="2" t="s">
        <v>62</v>
      </c>
      <c r="O1102" s="2" t="s">
        <v>509</v>
      </c>
      <c r="P1102" s="2">
        <v>329</v>
      </c>
      <c r="Q1102" s="2" t="s">
        <v>39</v>
      </c>
      <c r="R1102" s="2" t="s">
        <v>90</v>
      </c>
      <c r="S1102" s="2">
        <v>130543</v>
      </c>
      <c r="T1102" s="2">
        <v>97818</v>
      </c>
      <c r="U1102" s="2">
        <v>32725</v>
      </c>
      <c r="V1102" s="2">
        <v>106063</v>
      </c>
      <c r="W1102" s="2">
        <v>8274</v>
      </c>
      <c r="X1102" s="2">
        <v>12886</v>
      </c>
      <c r="Y1102" s="2" t="s">
        <v>41</v>
      </c>
      <c r="Z1102" s="2">
        <v>81</v>
      </c>
      <c r="AA1102" s="2">
        <v>4.0999999999999996</v>
      </c>
      <c r="AB1102" s="2" t="s">
        <v>104</v>
      </c>
    </row>
    <row r="1103" spans="1:28" x14ac:dyDescent="0.25">
      <c r="A1103" s="4" t="s">
        <v>1833</v>
      </c>
      <c r="B1103" s="4" t="s">
        <v>980</v>
      </c>
      <c r="C1103" s="4">
        <v>64</v>
      </c>
      <c r="D1103" s="4" t="s">
        <v>55</v>
      </c>
      <c r="E1103" s="4" t="s">
        <v>154</v>
      </c>
      <c r="F1103" s="4" t="s">
        <v>157</v>
      </c>
      <c r="G1103" s="5">
        <v>45016</v>
      </c>
      <c r="H1103" s="5">
        <v>45043</v>
      </c>
      <c r="I1103" s="4">
        <v>27</v>
      </c>
      <c r="J1103" s="4" t="s">
        <v>33</v>
      </c>
      <c r="K1103" s="4" t="s">
        <v>233</v>
      </c>
      <c r="L1103" s="4" t="s">
        <v>35</v>
      </c>
      <c r="M1103" s="4" t="s">
        <v>134</v>
      </c>
      <c r="N1103" s="4" t="s">
        <v>109</v>
      </c>
      <c r="O1103" s="4" t="s">
        <v>431</v>
      </c>
      <c r="P1103" s="4">
        <v>295</v>
      </c>
      <c r="Q1103" s="4" t="s">
        <v>69</v>
      </c>
      <c r="R1103" s="4" t="s">
        <v>136</v>
      </c>
      <c r="S1103" s="4">
        <v>120234</v>
      </c>
      <c r="T1103" s="4">
        <v>0</v>
      </c>
      <c r="U1103" s="4">
        <v>120234</v>
      </c>
      <c r="V1103" s="4">
        <v>92014</v>
      </c>
      <c r="W1103" s="4">
        <v>19105</v>
      </c>
      <c r="X1103" s="4">
        <v>5794</v>
      </c>
      <c r="Y1103" s="4" t="s">
        <v>41</v>
      </c>
      <c r="Z1103" s="4">
        <v>90</v>
      </c>
      <c r="AA1103" s="4">
        <v>3.1</v>
      </c>
      <c r="AB1103" s="4" t="s">
        <v>42</v>
      </c>
    </row>
    <row r="1104" spans="1:28" x14ac:dyDescent="0.25">
      <c r="A1104" s="2" t="s">
        <v>1834</v>
      </c>
      <c r="B1104" s="2" t="s">
        <v>739</v>
      </c>
      <c r="C1104" s="2">
        <v>74</v>
      </c>
      <c r="D1104" s="2" t="s">
        <v>30</v>
      </c>
      <c r="E1104" s="2" t="s">
        <v>154</v>
      </c>
      <c r="F1104" s="2" t="s">
        <v>72</v>
      </c>
      <c r="G1104" s="3">
        <v>44563</v>
      </c>
      <c r="H1104" s="3">
        <v>44590</v>
      </c>
      <c r="I1104" s="2">
        <v>27</v>
      </c>
      <c r="J1104" s="2" t="s">
        <v>33</v>
      </c>
      <c r="K1104" s="2" t="s">
        <v>81</v>
      </c>
      <c r="L1104" s="2" t="s">
        <v>82</v>
      </c>
      <c r="M1104" s="2" t="s">
        <v>108</v>
      </c>
      <c r="N1104" s="2" t="s">
        <v>62</v>
      </c>
      <c r="O1104" s="2" t="s">
        <v>399</v>
      </c>
      <c r="P1104" s="2">
        <v>458</v>
      </c>
      <c r="Q1104" s="2" t="s">
        <v>39</v>
      </c>
      <c r="R1104" s="2" t="s">
        <v>51</v>
      </c>
      <c r="S1104" s="2">
        <v>166796</v>
      </c>
      <c r="T1104" s="2">
        <v>70055</v>
      </c>
      <c r="U1104" s="2">
        <v>96741</v>
      </c>
      <c r="V1104" s="2">
        <v>147402</v>
      </c>
      <c r="W1104" s="2">
        <v>15062</v>
      </c>
      <c r="X1104" s="2">
        <v>742</v>
      </c>
      <c r="Y1104" s="2" t="s">
        <v>91</v>
      </c>
      <c r="Z1104" s="2">
        <v>61</v>
      </c>
      <c r="AA1104" s="2">
        <v>3.3</v>
      </c>
      <c r="AB1104" s="2" t="s">
        <v>64</v>
      </c>
    </row>
    <row r="1105" spans="1:28" x14ac:dyDescent="0.25">
      <c r="A1105" s="4" t="s">
        <v>1835</v>
      </c>
      <c r="B1105" s="4" t="s">
        <v>1064</v>
      </c>
      <c r="C1105" s="4">
        <v>39</v>
      </c>
      <c r="D1105" s="4" t="s">
        <v>30</v>
      </c>
      <c r="E1105" s="4" t="s">
        <v>87</v>
      </c>
      <c r="F1105" s="4" t="s">
        <v>57</v>
      </c>
      <c r="G1105" s="5">
        <v>44731</v>
      </c>
      <c r="H1105" s="5">
        <v>44744</v>
      </c>
      <c r="I1105" s="4">
        <v>13</v>
      </c>
      <c r="J1105" s="4" t="s">
        <v>33</v>
      </c>
      <c r="K1105" s="4" t="s">
        <v>47</v>
      </c>
      <c r="L1105" s="4" t="s">
        <v>48</v>
      </c>
      <c r="M1105" s="4" t="s">
        <v>83</v>
      </c>
      <c r="N1105" s="4" t="s">
        <v>37</v>
      </c>
      <c r="O1105" s="4" t="s">
        <v>199</v>
      </c>
      <c r="P1105" s="4">
        <v>215</v>
      </c>
      <c r="Q1105" s="4" t="s">
        <v>69</v>
      </c>
      <c r="R1105" s="4" t="s">
        <v>136</v>
      </c>
      <c r="S1105" s="4">
        <v>158802</v>
      </c>
      <c r="T1105" s="4">
        <v>0</v>
      </c>
      <c r="U1105" s="4">
        <v>158802</v>
      </c>
      <c r="V1105" s="4">
        <v>149660</v>
      </c>
      <c r="W1105" s="4">
        <v>2919</v>
      </c>
      <c r="X1105" s="4">
        <v>2793</v>
      </c>
      <c r="Y1105" s="4" t="s">
        <v>41</v>
      </c>
      <c r="Z1105" s="4">
        <v>41</v>
      </c>
      <c r="AA1105" s="4">
        <v>3.5</v>
      </c>
      <c r="AB1105" s="4" t="s">
        <v>64</v>
      </c>
    </row>
    <row r="1106" spans="1:28" x14ac:dyDescent="0.25">
      <c r="A1106" s="2" t="s">
        <v>1836</v>
      </c>
      <c r="B1106" s="2" t="s">
        <v>1246</v>
      </c>
      <c r="C1106" s="2">
        <v>83</v>
      </c>
      <c r="D1106" s="2" t="s">
        <v>55</v>
      </c>
      <c r="E1106" s="2" t="s">
        <v>67</v>
      </c>
      <c r="F1106" s="2" t="s">
        <v>46</v>
      </c>
      <c r="G1106" s="3">
        <v>45113</v>
      </c>
      <c r="H1106" s="3">
        <v>45123</v>
      </c>
      <c r="I1106" s="2">
        <v>10</v>
      </c>
      <c r="J1106" s="2" t="s">
        <v>33</v>
      </c>
      <c r="K1106" s="2" t="s">
        <v>107</v>
      </c>
      <c r="L1106" s="2" t="s">
        <v>48</v>
      </c>
      <c r="M1106" s="2" t="s">
        <v>143</v>
      </c>
      <c r="N1106" s="2" t="s">
        <v>118</v>
      </c>
      <c r="O1106" s="2" t="s">
        <v>194</v>
      </c>
      <c r="P1106" s="2">
        <v>145</v>
      </c>
      <c r="Q1106" s="2" t="s">
        <v>39</v>
      </c>
      <c r="R1106" s="2" t="s">
        <v>40</v>
      </c>
      <c r="S1106" s="2">
        <v>56721</v>
      </c>
      <c r="T1106" s="2">
        <v>27819</v>
      </c>
      <c r="U1106" s="2">
        <v>28902</v>
      </c>
      <c r="V1106" s="2">
        <v>41919</v>
      </c>
      <c r="W1106" s="2">
        <v>9209</v>
      </c>
      <c r="X1106" s="2">
        <v>3352</v>
      </c>
      <c r="Y1106" s="2" t="s">
        <v>91</v>
      </c>
      <c r="Z1106" s="2">
        <v>42</v>
      </c>
      <c r="AA1106" s="2">
        <v>2.8</v>
      </c>
      <c r="AB1106" s="2" t="s">
        <v>137</v>
      </c>
    </row>
    <row r="1107" spans="1:28" x14ac:dyDescent="0.25">
      <c r="A1107" s="4" t="s">
        <v>1837</v>
      </c>
      <c r="B1107" s="4" t="s">
        <v>1838</v>
      </c>
      <c r="C1107" s="4">
        <v>44</v>
      </c>
      <c r="D1107" s="4" t="s">
        <v>55</v>
      </c>
      <c r="E1107" s="4" t="s">
        <v>45</v>
      </c>
      <c r="F1107" s="4" t="s">
        <v>80</v>
      </c>
      <c r="G1107" s="5">
        <v>45067</v>
      </c>
      <c r="H1107" s="5">
        <v>45095</v>
      </c>
      <c r="I1107" s="4">
        <v>28</v>
      </c>
      <c r="J1107" s="4" t="s">
        <v>115</v>
      </c>
      <c r="K1107" s="4" t="s">
        <v>116</v>
      </c>
      <c r="L1107" s="4" t="s">
        <v>117</v>
      </c>
      <c r="M1107" s="4" t="s">
        <v>36</v>
      </c>
      <c r="N1107" s="4" t="s">
        <v>118</v>
      </c>
      <c r="O1107" s="4" t="s">
        <v>673</v>
      </c>
      <c r="P1107" s="4">
        <v>162</v>
      </c>
      <c r="Q1107" s="4" t="s">
        <v>103</v>
      </c>
      <c r="R1107" s="4" t="s">
        <v>136</v>
      </c>
      <c r="S1107" s="4">
        <v>34075</v>
      </c>
      <c r="T1107" s="4">
        <v>0</v>
      </c>
      <c r="U1107" s="4">
        <v>34075</v>
      </c>
      <c r="V1107" s="4">
        <v>12548</v>
      </c>
      <c r="W1107" s="4">
        <v>13588</v>
      </c>
      <c r="X1107" s="4">
        <v>3352</v>
      </c>
      <c r="Y1107" s="4" t="s">
        <v>41</v>
      </c>
      <c r="Z1107" s="4">
        <v>64</v>
      </c>
      <c r="AA1107" s="4">
        <v>2</v>
      </c>
      <c r="AB1107" s="4" t="s">
        <v>52</v>
      </c>
    </row>
    <row r="1108" spans="1:28" x14ac:dyDescent="0.25">
      <c r="A1108" s="2" t="s">
        <v>1839</v>
      </c>
      <c r="B1108" s="2" t="s">
        <v>1535</v>
      </c>
      <c r="C1108" s="2">
        <v>62</v>
      </c>
      <c r="D1108" s="2" t="s">
        <v>55</v>
      </c>
      <c r="E1108" s="2" t="s">
        <v>31</v>
      </c>
      <c r="F1108" s="2" t="s">
        <v>32</v>
      </c>
      <c r="G1108" s="3">
        <v>45015</v>
      </c>
      <c r="H1108" s="3">
        <v>45037</v>
      </c>
      <c r="I1108" s="2">
        <v>22</v>
      </c>
      <c r="J1108" s="2" t="s">
        <v>140</v>
      </c>
      <c r="K1108" s="2" t="s">
        <v>141</v>
      </c>
      <c r="L1108" s="2" t="s">
        <v>142</v>
      </c>
      <c r="M1108" s="2" t="s">
        <v>95</v>
      </c>
      <c r="N1108" s="2" t="s">
        <v>118</v>
      </c>
      <c r="O1108" s="2" t="s">
        <v>355</v>
      </c>
      <c r="P1108" s="2">
        <v>477</v>
      </c>
      <c r="Q1108" s="2" t="s">
        <v>39</v>
      </c>
      <c r="R1108" s="2" t="s">
        <v>90</v>
      </c>
      <c r="S1108" s="2">
        <v>122375</v>
      </c>
      <c r="T1108" s="2">
        <v>92712</v>
      </c>
      <c r="U1108" s="2">
        <v>29663</v>
      </c>
      <c r="V1108" s="2">
        <v>89451</v>
      </c>
      <c r="W1108" s="2">
        <v>21972</v>
      </c>
      <c r="X1108" s="2">
        <v>9311</v>
      </c>
      <c r="Y1108" s="2" t="s">
        <v>41</v>
      </c>
      <c r="Z1108" s="2">
        <v>57</v>
      </c>
      <c r="AA1108" s="2">
        <v>2.1</v>
      </c>
      <c r="AB1108" s="2" t="s">
        <v>64</v>
      </c>
    </row>
    <row r="1109" spans="1:28" x14ac:dyDescent="0.25">
      <c r="A1109" s="4" t="s">
        <v>1840</v>
      </c>
      <c r="B1109" s="4" t="s">
        <v>1087</v>
      </c>
      <c r="C1109" s="4">
        <v>55</v>
      </c>
      <c r="D1109" s="4" t="s">
        <v>55</v>
      </c>
      <c r="E1109" s="4" t="s">
        <v>56</v>
      </c>
      <c r="F1109" s="4" t="s">
        <v>150</v>
      </c>
      <c r="G1109" s="5">
        <v>44885</v>
      </c>
      <c r="H1109" s="5">
        <v>44889</v>
      </c>
      <c r="I1109" s="4">
        <v>4</v>
      </c>
      <c r="J1109" s="4" t="s">
        <v>33</v>
      </c>
      <c r="K1109" s="4" t="s">
        <v>174</v>
      </c>
      <c r="L1109" s="4" t="s">
        <v>48</v>
      </c>
      <c r="M1109" s="4" t="s">
        <v>143</v>
      </c>
      <c r="N1109" s="4" t="s">
        <v>109</v>
      </c>
      <c r="O1109" s="4" t="s">
        <v>548</v>
      </c>
      <c r="P1109" s="4">
        <v>155</v>
      </c>
      <c r="Q1109" s="4" t="s">
        <v>69</v>
      </c>
      <c r="R1109" s="4" t="s">
        <v>111</v>
      </c>
      <c r="S1109" s="4">
        <v>160431</v>
      </c>
      <c r="T1109" s="4">
        <v>139824</v>
      </c>
      <c r="U1109" s="4">
        <v>20607</v>
      </c>
      <c r="V1109" s="4">
        <v>126637</v>
      </c>
      <c r="W1109" s="4">
        <v>18746</v>
      </c>
      <c r="X1109" s="4">
        <v>13100</v>
      </c>
      <c r="Y1109" s="4" t="s">
        <v>41</v>
      </c>
      <c r="Z1109" s="4">
        <v>55</v>
      </c>
      <c r="AA1109" s="4">
        <v>3.8</v>
      </c>
      <c r="AB1109" s="4" t="s">
        <v>137</v>
      </c>
    </row>
    <row r="1110" spans="1:28" x14ac:dyDescent="0.25">
      <c r="A1110" s="2" t="s">
        <v>1841</v>
      </c>
      <c r="B1110" s="2" t="s">
        <v>255</v>
      </c>
      <c r="C1110" s="2">
        <v>31</v>
      </c>
      <c r="D1110" s="2" t="s">
        <v>30</v>
      </c>
      <c r="E1110" s="2" t="s">
        <v>122</v>
      </c>
      <c r="F1110" s="2" t="s">
        <v>114</v>
      </c>
      <c r="G1110" s="3">
        <v>45015</v>
      </c>
      <c r="H1110" s="3">
        <v>45020</v>
      </c>
      <c r="I1110" s="2">
        <v>5</v>
      </c>
      <c r="J1110" s="2" t="s">
        <v>58</v>
      </c>
      <c r="K1110" s="2" t="s">
        <v>88</v>
      </c>
      <c r="L1110" s="2" t="s">
        <v>60</v>
      </c>
      <c r="M1110" s="2" t="s">
        <v>61</v>
      </c>
      <c r="N1110" s="2" t="s">
        <v>62</v>
      </c>
      <c r="O1110" s="2" t="s">
        <v>89</v>
      </c>
      <c r="P1110" s="2">
        <v>81</v>
      </c>
      <c r="Q1110" s="2" t="s">
        <v>69</v>
      </c>
      <c r="R1110" s="2" t="s">
        <v>136</v>
      </c>
      <c r="S1110" s="2">
        <v>188322</v>
      </c>
      <c r="T1110" s="2">
        <v>0</v>
      </c>
      <c r="U1110" s="2">
        <v>188322</v>
      </c>
      <c r="V1110" s="2">
        <v>144365</v>
      </c>
      <c r="W1110" s="2">
        <v>26566</v>
      </c>
      <c r="X1110" s="2">
        <v>13956</v>
      </c>
      <c r="Y1110" s="2" t="s">
        <v>91</v>
      </c>
      <c r="Z1110" s="2">
        <v>49</v>
      </c>
      <c r="AA1110" s="2">
        <v>2.1</v>
      </c>
      <c r="AB1110" s="2" t="s">
        <v>104</v>
      </c>
    </row>
    <row r="1111" spans="1:28" x14ac:dyDescent="0.25">
      <c r="A1111" s="4" t="s">
        <v>1842</v>
      </c>
      <c r="B1111" s="4" t="s">
        <v>1109</v>
      </c>
      <c r="C1111" s="4">
        <v>11</v>
      </c>
      <c r="D1111" s="4" t="s">
        <v>55</v>
      </c>
      <c r="E1111" s="4" t="s">
        <v>31</v>
      </c>
      <c r="F1111" s="4" t="s">
        <v>32</v>
      </c>
      <c r="G1111" s="5">
        <v>44995</v>
      </c>
      <c r="H1111" s="5">
        <v>45007</v>
      </c>
      <c r="I1111" s="4">
        <v>12</v>
      </c>
      <c r="J1111" s="4" t="s">
        <v>33</v>
      </c>
      <c r="K1111" s="4" t="s">
        <v>233</v>
      </c>
      <c r="L1111" s="4" t="s">
        <v>35</v>
      </c>
      <c r="M1111" s="4" t="s">
        <v>83</v>
      </c>
      <c r="N1111" s="4" t="s">
        <v>37</v>
      </c>
      <c r="O1111" s="4" t="s">
        <v>337</v>
      </c>
      <c r="P1111" s="4">
        <v>32</v>
      </c>
      <c r="Q1111" s="4" t="s">
        <v>69</v>
      </c>
      <c r="R1111" s="4" t="s">
        <v>90</v>
      </c>
      <c r="S1111" s="4">
        <v>33113</v>
      </c>
      <c r="T1111" s="4">
        <v>24142</v>
      </c>
      <c r="U1111" s="4">
        <v>8971</v>
      </c>
      <c r="V1111" s="4">
        <v>10682</v>
      </c>
      <c r="W1111" s="4">
        <v>7022</v>
      </c>
      <c r="X1111" s="4">
        <v>12111</v>
      </c>
      <c r="Y1111" s="4" t="s">
        <v>41</v>
      </c>
      <c r="Z1111" s="4">
        <v>51</v>
      </c>
      <c r="AA1111" s="4">
        <v>4.5</v>
      </c>
      <c r="AB1111" s="4" t="s">
        <v>137</v>
      </c>
    </row>
    <row r="1112" spans="1:28" x14ac:dyDescent="0.25">
      <c r="A1112" s="2" t="s">
        <v>1843</v>
      </c>
      <c r="B1112" s="2" t="s">
        <v>769</v>
      </c>
      <c r="C1112" s="2">
        <v>68</v>
      </c>
      <c r="D1112" s="2" t="s">
        <v>55</v>
      </c>
      <c r="E1112" s="2" t="s">
        <v>45</v>
      </c>
      <c r="F1112" s="2" t="s">
        <v>80</v>
      </c>
      <c r="G1112" s="3">
        <v>45195</v>
      </c>
      <c r="H1112" s="3">
        <v>45196</v>
      </c>
      <c r="I1112" s="2">
        <v>1</v>
      </c>
      <c r="J1112" s="2" t="s">
        <v>33</v>
      </c>
      <c r="K1112" s="2" t="s">
        <v>107</v>
      </c>
      <c r="L1112" s="2" t="s">
        <v>48</v>
      </c>
      <c r="M1112" s="2" t="s">
        <v>101</v>
      </c>
      <c r="N1112" s="2" t="s">
        <v>109</v>
      </c>
      <c r="O1112" s="2" t="s">
        <v>151</v>
      </c>
      <c r="P1112" s="2">
        <v>147</v>
      </c>
      <c r="Q1112" s="2" t="s">
        <v>50</v>
      </c>
      <c r="R1112" s="2" t="s">
        <v>40</v>
      </c>
      <c r="S1112" s="2">
        <v>71699</v>
      </c>
      <c r="T1112" s="2">
        <v>49380</v>
      </c>
      <c r="U1112" s="2">
        <v>22319</v>
      </c>
      <c r="V1112" s="2">
        <v>40839</v>
      </c>
      <c r="W1112" s="2">
        <v>25343</v>
      </c>
      <c r="X1112" s="2">
        <v>4339</v>
      </c>
      <c r="Y1112" s="2" t="s">
        <v>41</v>
      </c>
      <c r="Z1112" s="2">
        <v>69</v>
      </c>
      <c r="AA1112" s="2">
        <v>3.4</v>
      </c>
      <c r="AB1112" s="2" t="s">
        <v>42</v>
      </c>
    </row>
    <row r="1113" spans="1:28" x14ac:dyDescent="0.25">
      <c r="A1113" s="4" t="s">
        <v>1844</v>
      </c>
      <c r="B1113" s="4" t="s">
        <v>1845</v>
      </c>
      <c r="C1113" s="4">
        <v>41</v>
      </c>
      <c r="D1113" s="4" t="s">
        <v>30</v>
      </c>
      <c r="E1113" s="4" t="s">
        <v>67</v>
      </c>
      <c r="F1113" s="4" t="s">
        <v>46</v>
      </c>
      <c r="G1113" s="5">
        <v>45465</v>
      </c>
      <c r="H1113" s="5">
        <v>45489</v>
      </c>
      <c r="I1113" s="4">
        <v>24</v>
      </c>
      <c r="J1113" s="4" t="s">
        <v>58</v>
      </c>
      <c r="K1113" s="4" t="s">
        <v>59</v>
      </c>
      <c r="L1113" s="4" t="s">
        <v>60</v>
      </c>
      <c r="M1113" s="4" t="s">
        <v>83</v>
      </c>
      <c r="N1113" s="4" t="s">
        <v>62</v>
      </c>
      <c r="O1113" s="4" t="s">
        <v>337</v>
      </c>
      <c r="P1113" s="4">
        <v>152</v>
      </c>
      <c r="Q1113" s="4" t="s">
        <v>50</v>
      </c>
      <c r="R1113" s="4" t="s">
        <v>40</v>
      </c>
      <c r="S1113" s="4">
        <v>51675</v>
      </c>
      <c r="T1113" s="4">
        <v>35770</v>
      </c>
      <c r="U1113" s="4">
        <v>15905</v>
      </c>
      <c r="V1113" s="4">
        <v>32370</v>
      </c>
      <c r="W1113" s="4">
        <v>3630</v>
      </c>
      <c r="X1113" s="4">
        <v>11478</v>
      </c>
      <c r="Y1113" s="4" t="s">
        <v>41</v>
      </c>
      <c r="Z1113" s="4">
        <v>66</v>
      </c>
      <c r="AA1113" s="4">
        <v>4.0999999999999996</v>
      </c>
      <c r="AB1113" s="4" t="s">
        <v>52</v>
      </c>
    </row>
    <row r="1114" spans="1:28" x14ac:dyDescent="0.25">
      <c r="A1114" s="2" t="s">
        <v>1846</v>
      </c>
      <c r="B1114" s="2" t="s">
        <v>970</v>
      </c>
      <c r="C1114" s="2">
        <v>27</v>
      </c>
      <c r="D1114" s="2" t="s">
        <v>30</v>
      </c>
      <c r="E1114" s="2" t="s">
        <v>67</v>
      </c>
      <c r="F1114" s="2" t="s">
        <v>157</v>
      </c>
      <c r="G1114" s="3">
        <v>44818</v>
      </c>
      <c r="H1114" s="3">
        <v>44819</v>
      </c>
      <c r="I1114" s="2">
        <v>1</v>
      </c>
      <c r="J1114" s="2" t="s">
        <v>33</v>
      </c>
      <c r="K1114" s="2" t="s">
        <v>278</v>
      </c>
      <c r="L1114" s="2" t="s">
        <v>279</v>
      </c>
      <c r="M1114" s="2" t="s">
        <v>75</v>
      </c>
      <c r="N1114" s="2" t="s">
        <v>62</v>
      </c>
      <c r="O1114" s="2" t="s">
        <v>416</v>
      </c>
      <c r="P1114" s="2">
        <v>281</v>
      </c>
      <c r="Q1114" s="2" t="s">
        <v>69</v>
      </c>
      <c r="R1114" s="2" t="s">
        <v>111</v>
      </c>
      <c r="S1114" s="2">
        <v>64874</v>
      </c>
      <c r="T1114" s="2">
        <v>41958</v>
      </c>
      <c r="U1114" s="2">
        <v>22916</v>
      </c>
      <c r="V1114" s="2">
        <v>24445</v>
      </c>
      <c r="W1114" s="2">
        <v>27121</v>
      </c>
      <c r="X1114" s="2">
        <v>12318</v>
      </c>
      <c r="Y1114" s="2" t="s">
        <v>41</v>
      </c>
      <c r="Z1114" s="2">
        <v>83</v>
      </c>
      <c r="AA1114" s="2">
        <v>2.2999999999999998</v>
      </c>
      <c r="AB1114" s="2" t="s">
        <v>137</v>
      </c>
    </row>
    <row r="1115" spans="1:28" x14ac:dyDescent="0.25">
      <c r="A1115" s="4" t="s">
        <v>1847</v>
      </c>
      <c r="B1115" s="4" t="s">
        <v>590</v>
      </c>
      <c r="C1115" s="4">
        <v>61</v>
      </c>
      <c r="D1115" s="4" t="s">
        <v>55</v>
      </c>
      <c r="E1115" s="4" t="s">
        <v>67</v>
      </c>
      <c r="F1115" s="4" t="s">
        <v>150</v>
      </c>
      <c r="G1115" s="5">
        <v>45437</v>
      </c>
      <c r="H1115" s="5">
        <v>45444</v>
      </c>
      <c r="I1115" s="4">
        <v>7</v>
      </c>
      <c r="J1115" s="4" t="s">
        <v>33</v>
      </c>
      <c r="K1115" s="4" t="s">
        <v>47</v>
      </c>
      <c r="L1115" s="4" t="s">
        <v>48</v>
      </c>
      <c r="M1115" s="4" t="s">
        <v>143</v>
      </c>
      <c r="N1115" s="4" t="s">
        <v>109</v>
      </c>
      <c r="O1115" s="4" t="s">
        <v>102</v>
      </c>
      <c r="P1115" s="4">
        <v>64</v>
      </c>
      <c r="Q1115" s="4" t="s">
        <v>50</v>
      </c>
      <c r="R1115" s="4" t="s">
        <v>51</v>
      </c>
      <c r="S1115" s="4">
        <v>65427</v>
      </c>
      <c r="T1115" s="4">
        <v>33601</v>
      </c>
      <c r="U1115" s="4">
        <v>31826</v>
      </c>
      <c r="V1115" s="4">
        <v>45714</v>
      </c>
      <c r="W1115" s="4">
        <v>3346</v>
      </c>
      <c r="X1115" s="4">
        <v>14737</v>
      </c>
      <c r="Y1115" s="4" t="s">
        <v>41</v>
      </c>
      <c r="Z1115" s="4">
        <v>86</v>
      </c>
      <c r="AA1115" s="4">
        <v>2.9</v>
      </c>
      <c r="AB1115" s="4" t="s">
        <v>42</v>
      </c>
    </row>
    <row r="1116" spans="1:28" x14ac:dyDescent="0.25">
      <c r="A1116" s="2" t="s">
        <v>1848</v>
      </c>
      <c r="B1116" s="2" t="s">
        <v>156</v>
      </c>
      <c r="C1116" s="2">
        <v>33</v>
      </c>
      <c r="D1116" s="2" t="s">
        <v>30</v>
      </c>
      <c r="E1116" s="2" t="s">
        <v>56</v>
      </c>
      <c r="F1116" s="2" t="s">
        <v>157</v>
      </c>
      <c r="G1116" s="3">
        <v>45147</v>
      </c>
      <c r="H1116" s="3">
        <v>45175</v>
      </c>
      <c r="I1116" s="2">
        <v>28</v>
      </c>
      <c r="J1116" s="2" t="s">
        <v>140</v>
      </c>
      <c r="K1116" s="2" t="s">
        <v>141</v>
      </c>
      <c r="L1116" s="2" t="s">
        <v>142</v>
      </c>
      <c r="M1116" s="2" t="s">
        <v>134</v>
      </c>
      <c r="N1116" s="2" t="s">
        <v>109</v>
      </c>
      <c r="O1116" s="2" t="s">
        <v>38</v>
      </c>
      <c r="P1116" s="2">
        <v>15</v>
      </c>
      <c r="Q1116" s="2" t="s">
        <v>39</v>
      </c>
      <c r="R1116" s="2" t="s">
        <v>111</v>
      </c>
      <c r="S1116" s="2">
        <v>129007</v>
      </c>
      <c r="T1116" s="2">
        <v>99255</v>
      </c>
      <c r="U1116" s="2">
        <v>29752</v>
      </c>
      <c r="V1116" s="2">
        <v>93251</v>
      </c>
      <c r="W1116" s="2">
        <v>26326</v>
      </c>
      <c r="X1116" s="2">
        <v>4524</v>
      </c>
      <c r="Y1116" s="2" t="s">
        <v>41</v>
      </c>
      <c r="Z1116" s="2">
        <v>95</v>
      </c>
      <c r="AA1116" s="2">
        <v>2.7</v>
      </c>
      <c r="AB1116" s="2" t="s">
        <v>104</v>
      </c>
    </row>
    <row r="1117" spans="1:28" x14ac:dyDescent="0.25">
      <c r="A1117" s="4" t="s">
        <v>1849</v>
      </c>
      <c r="B1117" s="4" t="s">
        <v>1638</v>
      </c>
      <c r="C1117" s="4">
        <v>38</v>
      </c>
      <c r="D1117" s="4" t="s">
        <v>30</v>
      </c>
      <c r="E1117" s="4" t="s">
        <v>45</v>
      </c>
      <c r="F1117" s="4" t="s">
        <v>72</v>
      </c>
      <c r="G1117" s="5">
        <v>45590</v>
      </c>
      <c r="H1117" s="5">
        <v>45618</v>
      </c>
      <c r="I1117" s="4">
        <v>28</v>
      </c>
      <c r="J1117" s="4" t="s">
        <v>115</v>
      </c>
      <c r="K1117" s="4" t="s">
        <v>116</v>
      </c>
      <c r="L1117" s="4" t="s">
        <v>117</v>
      </c>
      <c r="M1117" s="4" t="s">
        <v>101</v>
      </c>
      <c r="N1117" s="4" t="s">
        <v>109</v>
      </c>
      <c r="O1117" s="4" t="s">
        <v>331</v>
      </c>
      <c r="P1117" s="4">
        <v>387</v>
      </c>
      <c r="Q1117" s="4" t="s">
        <v>50</v>
      </c>
      <c r="R1117" s="4" t="s">
        <v>90</v>
      </c>
      <c r="S1117" s="4">
        <v>168004</v>
      </c>
      <c r="T1117" s="4">
        <v>141196</v>
      </c>
      <c r="U1117" s="4">
        <v>26808</v>
      </c>
      <c r="V1117" s="4">
        <v>133683</v>
      </c>
      <c r="W1117" s="4">
        <v>22597</v>
      </c>
      <c r="X1117" s="4">
        <v>9572</v>
      </c>
      <c r="Y1117" s="4" t="s">
        <v>41</v>
      </c>
      <c r="Z1117" s="4">
        <v>61</v>
      </c>
      <c r="AA1117" s="4">
        <v>3.7</v>
      </c>
      <c r="AB1117" s="4" t="s">
        <v>52</v>
      </c>
    </row>
    <row r="1118" spans="1:28" x14ac:dyDescent="0.25">
      <c r="A1118" s="2" t="s">
        <v>1850</v>
      </c>
      <c r="B1118" s="2" t="s">
        <v>963</v>
      </c>
      <c r="C1118" s="2">
        <v>72</v>
      </c>
      <c r="D1118" s="2" t="s">
        <v>55</v>
      </c>
      <c r="E1118" s="2" t="s">
        <v>122</v>
      </c>
      <c r="F1118" s="2" t="s">
        <v>157</v>
      </c>
      <c r="G1118" s="3">
        <v>44763</v>
      </c>
      <c r="H1118" s="3">
        <v>44788</v>
      </c>
      <c r="I1118" s="2">
        <v>25</v>
      </c>
      <c r="J1118" s="2" t="s">
        <v>140</v>
      </c>
      <c r="K1118" s="2" t="s">
        <v>167</v>
      </c>
      <c r="L1118" s="2" t="s">
        <v>142</v>
      </c>
      <c r="M1118" s="2" t="s">
        <v>108</v>
      </c>
      <c r="N1118" s="2" t="s">
        <v>118</v>
      </c>
      <c r="O1118" s="2" t="s">
        <v>571</v>
      </c>
      <c r="P1118" s="2">
        <v>202</v>
      </c>
      <c r="Q1118" s="2" t="s">
        <v>50</v>
      </c>
      <c r="R1118" s="2" t="s">
        <v>40</v>
      </c>
      <c r="S1118" s="2">
        <v>150579</v>
      </c>
      <c r="T1118" s="2">
        <v>99601</v>
      </c>
      <c r="U1118" s="2">
        <v>50978</v>
      </c>
      <c r="V1118" s="2">
        <v>118005</v>
      </c>
      <c r="W1118" s="2">
        <v>15585</v>
      </c>
      <c r="X1118" s="2">
        <v>14685</v>
      </c>
      <c r="Y1118" s="2" t="s">
        <v>41</v>
      </c>
      <c r="Z1118" s="2">
        <v>91</v>
      </c>
      <c r="AA1118" s="2">
        <v>2.4</v>
      </c>
      <c r="AB1118" s="2" t="s">
        <v>64</v>
      </c>
    </row>
    <row r="1119" spans="1:28" x14ac:dyDescent="0.25">
      <c r="A1119" s="4" t="s">
        <v>1851</v>
      </c>
      <c r="B1119" s="4" t="s">
        <v>1133</v>
      </c>
      <c r="C1119" s="4">
        <v>49</v>
      </c>
      <c r="D1119" s="4" t="s">
        <v>55</v>
      </c>
      <c r="E1119" s="4" t="s">
        <v>31</v>
      </c>
      <c r="F1119" s="4" t="s">
        <v>150</v>
      </c>
      <c r="G1119" s="5">
        <v>45310</v>
      </c>
      <c r="H1119" s="5">
        <v>45332</v>
      </c>
      <c r="I1119" s="4">
        <v>22</v>
      </c>
      <c r="J1119" s="4" t="s">
        <v>115</v>
      </c>
      <c r="K1119" s="4" t="s">
        <v>116</v>
      </c>
      <c r="L1119" s="4" t="s">
        <v>117</v>
      </c>
      <c r="M1119" s="4" t="s">
        <v>108</v>
      </c>
      <c r="N1119" s="4" t="s">
        <v>37</v>
      </c>
      <c r="O1119" s="4" t="s">
        <v>63</v>
      </c>
      <c r="P1119" s="4">
        <v>271</v>
      </c>
      <c r="Q1119" s="4" t="s">
        <v>103</v>
      </c>
      <c r="R1119" s="4" t="s">
        <v>51</v>
      </c>
      <c r="S1119" s="4">
        <v>111514</v>
      </c>
      <c r="T1119" s="4">
        <v>50115</v>
      </c>
      <c r="U1119" s="4">
        <v>61399</v>
      </c>
      <c r="V1119" s="4">
        <v>81940</v>
      </c>
      <c r="W1119" s="4">
        <v>20289</v>
      </c>
      <c r="X1119" s="4">
        <v>7477</v>
      </c>
      <c r="Y1119" s="4" t="s">
        <v>41</v>
      </c>
      <c r="Z1119" s="4">
        <v>76</v>
      </c>
      <c r="AA1119" s="4">
        <v>2.9</v>
      </c>
      <c r="AB1119" s="4" t="s">
        <v>52</v>
      </c>
    </row>
    <row r="1120" spans="1:28" x14ac:dyDescent="0.25">
      <c r="A1120" s="2" t="s">
        <v>1852</v>
      </c>
      <c r="B1120" s="2" t="s">
        <v>1101</v>
      </c>
      <c r="C1120" s="2">
        <v>7</v>
      </c>
      <c r="D1120" s="2" t="s">
        <v>30</v>
      </c>
      <c r="E1120" s="2" t="s">
        <v>67</v>
      </c>
      <c r="F1120" s="2" t="s">
        <v>129</v>
      </c>
      <c r="G1120" s="3">
        <v>45206</v>
      </c>
      <c r="H1120" s="3">
        <v>45207</v>
      </c>
      <c r="I1120" s="2">
        <v>1</v>
      </c>
      <c r="J1120" s="2" t="s">
        <v>33</v>
      </c>
      <c r="K1120" s="2" t="s">
        <v>81</v>
      </c>
      <c r="L1120" s="2" t="s">
        <v>82</v>
      </c>
      <c r="M1120" s="2" t="s">
        <v>143</v>
      </c>
      <c r="N1120" s="2" t="s">
        <v>37</v>
      </c>
      <c r="O1120" s="2" t="s">
        <v>68</v>
      </c>
      <c r="P1120" s="2">
        <v>274</v>
      </c>
      <c r="Q1120" s="2" t="s">
        <v>50</v>
      </c>
      <c r="R1120" s="2" t="s">
        <v>90</v>
      </c>
      <c r="S1120" s="2">
        <v>82759</v>
      </c>
      <c r="T1120" s="2">
        <v>71165</v>
      </c>
      <c r="U1120" s="2">
        <v>11594</v>
      </c>
      <c r="V1120" s="2">
        <v>42485</v>
      </c>
      <c r="W1120" s="2">
        <v>27818</v>
      </c>
      <c r="X1120" s="2">
        <v>11512</v>
      </c>
      <c r="Y1120" s="2" t="s">
        <v>41</v>
      </c>
      <c r="Z1120" s="2">
        <v>88</v>
      </c>
      <c r="AA1120" s="2">
        <v>3.3</v>
      </c>
      <c r="AB1120" s="2" t="s">
        <v>137</v>
      </c>
    </row>
    <row r="1121" spans="1:28" x14ac:dyDescent="0.25">
      <c r="A1121" s="4" t="s">
        <v>1853</v>
      </c>
      <c r="B1121" s="4" t="s">
        <v>299</v>
      </c>
      <c r="C1121" s="4">
        <v>27</v>
      </c>
      <c r="D1121" s="4" t="s">
        <v>55</v>
      </c>
      <c r="E1121" s="4" t="s">
        <v>45</v>
      </c>
      <c r="F1121" s="4" t="s">
        <v>57</v>
      </c>
      <c r="G1121" s="5">
        <v>45464</v>
      </c>
      <c r="H1121" s="5">
        <v>45483</v>
      </c>
      <c r="I1121" s="4">
        <v>19</v>
      </c>
      <c r="J1121" s="4" t="s">
        <v>115</v>
      </c>
      <c r="K1121" s="4" t="s">
        <v>160</v>
      </c>
      <c r="L1121" s="4" t="s">
        <v>117</v>
      </c>
      <c r="M1121" s="4" t="s">
        <v>134</v>
      </c>
      <c r="N1121" s="4" t="s">
        <v>109</v>
      </c>
      <c r="O1121" s="4" t="s">
        <v>241</v>
      </c>
      <c r="P1121" s="4">
        <v>295</v>
      </c>
      <c r="Q1121" s="4" t="s">
        <v>69</v>
      </c>
      <c r="R1121" s="4" t="s">
        <v>136</v>
      </c>
      <c r="S1121" s="4">
        <v>165905</v>
      </c>
      <c r="T1121" s="4">
        <v>0</v>
      </c>
      <c r="U1121" s="4">
        <v>165905</v>
      </c>
      <c r="V1121" s="4">
        <v>119579</v>
      </c>
      <c r="W1121" s="4">
        <v>29464</v>
      </c>
      <c r="X1121" s="4">
        <v>13321</v>
      </c>
      <c r="Y1121" s="4" t="s">
        <v>41</v>
      </c>
      <c r="Z1121" s="4">
        <v>51</v>
      </c>
      <c r="AA1121" s="4">
        <v>2.4</v>
      </c>
      <c r="AB1121" s="4" t="s">
        <v>64</v>
      </c>
    </row>
    <row r="1122" spans="1:28" x14ac:dyDescent="0.25">
      <c r="A1122" s="2" t="s">
        <v>1854</v>
      </c>
      <c r="B1122" s="2" t="s">
        <v>689</v>
      </c>
      <c r="C1122" s="2">
        <v>64</v>
      </c>
      <c r="D1122" s="2" t="s">
        <v>55</v>
      </c>
      <c r="E1122" s="2" t="s">
        <v>79</v>
      </c>
      <c r="F1122" s="2" t="s">
        <v>80</v>
      </c>
      <c r="G1122" s="3">
        <v>45571</v>
      </c>
      <c r="H1122" s="3">
        <v>45595</v>
      </c>
      <c r="I1122" s="2">
        <v>24</v>
      </c>
      <c r="J1122" s="2" t="s">
        <v>33</v>
      </c>
      <c r="K1122" s="2" t="s">
        <v>278</v>
      </c>
      <c r="L1122" s="2" t="s">
        <v>279</v>
      </c>
      <c r="M1122" s="2" t="s">
        <v>143</v>
      </c>
      <c r="N1122" s="2" t="s">
        <v>118</v>
      </c>
      <c r="O1122" s="2" t="s">
        <v>135</v>
      </c>
      <c r="P1122" s="2">
        <v>150</v>
      </c>
      <c r="Q1122" s="2" t="s">
        <v>69</v>
      </c>
      <c r="R1122" s="2" t="s">
        <v>111</v>
      </c>
      <c r="S1122" s="2">
        <v>28132</v>
      </c>
      <c r="T1122" s="2">
        <v>18010</v>
      </c>
      <c r="U1122" s="2">
        <v>10122</v>
      </c>
      <c r="V1122" s="2">
        <v>11351</v>
      </c>
      <c r="W1122" s="2">
        <v>7671</v>
      </c>
      <c r="X1122" s="2">
        <v>4271</v>
      </c>
      <c r="Y1122" s="2" t="s">
        <v>41</v>
      </c>
      <c r="Z1122" s="2">
        <v>75</v>
      </c>
      <c r="AA1122" s="2">
        <v>4</v>
      </c>
      <c r="AB1122" s="2" t="s">
        <v>64</v>
      </c>
    </row>
    <row r="1123" spans="1:28" x14ac:dyDescent="0.25">
      <c r="A1123" s="4" t="s">
        <v>1855</v>
      </c>
      <c r="B1123" s="4" t="s">
        <v>719</v>
      </c>
      <c r="C1123" s="4">
        <v>29</v>
      </c>
      <c r="D1123" s="4" t="s">
        <v>30</v>
      </c>
      <c r="E1123" s="4" t="s">
        <v>154</v>
      </c>
      <c r="F1123" s="4" t="s">
        <v>57</v>
      </c>
      <c r="G1123" s="5">
        <v>45114</v>
      </c>
      <c r="H1123" s="5">
        <v>45125</v>
      </c>
      <c r="I1123" s="4">
        <v>11</v>
      </c>
      <c r="J1123" s="4" t="s">
        <v>202</v>
      </c>
      <c r="K1123" s="4" t="s">
        <v>203</v>
      </c>
      <c r="L1123" s="4" t="s">
        <v>204</v>
      </c>
      <c r="M1123" s="4" t="s">
        <v>83</v>
      </c>
      <c r="N1123" s="4" t="s">
        <v>37</v>
      </c>
      <c r="O1123" s="4" t="s">
        <v>373</v>
      </c>
      <c r="P1123" s="4">
        <v>203</v>
      </c>
      <c r="Q1123" s="4" t="s">
        <v>39</v>
      </c>
      <c r="R1123" s="4" t="s">
        <v>111</v>
      </c>
      <c r="S1123" s="4">
        <v>93143</v>
      </c>
      <c r="T1123" s="4">
        <v>67799</v>
      </c>
      <c r="U1123" s="4">
        <v>25344</v>
      </c>
      <c r="V1123" s="4">
        <v>62595</v>
      </c>
      <c r="W1123" s="4">
        <v>22984</v>
      </c>
      <c r="X1123" s="4">
        <v>2803</v>
      </c>
      <c r="Y1123" s="4" t="s">
        <v>91</v>
      </c>
      <c r="Z1123" s="4">
        <v>44</v>
      </c>
      <c r="AA1123" s="4">
        <v>5</v>
      </c>
      <c r="AB1123" s="4" t="s">
        <v>64</v>
      </c>
    </row>
    <row r="1124" spans="1:28" x14ac:dyDescent="0.25">
      <c r="A1124" s="2" t="s">
        <v>1856</v>
      </c>
      <c r="B1124" s="2" t="s">
        <v>1487</v>
      </c>
      <c r="C1124" s="2">
        <v>71</v>
      </c>
      <c r="D1124" s="2" t="s">
        <v>30</v>
      </c>
      <c r="E1124" s="2" t="s">
        <v>79</v>
      </c>
      <c r="F1124" s="2" t="s">
        <v>129</v>
      </c>
      <c r="G1124" s="3">
        <v>45356</v>
      </c>
      <c r="H1124" s="3">
        <v>45383</v>
      </c>
      <c r="I1124" s="2">
        <v>27</v>
      </c>
      <c r="J1124" s="2" t="s">
        <v>140</v>
      </c>
      <c r="K1124" s="2" t="s">
        <v>167</v>
      </c>
      <c r="L1124" s="2" t="s">
        <v>142</v>
      </c>
      <c r="M1124" s="2" t="s">
        <v>61</v>
      </c>
      <c r="N1124" s="2" t="s">
        <v>109</v>
      </c>
      <c r="O1124" s="2" t="s">
        <v>126</v>
      </c>
      <c r="P1124" s="2">
        <v>435</v>
      </c>
      <c r="Q1124" s="2" t="s">
        <v>103</v>
      </c>
      <c r="R1124" s="2" t="s">
        <v>51</v>
      </c>
      <c r="S1124" s="2">
        <v>124750</v>
      </c>
      <c r="T1124" s="2">
        <v>56127</v>
      </c>
      <c r="U1124" s="2">
        <v>68623</v>
      </c>
      <c r="V1124" s="2">
        <v>104883</v>
      </c>
      <c r="W1124" s="2">
        <v>1751</v>
      </c>
      <c r="X1124" s="2">
        <v>13443</v>
      </c>
      <c r="Y1124" s="2" t="s">
        <v>41</v>
      </c>
      <c r="Z1124" s="2">
        <v>74</v>
      </c>
      <c r="AA1124" s="2">
        <v>3.8</v>
      </c>
      <c r="AB1124" s="2" t="s">
        <v>137</v>
      </c>
    </row>
    <row r="1125" spans="1:28" x14ac:dyDescent="0.25">
      <c r="A1125" s="4" t="s">
        <v>1857</v>
      </c>
      <c r="B1125" s="4" t="s">
        <v>1104</v>
      </c>
      <c r="C1125" s="4">
        <v>31</v>
      </c>
      <c r="D1125" s="4" t="s">
        <v>30</v>
      </c>
      <c r="E1125" s="4" t="s">
        <v>122</v>
      </c>
      <c r="F1125" s="4" t="s">
        <v>80</v>
      </c>
      <c r="G1125" s="5">
        <v>45080</v>
      </c>
      <c r="H1125" s="5">
        <v>45100</v>
      </c>
      <c r="I1125" s="4">
        <v>20</v>
      </c>
      <c r="J1125" s="4" t="s">
        <v>58</v>
      </c>
      <c r="K1125" s="4" t="s">
        <v>59</v>
      </c>
      <c r="L1125" s="4" t="s">
        <v>60</v>
      </c>
      <c r="M1125" s="4" t="s">
        <v>101</v>
      </c>
      <c r="N1125" s="4" t="s">
        <v>109</v>
      </c>
      <c r="O1125" s="4" t="s">
        <v>194</v>
      </c>
      <c r="P1125" s="4">
        <v>190</v>
      </c>
      <c r="Q1125" s="4" t="s">
        <v>103</v>
      </c>
      <c r="R1125" s="4" t="s">
        <v>136</v>
      </c>
      <c r="S1125" s="4">
        <v>40101</v>
      </c>
      <c r="T1125" s="4">
        <v>0</v>
      </c>
      <c r="U1125" s="4">
        <v>40101</v>
      </c>
      <c r="V1125" s="4">
        <v>18631</v>
      </c>
      <c r="W1125" s="4">
        <v>4726</v>
      </c>
      <c r="X1125" s="4">
        <v>14706</v>
      </c>
      <c r="Y1125" s="4" t="s">
        <v>91</v>
      </c>
      <c r="Z1125" s="4">
        <v>79</v>
      </c>
      <c r="AA1125" s="4">
        <v>3.1</v>
      </c>
      <c r="AB1125" s="4" t="s">
        <v>104</v>
      </c>
    </row>
    <row r="1126" spans="1:28" x14ac:dyDescent="0.25">
      <c r="A1126" s="2" t="s">
        <v>1858</v>
      </c>
      <c r="B1126" s="2" t="s">
        <v>760</v>
      </c>
      <c r="C1126" s="2">
        <v>32</v>
      </c>
      <c r="D1126" s="2" t="s">
        <v>30</v>
      </c>
      <c r="E1126" s="2" t="s">
        <v>122</v>
      </c>
      <c r="F1126" s="2" t="s">
        <v>57</v>
      </c>
      <c r="G1126" s="3">
        <v>44720</v>
      </c>
      <c r="H1126" s="3">
        <v>44724</v>
      </c>
      <c r="I1126" s="2">
        <v>4</v>
      </c>
      <c r="J1126" s="2" t="s">
        <v>33</v>
      </c>
      <c r="K1126" s="2" t="s">
        <v>47</v>
      </c>
      <c r="L1126" s="2" t="s">
        <v>48</v>
      </c>
      <c r="M1126" s="2" t="s">
        <v>108</v>
      </c>
      <c r="N1126" s="2" t="s">
        <v>62</v>
      </c>
      <c r="O1126" s="2" t="s">
        <v>343</v>
      </c>
      <c r="P1126" s="2">
        <v>403</v>
      </c>
      <c r="Q1126" s="2" t="s">
        <v>69</v>
      </c>
      <c r="R1126" s="2" t="s">
        <v>51</v>
      </c>
      <c r="S1126" s="2">
        <v>39648</v>
      </c>
      <c r="T1126" s="2">
        <v>22723</v>
      </c>
      <c r="U1126" s="2">
        <v>16925</v>
      </c>
      <c r="V1126" s="2">
        <v>17789</v>
      </c>
      <c r="W1126" s="2">
        <v>8102</v>
      </c>
      <c r="X1126" s="2">
        <v>9083</v>
      </c>
      <c r="Y1126" s="2" t="s">
        <v>41</v>
      </c>
      <c r="Z1126" s="2">
        <v>87</v>
      </c>
      <c r="AA1126" s="2">
        <v>2.1</v>
      </c>
      <c r="AB1126" s="2" t="s">
        <v>52</v>
      </c>
    </row>
    <row r="1127" spans="1:28" x14ac:dyDescent="0.25">
      <c r="A1127" s="4" t="s">
        <v>1859</v>
      </c>
      <c r="B1127" s="4" t="s">
        <v>229</v>
      </c>
      <c r="C1127" s="4">
        <v>12</v>
      </c>
      <c r="D1127" s="4" t="s">
        <v>30</v>
      </c>
      <c r="E1127" s="4" t="s">
        <v>122</v>
      </c>
      <c r="F1127" s="4" t="s">
        <v>46</v>
      </c>
      <c r="G1127" s="5">
        <v>45057</v>
      </c>
      <c r="H1127" s="5">
        <v>45060</v>
      </c>
      <c r="I1127" s="4">
        <v>3</v>
      </c>
      <c r="J1127" s="4" t="s">
        <v>58</v>
      </c>
      <c r="K1127" s="4" t="s">
        <v>88</v>
      </c>
      <c r="L1127" s="4" t="s">
        <v>60</v>
      </c>
      <c r="M1127" s="4" t="s">
        <v>108</v>
      </c>
      <c r="N1127" s="4" t="s">
        <v>118</v>
      </c>
      <c r="O1127" s="4" t="s">
        <v>199</v>
      </c>
      <c r="P1127" s="4">
        <v>427</v>
      </c>
      <c r="Q1127" s="4" t="s">
        <v>50</v>
      </c>
      <c r="R1127" s="4" t="s">
        <v>40</v>
      </c>
      <c r="S1127" s="4">
        <v>176305</v>
      </c>
      <c r="T1127" s="4">
        <v>85038</v>
      </c>
      <c r="U1127" s="4">
        <v>91267</v>
      </c>
      <c r="V1127" s="4">
        <v>141954</v>
      </c>
      <c r="W1127" s="4">
        <v>21784</v>
      </c>
      <c r="X1127" s="4">
        <v>11223</v>
      </c>
      <c r="Y1127" s="4" t="s">
        <v>41</v>
      </c>
      <c r="Z1127" s="4">
        <v>70</v>
      </c>
      <c r="AA1127" s="4">
        <v>2.9</v>
      </c>
      <c r="AB1127" s="4" t="s">
        <v>52</v>
      </c>
    </row>
    <row r="1128" spans="1:28" x14ac:dyDescent="0.25">
      <c r="A1128" s="2" t="s">
        <v>1860</v>
      </c>
      <c r="B1128" s="2" t="s">
        <v>313</v>
      </c>
      <c r="C1128" s="2">
        <v>11</v>
      </c>
      <c r="D1128" s="2" t="s">
        <v>55</v>
      </c>
      <c r="E1128" s="2" t="s">
        <v>122</v>
      </c>
      <c r="F1128" s="2" t="s">
        <v>72</v>
      </c>
      <c r="G1128" s="3">
        <v>44586</v>
      </c>
      <c r="H1128" s="3">
        <v>44590</v>
      </c>
      <c r="I1128" s="2">
        <v>4</v>
      </c>
      <c r="J1128" s="2" t="s">
        <v>115</v>
      </c>
      <c r="K1128" s="2" t="s">
        <v>116</v>
      </c>
      <c r="L1128" s="2" t="s">
        <v>117</v>
      </c>
      <c r="M1128" s="2" t="s">
        <v>95</v>
      </c>
      <c r="N1128" s="2" t="s">
        <v>37</v>
      </c>
      <c r="O1128" s="2" t="s">
        <v>110</v>
      </c>
      <c r="P1128" s="2">
        <v>57</v>
      </c>
      <c r="Q1128" s="2" t="s">
        <v>103</v>
      </c>
      <c r="R1128" s="2" t="s">
        <v>111</v>
      </c>
      <c r="S1128" s="2">
        <v>160825</v>
      </c>
      <c r="T1128" s="2">
        <v>142912</v>
      </c>
      <c r="U1128" s="2">
        <v>17913</v>
      </c>
      <c r="V1128" s="2">
        <v>148894</v>
      </c>
      <c r="W1128" s="2">
        <v>9593</v>
      </c>
      <c r="X1128" s="2">
        <v>1091</v>
      </c>
      <c r="Y1128" s="2" t="s">
        <v>41</v>
      </c>
      <c r="Z1128" s="2">
        <v>49</v>
      </c>
      <c r="AA1128" s="2">
        <v>4.7</v>
      </c>
      <c r="AB1128" s="2" t="s">
        <v>104</v>
      </c>
    </row>
    <row r="1129" spans="1:28" x14ac:dyDescent="0.25">
      <c r="A1129" s="4" t="s">
        <v>1861</v>
      </c>
      <c r="B1129" s="4" t="s">
        <v>255</v>
      </c>
      <c r="C1129" s="4">
        <v>72</v>
      </c>
      <c r="D1129" s="4" t="s">
        <v>55</v>
      </c>
      <c r="E1129" s="4" t="s">
        <v>87</v>
      </c>
      <c r="F1129" s="4" t="s">
        <v>157</v>
      </c>
      <c r="G1129" s="5">
        <v>45454</v>
      </c>
      <c r="H1129" s="5">
        <v>45457</v>
      </c>
      <c r="I1129" s="4">
        <v>3</v>
      </c>
      <c r="J1129" s="4" t="s">
        <v>33</v>
      </c>
      <c r="K1129" s="4" t="s">
        <v>34</v>
      </c>
      <c r="L1129" s="4" t="s">
        <v>35</v>
      </c>
      <c r="M1129" s="4" t="s">
        <v>75</v>
      </c>
      <c r="N1129" s="4" t="s">
        <v>37</v>
      </c>
      <c r="O1129" s="4" t="s">
        <v>285</v>
      </c>
      <c r="P1129" s="4">
        <v>217</v>
      </c>
      <c r="Q1129" s="4" t="s">
        <v>69</v>
      </c>
      <c r="R1129" s="4" t="s">
        <v>90</v>
      </c>
      <c r="S1129" s="4">
        <v>174081</v>
      </c>
      <c r="T1129" s="4">
        <v>127351</v>
      </c>
      <c r="U1129" s="4">
        <v>46730</v>
      </c>
      <c r="V1129" s="4">
        <v>128213</v>
      </c>
      <c r="W1129" s="4">
        <v>28086</v>
      </c>
      <c r="X1129" s="4">
        <v>14125</v>
      </c>
      <c r="Y1129" s="4" t="s">
        <v>41</v>
      </c>
      <c r="Z1129" s="4">
        <v>85</v>
      </c>
      <c r="AA1129" s="4">
        <v>3.6</v>
      </c>
      <c r="AB1129" s="4" t="s">
        <v>64</v>
      </c>
    </row>
    <row r="1130" spans="1:28" x14ac:dyDescent="0.25">
      <c r="A1130" s="2" t="s">
        <v>1862</v>
      </c>
      <c r="B1130" s="2" t="s">
        <v>113</v>
      </c>
      <c r="C1130" s="2">
        <v>13</v>
      </c>
      <c r="D1130" s="2" t="s">
        <v>30</v>
      </c>
      <c r="E1130" s="2" t="s">
        <v>122</v>
      </c>
      <c r="F1130" s="2" t="s">
        <v>80</v>
      </c>
      <c r="G1130" s="3">
        <v>44619</v>
      </c>
      <c r="H1130" s="3">
        <v>44630</v>
      </c>
      <c r="I1130" s="2">
        <v>11</v>
      </c>
      <c r="J1130" s="2" t="s">
        <v>33</v>
      </c>
      <c r="K1130" s="2" t="s">
        <v>99</v>
      </c>
      <c r="L1130" s="2" t="s">
        <v>100</v>
      </c>
      <c r="M1130" s="2" t="s">
        <v>95</v>
      </c>
      <c r="N1130" s="2" t="s">
        <v>109</v>
      </c>
      <c r="O1130" s="2" t="s">
        <v>399</v>
      </c>
      <c r="P1130" s="2">
        <v>330</v>
      </c>
      <c r="Q1130" s="2" t="s">
        <v>69</v>
      </c>
      <c r="R1130" s="2" t="s">
        <v>51</v>
      </c>
      <c r="S1130" s="2">
        <v>120956</v>
      </c>
      <c r="T1130" s="2">
        <v>73986</v>
      </c>
      <c r="U1130" s="2">
        <v>46970</v>
      </c>
      <c r="V1130" s="2">
        <v>96167</v>
      </c>
      <c r="W1130" s="2">
        <v>14827</v>
      </c>
      <c r="X1130" s="2">
        <v>5860</v>
      </c>
      <c r="Y1130" s="2" t="s">
        <v>41</v>
      </c>
      <c r="Z1130" s="2">
        <v>55</v>
      </c>
      <c r="AA1130" s="2">
        <v>3.1</v>
      </c>
      <c r="AB1130" s="2" t="s">
        <v>64</v>
      </c>
    </row>
    <row r="1131" spans="1:28" x14ac:dyDescent="0.25">
      <c r="A1131" s="4" t="s">
        <v>1863</v>
      </c>
      <c r="B1131" s="4" t="s">
        <v>1179</v>
      </c>
      <c r="C1131" s="4">
        <v>80</v>
      </c>
      <c r="D1131" s="4" t="s">
        <v>55</v>
      </c>
      <c r="E1131" s="4" t="s">
        <v>79</v>
      </c>
      <c r="F1131" s="4" t="s">
        <v>129</v>
      </c>
      <c r="G1131" s="5">
        <v>45356</v>
      </c>
      <c r="H1131" s="5">
        <v>45369</v>
      </c>
      <c r="I1131" s="4">
        <v>13</v>
      </c>
      <c r="J1131" s="4" t="s">
        <v>140</v>
      </c>
      <c r="K1131" s="4" t="s">
        <v>141</v>
      </c>
      <c r="L1131" s="4" t="s">
        <v>142</v>
      </c>
      <c r="M1131" s="4" t="s">
        <v>83</v>
      </c>
      <c r="N1131" s="4" t="s">
        <v>37</v>
      </c>
      <c r="O1131" s="4" t="s">
        <v>434</v>
      </c>
      <c r="P1131" s="4">
        <v>23</v>
      </c>
      <c r="Q1131" s="4" t="s">
        <v>69</v>
      </c>
      <c r="R1131" s="4" t="s">
        <v>136</v>
      </c>
      <c r="S1131" s="4">
        <v>182961</v>
      </c>
      <c r="T1131" s="4">
        <v>0</v>
      </c>
      <c r="U1131" s="4">
        <v>182961</v>
      </c>
      <c r="V1131" s="4">
        <v>146407</v>
      </c>
      <c r="W1131" s="4">
        <v>27685</v>
      </c>
      <c r="X1131" s="4">
        <v>4885</v>
      </c>
      <c r="Y1131" s="4" t="s">
        <v>41</v>
      </c>
      <c r="Z1131" s="4">
        <v>71</v>
      </c>
      <c r="AA1131" s="4">
        <v>3.8</v>
      </c>
      <c r="AB1131" s="4" t="s">
        <v>64</v>
      </c>
    </row>
    <row r="1132" spans="1:28" x14ac:dyDescent="0.25">
      <c r="A1132" s="2" t="s">
        <v>1864</v>
      </c>
      <c r="B1132" s="2" t="s">
        <v>584</v>
      </c>
      <c r="C1132" s="2">
        <v>5</v>
      </c>
      <c r="D1132" s="2" t="s">
        <v>55</v>
      </c>
      <c r="E1132" s="2" t="s">
        <v>45</v>
      </c>
      <c r="F1132" s="2" t="s">
        <v>32</v>
      </c>
      <c r="G1132" s="3">
        <v>44884</v>
      </c>
      <c r="H1132" s="3">
        <v>44913</v>
      </c>
      <c r="I1132" s="2">
        <v>29</v>
      </c>
      <c r="J1132" s="2" t="s">
        <v>33</v>
      </c>
      <c r="K1132" s="2" t="s">
        <v>107</v>
      </c>
      <c r="L1132" s="2" t="s">
        <v>48</v>
      </c>
      <c r="M1132" s="2" t="s">
        <v>83</v>
      </c>
      <c r="N1132" s="2" t="s">
        <v>37</v>
      </c>
      <c r="O1132" s="2" t="s">
        <v>431</v>
      </c>
      <c r="P1132" s="2">
        <v>287</v>
      </c>
      <c r="Q1132" s="2" t="s">
        <v>39</v>
      </c>
      <c r="R1132" s="2" t="s">
        <v>136</v>
      </c>
      <c r="S1132" s="2">
        <v>105781</v>
      </c>
      <c r="T1132" s="2">
        <v>0</v>
      </c>
      <c r="U1132" s="2">
        <v>105781</v>
      </c>
      <c r="V1132" s="2">
        <v>88009</v>
      </c>
      <c r="W1132" s="2">
        <v>3281</v>
      </c>
      <c r="X1132" s="2">
        <v>10952</v>
      </c>
      <c r="Y1132" s="2" t="s">
        <v>41</v>
      </c>
      <c r="Z1132" s="2">
        <v>85</v>
      </c>
      <c r="AA1132" s="2">
        <v>2.2000000000000002</v>
      </c>
      <c r="AB1132" s="2" t="s">
        <v>52</v>
      </c>
    </row>
    <row r="1133" spans="1:28" x14ac:dyDescent="0.25">
      <c r="A1133" s="4" t="s">
        <v>1865</v>
      </c>
      <c r="B1133" s="4" t="s">
        <v>484</v>
      </c>
      <c r="C1133" s="4">
        <v>52</v>
      </c>
      <c r="D1133" s="4" t="s">
        <v>30</v>
      </c>
      <c r="E1133" s="4" t="s">
        <v>67</v>
      </c>
      <c r="F1133" s="4" t="s">
        <v>157</v>
      </c>
      <c r="G1133" s="5">
        <v>45050</v>
      </c>
      <c r="H1133" s="5">
        <v>45051</v>
      </c>
      <c r="I1133" s="4">
        <v>1</v>
      </c>
      <c r="J1133" s="4" t="s">
        <v>33</v>
      </c>
      <c r="K1133" s="4" t="s">
        <v>99</v>
      </c>
      <c r="L1133" s="4" t="s">
        <v>100</v>
      </c>
      <c r="M1133" s="4" t="s">
        <v>61</v>
      </c>
      <c r="N1133" s="4" t="s">
        <v>62</v>
      </c>
      <c r="O1133" s="4" t="s">
        <v>295</v>
      </c>
      <c r="P1133" s="4">
        <v>474</v>
      </c>
      <c r="Q1133" s="4" t="s">
        <v>103</v>
      </c>
      <c r="R1133" s="4" t="s">
        <v>40</v>
      </c>
      <c r="S1133" s="4">
        <v>39340</v>
      </c>
      <c r="T1133" s="4">
        <v>22293</v>
      </c>
      <c r="U1133" s="4">
        <v>17047</v>
      </c>
      <c r="V1133" s="4">
        <v>7090</v>
      </c>
      <c r="W1133" s="4">
        <v>21935</v>
      </c>
      <c r="X1133" s="4">
        <v>7982</v>
      </c>
      <c r="Y1133" s="4" t="s">
        <v>41</v>
      </c>
      <c r="Z1133" s="4">
        <v>50</v>
      </c>
      <c r="AA1133" s="4">
        <v>4.9000000000000004</v>
      </c>
      <c r="AB1133" s="4" t="s">
        <v>137</v>
      </c>
    </row>
    <row r="1134" spans="1:28" x14ac:dyDescent="0.25">
      <c r="A1134" s="2" t="s">
        <v>1866</v>
      </c>
      <c r="B1134" s="2" t="s">
        <v>210</v>
      </c>
      <c r="C1134" s="2">
        <v>19</v>
      </c>
      <c r="D1134" s="2" t="s">
        <v>55</v>
      </c>
      <c r="E1134" s="2" t="s">
        <v>79</v>
      </c>
      <c r="F1134" s="2" t="s">
        <v>129</v>
      </c>
      <c r="G1134" s="3">
        <v>45215</v>
      </c>
      <c r="H1134" s="3">
        <v>45220</v>
      </c>
      <c r="I1134" s="2">
        <v>5</v>
      </c>
      <c r="J1134" s="2" t="s">
        <v>33</v>
      </c>
      <c r="K1134" s="2" t="s">
        <v>174</v>
      </c>
      <c r="L1134" s="2" t="s">
        <v>48</v>
      </c>
      <c r="M1134" s="2" t="s">
        <v>108</v>
      </c>
      <c r="N1134" s="2" t="s">
        <v>109</v>
      </c>
      <c r="O1134" s="2" t="s">
        <v>321</v>
      </c>
      <c r="P1134" s="2">
        <v>32</v>
      </c>
      <c r="Q1134" s="2" t="s">
        <v>69</v>
      </c>
      <c r="R1134" s="2" t="s">
        <v>111</v>
      </c>
      <c r="S1134" s="2">
        <v>35133</v>
      </c>
      <c r="T1134" s="2">
        <v>29799</v>
      </c>
      <c r="U1134" s="2">
        <v>5334</v>
      </c>
      <c r="V1134" s="2">
        <v>26743</v>
      </c>
      <c r="W1134" s="2">
        <v>5798</v>
      </c>
      <c r="X1134" s="2">
        <v>1699</v>
      </c>
      <c r="Y1134" s="2" t="s">
        <v>41</v>
      </c>
      <c r="Z1134" s="2">
        <v>57</v>
      </c>
      <c r="AA1134" s="2">
        <v>2.4</v>
      </c>
      <c r="AB1134" s="2" t="s">
        <v>52</v>
      </c>
    </row>
    <row r="1135" spans="1:28" x14ac:dyDescent="0.25">
      <c r="A1135" s="4" t="s">
        <v>1867</v>
      </c>
      <c r="B1135" s="4" t="s">
        <v>1517</v>
      </c>
      <c r="C1135" s="4">
        <v>67</v>
      </c>
      <c r="D1135" s="4" t="s">
        <v>55</v>
      </c>
      <c r="E1135" s="4" t="s">
        <v>122</v>
      </c>
      <c r="F1135" s="4" t="s">
        <v>80</v>
      </c>
      <c r="G1135" s="5">
        <v>45552</v>
      </c>
      <c r="H1135" s="5">
        <v>45580</v>
      </c>
      <c r="I1135" s="4">
        <v>28</v>
      </c>
      <c r="J1135" s="4" t="s">
        <v>33</v>
      </c>
      <c r="K1135" s="4" t="s">
        <v>107</v>
      </c>
      <c r="L1135" s="4" t="s">
        <v>48</v>
      </c>
      <c r="M1135" s="4" t="s">
        <v>36</v>
      </c>
      <c r="N1135" s="4" t="s">
        <v>37</v>
      </c>
      <c r="O1135" s="4" t="s">
        <v>337</v>
      </c>
      <c r="P1135" s="4">
        <v>299</v>
      </c>
      <c r="Q1135" s="4" t="s">
        <v>103</v>
      </c>
      <c r="R1135" s="4" t="s">
        <v>90</v>
      </c>
      <c r="S1135" s="4">
        <v>132757</v>
      </c>
      <c r="T1135" s="4">
        <v>93588</v>
      </c>
      <c r="U1135" s="4">
        <v>39169</v>
      </c>
      <c r="V1135" s="4">
        <v>103618</v>
      </c>
      <c r="W1135" s="4">
        <v>12952</v>
      </c>
      <c r="X1135" s="4">
        <v>12128</v>
      </c>
      <c r="Y1135" s="4" t="s">
        <v>41</v>
      </c>
      <c r="Z1135" s="4">
        <v>89</v>
      </c>
      <c r="AA1135" s="4">
        <v>3.4</v>
      </c>
      <c r="AB1135" s="4" t="s">
        <v>52</v>
      </c>
    </row>
    <row r="1136" spans="1:28" x14ac:dyDescent="0.25">
      <c r="A1136" s="2" t="s">
        <v>1868</v>
      </c>
      <c r="B1136" s="2" t="s">
        <v>1869</v>
      </c>
      <c r="C1136" s="2">
        <v>83</v>
      </c>
      <c r="D1136" s="2" t="s">
        <v>30</v>
      </c>
      <c r="E1136" s="2" t="s">
        <v>31</v>
      </c>
      <c r="F1136" s="2" t="s">
        <v>32</v>
      </c>
      <c r="G1136" s="3">
        <v>45150</v>
      </c>
      <c r="H1136" s="3">
        <v>45175</v>
      </c>
      <c r="I1136" s="2">
        <v>25</v>
      </c>
      <c r="J1136" s="2" t="s">
        <v>140</v>
      </c>
      <c r="K1136" s="2" t="s">
        <v>167</v>
      </c>
      <c r="L1136" s="2" t="s">
        <v>142</v>
      </c>
      <c r="M1136" s="2" t="s">
        <v>130</v>
      </c>
      <c r="N1136" s="2" t="s">
        <v>118</v>
      </c>
      <c r="O1136" s="2" t="s">
        <v>560</v>
      </c>
      <c r="P1136" s="2">
        <v>480</v>
      </c>
      <c r="Q1136" s="2" t="s">
        <v>50</v>
      </c>
      <c r="R1136" s="2" t="s">
        <v>40</v>
      </c>
      <c r="S1136" s="2">
        <v>143591</v>
      </c>
      <c r="T1136" s="2">
        <v>65891</v>
      </c>
      <c r="U1136" s="2">
        <v>77700</v>
      </c>
      <c r="V1136" s="2">
        <v>104578</v>
      </c>
      <c r="W1136" s="2">
        <v>23352</v>
      </c>
      <c r="X1136" s="2">
        <v>12175</v>
      </c>
      <c r="Y1136" s="2" t="s">
        <v>41</v>
      </c>
      <c r="Z1136" s="2">
        <v>52</v>
      </c>
      <c r="AA1136" s="2">
        <v>4.9000000000000004</v>
      </c>
      <c r="AB1136" s="2" t="s">
        <v>64</v>
      </c>
    </row>
    <row r="1137" spans="1:28" x14ac:dyDescent="0.25">
      <c r="A1137" s="4" t="s">
        <v>1870</v>
      </c>
      <c r="B1137" s="4" t="s">
        <v>287</v>
      </c>
      <c r="C1137" s="4">
        <v>79</v>
      </c>
      <c r="D1137" s="4" t="s">
        <v>55</v>
      </c>
      <c r="E1137" s="4" t="s">
        <v>79</v>
      </c>
      <c r="F1137" s="4" t="s">
        <v>32</v>
      </c>
      <c r="G1137" s="5">
        <v>44589</v>
      </c>
      <c r="H1137" s="5">
        <v>44604</v>
      </c>
      <c r="I1137" s="4">
        <v>15</v>
      </c>
      <c r="J1137" s="4" t="s">
        <v>123</v>
      </c>
      <c r="K1137" s="4" t="s">
        <v>251</v>
      </c>
      <c r="L1137" s="4" t="s">
        <v>125</v>
      </c>
      <c r="M1137" s="4" t="s">
        <v>134</v>
      </c>
      <c r="N1137" s="4" t="s">
        <v>37</v>
      </c>
      <c r="O1137" s="4" t="s">
        <v>126</v>
      </c>
      <c r="P1137" s="4">
        <v>26</v>
      </c>
      <c r="Q1137" s="4" t="s">
        <v>69</v>
      </c>
      <c r="R1137" s="4" t="s">
        <v>136</v>
      </c>
      <c r="S1137" s="4">
        <v>173465</v>
      </c>
      <c r="T1137" s="4">
        <v>0</v>
      </c>
      <c r="U1137" s="4">
        <v>173465</v>
      </c>
      <c r="V1137" s="4">
        <v>134195</v>
      </c>
      <c r="W1137" s="4">
        <v>26840</v>
      </c>
      <c r="X1137" s="4">
        <v>10994</v>
      </c>
      <c r="Y1137" s="4" t="s">
        <v>91</v>
      </c>
      <c r="Z1137" s="4">
        <v>100</v>
      </c>
      <c r="AA1137" s="4">
        <v>3</v>
      </c>
      <c r="AB1137" s="4" t="s">
        <v>104</v>
      </c>
    </row>
    <row r="1138" spans="1:28" x14ac:dyDescent="0.25">
      <c r="A1138" s="2" t="s">
        <v>1871</v>
      </c>
      <c r="B1138" s="2" t="s">
        <v>1872</v>
      </c>
      <c r="C1138" s="2">
        <v>55</v>
      </c>
      <c r="D1138" s="2" t="s">
        <v>55</v>
      </c>
      <c r="E1138" s="2" t="s">
        <v>67</v>
      </c>
      <c r="F1138" s="2" t="s">
        <v>57</v>
      </c>
      <c r="G1138" s="3">
        <v>44624</v>
      </c>
      <c r="H1138" s="3">
        <v>44641</v>
      </c>
      <c r="I1138" s="2">
        <v>17</v>
      </c>
      <c r="J1138" s="2" t="s">
        <v>33</v>
      </c>
      <c r="K1138" s="2" t="s">
        <v>197</v>
      </c>
      <c r="L1138" s="2" t="s">
        <v>198</v>
      </c>
      <c r="M1138" s="2" t="s">
        <v>108</v>
      </c>
      <c r="N1138" s="2" t="s">
        <v>118</v>
      </c>
      <c r="O1138" s="2" t="s">
        <v>295</v>
      </c>
      <c r="P1138" s="2">
        <v>368</v>
      </c>
      <c r="Q1138" s="2" t="s">
        <v>39</v>
      </c>
      <c r="R1138" s="2" t="s">
        <v>136</v>
      </c>
      <c r="S1138" s="2">
        <v>154419</v>
      </c>
      <c r="T1138" s="2">
        <v>0</v>
      </c>
      <c r="U1138" s="2">
        <v>154419</v>
      </c>
      <c r="V1138" s="2">
        <v>127873</v>
      </c>
      <c r="W1138" s="2">
        <v>12018</v>
      </c>
      <c r="X1138" s="2">
        <v>10295</v>
      </c>
      <c r="Y1138" s="2" t="s">
        <v>41</v>
      </c>
      <c r="Z1138" s="2">
        <v>98</v>
      </c>
      <c r="AA1138" s="2">
        <v>4.5999999999999996</v>
      </c>
      <c r="AB1138" s="2" t="s">
        <v>64</v>
      </c>
    </row>
    <row r="1139" spans="1:28" x14ac:dyDescent="0.25">
      <c r="A1139" s="4" t="s">
        <v>1873</v>
      </c>
      <c r="B1139" s="4" t="s">
        <v>1675</v>
      </c>
      <c r="C1139" s="4">
        <v>69</v>
      </c>
      <c r="D1139" s="4" t="s">
        <v>55</v>
      </c>
      <c r="E1139" s="4" t="s">
        <v>45</v>
      </c>
      <c r="F1139" s="4" t="s">
        <v>150</v>
      </c>
      <c r="G1139" s="5">
        <v>44744</v>
      </c>
      <c r="H1139" s="5">
        <v>44764</v>
      </c>
      <c r="I1139" s="4">
        <v>20</v>
      </c>
      <c r="J1139" s="4" t="s">
        <v>123</v>
      </c>
      <c r="K1139" s="4" t="s">
        <v>124</v>
      </c>
      <c r="L1139" s="4" t="s">
        <v>125</v>
      </c>
      <c r="M1139" s="4" t="s">
        <v>134</v>
      </c>
      <c r="N1139" s="4" t="s">
        <v>37</v>
      </c>
      <c r="O1139" s="4" t="s">
        <v>234</v>
      </c>
      <c r="P1139" s="4">
        <v>47</v>
      </c>
      <c r="Q1139" s="4" t="s">
        <v>50</v>
      </c>
      <c r="R1139" s="4" t="s">
        <v>111</v>
      </c>
      <c r="S1139" s="4">
        <v>105518</v>
      </c>
      <c r="T1139" s="4">
        <v>94490</v>
      </c>
      <c r="U1139" s="4">
        <v>11028</v>
      </c>
      <c r="V1139" s="4">
        <v>68561</v>
      </c>
      <c r="W1139" s="4">
        <v>24294</v>
      </c>
      <c r="X1139" s="4">
        <v>8779</v>
      </c>
      <c r="Y1139" s="4" t="s">
        <v>41</v>
      </c>
      <c r="Z1139" s="4">
        <v>58</v>
      </c>
      <c r="AA1139" s="4">
        <v>4</v>
      </c>
      <c r="AB1139" s="4" t="s">
        <v>64</v>
      </c>
    </row>
    <row r="1140" spans="1:28" x14ac:dyDescent="0.25">
      <c r="A1140" s="2" t="s">
        <v>1874</v>
      </c>
      <c r="B1140" s="2" t="s">
        <v>838</v>
      </c>
      <c r="C1140" s="2">
        <v>7</v>
      </c>
      <c r="D1140" s="2" t="s">
        <v>55</v>
      </c>
      <c r="E1140" s="2" t="s">
        <v>56</v>
      </c>
      <c r="F1140" s="2" t="s">
        <v>150</v>
      </c>
      <c r="G1140" s="3">
        <v>44846</v>
      </c>
      <c r="H1140" s="3">
        <v>44873</v>
      </c>
      <c r="I1140" s="2">
        <v>27</v>
      </c>
      <c r="J1140" s="2" t="s">
        <v>33</v>
      </c>
      <c r="K1140" s="2" t="s">
        <v>81</v>
      </c>
      <c r="L1140" s="2" t="s">
        <v>82</v>
      </c>
      <c r="M1140" s="2" t="s">
        <v>95</v>
      </c>
      <c r="N1140" s="2" t="s">
        <v>109</v>
      </c>
      <c r="O1140" s="2" t="s">
        <v>217</v>
      </c>
      <c r="P1140" s="2">
        <v>159</v>
      </c>
      <c r="Q1140" s="2" t="s">
        <v>103</v>
      </c>
      <c r="R1140" s="2" t="s">
        <v>51</v>
      </c>
      <c r="S1140" s="2">
        <v>118383</v>
      </c>
      <c r="T1140" s="2">
        <v>82460</v>
      </c>
      <c r="U1140" s="2">
        <v>35923</v>
      </c>
      <c r="V1140" s="2">
        <v>92312</v>
      </c>
      <c r="W1140" s="2">
        <v>9646</v>
      </c>
      <c r="X1140" s="2">
        <v>14562</v>
      </c>
      <c r="Y1140" s="2" t="s">
        <v>41</v>
      </c>
      <c r="Z1140" s="2">
        <v>48</v>
      </c>
      <c r="AA1140" s="2">
        <v>2.9</v>
      </c>
      <c r="AB1140" s="2" t="s">
        <v>104</v>
      </c>
    </row>
    <row r="1141" spans="1:28" x14ac:dyDescent="0.25">
      <c r="A1141" s="4" t="s">
        <v>1875</v>
      </c>
      <c r="B1141" s="4" t="s">
        <v>1876</v>
      </c>
      <c r="C1141" s="4">
        <v>23</v>
      </c>
      <c r="D1141" s="4" t="s">
        <v>55</v>
      </c>
      <c r="E1141" s="4" t="s">
        <v>67</v>
      </c>
      <c r="F1141" s="4" t="s">
        <v>57</v>
      </c>
      <c r="G1141" s="5">
        <v>44738</v>
      </c>
      <c r="H1141" s="5">
        <v>44748</v>
      </c>
      <c r="I1141" s="4">
        <v>10</v>
      </c>
      <c r="J1141" s="4" t="s">
        <v>115</v>
      </c>
      <c r="K1141" s="4" t="s">
        <v>116</v>
      </c>
      <c r="L1141" s="4" t="s">
        <v>117</v>
      </c>
      <c r="M1141" s="4" t="s">
        <v>95</v>
      </c>
      <c r="N1141" s="4" t="s">
        <v>62</v>
      </c>
      <c r="O1141" s="4" t="s">
        <v>464</v>
      </c>
      <c r="P1141" s="4">
        <v>287</v>
      </c>
      <c r="Q1141" s="4" t="s">
        <v>50</v>
      </c>
      <c r="R1141" s="4" t="s">
        <v>136</v>
      </c>
      <c r="S1141" s="4">
        <v>95051</v>
      </c>
      <c r="T1141" s="4">
        <v>0</v>
      </c>
      <c r="U1141" s="4">
        <v>95051</v>
      </c>
      <c r="V1141" s="4">
        <v>59649</v>
      </c>
      <c r="W1141" s="4">
        <v>27997</v>
      </c>
      <c r="X1141" s="4">
        <v>2846</v>
      </c>
      <c r="Y1141" s="4" t="s">
        <v>41</v>
      </c>
      <c r="Z1141" s="4">
        <v>65</v>
      </c>
      <c r="AA1141" s="4">
        <v>4.9000000000000004</v>
      </c>
      <c r="AB1141" s="4" t="s">
        <v>64</v>
      </c>
    </row>
    <row r="1142" spans="1:28" x14ac:dyDescent="0.25">
      <c r="A1142" s="2" t="s">
        <v>1877</v>
      </c>
      <c r="B1142" s="2" t="s">
        <v>1398</v>
      </c>
      <c r="C1142" s="2">
        <v>30</v>
      </c>
      <c r="D1142" s="2" t="s">
        <v>55</v>
      </c>
      <c r="E1142" s="2" t="s">
        <v>45</v>
      </c>
      <c r="F1142" s="2" t="s">
        <v>114</v>
      </c>
      <c r="G1142" s="3">
        <v>45006</v>
      </c>
      <c r="H1142" s="3">
        <v>45019</v>
      </c>
      <c r="I1142" s="2">
        <v>13</v>
      </c>
      <c r="J1142" s="2" t="s">
        <v>33</v>
      </c>
      <c r="K1142" s="2" t="s">
        <v>233</v>
      </c>
      <c r="L1142" s="2" t="s">
        <v>35</v>
      </c>
      <c r="M1142" s="2" t="s">
        <v>130</v>
      </c>
      <c r="N1142" s="2" t="s">
        <v>62</v>
      </c>
      <c r="O1142" s="2" t="s">
        <v>38</v>
      </c>
      <c r="P1142" s="2">
        <v>370</v>
      </c>
      <c r="Q1142" s="2" t="s">
        <v>69</v>
      </c>
      <c r="R1142" s="2" t="s">
        <v>51</v>
      </c>
      <c r="S1142" s="2">
        <v>53356</v>
      </c>
      <c r="T1142" s="2">
        <v>22398</v>
      </c>
      <c r="U1142" s="2">
        <v>30958</v>
      </c>
      <c r="V1142" s="2">
        <v>18740</v>
      </c>
      <c r="W1142" s="2">
        <v>18246</v>
      </c>
      <c r="X1142" s="2">
        <v>13947</v>
      </c>
      <c r="Y1142" s="2" t="s">
        <v>41</v>
      </c>
      <c r="Z1142" s="2">
        <v>47</v>
      </c>
      <c r="AA1142" s="2">
        <v>4.2</v>
      </c>
      <c r="AB1142" s="2" t="s">
        <v>52</v>
      </c>
    </row>
    <row r="1143" spans="1:28" x14ac:dyDescent="0.25">
      <c r="A1143" s="4" t="s">
        <v>1878</v>
      </c>
      <c r="B1143" s="4" t="s">
        <v>1121</v>
      </c>
      <c r="C1143" s="4">
        <v>10</v>
      </c>
      <c r="D1143" s="4" t="s">
        <v>55</v>
      </c>
      <c r="E1143" s="4" t="s">
        <v>31</v>
      </c>
      <c r="F1143" s="4" t="s">
        <v>80</v>
      </c>
      <c r="G1143" s="5">
        <v>45132</v>
      </c>
      <c r="H1143" s="5">
        <v>45135</v>
      </c>
      <c r="I1143" s="4">
        <v>3</v>
      </c>
      <c r="J1143" s="4" t="s">
        <v>33</v>
      </c>
      <c r="K1143" s="4" t="s">
        <v>47</v>
      </c>
      <c r="L1143" s="4" t="s">
        <v>48</v>
      </c>
      <c r="M1143" s="4" t="s">
        <v>101</v>
      </c>
      <c r="N1143" s="4" t="s">
        <v>109</v>
      </c>
      <c r="O1143" s="4" t="s">
        <v>464</v>
      </c>
      <c r="P1143" s="4">
        <v>319</v>
      </c>
      <c r="Q1143" s="4" t="s">
        <v>39</v>
      </c>
      <c r="R1143" s="4" t="s">
        <v>90</v>
      </c>
      <c r="S1143" s="4">
        <v>106205</v>
      </c>
      <c r="T1143" s="4">
        <v>77014</v>
      </c>
      <c r="U1143" s="4">
        <v>29191</v>
      </c>
      <c r="V1143" s="4">
        <v>73815</v>
      </c>
      <c r="W1143" s="4">
        <v>24143</v>
      </c>
      <c r="X1143" s="4">
        <v>4114</v>
      </c>
      <c r="Y1143" s="4" t="s">
        <v>91</v>
      </c>
      <c r="Z1143" s="4">
        <v>89</v>
      </c>
      <c r="AA1143" s="4">
        <v>3.3</v>
      </c>
      <c r="AB1143" s="4" t="s">
        <v>64</v>
      </c>
    </row>
    <row r="1144" spans="1:28" x14ac:dyDescent="0.25">
      <c r="A1144" s="2" t="s">
        <v>1879</v>
      </c>
      <c r="B1144" s="2" t="s">
        <v>320</v>
      </c>
      <c r="C1144" s="2">
        <v>70</v>
      </c>
      <c r="D1144" s="2" t="s">
        <v>55</v>
      </c>
      <c r="E1144" s="2" t="s">
        <v>154</v>
      </c>
      <c r="F1144" s="2" t="s">
        <v>129</v>
      </c>
      <c r="G1144" s="3">
        <v>45440</v>
      </c>
      <c r="H1144" s="3">
        <v>45457</v>
      </c>
      <c r="I1144" s="2">
        <v>17</v>
      </c>
      <c r="J1144" s="2" t="s">
        <v>202</v>
      </c>
      <c r="K1144" s="2" t="s">
        <v>203</v>
      </c>
      <c r="L1144" s="2" t="s">
        <v>204</v>
      </c>
      <c r="M1144" s="2" t="s">
        <v>101</v>
      </c>
      <c r="N1144" s="2" t="s">
        <v>118</v>
      </c>
      <c r="O1144" s="2" t="s">
        <v>119</v>
      </c>
      <c r="P1144" s="2">
        <v>394</v>
      </c>
      <c r="Q1144" s="2" t="s">
        <v>103</v>
      </c>
      <c r="R1144" s="2" t="s">
        <v>90</v>
      </c>
      <c r="S1144" s="2">
        <v>125823</v>
      </c>
      <c r="T1144" s="2">
        <v>112996</v>
      </c>
      <c r="U1144" s="2">
        <v>12827</v>
      </c>
      <c r="V1144" s="2">
        <v>96090</v>
      </c>
      <c r="W1144" s="2">
        <v>24521</v>
      </c>
      <c r="X1144" s="2">
        <v>4109</v>
      </c>
      <c r="Y1144" s="2" t="s">
        <v>41</v>
      </c>
      <c r="Z1144" s="2">
        <v>45</v>
      </c>
      <c r="AA1144" s="2">
        <v>2.1</v>
      </c>
      <c r="AB1144" s="2" t="s">
        <v>52</v>
      </c>
    </row>
    <row r="1145" spans="1:28" x14ac:dyDescent="0.25">
      <c r="A1145" s="4" t="s">
        <v>1880</v>
      </c>
      <c r="B1145" s="4" t="s">
        <v>1254</v>
      </c>
      <c r="C1145" s="4">
        <v>32</v>
      </c>
      <c r="D1145" s="4" t="s">
        <v>55</v>
      </c>
      <c r="E1145" s="4" t="s">
        <v>122</v>
      </c>
      <c r="F1145" s="4" t="s">
        <v>72</v>
      </c>
      <c r="G1145" s="5">
        <v>45448</v>
      </c>
      <c r="H1145" s="5">
        <v>45464</v>
      </c>
      <c r="I1145" s="4">
        <v>16</v>
      </c>
      <c r="J1145" s="4" t="s">
        <v>115</v>
      </c>
      <c r="K1145" s="4" t="s">
        <v>160</v>
      </c>
      <c r="L1145" s="4" t="s">
        <v>117</v>
      </c>
      <c r="M1145" s="4" t="s">
        <v>83</v>
      </c>
      <c r="N1145" s="4" t="s">
        <v>118</v>
      </c>
      <c r="O1145" s="4" t="s">
        <v>509</v>
      </c>
      <c r="P1145" s="4">
        <v>286</v>
      </c>
      <c r="Q1145" s="4" t="s">
        <v>69</v>
      </c>
      <c r="R1145" s="4" t="s">
        <v>136</v>
      </c>
      <c r="S1145" s="4">
        <v>74369</v>
      </c>
      <c r="T1145" s="4">
        <v>0</v>
      </c>
      <c r="U1145" s="4">
        <v>74369</v>
      </c>
      <c r="V1145" s="4">
        <v>41682</v>
      </c>
      <c r="W1145" s="4">
        <v>22864</v>
      </c>
      <c r="X1145" s="4">
        <v>7417</v>
      </c>
      <c r="Y1145" s="4" t="s">
        <v>41</v>
      </c>
      <c r="Z1145" s="4">
        <v>66</v>
      </c>
      <c r="AA1145" s="4">
        <v>4.2</v>
      </c>
      <c r="AB1145" s="4" t="s">
        <v>52</v>
      </c>
    </row>
    <row r="1146" spans="1:28" x14ac:dyDescent="0.25">
      <c r="A1146" s="2" t="s">
        <v>1881</v>
      </c>
      <c r="B1146" s="2" t="s">
        <v>1612</v>
      </c>
      <c r="C1146" s="2">
        <v>18</v>
      </c>
      <c r="D1146" s="2" t="s">
        <v>30</v>
      </c>
      <c r="E1146" s="2" t="s">
        <v>87</v>
      </c>
      <c r="F1146" s="2" t="s">
        <v>114</v>
      </c>
      <c r="G1146" s="3">
        <v>45542</v>
      </c>
      <c r="H1146" s="3">
        <v>45565</v>
      </c>
      <c r="I1146" s="2">
        <v>23</v>
      </c>
      <c r="J1146" s="2" t="s">
        <v>33</v>
      </c>
      <c r="K1146" s="2" t="s">
        <v>34</v>
      </c>
      <c r="L1146" s="2" t="s">
        <v>35</v>
      </c>
      <c r="M1146" s="2" t="s">
        <v>83</v>
      </c>
      <c r="N1146" s="2" t="s">
        <v>37</v>
      </c>
      <c r="O1146" s="2" t="s">
        <v>175</v>
      </c>
      <c r="P1146" s="2">
        <v>337</v>
      </c>
      <c r="Q1146" s="2" t="s">
        <v>39</v>
      </c>
      <c r="R1146" s="2" t="s">
        <v>111</v>
      </c>
      <c r="S1146" s="2">
        <v>96318</v>
      </c>
      <c r="T1146" s="2">
        <v>83972</v>
      </c>
      <c r="U1146" s="2">
        <v>12346</v>
      </c>
      <c r="V1146" s="2">
        <v>66915</v>
      </c>
      <c r="W1146" s="2">
        <v>15170</v>
      </c>
      <c r="X1146" s="2">
        <v>9425</v>
      </c>
      <c r="Y1146" s="2" t="s">
        <v>41</v>
      </c>
      <c r="Z1146" s="2">
        <v>41</v>
      </c>
      <c r="AA1146" s="2">
        <v>2.2999999999999998</v>
      </c>
      <c r="AB1146" s="2" t="s">
        <v>137</v>
      </c>
    </row>
    <row r="1147" spans="1:28" x14ac:dyDescent="0.25">
      <c r="A1147" s="4" t="s">
        <v>1882</v>
      </c>
      <c r="B1147" s="4" t="s">
        <v>1883</v>
      </c>
      <c r="C1147" s="4">
        <v>63</v>
      </c>
      <c r="D1147" s="4" t="s">
        <v>30</v>
      </c>
      <c r="E1147" s="4" t="s">
        <v>154</v>
      </c>
      <c r="F1147" s="4" t="s">
        <v>72</v>
      </c>
      <c r="G1147" s="5">
        <v>44887</v>
      </c>
      <c r="H1147" s="5">
        <v>44893</v>
      </c>
      <c r="I1147" s="4">
        <v>6</v>
      </c>
      <c r="J1147" s="4" t="s">
        <v>33</v>
      </c>
      <c r="K1147" s="4" t="s">
        <v>81</v>
      </c>
      <c r="L1147" s="4" t="s">
        <v>82</v>
      </c>
      <c r="M1147" s="4" t="s">
        <v>108</v>
      </c>
      <c r="N1147" s="4" t="s">
        <v>37</v>
      </c>
      <c r="O1147" s="4" t="s">
        <v>553</v>
      </c>
      <c r="P1147" s="4">
        <v>6</v>
      </c>
      <c r="Q1147" s="4" t="s">
        <v>39</v>
      </c>
      <c r="R1147" s="4" t="s">
        <v>111</v>
      </c>
      <c r="S1147" s="4">
        <v>123032</v>
      </c>
      <c r="T1147" s="4">
        <v>80057</v>
      </c>
      <c r="U1147" s="4">
        <v>42975</v>
      </c>
      <c r="V1147" s="4">
        <v>109092</v>
      </c>
      <c r="W1147" s="4">
        <v>3805</v>
      </c>
      <c r="X1147" s="4">
        <v>6974</v>
      </c>
      <c r="Y1147" s="4" t="s">
        <v>41</v>
      </c>
      <c r="Z1147" s="4">
        <v>81</v>
      </c>
      <c r="AA1147" s="4">
        <v>3.8</v>
      </c>
      <c r="AB1147" s="4" t="s">
        <v>42</v>
      </c>
    </row>
    <row r="1148" spans="1:28" x14ac:dyDescent="0.25">
      <c r="A1148" s="2" t="s">
        <v>1884</v>
      </c>
      <c r="B1148" s="2" t="s">
        <v>783</v>
      </c>
      <c r="C1148" s="2">
        <v>64</v>
      </c>
      <c r="D1148" s="2" t="s">
        <v>30</v>
      </c>
      <c r="E1148" s="2" t="s">
        <v>31</v>
      </c>
      <c r="F1148" s="2" t="s">
        <v>80</v>
      </c>
      <c r="G1148" s="3">
        <v>44779</v>
      </c>
      <c r="H1148" s="3">
        <v>44784</v>
      </c>
      <c r="I1148" s="2">
        <v>5</v>
      </c>
      <c r="J1148" s="2" t="s">
        <v>33</v>
      </c>
      <c r="K1148" s="2" t="s">
        <v>47</v>
      </c>
      <c r="L1148" s="2" t="s">
        <v>48</v>
      </c>
      <c r="M1148" s="2" t="s">
        <v>101</v>
      </c>
      <c r="N1148" s="2" t="s">
        <v>37</v>
      </c>
      <c r="O1148" s="2" t="s">
        <v>189</v>
      </c>
      <c r="P1148" s="2">
        <v>78</v>
      </c>
      <c r="Q1148" s="2" t="s">
        <v>103</v>
      </c>
      <c r="R1148" s="2" t="s">
        <v>136</v>
      </c>
      <c r="S1148" s="2">
        <v>154540</v>
      </c>
      <c r="T1148" s="2">
        <v>0</v>
      </c>
      <c r="U1148" s="2">
        <v>154540</v>
      </c>
      <c r="V1148" s="2">
        <v>135024</v>
      </c>
      <c r="W1148" s="2">
        <v>13457</v>
      </c>
      <c r="X1148" s="2">
        <v>5355</v>
      </c>
      <c r="Y1148" s="2" t="s">
        <v>41</v>
      </c>
      <c r="Z1148" s="2">
        <v>52</v>
      </c>
      <c r="AA1148" s="2">
        <v>4.7</v>
      </c>
      <c r="AB1148" s="2" t="s">
        <v>52</v>
      </c>
    </row>
    <row r="1149" spans="1:28" x14ac:dyDescent="0.25">
      <c r="A1149" s="4" t="s">
        <v>1885</v>
      </c>
      <c r="B1149" s="4" t="s">
        <v>1028</v>
      </c>
      <c r="C1149" s="4">
        <v>8</v>
      </c>
      <c r="D1149" s="4" t="s">
        <v>30</v>
      </c>
      <c r="E1149" s="4" t="s">
        <v>122</v>
      </c>
      <c r="F1149" s="4" t="s">
        <v>157</v>
      </c>
      <c r="G1149" s="5">
        <v>45157</v>
      </c>
      <c r="H1149" s="5">
        <v>45161</v>
      </c>
      <c r="I1149" s="4">
        <v>4</v>
      </c>
      <c r="J1149" s="4" t="s">
        <v>33</v>
      </c>
      <c r="K1149" s="4" t="s">
        <v>107</v>
      </c>
      <c r="L1149" s="4" t="s">
        <v>48</v>
      </c>
      <c r="M1149" s="4" t="s">
        <v>108</v>
      </c>
      <c r="N1149" s="4" t="s">
        <v>118</v>
      </c>
      <c r="O1149" s="4" t="s">
        <v>681</v>
      </c>
      <c r="P1149" s="4">
        <v>299</v>
      </c>
      <c r="Q1149" s="4" t="s">
        <v>39</v>
      </c>
      <c r="R1149" s="4" t="s">
        <v>51</v>
      </c>
      <c r="S1149" s="4">
        <v>57473</v>
      </c>
      <c r="T1149" s="4">
        <v>37945</v>
      </c>
      <c r="U1149" s="4">
        <v>19528</v>
      </c>
      <c r="V1149" s="4">
        <v>23342</v>
      </c>
      <c r="W1149" s="4">
        <v>27966</v>
      </c>
      <c r="X1149" s="4">
        <v>2778</v>
      </c>
      <c r="Y1149" s="4" t="s">
        <v>41</v>
      </c>
      <c r="Z1149" s="4">
        <v>45</v>
      </c>
      <c r="AA1149" s="4">
        <v>3.6</v>
      </c>
      <c r="AB1149" s="4" t="s">
        <v>137</v>
      </c>
    </row>
    <row r="1150" spans="1:28" x14ac:dyDescent="0.25">
      <c r="A1150" s="2" t="s">
        <v>1886</v>
      </c>
      <c r="B1150" s="2" t="s">
        <v>357</v>
      </c>
      <c r="C1150" s="2">
        <v>44</v>
      </c>
      <c r="D1150" s="2" t="s">
        <v>30</v>
      </c>
      <c r="E1150" s="2" t="s">
        <v>122</v>
      </c>
      <c r="F1150" s="2" t="s">
        <v>57</v>
      </c>
      <c r="G1150" s="3">
        <v>45301</v>
      </c>
      <c r="H1150" s="3">
        <v>45326</v>
      </c>
      <c r="I1150" s="2">
        <v>25</v>
      </c>
      <c r="J1150" s="2" t="s">
        <v>33</v>
      </c>
      <c r="K1150" s="2" t="s">
        <v>197</v>
      </c>
      <c r="L1150" s="2" t="s">
        <v>198</v>
      </c>
      <c r="M1150" s="2" t="s">
        <v>101</v>
      </c>
      <c r="N1150" s="2" t="s">
        <v>109</v>
      </c>
      <c r="O1150" s="2" t="s">
        <v>471</v>
      </c>
      <c r="P1150" s="2">
        <v>305</v>
      </c>
      <c r="Q1150" s="2" t="s">
        <v>39</v>
      </c>
      <c r="R1150" s="2" t="s">
        <v>51</v>
      </c>
      <c r="S1150" s="2">
        <v>160329</v>
      </c>
      <c r="T1150" s="2">
        <v>80946</v>
      </c>
      <c r="U1150" s="2">
        <v>79383</v>
      </c>
      <c r="V1150" s="2">
        <v>122232</v>
      </c>
      <c r="W1150" s="2">
        <v>19388</v>
      </c>
      <c r="X1150" s="2">
        <v>14185</v>
      </c>
      <c r="Y1150" s="2" t="s">
        <v>41</v>
      </c>
      <c r="Z1150" s="2">
        <v>43</v>
      </c>
      <c r="AA1150" s="2">
        <v>3.9</v>
      </c>
      <c r="AB1150" s="2" t="s">
        <v>104</v>
      </c>
    </row>
    <row r="1151" spans="1:28" x14ac:dyDescent="0.25">
      <c r="A1151" s="4" t="s">
        <v>1887</v>
      </c>
      <c r="B1151" s="4" t="s">
        <v>1888</v>
      </c>
      <c r="C1151" s="4">
        <v>80</v>
      </c>
      <c r="D1151" s="4" t="s">
        <v>55</v>
      </c>
      <c r="E1151" s="4" t="s">
        <v>122</v>
      </c>
      <c r="F1151" s="4" t="s">
        <v>157</v>
      </c>
      <c r="G1151" s="5">
        <v>44770</v>
      </c>
      <c r="H1151" s="5">
        <v>44794</v>
      </c>
      <c r="I1151" s="4">
        <v>24</v>
      </c>
      <c r="J1151" s="4" t="s">
        <v>140</v>
      </c>
      <c r="K1151" s="4" t="s">
        <v>141</v>
      </c>
      <c r="L1151" s="4" t="s">
        <v>142</v>
      </c>
      <c r="M1151" s="4" t="s">
        <v>130</v>
      </c>
      <c r="N1151" s="4" t="s">
        <v>62</v>
      </c>
      <c r="O1151" s="4" t="s">
        <v>144</v>
      </c>
      <c r="P1151" s="4">
        <v>428</v>
      </c>
      <c r="Q1151" s="4" t="s">
        <v>69</v>
      </c>
      <c r="R1151" s="4" t="s">
        <v>111</v>
      </c>
      <c r="S1151" s="4">
        <v>94304</v>
      </c>
      <c r="T1151" s="4">
        <v>67941</v>
      </c>
      <c r="U1151" s="4">
        <v>26363</v>
      </c>
      <c r="V1151" s="4">
        <v>77151</v>
      </c>
      <c r="W1151" s="4">
        <v>6600</v>
      </c>
      <c r="X1151" s="4">
        <v>9865</v>
      </c>
      <c r="Y1151" s="4" t="s">
        <v>41</v>
      </c>
      <c r="Z1151" s="4">
        <v>62</v>
      </c>
      <c r="AA1151" s="4">
        <v>2.4</v>
      </c>
      <c r="AB1151" s="4" t="s">
        <v>64</v>
      </c>
    </row>
    <row r="1152" spans="1:28" x14ac:dyDescent="0.25">
      <c r="A1152" s="2" t="s">
        <v>1889</v>
      </c>
      <c r="B1152" s="2" t="s">
        <v>564</v>
      </c>
      <c r="C1152" s="2">
        <v>29</v>
      </c>
      <c r="D1152" s="2" t="s">
        <v>30</v>
      </c>
      <c r="E1152" s="2" t="s">
        <v>31</v>
      </c>
      <c r="F1152" s="2" t="s">
        <v>157</v>
      </c>
      <c r="G1152" s="3">
        <v>44594</v>
      </c>
      <c r="H1152" s="3">
        <v>44607</v>
      </c>
      <c r="I1152" s="2">
        <v>13</v>
      </c>
      <c r="J1152" s="2" t="s">
        <v>123</v>
      </c>
      <c r="K1152" s="2" t="s">
        <v>124</v>
      </c>
      <c r="L1152" s="2" t="s">
        <v>125</v>
      </c>
      <c r="M1152" s="2" t="s">
        <v>130</v>
      </c>
      <c r="N1152" s="2" t="s">
        <v>37</v>
      </c>
      <c r="O1152" s="2" t="s">
        <v>151</v>
      </c>
      <c r="P1152" s="2">
        <v>482</v>
      </c>
      <c r="Q1152" s="2" t="s">
        <v>39</v>
      </c>
      <c r="R1152" s="2" t="s">
        <v>136</v>
      </c>
      <c r="S1152" s="2">
        <v>79038</v>
      </c>
      <c r="T1152" s="2">
        <v>0</v>
      </c>
      <c r="U1152" s="2">
        <v>79038</v>
      </c>
      <c r="V1152" s="2">
        <v>50288</v>
      </c>
      <c r="W1152" s="2">
        <v>13612</v>
      </c>
      <c r="X1152" s="2">
        <v>11169</v>
      </c>
      <c r="Y1152" s="2" t="s">
        <v>91</v>
      </c>
      <c r="Z1152" s="2">
        <v>84</v>
      </c>
      <c r="AA1152" s="2">
        <v>4.4000000000000004</v>
      </c>
      <c r="AB1152" s="2" t="s">
        <v>137</v>
      </c>
    </row>
    <row r="1153" spans="1:28" x14ac:dyDescent="0.25">
      <c r="A1153" s="4" t="s">
        <v>1890</v>
      </c>
      <c r="B1153" s="4" t="s">
        <v>292</v>
      </c>
      <c r="C1153" s="4">
        <v>65</v>
      </c>
      <c r="D1153" s="4" t="s">
        <v>30</v>
      </c>
      <c r="E1153" s="4" t="s">
        <v>122</v>
      </c>
      <c r="F1153" s="4" t="s">
        <v>80</v>
      </c>
      <c r="G1153" s="5">
        <v>45575</v>
      </c>
      <c r="H1153" s="5">
        <v>45604</v>
      </c>
      <c r="I1153" s="4">
        <v>29</v>
      </c>
      <c r="J1153" s="4" t="s">
        <v>202</v>
      </c>
      <c r="K1153" s="4" t="s">
        <v>203</v>
      </c>
      <c r="L1153" s="4" t="s">
        <v>204</v>
      </c>
      <c r="M1153" s="4" t="s">
        <v>134</v>
      </c>
      <c r="N1153" s="4" t="s">
        <v>37</v>
      </c>
      <c r="O1153" s="4" t="s">
        <v>950</v>
      </c>
      <c r="P1153" s="4">
        <v>462</v>
      </c>
      <c r="Q1153" s="4" t="s">
        <v>103</v>
      </c>
      <c r="R1153" s="4" t="s">
        <v>111</v>
      </c>
      <c r="S1153" s="4">
        <v>90579</v>
      </c>
      <c r="T1153" s="4">
        <v>69096</v>
      </c>
      <c r="U1153" s="4">
        <v>21483</v>
      </c>
      <c r="V1153" s="4">
        <v>72033</v>
      </c>
      <c r="W1153" s="4">
        <v>2628</v>
      </c>
      <c r="X1153" s="4">
        <v>12302</v>
      </c>
      <c r="Y1153" s="4" t="s">
        <v>41</v>
      </c>
      <c r="Z1153" s="4">
        <v>53</v>
      </c>
      <c r="AA1153" s="4">
        <v>3.1</v>
      </c>
      <c r="AB1153" s="4" t="s">
        <v>52</v>
      </c>
    </row>
    <row r="1154" spans="1:28" x14ac:dyDescent="0.25">
      <c r="A1154" s="2" t="s">
        <v>1891</v>
      </c>
      <c r="B1154" s="2" t="s">
        <v>367</v>
      </c>
      <c r="C1154" s="2">
        <v>33</v>
      </c>
      <c r="D1154" s="2" t="s">
        <v>30</v>
      </c>
      <c r="E1154" s="2" t="s">
        <v>45</v>
      </c>
      <c r="F1154" s="2" t="s">
        <v>157</v>
      </c>
      <c r="G1154" s="3">
        <v>45136</v>
      </c>
      <c r="H1154" s="3">
        <v>45149</v>
      </c>
      <c r="I1154" s="2">
        <v>13</v>
      </c>
      <c r="J1154" s="2" t="s">
        <v>33</v>
      </c>
      <c r="K1154" s="2" t="s">
        <v>81</v>
      </c>
      <c r="L1154" s="2" t="s">
        <v>82</v>
      </c>
      <c r="M1154" s="2" t="s">
        <v>75</v>
      </c>
      <c r="N1154" s="2" t="s">
        <v>37</v>
      </c>
      <c r="O1154" s="2" t="s">
        <v>434</v>
      </c>
      <c r="P1154" s="2">
        <v>102</v>
      </c>
      <c r="Q1154" s="2" t="s">
        <v>50</v>
      </c>
      <c r="R1154" s="2" t="s">
        <v>51</v>
      </c>
      <c r="S1154" s="2">
        <v>91488</v>
      </c>
      <c r="T1154" s="2">
        <v>54747</v>
      </c>
      <c r="U1154" s="2">
        <v>36741</v>
      </c>
      <c r="V1154" s="2">
        <v>56982</v>
      </c>
      <c r="W1154" s="2">
        <v>26773</v>
      </c>
      <c r="X1154" s="2">
        <v>5360</v>
      </c>
      <c r="Y1154" s="2" t="s">
        <v>41</v>
      </c>
      <c r="Z1154" s="2">
        <v>81</v>
      </c>
      <c r="AA1154" s="2">
        <v>3.6</v>
      </c>
      <c r="AB1154" s="2" t="s">
        <v>137</v>
      </c>
    </row>
    <row r="1155" spans="1:28" x14ac:dyDescent="0.25">
      <c r="A1155" s="4" t="s">
        <v>1892</v>
      </c>
      <c r="B1155" s="4" t="s">
        <v>470</v>
      </c>
      <c r="C1155" s="4">
        <v>58</v>
      </c>
      <c r="D1155" s="4" t="s">
        <v>30</v>
      </c>
      <c r="E1155" s="4" t="s">
        <v>31</v>
      </c>
      <c r="F1155" s="4" t="s">
        <v>114</v>
      </c>
      <c r="G1155" s="5">
        <v>45364</v>
      </c>
      <c r="H1155" s="5">
        <v>45391</v>
      </c>
      <c r="I1155" s="4">
        <v>27</v>
      </c>
      <c r="J1155" s="4" t="s">
        <v>58</v>
      </c>
      <c r="K1155" s="4" t="s">
        <v>59</v>
      </c>
      <c r="L1155" s="4" t="s">
        <v>60</v>
      </c>
      <c r="M1155" s="4" t="s">
        <v>95</v>
      </c>
      <c r="N1155" s="4" t="s">
        <v>109</v>
      </c>
      <c r="O1155" s="4" t="s">
        <v>548</v>
      </c>
      <c r="P1155" s="4">
        <v>441</v>
      </c>
      <c r="Q1155" s="4" t="s">
        <v>103</v>
      </c>
      <c r="R1155" s="4" t="s">
        <v>111</v>
      </c>
      <c r="S1155" s="4">
        <v>127601</v>
      </c>
      <c r="T1155" s="4">
        <v>111944</v>
      </c>
      <c r="U1155" s="4">
        <v>15657</v>
      </c>
      <c r="V1155" s="4">
        <v>100661</v>
      </c>
      <c r="W1155" s="4">
        <v>18187</v>
      </c>
      <c r="X1155" s="4">
        <v>8216</v>
      </c>
      <c r="Y1155" s="4" t="s">
        <v>41</v>
      </c>
      <c r="Z1155" s="4">
        <v>58</v>
      </c>
      <c r="AA1155" s="4">
        <v>2.7</v>
      </c>
      <c r="AB1155" s="4" t="s">
        <v>137</v>
      </c>
    </row>
    <row r="1156" spans="1:28" x14ac:dyDescent="0.25">
      <c r="A1156" s="2" t="s">
        <v>1893</v>
      </c>
      <c r="B1156" s="2" t="s">
        <v>847</v>
      </c>
      <c r="C1156" s="2">
        <v>76</v>
      </c>
      <c r="D1156" s="2" t="s">
        <v>55</v>
      </c>
      <c r="E1156" s="2" t="s">
        <v>79</v>
      </c>
      <c r="F1156" s="2" t="s">
        <v>46</v>
      </c>
      <c r="G1156" s="3">
        <v>45061</v>
      </c>
      <c r="H1156" s="3">
        <v>45089</v>
      </c>
      <c r="I1156" s="2">
        <v>28</v>
      </c>
      <c r="J1156" s="2" t="s">
        <v>33</v>
      </c>
      <c r="K1156" s="2" t="s">
        <v>81</v>
      </c>
      <c r="L1156" s="2" t="s">
        <v>82</v>
      </c>
      <c r="M1156" s="2" t="s">
        <v>95</v>
      </c>
      <c r="N1156" s="2" t="s">
        <v>62</v>
      </c>
      <c r="O1156" s="2" t="s">
        <v>497</v>
      </c>
      <c r="P1156" s="2">
        <v>391</v>
      </c>
      <c r="Q1156" s="2" t="s">
        <v>50</v>
      </c>
      <c r="R1156" s="2" t="s">
        <v>136</v>
      </c>
      <c r="S1156" s="2">
        <v>46520</v>
      </c>
      <c r="T1156" s="2">
        <v>0</v>
      </c>
      <c r="U1156" s="2">
        <v>46520</v>
      </c>
      <c r="V1156" s="2">
        <v>20616</v>
      </c>
      <c r="W1156" s="2">
        <v>12835</v>
      </c>
      <c r="X1156" s="2">
        <v>12308</v>
      </c>
      <c r="Y1156" s="2" t="s">
        <v>41</v>
      </c>
      <c r="Z1156" s="2">
        <v>74</v>
      </c>
      <c r="AA1156" s="2">
        <v>2.8</v>
      </c>
      <c r="AB1156" s="2" t="s">
        <v>137</v>
      </c>
    </row>
    <row r="1157" spans="1:28" x14ac:dyDescent="0.25">
      <c r="A1157" s="4" t="s">
        <v>1894</v>
      </c>
      <c r="B1157" s="4" t="s">
        <v>1895</v>
      </c>
      <c r="C1157" s="4">
        <v>11</v>
      </c>
      <c r="D1157" s="4" t="s">
        <v>30</v>
      </c>
      <c r="E1157" s="4" t="s">
        <v>31</v>
      </c>
      <c r="F1157" s="4" t="s">
        <v>46</v>
      </c>
      <c r="G1157" s="5">
        <v>44914</v>
      </c>
      <c r="H1157" s="5">
        <v>44944</v>
      </c>
      <c r="I1157" s="4">
        <v>30</v>
      </c>
      <c r="J1157" s="4" t="s">
        <v>33</v>
      </c>
      <c r="K1157" s="4" t="s">
        <v>233</v>
      </c>
      <c r="L1157" s="4" t="s">
        <v>35</v>
      </c>
      <c r="M1157" s="4" t="s">
        <v>101</v>
      </c>
      <c r="N1157" s="4" t="s">
        <v>62</v>
      </c>
      <c r="O1157" s="4" t="s">
        <v>189</v>
      </c>
      <c r="P1157" s="4">
        <v>117</v>
      </c>
      <c r="Q1157" s="4" t="s">
        <v>103</v>
      </c>
      <c r="R1157" s="4" t="s">
        <v>40</v>
      </c>
      <c r="S1157" s="4">
        <v>111571</v>
      </c>
      <c r="T1157" s="4">
        <v>66952</v>
      </c>
      <c r="U1157" s="4">
        <v>44619</v>
      </c>
      <c r="V1157" s="4">
        <v>87505</v>
      </c>
      <c r="W1157" s="4">
        <v>9835</v>
      </c>
      <c r="X1157" s="4">
        <v>10902</v>
      </c>
      <c r="Y1157" s="4" t="s">
        <v>41</v>
      </c>
      <c r="Z1157" s="4">
        <v>40</v>
      </c>
      <c r="AA1157" s="4">
        <v>2.7</v>
      </c>
      <c r="AB1157" s="4" t="s">
        <v>104</v>
      </c>
    </row>
    <row r="1158" spans="1:28" x14ac:dyDescent="0.25">
      <c r="A1158" s="2" t="s">
        <v>1896</v>
      </c>
      <c r="B1158" s="2" t="s">
        <v>1897</v>
      </c>
      <c r="C1158" s="2">
        <v>22</v>
      </c>
      <c r="D1158" s="2" t="s">
        <v>30</v>
      </c>
      <c r="E1158" s="2" t="s">
        <v>45</v>
      </c>
      <c r="F1158" s="2" t="s">
        <v>157</v>
      </c>
      <c r="G1158" s="3">
        <v>45287</v>
      </c>
      <c r="H1158" s="3">
        <v>45289</v>
      </c>
      <c r="I1158" s="2">
        <v>2</v>
      </c>
      <c r="J1158" s="2" t="s">
        <v>140</v>
      </c>
      <c r="K1158" s="2" t="s">
        <v>141</v>
      </c>
      <c r="L1158" s="2" t="s">
        <v>142</v>
      </c>
      <c r="M1158" s="2" t="s">
        <v>134</v>
      </c>
      <c r="N1158" s="2" t="s">
        <v>118</v>
      </c>
      <c r="O1158" s="2" t="s">
        <v>208</v>
      </c>
      <c r="P1158" s="2">
        <v>492</v>
      </c>
      <c r="Q1158" s="2" t="s">
        <v>69</v>
      </c>
      <c r="R1158" s="2" t="s">
        <v>136</v>
      </c>
      <c r="S1158" s="2">
        <v>77477</v>
      </c>
      <c r="T1158" s="2">
        <v>0</v>
      </c>
      <c r="U1158" s="2">
        <v>77477</v>
      </c>
      <c r="V1158" s="2">
        <v>59976</v>
      </c>
      <c r="W1158" s="2">
        <v>12253</v>
      </c>
      <c r="X1158" s="2">
        <v>4218</v>
      </c>
      <c r="Y1158" s="2" t="s">
        <v>91</v>
      </c>
      <c r="Z1158" s="2">
        <v>69</v>
      </c>
      <c r="AA1158" s="2">
        <v>3.8</v>
      </c>
      <c r="AB1158" s="2" t="s">
        <v>64</v>
      </c>
    </row>
    <row r="1159" spans="1:28" x14ac:dyDescent="0.25">
      <c r="A1159" s="4" t="s">
        <v>1898</v>
      </c>
      <c r="B1159" s="4" t="s">
        <v>372</v>
      </c>
      <c r="C1159" s="4">
        <v>67</v>
      </c>
      <c r="D1159" s="4" t="s">
        <v>30</v>
      </c>
      <c r="E1159" s="4" t="s">
        <v>31</v>
      </c>
      <c r="F1159" s="4" t="s">
        <v>157</v>
      </c>
      <c r="G1159" s="5">
        <v>44767</v>
      </c>
      <c r="H1159" s="5">
        <v>44771</v>
      </c>
      <c r="I1159" s="4">
        <v>4</v>
      </c>
      <c r="J1159" s="4" t="s">
        <v>140</v>
      </c>
      <c r="K1159" s="4" t="s">
        <v>141</v>
      </c>
      <c r="L1159" s="4" t="s">
        <v>142</v>
      </c>
      <c r="M1159" s="4" t="s">
        <v>95</v>
      </c>
      <c r="N1159" s="4" t="s">
        <v>62</v>
      </c>
      <c r="O1159" s="4" t="s">
        <v>455</v>
      </c>
      <c r="P1159" s="4">
        <v>206</v>
      </c>
      <c r="Q1159" s="4" t="s">
        <v>50</v>
      </c>
      <c r="R1159" s="4" t="s">
        <v>40</v>
      </c>
      <c r="S1159" s="4">
        <v>160097</v>
      </c>
      <c r="T1159" s="4">
        <v>90520</v>
      </c>
      <c r="U1159" s="4">
        <v>69577</v>
      </c>
      <c r="V1159" s="4">
        <v>125774</v>
      </c>
      <c r="W1159" s="4">
        <v>27775</v>
      </c>
      <c r="X1159" s="4">
        <v>4828</v>
      </c>
      <c r="Y1159" s="4" t="s">
        <v>41</v>
      </c>
      <c r="Z1159" s="4">
        <v>64</v>
      </c>
      <c r="AA1159" s="4">
        <v>4.7</v>
      </c>
      <c r="AB1159" s="4" t="s">
        <v>52</v>
      </c>
    </row>
    <row r="1160" spans="1:28" x14ac:dyDescent="0.25">
      <c r="A1160" s="2" t="s">
        <v>1899</v>
      </c>
      <c r="B1160" s="2" t="s">
        <v>1018</v>
      </c>
      <c r="C1160" s="2">
        <v>72</v>
      </c>
      <c r="D1160" s="2" t="s">
        <v>30</v>
      </c>
      <c r="E1160" s="2" t="s">
        <v>87</v>
      </c>
      <c r="F1160" s="2" t="s">
        <v>32</v>
      </c>
      <c r="G1160" s="3">
        <v>45644</v>
      </c>
      <c r="H1160" s="3">
        <v>45651</v>
      </c>
      <c r="I1160" s="2">
        <v>7</v>
      </c>
      <c r="J1160" s="2" t="s">
        <v>33</v>
      </c>
      <c r="K1160" s="2" t="s">
        <v>99</v>
      </c>
      <c r="L1160" s="2" t="s">
        <v>100</v>
      </c>
      <c r="M1160" s="2" t="s">
        <v>95</v>
      </c>
      <c r="N1160" s="2" t="s">
        <v>118</v>
      </c>
      <c r="O1160" s="2" t="s">
        <v>282</v>
      </c>
      <c r="P1160" s="2">
        <v>133</v>
      </c>
      <c r="Q1160" s="2" t="s">
        <v>103</v>
      </c>
      <c r="R1160" s="2" t="s">
        <v>90</v>
      </c>
      <c r="S1160" s="2">
        <v>53800</v>
      </c>
      <c r="T1160" s="2">
        <v>33793</v>
      </c>
      <c r="U1160" s="2">
        <v>20007</v>
      </c>
      <c r="V1160" s="2">
        <v>26186</v>
      </c>
      <c r="W1160" s="2">
        <v>20156</v>
      </c>
      <c r="X1160" s="2">
        <v>4303</v>
      </c>
      <c r="Y1160" s="2" t="s">
        <v>41</v>
      </c>
      <c r="Z1160" s="2">
        <v>97</v>
      </c>
      <c r="AA1160" s="2">
        <v>4.8</v>
      </c>
      <c r="AB1160" s="2" t="s">
        <v>52</v>
      </c>
    </row>
    <row r="1161" spans="1:28" x14ac:dyDescent="0.25">
      <c r="A1161" s="4" t="s">
        <v>1900</v>
      </c>
      <c r="B1161" s="4" t="s">
        <v>1291</v>
      </c>
      <c r="C1161" s="4">
        <v>45</v>
      </c>
      <c r="D1161" s="4" t="s">
        <v>55</v>
      </c>
      <c r="E1161" s="4" t="s">
        <v>87</v>
      </c>
      <c r="F1161" s="4" t="s">
        <v>57</v>
      </c>
      <c r="G1161" s="5">
        <v>45417</v>
      </c>
      <c r="H1161" s="5">
        <v>45422</v>
      </c>
      <c r="I1161" s="4">
        <v>5</v>
      </c>
      <c r="J1161" s="4" t="s">
        <v>33</v>
      </c>
      <c r="K1161" s="4" t="s">
        <v>174</v>
      </c>
      <c r="L1161" s="4" t="s">
        <v>48</v>
      </c>
      <c r="M1161" s="4" t="s">
        <v>75</v>
      </c>
      <c r="N1161" s="4" t="s">
        <v>62</v>
      </c>
      <c r="O1161" s="4" t="s">
        <v>448</v>
      </c>
      <c r="P1161" s="4">
        <v>103</v>
      </c>
      <c r="Q1161" s="4" t="s">
        <v>39</v>
      </c>
      <c r="R1161" s="4" t="s">
        <v>111</v>
      </c>
      <c r="S1161" s="4">
        <v>87921</v>
      </c>
      <c r="T1161" s="4">
        <v>75063</v>
      </c>
      <c r="U1161" s="4">
        <v>12858</v>
      </c>
      <c r="V1161" s="4">
        <v>70583</v>
      </c>
      <c r="W1161" s="4">
        <v>13624</v>
      </c>
      <c r="X1161" s="4">
        <v>2064</v>
      </c>
      <c r="Y1161" s="4" t="s">
        <v>41</v>
      </c>
      <c r="Z1161" s="4">
        <v>93</v>
      </c>
      <c r="AA1161" s="4">
        <v>3.4</v>
      </c>
      <c r="AB1161" s="4" t="s">
        <v>137</v>
      </c>
    </row>
    <row r="1162" spans="1:28" x14ac:dyDescent="0.25">
      <c r="A1162" s="2" t="s">
        <v>1901</v>
      </c>
      <c r="B1162" s="2" t="s">
        <v>982</v>
      </c>
      <c r="C1162" s="2">
        <v>59</v>
      </c>
      <c r="D1162" s="2" t="s">
        <v>30</v>
      </c>
      <c r="E1162" s="2" t="s">
        <v>56</v>
      </c>
      <c r="F1162" s="2" t="s">
        <v>129</v>
      </c>
      <c r="G1162" s="3">
        <v>45430</v>
      </c>
      <c r="H1162" s="3">
        <v>45431</v>
      </c>
      <c r="I1162" s="2">
        <v>1</v>
      </c>
      <c r="J1162" s="2" t="s">
        <v>202</v>
      </c>
      <c r="K1162" s="2" t="s">
        <v>225</v>
      </c>
      <c r="L1162" s="2" t="s">
        <v>226</v>
      </c>
      <c r="M1162" s="2" t="s">
        <v>75</v>
      </c>
      <c r="N1162" s="2" t="s">
        <v>62</v>
      </c>
      <c r="O1162" s="2" t="s">
        <v>96</v>
      </c>
      <c r="P1162" s="2">
        <v>201</v>
      </c>
      <c r="Q1162" s="2" t="s">
        <v>39</v>
      </c>
      <c r="R1162" s="2" t="s">
        <v>90</v>
      </c>
      <c r="S1162" s="2">
        <v>47683</v>
      </c>
      <c r="T1162" s="2">
        <v>29809</v>
      </c>
      <c r="U1162" s="2">
        <v>17874</v>
      </c>
      <c r="V1162" s="2">
        <v>20521</v>
      </c>
      <c r="W1162" s="2">
        <v>14890</v>
      </c>
      <c r="X1162" s="2">
        <v>9855</v>
      </c>
      <c r="Y1162" s="2" t="s">
        <v>41</v>
      </c>
      <c r="Z1162" s="2">
        <v>55</v>
      </c>
      <c r="AA1162" s="2">
        <v>2.1</v>
      </c>
      <c r="AB1162" s="2" t="s">
        <v>64</v>
      </c>
    </row>
    <row r="1163" spans="1:28" x14ac:dyDescent="0.25">
      <c r="A1163" s="4" t="s">
        <v>1902</v>
      </c>
      <c r="B1163" s="4" t="s">
        <v>238</v>
      </c>
      <c r="C1163" s="4">
        <v>81</v>
      </c>
      <c r="D1163" s="4" t="s">
        <v>30</v>
      </c>
      <c r="E1163" s="4" t="s">
        <v>56</v>
      </c>
      <c r="F1163" s="4" t="s">
        <v>114</v>
      </c>
      <c r="G1163" s="5">
        <v>45573</v>
      </c>
      <c r="H1163" s="5">
        <v>45575</v>
      </c>
      <c r="I1163" s="4">
        <v>2</v>
      </c>
      <c r="J1163" s="4" t="s">
        <v>58</v>
      </c>
      <c r="K1163" s="4" t="s">
        <v>59</v>
      </c>
      <c r="L1163" s="4" t="s">
        <v>60</v>
      </c>
      <c r="M1163" s="4" t="s">
        <v>130</v>
      </c>
      <c r="N1163" s="4" t="s">
        <v>118</v>
      </c>
      <c r="O1163" s="4" t="s">
        <v>131</v>
      </c>
      <c r="P1163" s="4">
        <v>277</v>
      </c>
      <c r="Q1163" s="4" t="s">
        <v>39</v>
      </c>
      <c r="R1163" s="4" t="s">
        <v>40</v>
      </c>
      <c r="S1163" s="4">
        <v>135765</v>
      </c>
      <c r="T1163" s="4">
        <v>92903</v>
      </c>
      <c r="U1163" s="4">
        <v>42862</v>
      </c>
      <c r="V1163" s="4">
        <v>114778</v>
      </c>
      <c r="W1163" s="4">
        <v>15441</v>
      </c>
      <c r="X1163" s="4">
        <v>4228</v>
      </c>
      <c r="Y1163" s="4" t="s">
        <v>41</v>
      </c>
      <c r="Z1163" s="4">
        <v>53</v>
      </c>
      <c r="AA1163" s="4">
        <v>2.8</v>
      </c>
      <c r="AB1163" s="4" t="s">
        <v>64</v>
      </c>
    </row>
    <row r="1164" spans="1:28" x14ac:dyDescent="0.25">
      <c r="A1164" s="2" t="s">
        <v>1903</v>
      </c>
      <c r="B1164" s="2" t="s">
        <v>1904</v>
      </c>
      <c r="C1164" s="2">
        <v>76</v>
      </c>
      <c r="D1164" s="2" t="s">
        <v>55</v>
      </c>
      <c r="E1164" s="2" t="s">
        <v>79</v>
      </c>
      <c r="F1164" s="2" t="s">
        <v>94</v>
      </c>
      <c r="G1164" s="3">
        <v>45266</v>
      </c>
      <c r="H1164" s="3">
        <v>45294</v>
      </c>
      <c r="I1164" s="2">
        <v>28</v>
      </c>
      <c r="J1164" s="2" t="s">
        <v>202</v>
      </c>
      <c r="K1164" s="2" t="s">
        <v>203</v>
      </c>
      <c r="L1164" s="2" t="s">
        <v>204</v>
      </c>
      <c r="M1164" s="2" t="s">
        <v>143</v>
      </c>
      <c r="N1164" s="2" t="s">
        <v>62</v>
      </c>
      <c r="O1164" s="2" t="s">
        <v>406</v>
      </c>
      <c r="P1164" s="2">
        <v>312</v>
      </c>
      <c r="Q1164" s="2" t="s">
        <v>39</v>
      </c>
      <c r="R1164" s="2" t="s">
        <v>111</v>
      </c>
      <c r="S1164" s="2">
        <v>99003</v>
      </c>
      <c r="T1164" s="2">
        <v>75826</v>
      </c>
      <c r="U1164" s="2">
        <v>23177</v>
      </c>
      <c r="V1164" s="2">
        <v>83061</v>
      </c>
      <c r="W1164" s="2">
        <v>13001</v>
      </c>
      <c r="X1164" s="2">
        <v>1256</v>
      </c>
      <c r="Y1164" s="2" t="s">
        <v>41</v>
      </c>
      <c r="Z1164" s="2">
        <v>55</v>
      </c>
      <c r="AA1164" s="2">
        <v>2.2999999999999998</v>
      </c>
      <c r="AB1164" s="2" t="s">
        <v>52</v>
      </c>
    </row>
    <row r="1165" spans="1:28" x14ac:dyDescent="0.25">
      <c r="A1165" s="4" t="s">
        <v>1905</v>
      </c>
      <c r="B1165" s="4" t="s">
        <v>1164</v>
      </c>
      <c r="C1165" s="4">
        <v>51</v>
      </c>
      <c r="D1165" s="4" t="s">
        <v>30</v>
      </c>
      <c r="E1165" s="4" t="s">
        <v>87</v>
      </c>
      <c r="F1165" s="4" t="s">
        <v>114</v>
      </c>
      <c r="G1165" s="5">
        <v>45517</v>
      </c>
      <c r="H1165" s="5">
        <v>45523</v>
      </c>
      <c r="I1165" s="4">
        <v>6</v>
      </c>
      <c r="J1165" s="4" t="s">
        <v>33</v>
      </c>
      <c r="K1165" s="4" t="s">
        <v>233</v>
      </c>
      <c r="L1165" s="4" t="s">
        <v>35</v>
      </c>
      <c r="M1165" s="4" t="s">
        <v>36</v>
      </c>
      <c r="N1165" s="4" t="s">
        <v>62</v>
      </c>
      <c r="O1165" s="4" t="s">
        <v>461</v>
      </c>
      <c r="P1165" s="4">
        <v>303</v>
      </c>
      <c r="Q1165" s="4" t="s">
        <v>69</v>
      </c>
      <c r="R1165" s="4" t="s">
        <v>136</v>
      </c>
      <c r="S1165" s="4">
        <v>86854</v>
      </c>
      <c r="T1165" s="4">
        <v>0</v>
      </c>
      <c r="U1165" s="4">
        <v>86854</v>
      </c>
      <c r="V1165" s="4">
        <v>72832</v>
      </c>
      <c r="W1165" s="4">
        <v>7359</v>
      </c>
      <c r="X1165" s="4">
        <v>1893</v>
      </c>
      <c r="Y1165" s="4" t="s">
        <v>41</v>
      </c>
      <c r="Z1165" s="4">
        <v>52</v>
      </c>
      <c r="AA1165" s="4">
        <v>3.9</v>
      </c>
      <c r="AB1165" s="4" t="s">
        <v>64</v>
      </c>
    </row>
    <row r="1166" spans="1:28" x14ac:dyDescent="0.25">
      <c r="A1166" s="2" t="s">
        <v>1906</v>
      </c>
      <c r="B1166" s="2" t="s">
        <v>1747</v>
      </c>
      <c r="C1166" s="2">
        <v>52</v>
      </c>
      <c r="D1166" s="2" t="s">
        <v>55</v>
      </c>
      <c r="E1166" s="2" t="s">
        <v>56</v>
      </c>
      <c r="F1166" s="2" t="s">
        <v>57</v>
      </c>
      <c r="G1166" s="3">
        <v>44883</v>
      </c>
      <c r="H1166" s="3">
        <v>44905</v>
      </c>
      <c r="I1166" s="2">
        <v>22</v>
      </c>
      <c r="J1166" s="2" t="s">
        <v>33</v>
      </c>
      <c r="K1166" s="2" t="s">
        <v>278</v>
      </c>
      <c r="L1166" s="2" t="s">
        <v>279</v>
      </c>
      <c r="M1166" s="2" t="s">
        <v>83</v>
      </c>
      <c r="N1166" s="2" t="s">
        <v>62</v>
      </c>
      <c r="O1166" s="2" t="s">
        <v>49</v>
      </c>
      <c r="P1166" s="2">
        <v>9</v>
      </c>
      <c r="Q1166" s="2" t="s">
        <v>103</v>
      </c>
      <c r="R1166" s="2" t="s">
        <v>40</v>
      </c>
      <c r="S1166" s="2">
        <v>67820</v>
      </c>
      <c r="T1166" s="2">
        <v>35059</v>
      </c>
      <c r="U1166" s="2">
        <v>32761</v>
      </c>
      <c r="V1166" s="2">
        <v>35065</v>
      </c>
      <c r="W1166" s="2">
        <v>23057</v>
      </c>
      <c r="X1166" s="2">
        <v>8162</v>
      </c>
      <c r="Y1166" s="2" t="s">
        <v>41</v>
      </c>
      <c r="Z1166" s="2">
        <v>61</v>
      </c>
      <c r="AA1166" s="2">
        <v>4.4000000000000004</v>
      </c>
      <c r="AB1166" s="2" t="s">
        <v>137</v>
      </c>
    </row>
    <row r="1167" spans="1:28" x14ac:dyDescent="0.25">
      <c r="A1167" s="4" t="s">
        <v>1907</v>
      </c>
      <c r="B1167" s="4" t="s">
        <v>675</v>
      </c>
      <c r="C1167" s="4">
        <v>70</v>
      </c>
      <c r="D1167" s="4" t="s">
        <v>55</v>
      </c>
      <c r="E1167" s="4" t="s">
        <v>67</v>
      </c>
      <c r="F1167" s="4" t="s">
        <v>129</v>
      </c>
      <c r="G1167" s="5">
        <v>44732</v>
      </c>
      <c r="H1167" s="5">
        <v>44756</v>
      </c>
      <c r="I1167" s="4">
        <v>24</v>
      </c>
      <c r="J1167" s="4" t="s">
        <v>33</v>
      </c>
      <c r="K1167" s="4" t="s">
        <v>197</v>
      </c>
      <c r="L1167" s="4" t="s">
        <v>198</v>
      </c>
      <c r="M1167" s="4" t="s">
        <v>83</v>
      </c>
      <c r="N1167" s="4" t="s">
        <v>109</v>
      </c>
      <c r="O1167" s="4" t="s">
        <v>147</v>
      </c>
      <c r="P1167" s="4">
        <v>81</v>
      </c>
      <c r="Q1167" s="4" t="s">
        <v>69</v>
      </c>
      <c r="R1167" s="4" t="s">
        <v>51</v>
      </c>
      <c r="S1167" s="4">
        <v>166354</v>
      </c>
      <c r="T1167" s="4">
        <v>105810</v>
      </c>
      <c r="U1167" s="4">
        <v>60544</v>
      </c>
      <c r="V1167" s="4">
        <v>149164</v>
      </c>
      <c r="W1167" s="4">
        <v>9067</v>
      </c>
      <c r="X1167" s="4">
        <v>7005</v>
      </c>
      <c r="Y1167" s="4" t="s">
        <v>41</v>
      </c>
      <c r="Z1167" s="4">
        <v>83</v>
      </c>
      <c r="AA1167" s="4">
        <v>3.4</v>
      </c>
      <c r="AB1167" s="4" t="s">
        <v>137</v>
      </c>
    </row>
    <row r="1168" spans="1:28" x14ac:dyDescent="0.25">
      <c r="A1168" s="2" t="s">
        <v>1908</v>
      </c>
      <c r="B1168" s="2" t="s">
        <v>661</v>
      </c>
      <c r="C1168" s="2">
        <v>50</v>
      </c>
      <c r="D1168" s="2" t="s">
        <v>55</v>
      </c>
      <c r="E1168" s="2" t="s">
        <v>87</v>
      </c>
      <c r="F1168" s="2" t="s">
        <v>150</v>
      </c>
      <c r="G1168" s="3">
        <v>44564</v>
      </c>
      <c r="H1168" s="3">
        <v>44579</v>
      </c>
      <c r="I1168" s="2">
        <v>15</v>
      </c>
      <c r="J1168" s="2" t="s">
        <v>58</v>
      </c>
      <c r="K1168" s="2" t="s">
        <v>59</v>
      </c>
      <c r="L1168" s="2" t="s">
        <v>60</v>
      </c>
      <c r="M1168" s="2" t="s">
        <v>101</v>
      </c>
      <c r="N1168" s="2" t="s">
        <v>62</v>
      </c>
      <c r="O1168" s="2" t="s">
        <v>248</v>
      </c>
      <c r="P1168" s="2">
        <v>29</v>
      </c>
      <c r="Q1168" s="2" t="s">
        <v>50</v>
      </c>
      <c r="R1168" s="2" t="s">
        <v>136</v>
      </c>
      <c r="S1168" s="2">
        <v>93606</v>
      </c>
      <c r="T1168" s="2">
        <v>0</v>
      </c>
      <c r="U1168" s="2">
        <v>93606</v>
      </c>
      <c r="V1168" s="2">
        <v>88308</v>
      </c>
      <c r="W1168" s="2">
        <v>2675</v>
      </c>
      <c r="X1168" s="2">
        <v>669</v>
      </c>
      <c r="Y1168" s="2" t="s">
        <v>91</v>
      </c>
      <c r="Z1168" s="2">
        <v>89</v>
      </c>
      <c r="AA1168" s="2">
        <v>3.9</v>
      </c>
      <c r="AB1168" s="2" t="s">
        <v>42</v>
      </c>
    </row>
    <row r="1169" spans="1:28" x14ac:dyDescent="0.25">
      <c r="A1169" s="4" t="s">
        <v>1909</v>
      </c>
      <c r="B1169" s="4" t="s">
        <v>71</v>
      </c>
      <c r="C1169" s="4">
        <v>68</v>
      </c>
      <c r="D1169" s="4" t="s">
        <v>55</v>
      </c>
      <c r="E1169" s="4" t="s">
        <v>31</v>
      </c>
      <c r="F1169" s="4" t="s">
        <v>46</v>
      </c>
      <c r="G1169" s="5">
        <v>45271</v>
      </c>
      <c r="H1169" s="5">
        <v>45300</v>
      </c>
      <c r="I1169" s="4">
        <v>29</v>
      </c>
      <c r="J1169" s="4" t="s">
        <v>33</v>
      </c>
      <c r="K1169" s="4" t="s">
        <v>197</v>
      </c>
      <c r="L1169" s="4" t="s">
        <v>198</v>
      </c>
      <c r="M1169" s="4" t="s">
        <v>101</v>
      </c>
      <c r="N1169" s="4" t="s">
        <v>118</v>
      </c>
      <c r="O1169" s="4" t="s">
        <v>144</v>
      </c>
      <c r="P1169" s="4">
        <v>232</v>
      </c>
      <c r="Q1169" s="4" t="s">
        <v>103</v>
      </c>
      <c r="R1169" s="4" t="s">
        <v>90</v>
      </c>
      <c r="S1169" s="4">
        <v>103727</v>
      </c>
      <c r="T1169" s="4">
        <v>70707</v>
      </c>
      <c r="U1169" s="4">
        <v>33020</v>
      </c>
      <c r="V1169" s="4">
        <v>67322</v>
      </c>
      <c r="W1169" s="4">
        <v>22252</v>
      </c>
      <c r="X1169" s="4">
        <v>13264</v>
      </c>
      <c r="Y1169" s="4" t="s">
        <v>41</v>
      </c>
      <c r="Z1169" s="4">
        <v>86</v>
      </c>
      <c r="AA1169" s="4">
        <v>4.4000000000000004</v>
      </c>
      <c r="AB1169" s="4" t="s">
        <v>52</v>
      </c>
    </row>
    <row r="1170" spans="1:28" x14ac:dyDescent="0.25">
      <c r="A1170" s="2" t="s">
        <v>1910</v>
      </c>
      <c r="B1170" s="2" t="s">
        <v>410</v>
      </c>
      <c r="C1170" s="2">
        <v>49</v>
      </c>
      <c r="D1170" s="2" t="s">
        <v>30</v>
      </c>
      <c r="E1170" s="2" t="s">
        <v>56</v>
      </c>
      <c r="F1170" s="2" t="s">
        <v>94</v>
      </c>
      <c r="G1170" s="3">
        <v>44861</v>
      </c>
      <c r="H1170" s="3">
        <v>44869</v>
      </c>
      <c r="I1170" s="2">
        <v>8</v>
      </c>
      <c r="J1170" s="2" t="s">
        <v>33</v>
      </c>
      <c r="K1170" s="2" t="s">
        <v>81</v>
      </c>
      <c r="L1170" s="2" t="s">
        <v>82</v>
      </c>
      <c r="M1170" s="2" t="s">
        <v>75</v>
      </c>
      <c r="N1170" s="2" t="s">
        <v>62</v>
      </c>
      <c r="O1170" s="2" t="s">
        <v>396</v>
      </c>
      <c r="P1170" s="2">
        <v>455</v>
      </c>
      <c r="Q1170" s="2" t="s">
        <v>39</v>
      </c>
      <c r="R1170" s="2" t="s">
        <v>51</v>
      </c>
      <c r="S1170" s="2">
        <v>59685</v>
      </c>
      <c r="T1170" s="2">
        <v>24742</v>
      </c>
      <c r="U1170" s="2">
        <v>34943</v>
      </c>
      <c r="V1170" s="2">
        <v>39645</v>
      </c>
      <c r="W1170" s="2">
        <v>15627</v>
      </c>
      <c r="X1170" s="2">
        <v>3326</v>
      </c>
      <c r="Y1170" s="2" t="s">
        <v>41</v>
      </c>
      <c r="Z1170" s="2">
        <v>46</v>
      </c>
      <c r="AA1170" s="2">
        <v>2.7</v>
      </c>
      <c r="AB1170" s="2" t="s">
        <v>52</v>
      </c>
    </row>
    <row r="1171" spans="1:28" x14ac:dyDescent="0.25">
      <c r="A1171" s="4" t="s">
        <v>1911</v>
      </c>
      <c r="B1171" s="4" t="s">
        <v>1799</v>
      </c>
      <c r="C1171" s="4">
        <v>17</v>
      </c>
      <c r="D1171" s="4" t="s">
        <v>30</v>
      </c>
      <c r="E1171" s="4" t="s">
        <v>154</v>
      </c>
      <c r="F1171" s="4" t="s">
        <v>129</v>
      </c>
      <c r="G1171" s="5">
        <v>44567</v>
      </c>
      <c r="H1171" s="5">
        <v>44571</v>
      </c>
      <c r="I1171" s="4">
        <v>4</v>
      </c>
      <c r="J1171" s="4" t="s">
        <v>73</v>
      </c>
      <c r="K1171" s="4" t="s">
        <v>74</v>
      </c>
      <c r="L1171" s="4" t="s">
        <v>73</v>
      </c>
      <c r="M1171" s="4" t="s">
        <v>75</v>
      </c>
      <c r="N1171" s="4" t="s">
        <v>109</v>
      </c>
      <c r="O1171" s="4" t="s">
        <v>248</v>
      </c>
      <c r="P1171" s="4">
        <v>89</v>
      </c>
      <c r="Q1171" s="4" t="s">
        <v>69</v>
      </c>
      <c r="R1171" s="4" t="s">
        <v>51</v>
      </c>
      <c r="S1171" s="4">
        <v>93697</v>
      </c>
      <c r="T1171" s="4">
        <v>62257</v>
      </c>
      <c r="U1171" s="4">
        <v>31440</v>
      </c>
      <c r="V1171" s="4">
        <v>56638</v>
      </c>
      <c r="W1171" s="4">
        <v>23450</v>
      </c>
      <c r="X1171" s="4">
        <v>12480</v>
      </c>
      <c r="Y1171" s="4" t="s">
        <v>41</v>
      </c>
      <c r="Z1171" s="4">
        <v>73</v>
      </c>
      <c r="AA1171" s="4">
        <v>2.4</v>
      </c>
      <c r="AB1171" s="4" t="s">
        <v>137</v>
      </c>
    </row>
    <row r="1172" spans="1:28" x14ac:dyDescent="0.25">
      <c r="A1172" s="2" t="s">
        <v>1912</v>
      </c>
      <c r="B1172" s="2" t="s">
        <v>1204</v>
      </c>
      <c r="C1172" s="2">
        <v>6</v>
      </c>
      <c r="D1172" s="2" t="s">
        <v>55</v>
      </c>
      <c r="E1172" s="2" t="s">
        <v>56</v>
      </c>
      <c r="F1172" s="2" t="s">
        <v>150</v>
      </c>
      <c r="G1172" s="3">
        <v>45064</v>
      </c>
      <c r="H1172" s="3">
        <v>45088</v>
      </c>
      <c r="I1172" s="2">
        <v>24</v>
      </c>
      <c r="J1172" s="2" t="s">
        <v>115</v>
      </c>
      <c r="K1172" s="2" t="s">
        <v>116</v>
      </c>
      <c r="L1172" s="2" t="s">
        <v>117</v>
      </c>
      <c r="M1172" s="2" t="s">
        <v>130</v>
      </c>
      <c r="N1172" s="2" t="s">
        <v>37</v>
      </c>
      <c r="O1172" s="2" t="s">
        <v>295</v>
      </c>
      <c r="P1172" s="2">
        <v>362</v>
      </c>
      <c r="Q1172" s="2" t="s">
        <v>50</v>
      </c>
      <c r="R1172" s="2" t="s">
        <v>111</v>
      </c>
      <c r="S1172" s="2">
        <v>138498</v>
      </c>
      <c r="T1172" s="2">
        <v>84875</v>
      </c>
      <c r="U1172" s="2">
        <v>53623</v>
      </c>
      <c r="V1172" s="2">
        <v>117305</v>
      </c>
      <c r="W1172" s="2">
        <v>16798</v>
      </c>
      <c r="X1172" s="2">
        <v>3517</v>
      </c>
      <c r="Y1172" s="2" t="s">
        <v>41</v>
      </c>
      <c r="Z1172" s="2">
        <v>45</v>
      </c>
      <c r="AA1172" s="2">
        <v>2.8</v>
      </c>
      <c r="AB1172" s="2" t="s">
        <v>104</v>
      </c>
    </row>
    <row r="1173" spans="1:28" x14ac:dyDescent="0.25">
      <c r="A1173" s="4" t="s">
        <v>1913</v>
      </c>
      <c r="B1173" s="4" t="s">
        <v>724</v>
      </c>
      <c r="C1173" s="4">
        <v>65</v>
      </c>
      <c r="D1173" s="4" t="s">
        <v>55</v>
      </c>
      <c r="E1173" s="4" t="s">
        <v>87</v>
      </c>
      <c r="F1173" s="4" t="s">
        <v>157</v>
      </c>
      <c r="G1173" s="5">
        <v>45450</v>
      </c>
      <c r="H1173" s="5">
        <v>45458</v>
      </c>
      <c r="I1173" s="4">
        <v>8</v>
      </c>
      <c r="J1173" s="4" t="s">
        <v>140</v>
      </c>
      <c r="K1173" s="4" t="s">
        <v>167</v>
      </c>
      <c r="L1173" s="4" t="s">
        <v>142</v>
      </c>
      <c r="M1173" s="4" t="s">
        <v>95</v>
      </c>
      <c r="N1173" s="4" t="s">
        <v>62</v>
      </c>
      <c r="O1173" s="4" t="s">
        <v>295</v>
      </c>
      <c r="P1173" s="4">
        <v>165</v>
      </c>
      <c r="Q1173" s="4" t="s">
        <v>69</v>
      </c>
      <c r="R1173" s="4" t="s">
        <v>40</v>
      </c>
      <c r="S1173" s="4">
        <v>83276</v>
      </c>
      <c r="T1173" s="4">
        <v>42587</v>
      </c>
      <c r="U1173" s="4">
        <v>40689</v>
      </c>
      <c r="V1173" s="4">
        <v>61804</v>
      </c>
      <c r="W1173" s="4">
        <v>16033</v>
      </c>
      <c r="X1173" s="4">
        <v>605</v>
      </c>
      <c r="Y1173" s="4" t="s">
        <v>41</v>
      </c>
      <c r="Z1173" s="4">
        <v>96</v>
      </c>
      <c r="AA1173" s="4">
        <v>4.3</v>
      </c>
      <c r="AB1173" s="4" t="s">
        <v>104</v>
      </c>
    </row>
    <row r="1174" spans="1:28" x14ac:dyDescent="0.25">
      <c r="A1174" s="2" t="s">
        <v>1914</v>
      </c>
      <c r="B1174" s="2" t="s">
        <v>1915</v>
      </c>
      <c r="C1174" s="2">
        <v>43</v>
      </c>
      <c r="D1174" s="2" t="s">
        <v>30</v>
      </c>
      <c r="E1174" s="2" t="s">
        <v>79</v>
      </c>
      <c r="F1174" s="2" t="s">
        <v>80</v>
      </c>
      <c r="G1174" s="3">
        <v>45422</v>
      </c>
      <c r="H1174" s="3">
        <v>45442</v>
      </c>
      <c r="I1174" s="2">
        <v>20</v>
      </c>
      <c r="J1174" s="2" t="s">
        <v>33</v>
      </c>
      <c r="K1174" s="2" t="s">
        <v>174</v>
      </c>
      <c r="L1174" s="2" t="s">
        <v>48</v>
      </c>
      <c r="M1174" s="2" t="s">
        <v>101</v>
      </c>
      <c r="N1174" s="2" t="s">
        <v>37</v>
      </c>
      <c r="O1174" s="2" t="s">
        <v>222</v>
      </c>
      <c r="P1174" s="2">
        <v>200</v>
      </c>
      <c r="Q1174" s="2" t="s">
        <v>69</v>
      </c>
      <c r="R1174" s="2" t="s">
        <v>51</v>
      </c>
      <c r="S1174" s="2">
        <v>81726</v>
      </c>
      <c r="T1174" s="2">
        <v>34609</v>
      </c>
      <c r="U1174" s="2">
        <v>47117</v>
      </c>
      <c r="V1174" s="2">
        <v>53775</v>
      </c>
      <c r="W1174" s="2">
        <v>15860</v>
      </c>
      <c r="X1174" s="2">
        <v>7508</v>
      </c>
      <c r="Y1174" s="2" t="s">
        <v>41</v>
      </c>
      <c r="Z1174" s="2">
        <v>86</v>
      </c>
      <c r="AA1174" s="2">
        <v>4.0999999999999996</v>
      </c>
      <c r="AB1174" s="2" t="s">
        <v>104</v>
      </c>
    </row>
    <row r="1175" spans="1:28" x14ac:dyDescent="0.25">
      <c r="A1175" s="4" t="s">
        <v>1916</v>
      </c>
      <c r="B1175" s="4" t="s">
        <v>929</v>
      </c>
      <c r="C1175" s="4">
        <v>69</v>
      </c>
      <c r="D1175" s="4" t="s">
        <v>30</v>
      </c>
      <c r="E1175" s="4" t="s">
        <v>154</v>
      </c>
      <c r="F1175" s="4" t="s">
        <v>114</v>
      </c>
      <c r="G1175" s="5">
        <v>45054</v>
      </c>
      <c r="H1175" s="5">
        <v>45073</v>
      </c>
      <c r="I1175" s="4">
        <v>19</v>
      </c>
      <c r="J1175" s="4" t="s">
        <v>58</v>
      </c>
      <c r="K1175" s="4" t="s">
        <v>88</v>
      </c>
      <c r="L1175" s="4" t="s">
        <v>60</v>
      </c>
      <c r="M1175" s="4" t="s">
        <v>36</v>
      </c>
      <c r="N1175" s="4" t="s">
        <v>109</v>
      </c>
      <c r="O1175" s="4" t="s">
        <v>171</v>
      </c>
      <c r="P1175" s="4">
        <v>473</v>
      </c>
      <c r="Q1175" s="4" t="s">
        <v>103</v>
      </c>
      <c r="R1175" s="4" t="s">
        <v>51</v>
      </c>
      <c r="S1175" s="4">
        <v>74249</v>
      </c>
      <c r="T1175" s="4">
        <v>40713</v>
      </c>
      <c r="U1175" s="4">
        <v>33536</v>
      </c>
      <c r="V1175" s="4">
        <v>62346</v>
      </c>
      <c r="W1175" s="4">
        <v>1827</v>
      </c>
      <c r="X1175" s="4">
        <v>6599</v>
      </c>
      <c r="Y1175" s="4" t="s">
        <v>41</v>
      </c>
      <c r="Z1175" s="4">
        <v>52</v>
      </c>
      <c r="AA1175" s="4">
        <v>3.6</v>
      </c>
      <c r="AB1175" s="4" t="s">
        <v>42</v>
      </c>
    </row>
    <row r="1176" spans="1:28" x14ac:dyDescent="0.25">
      <c r="A1176" s="2" t="s">
        <v>1917</v>
      </c>
      <c r="B1176" s="2" t="s">
        <v>727</v>
      </c>
      <c r="C1176" s="2">
        <v>10</v>
      </c>
      <c r="D1176" s="2" t="s">
        <v>55</v>
      </c>
      <c r="E1176" s="2" t="s">
        <v>154</v>
      </c>
      <c r="F1176" s="2" t="s">
        <v>32</v>
      </c>
      <c r="G1176" s="3">
        <v>45153</v>
      </c>
      <c r="H1176" s="3">
        <v>45175</v>
      </c>
      <c r="I1176" s="2">
        <v>22</v>
      </c>
      <c r="J1176" s="2" t="s">
        <v>115</v>
      </c>
      <c r="K1176" s="2" t="s">
        <v>116</v>
      </c>
      <c r="L1176" s="2" t="s">
        <v>117</v>
      </c>
      <c r="M1176" s="2" t="s">
        <v>134</v>
      </c>
      <c r="N1176" s="2" t="s">
        <v>118</v>
      </c>
      <c r="O1176" s="2" t="s">
        <v>171</v>
      </c>
      <c r="P1176" s="2">
        <v>91</v>
      </c>
      <c r="Q1176" s="2" t="s">
        <v>103</v>
      </c>
      <c r="R1176" s="2" t="s">
        <v>111</v>
      </c>
      <c r="S1176" s="2">
        <v>88108</v>
      </c>
      <c r="T1176" s="2">
        <v>60711</v>
      </c>
      <c r="U1176" s="2">
        <v>27397</v>
      </c>
      <c r="V1176" s="2">
        <v>58685</v>
      </c>
      <c r="W1176" s="2">
        <v>24839</v>
      </c>
      <c r="X1176" s="2">
        <v>4078</v>
      </c>
      <c r="Y1176" s="2" t="s">
        <v>41</v>
      </c>
      <c r="Z1176" s="2">
        <v>44</v>
      </c>
      <c r="AA1176" s="2">
        <v>4.4000000000000004</v>
      </c>
      <c r="AB1176" s="2" t="s">
        <v>137</v>
      </c>
    </row>
    <row r="1177" spans="1:28" x14ac:dyDescent="0.25">
      <c r="A1177" s="4" t="s">
        <v>1918</v>
      </c>
      <c r="B1177" s="4" t="s">
        <v>1148</v>
      </c>
      <c r="C1177" s="4">
        <v>43</v>
      </c>
      <c r="D1177" s="4" t="s">
        <v>55</v>
      </c>
      <c r="E1177" s="4" t="s">
        <v>56</v>
      </c>
      <c r="F1177" s="4" t="s">
        <v>80</v>
      </c>
      <c r="G1177" s="5">
        <v>44942</v>
      </c>
      <c r="H1177" s="5">
        <v>44952</v>
      </c>
      <c r="I1177" s="4">
        <v>10</v>
      </c>
      <c r="J1177" s="4" t="s">
        <v>202</v>
      </c>
      <c r="K1177" s="4" t="s">
        <v>225</v>
      </c>
      <c r="L1177" s="4" t="s">
        <v>226</v>
      </c>
      <c r="M1177" s="4" t="s">
        <v>36</v>
      </c>
      <c r="N1177" s="4" t="s">
        <v>37</v>
      </c>
      <c r="O1177" s="4" t="s">
        <v>144</v>
      </c>
      <c r="P1177" s="4">
        <v>107</v>
      </c>
      <c r="Q1177" s="4" t="s">
        <v>103</v>
      </c>
      <c r="R1177" s="4" t="s">
        <v>136</v>
      </c>
      <c r="S1177" s="4">
        <v>149349</v>
      </c>
      <c r="T1177" s="4">
        <v>0</v>
      </c>
      <c r="U1177" s="4">
        <v>149349</v>
      </c>
      <c r="V1177" s="4">
        <v>130618</v>
      </c>
      <c r="W1177" s="4">
        <v>1891</v>
      </c>
      <c r="X1177" s="4">
        <v>14290</v>
      </c>
      <c r="Y1177" s="4" t="s">
        <v>41</v>
      </c>
      <c r="Z1177" s="4">
        <v>64</v>
      </c>
      <c r="AA1177" s="4">
        <v>3.6</v>
      </c>
      <c r="AB1177" s="4" t="s">
        <v>42</v>
      </c>
    </row>
    <row r="1178" spans="1:28" x14ac:dyDescent="0.25">
      <c r="A1178" s="2" t="s">
        <v>1919</v>
      </c>
      <c r="B1178" s="2" t="s">
        <v>898</v>
      </c>
      <c r="C1178" s="2">
        <v>70</v>
      </c>
      <c r="D1178" s="2" t="s">
        <v>30</v>
      </c>
      <c r="E1178" s="2" t="s">
        <v>122</v>
      </c>
      <c r="F1178" s="2" t="s">
        <v>32</v>
      </c>
      <c r="G1178" s="3">
        <v>45334</v>
      </c>
      <c r="H1178" s="3">
        <v>45352</v>
      </c>
      <c r="I1178" s="2">
        <v>18</v>
      </c>
      <c r="J1178" s="2" t="s">
        <v>33</v>
      </c>
      <c r="K1178" s="2" t="s">
        <v>99</v>
      </c>
      <c r="L1178" s="2" t="s">
        <v>100</v>
      </c>
      <c r="M1178" s="2" t="s">
        <v>130</v>
      </c>
      <c r="N1178" s="2" t="s">
        <v>62</v>
      </c>
      <c r="O1178" s="2" t="s">
        <v>84</v>
      </c>
      <c r="P1178" s="2">
        <v>113</v>
      </c>
      <c r="Q1178" s="2" t="s">
        <v>103</v>
      </c>
      <c r="R1178" s="2" t="s">
        <v>51</v>
      </c>
      <c r="S1178" s="2">
        <v>93685</v>
      </c>
      <c r="T1178" s="2">
        <v>56869</v>
      </c>
      <c r="U1178" s="2">
        <v>36816</v>
      </c>
      <c r="V1178" s="2">
        <v>64726</v>
      </c>
      <c r="W1178" s="2">
        <v>14158</v>
      </c>
      <c r="X1178" s="2">
        <v>12442</v>
      </c>
      <c r="Y1178" s="2" t="s">
        <v>91</v>
      </c>
      <c r="Z1178" s="2">
        <v>62</v>
      </c>
      <c r="AA1178" s="2">
        <v>3.7</v>
      </c>
      <c r="AB1178" s="2" t="s">
        <v>64</v>
      </c>
    </row>
    <row r="1179" spans="1:28" x14ac:dyDescent="0.25">
      <c r="A1179" s="4" t="s">
        <v>1920</v>
      </c>
      <c r="B1179" s="4" t="s">
        <v>570</v>
      </c>
      <c r="C1179" s="4">
        <v>81</v>
      </c>
      <c r="D1179" s="4" t="s">
        <v>55</v>
      </c>
      <c r="E1179" s="4" t="s">
        <v>154</v>
      </c>
      <c r="F1179" s="4" t="s">
        <v>150</v>
      </c>
      <c r="G1179" s="5">
        <v>44680</v>
      </c>
      <c r="H1179" s="5">
        <v>44693</v>
      </c>
      <c r="I1179" s="4">
        <v>13</v>
      </c>
      <c r="J1179" s="4" t="s">
        <v>33</v>
      </c>
      <c r="K1179" s="4" t="s">
        <v>47</v>
      </c>
      <c r="L1179" s="4" t="s">
        <v>48</v>
      </c>
      <c r="M1179" s="4" t="s">
        <v>61</v>
      </c>
      <c r="N1179" s="4" t="s">
        <v>118</v>
      </c>
      <c r="O1179" s="4" t="s">
        <v>76</v>
      </c>
      <c r="P1179" s="4">
        <v>465</v>
      </c>
      <c r="Q1179" s="4" t="s">
        <v>50</v>
      </c>
      <c r="R1179" s="4" t="s">
        <v>90</v>
      </c>
      <c r="S1179" s="4">
        <v>142620</v>
      </c>
      <c r="T1179" s="4">
        <v>110345</v>
      </c>
      <c r="U1179" s="4">
        <v>32275</v>
      </c>
      <c r="V1179" s="4">
        <v>103859</v>
      </c>
      <c r="W1179" s="4">
        <v>25340</v>
      </c>
      <c r="X1179" s="4">
        <v>11732</v>
      </c>
      <c r="Y1179" s="4" t="s">
        <v>91</v>
      </c>
      <c r="Z1179" s="4">
        <v>68</v>
      </c>
      <c r="AA1179" s="4">
        <v>2.5</v>
      </c>
      <c r="AB1179" s="4" t="s">
        <v>42</v>
      </c>
    </row>
    <row r="1180" spans="1:28" x14ac:dyDescent="0.25">
      <c r="A1180" s="2" t="s">
        <v>1921</v>
      </c>
      <c r="B1180" s="2" t="s">
        <v>1463</v>
      </c>
      <c r="C1180" s="2">
        <v>66</v>
      </c>
      <c r="D1180" s="2" t="s">
        <v>55</v>
      </c>
      <c r="E1180" s="2" t="s">
        <v>31</v>
      </c>
      <c r="F1180" s="2" t="s">
        <v>57</v>
      </c>
      <c r="G1180" s="3">
        <v>44741</v>
      </c>
      <c r="H1180" s="3">
        <v>44759</v>
      </c>
      <c r="I1180" s="2">
        <v>18</v>
      </c>
      <c r="J1180" s="2" t="s">
        <v>33</v>
      </c>
      <c r="K1180" s="2" t="s">
        <v>34</v>
      </c>
      <c r="L1180" s="2" t="s">
        <v>35</v>
      </c>
      <c r="M1180" s="2" t="s">
        <v>101</v>
      </c>
      <c r="N1180" s="2" t="s">
        <v>37</v>
      </c>
      <c r="O1180" s="2" t="s">
        <v>631</v>
      </c>
      <c r="P1180" s="2">
        <v>172</v>
      </c>
      <c r="Q1180" s="2" t="s">
        <v>103</v>
      </c>
      <c r="R1180" s="2" t="s">
        <v>51</v>
      </c>
      <c r="S1180" s="2">
        <v>173020</v>
      </c>
      <c r="T1180" s="2">
        <v>115632</v>
      </c>
      <c r="U1180" s="2">
        <v>57388</v>
      </c>
      <c r="V1180" s="2">
        <v>141482</v>
      </c>
      <c r="W1180" s="2">
        <v>22501</v>
      </c>
      <c r="X1180" s="2">
        <v>4629</v>
      </c>
      <c r="Y1180" s="2" t="s">
        <v>41</v>
      </c>
      <c r="Z1180" s="2">
        <v>68</v>
      </c>
      <c r="AA1180" s="2">
        <v>3.9</v>
      </c>
      <c r="AB1180" s="2" t="s">
        <v>104</v>
      </c>
    </row>
    <row r="1181" spans="1:28" x14ac:dyDescent="0.25">
      <c r="A1181" s="4" t="s">
        <v>1922</v>
      </c>
      <c r="B1181" s="4" t="s">
        <v>466</v>
      </c>
      <c r="C1181" s="4">
        <v>22</v>
      </c>
      <c r="D1181" s="4" t="s">
        <v>55</v>
      </c>
      <c r="E1181" s="4" t="s">
        <v>87</v>
      </c>
      <c r="F1181" s="4" t="s">
        <v>157</v>
      </c>
      <c r="G1181" s="5">
        <v>44788</v>
      </c>
      <c r="H1181" s="5">
        <v>44797</v>
      </c>
      <c r="I1181" s="4">
        <v>9</v>
      </c>
      <c r="J1181" s="4" t="s">
        <v>33</v>
      </c>
      <c r="K1181" s="4" t="s">
        <v>99</v>
      </c>
      <c r="L1181" s="4" t="s">
        <v>100</v>
      </c>
      <c r="M1181" s="4" t="s">
        <v>95</v>
      </c>
      <c r="N1181" s="4" t="s">
        <v>37</v>
      </c>
      <c r="O1181" s="4" t="s">
        <v>434</v>
      </c>
      <c r="P1181" s="4">
        <v>378</v>
      </c>
      <c r="Q1181" s="4" t="s">
        <v>69</v>
      </c>
      <c r="R1181" s="4" t="s">
        <v>51</v>
      </c>
      <c r="S1181" s="4">
        <v>170595</v>
      </c>
      <c r="T1181" s="4">
        <v>90381</v>
      </c>
      <c r="U1181" s="4">
        <v>80214</v>
      </c>
      <c r="V1181" s="4">
        <v>145125</v>
      </c>
      <c r="W1181" s="4">
        <v>22722</v>
      </c>
      <c r="X1181" s="4">
        <v>2171</v>
      </c>
      <c r="Y1181" s="4" t="s">
        <v>41</v>
      </c>
      <c r="Z1181" s="4">
        <v>80</v>
      </c>
      <c r="AA1181" s="4">
        <v>4.4000000000000004</v>
      </c>
      <c r="AB1181" s="4" t="s">
        <v>52</v>
      </c>
    </row>
    <row r="1182" spans="1:28" x14ac:dyDescent="0.25">
      <c r="A1182" s="2" t="s">
        <v>1923</v>
      </c>
      <c r="B1182" s="2" t="s">
        <v>1307</v>
      </c>
      <c r="C1182" s="2">
        <v>17</v>
      </c>
      <c r="D1182" s="2" t="s">
        <v>30</v>
      </c>
      <c r="E1182" s="2" t="s">
        <v>31</v>
      </c>
      <c r="F1182" s="2" t="s">
        <v>157</v>
      </c>
      <c r="G1182" s="3">
        <v>44906</v>
      </c>
      <c r="H1182" s="3">
        <v>44926</v>
      </c>
      <c r="I1182" s="2">
        <v>20</v>
      </c>
      <c r="J1182" s="2" t="s">
        <v>33</v>
      </c>
      <c r="K1182" s="2" t="s">
        <v>107</v>
      </c>
      <c r="L1182" s="2" t="s">
        <v>48</v>
      </c>
      <c r="M1182" s="2" t="s">
        <v>95</v>
      </c>
      <c r="N1182" s="2" t="s">
        <v>37</v>
      </c>
      <c r="O1182" s="2" t="s">
        <v>571</v>
      </c>
      <c r="P1182" s="2">
        <v>53</v>
      </c>
      <c r="Q1182" s="2" t="s">
        <v>103</v>
      </c>
      <c r="R1182" s="2" t="s">
        <v>51</v>
      </c>
      <c r="S1182" s="2">
        <v>115436</v>
      </c>
      <c r="T1182" s="2">
        <v>63074</v>
      </c>
      <c r="U1182" s="2">
        <v>52362</v>
      </c>
      <c r="V1182" s="2">
        <v>84977</v>
      </c>
      <c r="W1182" s="2">
        <v>20949</v>
      </c>
      <c r="X1182" s="2">
        <v>7225</v>
      </c>
      <c r="Y1182" s="2" t="s">
        <v>41</v>
      </c>
      <c r="Z1182" s="2">
        <v>44</v>
      </c>
      <c r="AA1182" s="2">
        <v>2.2999999999999998</v>
      </c>
      <c r="AB1182" s="2" t="s">
        <v>64</v>
      </c>
    </row>
    <row r="1183" spans="1:28" x14ac:dyDescent="0.25">
      <c r="A1183" s="4" t="s">
        <v>1924</v>
      </c>
      <c r="B1183" s="4" t="s">
        <v>477</v>
      </c>
      <c r="C1183" s="4">
        <v>79</v>
      </c>
      <c r="D1183" s="4" t="s">
        <v>55</v>
      </c>
      <c r="E1183" s="4" t="s">
        <v>67</v>
      </c>
      <c r="F1183" s="4" t="s">
        <v>94</v>
      </c>
      <c r="G1183" s="5">
        <v>44903</v>
      </c>
      <c r="H1183" s="5">
        <v>44926</v>
      </c>
      <c r="I1183" s="4">
        <v>23</v>
      </c>
      <c r="J1183" s="4" t="s">
        <v>33</v>
      </c>
      <c r="K1183" s="4" t="s">
        <v>197</v>
      </c>
      <c r="L1183" s="4" t="s">
        <v>198</v>
      </c>
      <c r="M1183" s="4" t="s">
        <v>61</v>
      </c>
      <c r="N1183" s="4" t="s">
        <v>62</v>
      </c>
      <c r="O1183" s="4" t="s">
        <v>227</v>
      </c>
      <c r="P1183" s="4">
        <v>219</v>
      </c>
      <c r="Q1183" s="4" t="s">
        <v>103</v>
      </c>
      <c r="R1183" s="4" t="s">
        <v>136</v>
      </c>
      <c r="S1183" s="4">
        <v>95081</v>
      </c>
      <c r="T1183" s="4">
        <v>0</v>
      </c>
      <c r="U1183" s="4">
        <v>95081</v>
      </c>
      <c r="V1183" s="4">
        <v>54420</v>
      </c>
      <c r="W1183" s="4">
        <v>27061</v>
      </c>
      <c r="X1183" s="4">
        <v>11694</v>
      </c>
      <c r="Y1183" s="4" t="s">
        <v>91</v>
      </c>
      <c r="Z1183" s="4">
        <v>54</v>
      </c>
      <c r="AA1183" s="4">
        <v>4.4000000000000004</v>
      </c>
      <c r="AB1183" s="4" t="s">
        <v>64</v>
      </c>
    </row>
    <row r="1184" spans="1:28" x14ac:dyDescent="0.25">
      <c r="A1184" s="2" t="s">
        <v>1925</v>
      </c>
      <c r="B1184" s="2" t="s">
        <v>749</v>
      </c>
      <c r="C1184" s="2">
        <v>35</v>
      </c>
      <c r="D1184" s="2" t="s">
        <v>55</v>
      </c>
      <c r="E1184" s="2" t="s">
        <v>87</v>
      </c>
      <c r="F1184" s="2" t="s">
        <v>72</v>
      </c>
      <c r="G1184" s="3">
        <v>45641</v>
      </c>
      <c r="H1184" s="3">
        <v>45652</v>
      </c>
      <c r="I1184" s="2">
        <v>11</v>
      </c>
      <c r="J1184" s="2" t="s">
        <v>140</v>
      </c>
      <c r="K1184" s="2" t="s">
        <v>167</v>
      </c>
      <c r="L1184" s="2" t="s">
        <v>142</v>
      </c>
      <c r="M1184" s="2" t="s">
        <v>130</v>
      </c>
      <c r="N1184" s="2" t="s">
        <v>62</v>
      </c>
      <c r="O1184" s="2" t="s">
        <v>211</v>
      </c>
      <c r="P1184" s="2">
        <v>428</v>
      </c>
      <c r="Q1184" s="2" t="s">
        <v>69</v>
      </c>
      <c r="R1184" s="2" t="s">
        <v>40</v>
      </c>
      <c r="S1184" s="2">
        <v>159478</v>
      </c>
      <c r="T1184" s="2">
        <v>99661</v>
      </c>
      <c r="U1184" s="2">
        <v>59817</v>
      </c>
      <c r="V1184" s="2">
        <v>129838</v>
      </c>
      <c r="W1184" s="2">
        <v>23038</v>
      </c>
      <c r="X1184" s="2">
        <v>3176</v>
      </c>
      <c r="Y1184" s="2" t="s">
        <v>41</v>
      </c>
      <c r="Z1184" s="2">
        <v>89</v>
      </c>
      <c r="AA1184" s="2">
        <v>3</v>
      </c>
      <c r="AB1184" s="2" t="s">
        <v>64</v>
      </c>
    </row>
    <row r="1185" spans="1:28" x14ac:dyDescent="0.25">
      <c r="A1185" s="4" t="s">
        <v>1926</v>
      </c>
      <c r="B1185" s="4" t="s">
        <v>1153</v>
      </c>
      <c r="C1185" s="4">
        <v>35</v>
      </c>
      <c r="D1185" s="4" t="s">
        <v>55</v>
      </c>
      <c r="E1185" s="4" t="s">
        <v>154</v>
      </c>
      <c r="F1185" s="4" t="s">
        <v>150</v>
      </c>
      <c r="G1185" s="5">
        <v>45132</v>
      </c>
      <c r="H1185" s="5">
        <v>45156</v>
      </c>
      <c r="I1185" s="4">
        <v>24</v>
      </c>
      <c r="J1185" s="4" t="s">
        <v>115</v>
      </c>
      <c r="K1185" s="4" t="s">
        <v>160</v>
      </c>
      <c r="L1185" s="4" t="s">
        <v>117</v>
      </c>
      <c r="M1185" s="4" t="s">
        <v>143</v>
      </c>
      <c r="N1185" s="4" t="s">
        <v>109</v>
      </c>
      <c r="O1185" s="4" t="s">
        <v>222</v>
      </c>
      <c r="P1185" s="4">
        <v>55</v>
      </c>
      <c r="Q1185" s="4" t="s">
        <v>103</v>
      </c>
      <c r="R1185" s="4" t="s">
        <v>136</v>
      </c>
      <c r="S1185" s="4">
        <v>63939</v>
      </c>
      <c r="T1185" s="4">
        <v>0</v>
      </c>
      <c r="U1185" s="4">
        <v>63939</v>
      </c>
      <c r="V1185" s="4">
        <v>23281</v>
      </c>
      <c r="W1185" s="4">
        <v>28316</v>
      </c>
      <c r="X1185" s="4">
        <v>10333</v>
      </c>
      <c r="Y1185" s="4" t="s">
        <v>41</v>
      </c>
      <c r="Z1185" s="4">
        <v>96</v>
      </c>
      <c r="AA1185" s="4">
        <v>4.5999999999999996</v>
      </c>
      <c r="AB1185" s="4" t="s">
        <v>52</v>
      </c>
    </row>
    <row r="1186" spans="1:28" x14ac:dyDescent="0.25">
      <c r="A1186" s="2" t="s">
        <v>1927</v>
      </c>
      <c r="B1186" s="2" t="s">
        <v>1559</v>
      </c>
      <c r="C1186" s="2">
        <v>58</v>
      </c>
      <c r="D1186" s="2" t="s">
        <v>55</v>
      </c>
      <c r="E1186" s="2" t="s">
        <v>56</v>
      </c>
      <c r="F1186" s="2" t="s">
        <v>129</v>
      </c>
      <c r="G1186" s="3">
        <v>44946</v>
      </c>
      <c r="H1186" s="3">
        <v>44959</v>
      </c>
      <c r="I1186" s="2">
        <v>13</v>
      </c>
      <c r="J1186" s="2" t="s">
        <v>33</v>
      </c>
      <c r="K1186" s="2" t="s">
        <v>197</v>
      </c>
      <c r="L1186" s="2" t="s">
        <v>198</v>
      </c>
      <c r="M1186" s="2" t="s">
        <v>75</v>
      </c>
      <c r="N1186" s="2" t="s">
        <v>37</v>
      </c>
      <c r="O1186" s="2" t="s">
        <v>89</v>
      </c>
      <c r="P1186" s="2">
        <v>307</v>
      </c>
      <c r="Q1186" s="2" t="s">
        <v>50</v>
      </c>
      <c r="R1186" s="2" t="s">
        <v>136</v>
      </c>
      <c r="S1186" s="2">
        <v>93103</v>
      </c>
      <c r="T1186" s="2">
        <v>0</v>
      </c>
      <c r="U1186" s="2">
        <v>93103</v>
      </c>
      <c r="V1186" s="2">
        <v>72687</v>
      </c>
      <c r="W1186" s="2">
        <v>4200</v>
      </c>
      <c r="X1186" s="2">
        <v>14013</v>
      </c>
      <c r="Y1186" s="2" t="s">
        <v>41</v>
      </c>
      <c r="Z1186" s="2">
        <v>75</v>
      </c>
      <c r="AA1186" s="2">
        <v>2.8</v>
      </c>
      <c r="AB1186" s="2" t="s">
        <v>64</v>
      </c>
    </row>
    <row r="1187" spans="1:28" x14ac:dyDescent="0.25">
      <c r="A1187" s="4" t="s">
        <v>1928</v>
      </c>
      <c r="B1187" s="4" t="s">
        <v>840</v>
      </c>
      <c r="C1187" s="4">
        <v>54</v>
      </c>
      <c r="D1187" s="4" t="s">
        <v>55</v>
      </c>
      <c r="E1187" s="4" t="s">
        <v>122</v>
      </c>
      <c r="F1187" s="4" t="s">
        <v>72</v>
      </c>
      <c r="G1187" s="5">
        <v>45058</v>
      </c>
      <c r="H1187" s="5">
        <v>45059</v>
      </c>
      <c r="I1187" s="4">
        <v>1</v>
      </c>
      <c r="J1187" s="4" t="s">
        <v>33</v>
      </c>
      <c r="K1187" s="4" t="s">
        <v>174</v>
      </c>
      <c r="L1187" s="4" t="s">
        <v>48</v>
      </c>
      <c r="M1187" s="4" t="s">
        <v>108</v>
      </c>
      <c r="N1187" s="4" t="s">
        <v>118</v>
      </c>
      <c r="O1187" s="4" t="s">
        <v>464</v>
      </c>
      <c r="P1187" s="4">
        <v>334</v>
      </c>
      <c r="Q1187" s="4" t="s">
        <v>103</v>
      </c>
      <c r="R1187" s="4" t="s">
        <v>136</v>
      </c>
      <c r="S1187" s="4">
        <v>148214</v>
      </c>
      <c r="T1187" s="4">
        <v>0</v>
      </c>
      <c r="U1187" s="4">
        <v>148214</v>
      </c>
      <c r="V1187" s="4">
        <v>99991</v>
      </c>
      <c r="W1187" s="4">
        <v>29899</v>
      </c>
      <c r="X1187" s="4">
        <v>13414</v>
      </c>
      <c r="Y1187" s="4" t="s">
        <v>41</v>
      </c>
      <c r="Z1187" s="4">
        <v>80</v>
      </c>
      <c r="AA1187" s="4">
        <v>2.8</v>
      </c>
      <c r="AB1187" s="4" t="s">
        <v>104</v>
      </c>
    </row>
    <row r="1188" spans="1:28" x14ac:dyDescent="0.25">
      <c r="A1188" s="2" t="s">
        <v>1929</v>
      </c>
      <c r="B1188" s="2" t="s">
        <v>430</v>
      </c>
      <c r="C1188" s="2">
        <v>82</v>
      </c>
      <c r="D1188" s="2" t="s">
        <v>55</v>
      </c>
      <c r="E1188" s="2" t="s">
        <v>56</v>
      </c>
      <c r="F1188" s="2" t="s">
        <v>150</v>
      </c>
      <c r="G1188" s="3">
        <v>45552</v>
      </c>
      <c r="H1188" s="3">
        <v>45573</v>
      </c>
      <c r="I1188" s="2">
        <v>21</v>
      </c>
      <c r="J1188" s="2" t="s">
        <v>115</v>
      </c>
      <c r="K1188" s="2" t="s">
        <v>160</v>
      </c>
      <c r="L1188" s="2" t="s">
        <v>117</v>
      </c>
      <c r="M1188" s="2" t="s">
        <v>36</v>
      </c>
      <c r="N1188" s="2" t="s">
        <v>37</v>
      </c>
      <c r="O1188" s="2" t="s">
        <v>285</v>
      </c>
      <c r="P1188" s="2">
        <v>33</v>
      </c>
      <c r="Q1188" s="2" t="s">
        <v>69</v>
      </c>
      <c r="R1188" s="2" t="s">
        <v>40</v>
      </c>
      <c r="S1188" s="2">
        <v>93220</v>
      </c>
      <c r="T1188" s="2">
        <v>63417</v>
      </c>
      <c r="U1188" s="2">
        <v>29803</v>
      </c>
      <c r="V1188" s="2">
        <v>61568</v>
      </c>
      <c r="W1188" s="2">
        <v>21371</v>
      </c>
      <c r="X1188" s="2">
        <v>8208</v>
      </c>
      <c r="Y1188" s="2" t="s">
        <v>41</v>
      </c>
      <c r="Z1188" s="2">
        <v>70</v>
      </c>
      <c r="AA1188" s="2">
        <v>4.0999999999999996</v>
      </c>
      <c r="AB1188" s="2" t="s">
        <v>104</v>
      </c>
    </row>
    <row r="1189" spans="1:28" x14ac:dyDescent="0.25">
      <c r="A1189" s="4" t="s">
        <v>1930</v>
      </c>
      <c r="B1189" s="4" t="s">
        <v>1931</v>
      </c>
      <c r="C1189" s="4">
        <v>42</v>
      </c>
      <c r="D1189" s="4" t="s">
        <v>55</v>
      </c>
      <c r="E1189" s="4" t="s">
        <v>154</v>
      </c>
      <c r="F1189" s="4" t="s">
        <v>46</v>
      </c>
      <c r="G1189" s="5">
        <v>44833</v>
      </c>
      <c r="H1189" s="5">
        <v>44854</v>
      </c>
      <c r="I1189" s="4">
        <v>21</v>
      </c>
      <c r="J1189" s="4" t="s">
        <v>123</v>
      </c>
      <c r="K1189" s="4" t="s">
        <v>124</v>
      </c>
      <c r="L1189" s="4" t="s">
        <v>125</v>
      </c>
      <c r="M1189" s="4" t="s">
        <v>134</v>
      </c>
      <c r="N1189" s="4" t="s">
        <v>62</v>
      </c>
      <c r="O1189" s="4" t="s">
        <v>259</v>
      </c>
      <c r="P1189" s="4">
        <v>451</v>
      </c>
      <c r="Q1189" s="4" t="s">
        <v>39</v>
      </c>
      <c r="R1189" s="4" t="s">
        <v>90</v>
      </c>
      <c r="S1189" s="4">
        <v>142563</v>
      </c>
      <c r="T1189" s="4">
        <v>116910</v>
      </c>
      <c r="U1189" s="4">
        <v>25653</v>
      </c>
      <c r="V1189" s="4">
        <v>112949</v>
      </c>
      <c r="W1189" s="4">
        <v>23076</v>
      </c>
      <c r="X1189" s="4">
        <v>4524</v>
      </c>
      <c r="Y1189" s="4" t="s">
        <v>41</v>
      </c>
      <c r="Z1189" s="4">
        <v>59</v>
      </c>
      <c r="AA1189" s="4">
        <v>4.7</v>
      </c>
      <c r="AB1189" s="4" t="s">
        <v>104</v>
      </c>
    </row>
    <row r="1190" spans="1:28" x14ac:dyDescent="0.25">
      <c r="A1190" s="2" t="s">
        <v>1932</v>
      </c>
      <c r="B1190" s="2" t="s">
        <v>552</v>
      </c>
      <c r="C1190" s="2">
        <v>17</v>
      </c>
      <c r="D1190" s="2" t="s">
        <v>30</v>
      </c>
      <c r="E1190" s="2" t="s">
        <v>79</v>
      </c>
      <c r="F1190" s="2" t="s">
        <v>46</v>
      </c>
      <c r="G1190" s="3">
        <v>44906</v>
      </c>
      <c r="H1190" s="3">
        <v>44916</v>
      </c>
      <c r="I1190" s="2">
        <v>10</v>
      </c>
      <c r="J1190" s="2" t="s">
        <v>33</v>
      </c>
      <c r="K1190" s="2" t="s">
        <v>99</v>
      </c>
      <c r="L1190" s="2" t="s">
        <v>100</v>
      </c>
      <c r="M1190" s="2" t="s">
        <v>143</v>
      </c>
      <c r="N1190" s="2" t="s">
        <v>62</v>
      </c>
      <c r="O1190" s="2" t="s">
        <v>181</v>
      </c>
      <c r="P1190" s="2">
        <v>126</v>
      </c>
      <c r="Q1190" s="2" t="s">
        <v>50</v>
      </c>
      <c r="R1190" s="2" t="s">
        <v>90</v>
      </c>
      <c r="S1190" s="2">
        <v>111654</v>
      </c>
      <c r="T1190" s="2">
        <v>90492</v>
      </c>
      <c r="U1190" s="2">
        <v>21162</v>
      </c>
      <c r="V1190" s="2">
        <v>85648</v>
      </c>
      <c r="W1190" s="2">
        <v>15392</v>
      </c>
      <c r="X1190" s="2">
        <v>7239</v>
      </c>
      <c r="Y1190" s="2" t="s">
        <v>41</v>
      </c>
      <c r="Z1190" s="2">
        <v>47</v>
      </c>
      <c r="AA1190" s="2">
        <v>4</v>
      </c>
      <c r="AB1190" s="2" t="s">
        <v>42</v>
      </c>
    </row>
    <row r="1191" spans="1:28" x14ac:dyDescent="0.25">
      <c r="A1191" s="4" t="s">
        <v>1933</v>
      </c>
      <c r="B1191" s="4" t="s">
        <v>1115</v>
      </c>
      <c r="C1191" s="4">
        <v>48</v>
      </c>
      <c r="D1191" s="4" t="s">
        <v>30</v>
      </c>
      <c r="E1191" s="4" t="s">
        <v>79</v>
      </c>
      <c r="F1191" s="4" t="s">
        <v>57</v>
      </c>
      <c r="G1191" s="5">
        <v>45145</v>
      </c>
      <c r="H1191" s="5">
        <v>45149</v>
      </c>
      <c r="I1191" s="4">
        <v>4</v>
      </c>
      <c r="J1191" s="4" t="s">
        <v>58</v>
      </c>
      <c r="K1191" s="4" t="s">
        <v>59</v>
      </c>
      <c r="L1191" s="4" t="s">
        <v>60</v>
      </c>
      <c r="M1191" s="4" t="s">
        <v>95</v>
      </c>
      <c r="N1191" s="4" t="s">
        <v>109</v>
      </c>
      <c r="O1191" s="4" t="s">
        <v>259</v>
      </c>
      <c r="P1191" s="4">
        <v>318</v>
      </c>
      <c r="Q1191" s="4" t="s">
        <v>69</v>
      </c>
      <c r="R1191" s="4" t="s">
        <v>40</v>
      </c>
      <c r="S1191" s="4">
        <v>138605</v>
      </c>
      <c r="T1191" s="4">
        <v>89989</v>
      </c>
      <c r="U1191" s="4">
        <v>48616</v>
      </c>
      <c r="V1191" s="4">
        <v>127541</v>
      </c>
      <c r="W1191" s="4">
        <v>2275</v>
      </c>
      <c r="X1191" s="4">
        <v>5741</v>
      </c>
      <c r="Y1191" s="4" t="s">
        <v>91</v>
      </c>
      <c r="Z1191" s="4">
        <v>93</v>
      </c>
      <c r="AA1191" s="4">
        <v>3</v>
      </c>
      <c r="AB1191" s="4" t="s">
        <v>104</v>
      </c>
    </row>
    <row r="1192" spans="1:28" x14ac:dyDescent="0.25">
      <c r="A1192" s="2" t="s">
        <v>1934</v>
      </c>
      <c r="B1192" s="2" t="s">
        <v>323</v>
      </c>
      <c r="C1192" s="2">
        <v>12</v>
      </c>
      <c r="D1192" s="2" t="s">
        <v>55</v>
      </c>
      <c r="E1192" s="2" t="s">
        <v>67</v>
      </c>
      <c r="F1192" s="2" t="s">
        <v>157</v>
      </c>
      <c r="G1192" s="3">
        <v>44706</v>
      </c>
      <c r="H1192" s="3">
        <v>44707</v>
      </c>
      <c r="I1192" s="2">
        <v>1</v>
      </c>
      <c r="J1192" s="2" t="s">
        <v>115</v>
      </c>
      <c r="K1192" s="2" t="s">
        <v>160</v>
      </c>
      <c r="L1192" s="2" t="s">
        <v>117</v>
      </c>
      <c r="M1192" s="2" t="s">
        <v>108</v>
      </c>
      <c r="N1192" s="2" t="s">
        <v>118</v>
      </c>
      <c r="O1192" s="2" t="s">
        <v>326</v>
      </c>
      <c r="P1192" s="2">
        <v>93</v>
      </c>
      <c r="Q1192" s="2" t="s">
        <v>39</v>
      </c>
      <c r="R1192" s="2" t="s">
        <v>90</v>
      </c>
      <c r="S1192" s="2">
        <v>71668</v>
      </c>
      <c r="T1192" s="2">
        <v>58290</v>
      </c>
      <c r="U1192" s="2">
        <v>13378</v>
      </c>
      <c r="V1192" s="2">
        <v>50744</v>
      </c>
      <c r="W1192" s="2">
        <v>8925</v>
      </c>
      <c r="X1192" s="2">
        <v>8368</v>
      </c>
      <c r="Y1192" s="2" t="s">
        <v>41</v>
      </c>
      <c r="Z1192" s="2">
        <v>82</v>
      </c>
      <c r="AA1192" s="2">
        <v>4.8</v>
      </c>
      <c r="AB1192" s="2" t="s">
        <v>137</v>
      </c>
    </row>
    <row r="1193" spans="1:28" x14ac:dyDescent="0.25">
      <c r="A1193" s="4" t="s">
        <v>1935</v>
      </c>
      <c r="B1193" s="4" t="s">
        <v>735</v>
      </c>
      <c r="C1193" s="4">
        <v>26</v>
      </c>
      <c r="D1193" s="4" t="s">
        <v>30</v>
      </c>
      <c r="E1193" s="4" t="s">
        <v>31</v>
      </c>
      <c r="F1193" s="4" t="s">
        <v>32</v>
      </c>
      <c r="G1193" s="5">
        <v>45347</v>
      </c>
      <c r="H1193" s="5">
        <v>45350</v>
      </c>
      <c r="I1193" s="4">
        <v>3</v>
      </c>
      <c r="J1193" s="4" t="s">
        <v>33</v>
      </c>
      <c r="K1193" s="4" t="s">
        <v>278</v>
      </c>
      <c r="L1193" s="4" t="s">
        <v>279</v>
      </c>
      <c r="M1193" s="4" t="s">
        <v>36</v>
      </c>
      <c r="N1193" s="4" t="s">
        <v>62</v>
      </c>
      <c r="O1193" s="4" t="s">
        <v>358</v>
      </c>
      <c r="P1193" s="4">
        <v>312</v>
      </c>
      <c r="Q1193" s="4" t="s">
        <v>69</v>
      </c>
      <c r="R1193" s="4" t="s">
        <v>51</v>
      </c>
      <c r="S1193" s="4">
        <v>108604</v>
      </c>
      <c r="T1193" s="4">
        <v>47573</v>
      </c>
      <c r="U1193" s="4">
        <v>61031</v>
      </c>
      <c r="V1193" s="4">
        <v>65422</v>
      </c>
      <c r="W1193" s="4">
        <v>26671</v>
      </c>
      <c r="X1193" s="4">
        <v>13508</v>
      </c>
      <c r="Y1193" s="4" t="s">
        <v>41</v>
      </c>
      <c r="Z1193" s="4">
        <v>94</v>
      </c>
      <c r="AA1193" s="4">
        <v>2.4</v>
      </c>
      <c r="AB1193" s="4" t="s">
        <v>104</v>
      </c>
    </row>
    <row r="1194" spans="1:28" x14ac:dyDescent="0.25">
      <c r="A1194" s="2" t="s">
        <v>1936</v>
      </c>
      <c r="B1194" s="2" t="s">
        <v>408</v>
      </c>
      <c r="C1194" s="2">
        <v>27</v>
      </c>
      <c r="D1194" s="2" t="s">
        <v>55</v>
      </c>
      <c r="E1194" s="2" t="s">
        <v>79</v>
      </c>
      <c r="F1194" s="2" t="s">
        <v>114</v>
      </c>
      <c r="G1194" s="3">
        <v>44953</v>
      </c>
      <c r="H1194" s="3">
        <v>44960</v>
      </c>
      <c r="I1194" s="2">
        <v>7</v>
      </c>
      <c r="J1194" s="2" t="s">
        <v>58</v>
      </c>
      <c r="K1194" s="2" t="s">
        <v>59</v>
      </c>
      <c r="L1194" s="2" t="s">
        <v>60</v>
      </c>
      <c r="M1194" s="2" t="s">
        <v>75</v>
      </c>
      <c r="N1194" s="2" t="s">
        <v>109</v>
      </c>
      <c r="O1194" s="2" t="s">
        <v>168</v>
      </c>
      <c r="P1194" s="2">
        <v>107</v>
      </c>
      <c r="Q1194" s="2" t="s">
        <v>103</v>
      </c>
      <c r="R1194" s="2" t="s">
        <v>136</v>
      </c>
      <c r="S1194" s="2">
        <v>69798</v>
      </c>
      <c r="T1194" s="2">
        <v>0</v>
      </c>
      <c r="U1194" s="2">
        <v>69798</v>
      </c>
      <c r="V1194" s="2">
        <v>31876</v>
      </c>
      <c r="W1194" s="2">
        <v>25168</v>
      </c>
      <c r="X1194" s="2">
        <v>9131</v>
      </c>
      <c r="Y1194" s="2" t="s">
        <v>41</v>
      </c>
      <c r="Z1194" s="2">
        <v>79</v>
      </c>
      <c r="AA1194" s="2">
        <v>2.8</v>
      </c>
      <c r="AB1194" s="2" t="s">
        <v>104</v>
      </c>
    </row>
    <row r="1195" spans="1:28" x14ac:dyDescent="0.25">
      <c r="A1195" s="4" t="s">
        <v>1937</v>
      </c>
      <c r="B1195" s="4" t="s">
        <v>311</v>
      </c>
      <c r="C1195" s="4">
        <v>51</v>
      </c>
      <c r="D1195" s="4" t="s">
        <v>30</v>
      </c>
      <c r="E1195" s="4" t="s">
        <v>154</v>
      </c>
      <c r="F1195" s="4" t="s">
        <v>46</v>
      </c>
      <c r="G1195" s="5">
        <v>45072</v>
      </c>
      <c r="H1195" s="5">
        <v>45096</v>
      </c>
      <c r="I1195" s="4">
        <v>24</v>
      </c>
      <c r="J1195" s="4" t="s">
        <v>33</v>
      </c>
      <c r="K1195" s="4" t="s">
        <v>99</v>
      </c>
      <c r="L1195" s="4" t="s">
        <v>100</v>
      </c>
      <c r="M1195" s="4" t="s">
        <v>108</v>
      </c>
      <c r="N1195" s="4" t="s">
        <v>109</v>
      </c>
      <c r="O1195" s="4" t="s">
        <v>673</v>
      </c>
      <c r="P1195" s="4">
        <v>176</v>
      </c>
      <c r="Q1195" s="4" t="s">
        <v>69</v>
      </c>
      <c r="R1195" s="4" t="s">
        <v>111</v>
      </c>
      <c r="S1195" s="4">
        <v>89951</v>
      </c>
      <c r="T1195" s="4">
        <v>69558</v>
      </c>
      <c r="U1195" s="4">
        <v>20393</v>
      </c>
      <c r="V1195" s="4">
        <v>75513</v>
      </c>
      <c r="W1195" s="4">
        <v>7691</v>
      </c>
      <c r="X1195" s="4">
        <v>6070</v>
      </c>
      <c r="Y1195" s="4" t="s">
        <v>41</v>
      </c>
      <c r="Z1195" s="4">
        <v>88</v>
      </c>
      <c r="AA1195" s="4">
        <v>4.5999999999999996</v>
      </c>
      <c r="AB1195" s="4" t="s">
        <v>42</v>
      </c>
    </row>
    <row r="1196" spans="1:28" x14ac:dyDescent="0.25">
      <c r="A1196" s="2" t="s">
        <v>1938</v>
      </c>
      <c r="B1196" s="2" t="s">
        <v>685</v>
      </c>
      <c r="C1196" s="2">
        <v>52</v>
      </c>
      <c r="D1196" s="2" t="s">
        <v>30</v>
      </c>
      <c r="E1196" s="2" t="s">
        <v>87</v>
      </c>
      <c r="F1196" s="2" t="s">
        <v>57</v>
      </c>
      <c r="G1196" s="3">
        <v>45071</v>
      </c>
      <c r="H1196" s="3">
        <v>45090</v>
      </c>
      <c r="I1196" s="2">
        <v>19</v>
      </c>
      <c r="J1196" s="2" t="s">
        <v>33</v>
      </c>
      <c r="K1196" s="2" t="s">
        <v>81</v>
      </c>
      <c r="L1196" s="2" t="s">
        <v>82</v>
      </c>
      <c r="M1196" s="2" t="s">
        <v>108</v>
      </c>
      <c r="N1196" s="2" t="s">
        <v>118</v>
      </c>
      <c r="O1196" s="2" t="s">
        <v>248</v>
      </c>
      <c r="P1196" s="2">
        <v>166</v>
      </c>
      <c r="Q1196" s="2" t="s">
        <v>69</v>
      </c>
      <c r="R1196" s="2" t="s">
        <v>111</v>
      </c>
      <c r="S1196" s="2">
        <v>126734</v>
      </c>
      <c r="T1196" s="2">
        <v>93450</v>
      </c>
      <c r="U1196" s="2">
        <v>33284</v>
      </c>
      <c r="V1196" s="2">
        <v>111130</v>
      </c>
      <c r="W1196" s="2">
        <v>11752</v>
      </c>
      <c r="X1196" s="2">
        <v>1234</v>
      </c>
      <c r="Y1196" s="2" t="s">
        <v>41</v>
      </c>
      <c r="Z1196" s="2">
        <v>73</v>
      </c>
      <c r="AA1196" s="2">
        <v>2.6</v>
      </c>
      <c r="AB1196" s="2" t="s">
        <v>104</v>
      </c>
    </row>
    <row r="1197" spans="1:28" x14ac:dyDescent="0.25">
      <c r="A1197" s="4" t="s">
        <v>1939</v>
      </c>
      <c r="B1197" s="4" t="s">
        <v>540</v>
      </c>
      <c r="C1197" s="4">
        <v>80</v>
      </c>
      <c r="D1197" s="4" t="s">
        <v>30</v>
      </c>
      <c r="E1197" s="4" t="s">
        <v>79</v>
      </c>
      <c r="F1197" s="4" t="s">
        <v>129</v>
      </c>
      <c r="G1197" s="5">
        <v>45603</v>
      </c>
      <c r="H1197" s="5">
        <v>45618</v>
      </c>
      <c r="I1197" s="4">
        <v>15</v>
      </c>
      <c r="J1197" s="4" t="s">
        <v>115</v>
      </c>
      <c r="K1197" s="4" t="s">
        <v>160</v>
      </c>
      <c r="L1197" s="4" t="s">
        <v>117</v>
      </c>
      <c r="M1197" s="4" t="s">
        <v>134</v>
      </c>
      <c r="N1197" s="4" t="s">
        <v>37</v>
      </c>
      <c r="O1197" s="4" t="s">
        <v>285</v>
      </c>
      <c r="P1197" s="4">
        <v>493</v>
      </c>
      <c r="Q1197" s="4" t="s">
        <v>103</v>
      </c>
      <c r="R1197" s="4" t="s">
        <v>111</v>
      </c>
      <c r="S1197" s="4">
        <v>155202</v>
      </c>
      <c r="T1197" s="4">
        <v>114399</v>
      </c>
      <c r="U1197" s="4">
        <v>40803</v>
      </c>
      <c r="V1197" s="4">
        <v>122957</v>
      </c>
      <c r="W1197" s="4">
        <v>20301</v>
      </c>
      <c r="X1197" s="4">
        <v>9329</v>
      </c>
      <c r="Y1197" s="4" t="s">
        <v>41</v>
      </c>
      <c r="Z1197" s="4">
        <v>46</v>
      </c>
      <c r="AA1197" s="4">
        <v>3.4</v>
      </c>
      <c r="AB1197" s="4" t="s">
        <v>104</v>
      </c>
    </row>
    <row r="1198" spans="1:28" x14ac:dyDescent="0.25">
      <c r="A1198" s="2" t="s">
        <v>1940</v>
      </c>
      <c r="B1198" s="2" t="s">
        <v>978</v>
      </c>
      <c r="C1198" s="2">
        <v>79</v>
      </c>
      <c r="D1198" s="2" t="s">
        <v>55</v>
      </c>
      <c r="E1198" s="2" t="s">
        <v>56</v>
      </c>
      <c r="F1198" s="2" t="s">
        <v>46</v>
      </c>
      <c r="G1198" s="3">
        <v>45463</v>
      </c>
      <c r="H1198" s="3">
        <v>45493</v>
      </c>
      <c r="I1198" s="2">
        <v>30</v>
      </c>
      <c r="J1198" s="2" t="s">
        <v>202</v>
      </c>
      <c r="K1198" s="2" t="s">
        <v>203</v>
      </c>
      <c r="L1198" s="2" t="s">
        <v>204</v>
      </c>
      <c r="M1198" s="2" t="s">
        <v>130</v>
      </c>
      <c r="N1198" s="2" t="s">
        <v>109</v>
      </c>
      <c r="O1198" s="2" t="s">
        <v>492</v>
      </c>
      <c r="P1198" s="2">
        <v>408</v>
      </c>
      <c r="Q1198" s="2" t="s">
        <v>103</v>
      </c>
      <c r="R1198" s="2" t="s">
        <v>90</v>
      </c>
      <c r="S1198" s="2">
        <v>118927</v>
      </c>
      <c r="T1198" s="2">
        <v>86299</v>
      </c>
      <c r="U1198" s="2">
        <v>32628</v>
      </c>
      <c r="V1198" s="2">
        <v>93269</v>
      </c>
      <c r="W1198" s="2">
        <v>13851</v>
      </c>
      <c r="X1198" s="2">
        <v>8371</v>
      </c>
      <c r="Y1198" s="2" t="s">
        <v>41</v>
      </c>
      <c r="Z1198" s="2">
        <v>40</v>
      </c>
      <c r="AA1198" s="2">
        <v>4</v>
      </c>
      <c r="AB1198" s="2" t="s">
        <v>104</v>
      </c>
    </row>
    <row r="1199" spans="1:28" x14ac:dyDescent="0.25">
      <c r="A1199" s="4" t="s">
        <v>1941</v>
      </c>
      <c r="B1199" s="4" t="s">
        <v>86</v>
      </c>
      <c r="C1199" s="4">
        <v>59</v>
      </c>
      <c r="D1199" s="4" t="s">
        <v>55</v>
      </c>
      <c r="E1199" s="4" t="s">
        <v>56</v>
      </c>
      <c r="F1199" s="4" t="s">
        <v>114</v>
      </c>
      <c r="G1199" s="5">
        <v>45568</v>
      </c>
      <c r="H1199" s="5">
        <v>45590</v>
      </c>
      <c r="I1199" s="4">
        <v>22</v>
      </c>
      <c r="J1199" s="4" t="s">
        <v>58</v>
      </c>
      <c r="K1199" s="4" t="s">
        <v>59</v>
      </c>
      <c r="L1199" s="4" t="s">
        <v>60</v>
      </c>
      <c r="M1199" s="4" t="s">
        <v>101</v>
      </c>
      <c r="N1199" s="4" t="s">
        <v>109</v>
      </c>
      <c r="O1199" s="4" t="s">
        <v>168</v>
      </c>
      <c r="P1199" s="4">
        <v>356</v>
      </c>
      <c r="Q1199" s="4" t="s">
        <v>39</v>
      </c>
      <c r="R1199" s="4" t="s">
        <v>136</v>
      </c>
      <c r="S1199" s="4">
        <v>151029</v>
      </c>
      <c r="T1199" s="4">
        <v>0</v>
      </c>
      <c r="U1199" s="4">
        <v>151029</v>
      </c>
      <c r="V1199" s="4">
        <v>119016</v>
      </c>
      <c r="W1199" s="4">
        <v>19857</v>
      </c>
      <c r="X1199" s="4">
        <v>8972</v>
      </c>
      <c r="Y1199" s="4" t="s">
        <v>91</v>
      </c>
      <c r="Z1199" s="4">
        <v>99</v>
      </c>
      <c r="AA1199" s="4">
        <v>2.8</v>
      </c>
      <c r="AB1199" s="4" t="s">
        <v>104</v>
      </c>
    </row>
    <row r="1200" spans="1:28" x14ac:dyDescent="0.25">
      <c r="A1200" s="2" t="s">
        <v>1942</v>
      </c>
      <c r="B1200" s="2" t="s">
        <v>1410</v>
      </c>
      <c r="C1200" s="2">
        <v>57</v>
      </c>
      <c r="D1200" s="2" t="s">
        <v>30</v>
      </c>
      <c r="E1200" s="2" t="s">
        <v>31</v>
      </c>
      <c r="F1200" s="2" t="s">
        <v>150</v>
      </c>
      <c r="G1200" s="3">
        <v>45264</v>
      </c>
      <c r="H1200" s="3">
        <v>45274</v>
      </c>
      <c r="I1200" s="2">
        <v>10</v>
      </c>
      <c r="J1200" s="2" t="s">
        <v>33</v>
      </c>
      <c r="K1200" s="2" t="s">
        <v>197</v>
      </c>
      <c r="L1200" s="2" t="s">
        <v>198</v>
      </c>
      <c r="M1200" s="2" t="s">
        <v>134</v>
      </c>
      <c r="N1200" s="2" t="s">
        <v>109</v>
      </c>
      <c r="O1200" s="2" t="s">
        <v>144</v>
      </c>
      <c r="P1200" s="2">
        <v>37</v>
      </c>
      <c r="Q1200" s="2" t="s">
        <v>103</v>
      </c>
      <c r="R1200" s="2" t="s">
        <v>51</v>
      </c>
      <c r="S1200" s="2">
        <v>78625</v>
      </c>
      <c r="T1200" s="2">
        <v>34384</v>
      </c>
      <c r="U1200" s="2">
        <v>44241</v>
      </c>
      <c r="V1200" s="2">
        <v>48992</v>
      </c>
      <c r="W1200" s="2">
        <v>11850</v>
      </c>
      <c r="X1200" s="2">
        <v>13632</v>
      </c>
      <c r="Y1200" s="2" t="s">
        <v>41</v>
      </c>
      <c r="Z1200" s="2">
        <v>94</v>
      </c>
      <c r="AA1200" s="2">
        <v>2.4</v>
      </c>
      <c r="AB1200" s="2" t="s">
        <v>104</v>
      </c>
    </row>
    <row r="1201" spans="1:28" x14ac:dyDescent="0.25">
      <c r="A1201" s="4" t="s">
        <v>1943</v>
      </c>
      <c r="B1201" s="4" t="s">
        <v>832</v>
      </c>
      <c r="C1201" s="4">
        <v>73</v>
      </c>
      <c r="D1201" s="4" t="s">
        <v>30</v>
      </c>
      <c r="E1201" s="4" t="s">
        <v>87</v>
      </c>
      <c r="F1201" s="4" t="s">
        <v>114</v>
      </c>
      <c r="G1201" s="5">
        <v>44915</v>
      </c>
      <c r="H1201" s="5">
        <v>44940</v>
      </c>
      <c r="I1201" s="4">
        <v>25</v>
      </c>
      <c r="J1201" s="4" t="s">
        <v>115</v>
      </c>
      <c r="K1201" s="4" t="s">
        <v>116</v>
      </c>
      <c r="L1201" s="4" t="s">
        <v>117</v>
      </c>
      <c r="M1201" s="4" t="s">
        <v>75</v>
      </c>
      <c r="N1201" s="4" t="s">
        <v>62</v>
      </c>
      <c r="O1201" s="4" t="s">
        <v>164</v>
      </c>
      <c r="P1201" s="4">
        <v>265</v>
      </c>
      <c r="Q1201" s="4" t="s">
        <v>50</v>
      </c>
      <c r="R1201" s="4" t="s">
        <v>51</v>
      </c>
      <c r="S1201" s="4">
        <v>111554</v>
      </c>
      <c r="T1201" s="4">
        <v>73384</v>
      </c>
      <c r="U1201" s="4">
        <v>38170</v>
      </c>
      <c r="V1201" s="4">
        <v>69092</v>
      </c>
      <c r="W1201" s="4">
        <v>25862</v>
      </c>
      <c r="X1201" s="4">
        <v>12765</v>
      </c>
      <c r="Y1201" s="4" t="s">
        <v>41</v>
      </c>
      <c r="Z1201" s="4">
        <v>82</v>
      </c>
      <c r="AA1201" s="4">
        <v>3.2</v>
      </c>
      <c r="AB1201" s="4" t="s">
        <v>52</v>
      </c>
    </row>
    <row r="1202" spans="1:28" x14ac:dyDescent="0.25">
      <c r="A1202" s="2" t="s">
        <v>1944</v>
      </c>
      <c r="B1202" s="2" t="s">
        <v>297</v>
      </c>
      <c r="C1202" s="2">
        <v>33</v>
      </c>
      <c r="D1202" s="2" t="s">
        <v>55</v>
      </c>
      <c r="E1202" s="2" t="s">
        <v>56</v>
      </c>
      <c r="F1202" s="2" t="s">
        <v>57</v>
      </c>
      <c r="G1202" s="3">
        <v>44724</v>
      </c>
      <c r="H1202" s="3">
        <v>44752</v>
      </c>
      <c r="I1202" s="2">
        <v>28</v>
      </c>
      <c r="J1202" s="2" t="s">
        <v>140</v>
      </c>
      <c r="K1202" s="2" t="s">
        <v>141</v>
      </c>
      <c r="L1202" s="2" t="s">
        <v>142</v>
      </c>
      <c r="M1202" s="2" t="s">
        <v>75</v>
      </c>
      <c r="N1202" s="2" t="s">
        <v>37</v>
      </c>
      <c r="O1202" s="2" t="s">
        <v>950</v>
      </c>
      <c r="P1202" s="2">
        <v>44</v>
      </c>
      <c r="Q1202" s="2" t="s">
        <v>39</v>
      </c>
      <c r="R1202" s="2" t="s">
        <v>90</v>
      </c>
      <c r="S1202" s="2">
        <v>116389</v>
      </c>
      <c r="T1202" s="2">
        <v>74981</v>
      </c>
      <c r="U1202" s="2">
        <v>41408</v>
      </c>
      <c r="V1202" s="2">
        <v>82056</v>
      </c>
      <c r="W1202" s="2">
        <v>22060</v>
      </c>
      <c r="X1202" s="2">
        <v>8752</v>
      </c>
      <c r="Y1202" s="2" t="s">
        <v>41</v>
      </c>
      <c r="Z1202" s="2">
        <v>85</v>
      </c>
      <c r="AA1202" s="2">
        <v>3.5</v>
      </c>
      <c r="AB1202" s="2" t="s">
        <v>52</v>
      </c>
    </row>
    <row r="1203" spans="1:28" x14ac:dyDescent="0.25">
      <c r="A1203" s="4" t="s">
        <v>1945</v>
      </c>
      <c r="B1203" s="4" t="s">
        <v>1946</v>
      </c>
      <c r="C1203" s="4">
        <v>65</v>
      </c>
      <c r="D1203" s="4" t="s">
        <v>55</v>
      </c>
      <c r="E1203" s="4" t="s">
        <v>31</v>
      </c>
      <c r="F1203" s="4" t="s">
        <v>114</v>
      </c>
      <c r="G1203" s="5">
        <v>45232</v>
      </c>
      <c r="H1203" s="5">
        <v>45246</v>
      </c>
      <c r="I1203" s="4">
        <v>14</v>
      </c>
      <c r="J1203" s="4" t="s">
        <v>140</v>
      </c>
      <c r="K1203" s="4" t="s">
        <v>141</v>
      </c>
      <c r="L1203" s="4" t="s">
        <v>142</v>
      </c>
      <c r="M1203" s="4" t="s">
        <v>61</v>
      </c>
      <c r="N1203" s="4" t="s">
        <v>37</v>
      </c>
      <c r="O1203" s="4" t="s">
        <v>168</v>
      </c>
      <c r="P1203" s="4">
        <v>156</v>
      </c>
      <c r="Q1203" s="4" t="s">
        <v>50</v>
      </c>
      <c r="R1203" s="4" t="s">
        <v>40</v>
      </c>
      <c r="S1203" s="4">
        <v>99306</v>
      </c>
      <c r="T1203" s="4">
        <v>61983</v>
      </c>
      <c r="U1203" s="4">
        <v>37323</v>
      </c>
      <c r="V1203" s="4">
        <v>72676</v>
      </c>
      <c r="W1203" s="4">
        <v>14204</v>
      </c>
      <c r="X1203" s="4">
        <v>8834</v>
      </c>
      <c r="Y1203" s="4" t="s">
        <v>41</v>
      </c>
      <c r="Z1203" s="4">
        <v>54</v>
      </c>
      <c r="AA1203" s="4">
        <v>2.2999999999999998</v>
      </c>
      <c r="AB1203" s="4" t="s">
        <v>104</v>
      </c>
    </row>
    <row r="1204" spans="1:28" x14ac:dyDescent="0.25">
      <c r="A1204" s="2" t="s">
        <v>1947</v>
      </c>
      <c r="B1204" s="2" t="s">
        <v>1066</v>
      </c>
      <c r="C1204" s="2">
        <v>30</v>
      </c>
      <c r="D1204" s="2" t="s">
        <v>55</v>
      </c>
      <c r="E1204" s="2" t="s">
        <v>45</v>
      </c>
      <c r="F1204" s="2" t="s">
        <v>150</v>
      </c>
      <c r="G1204" s="3">
        <v>45425</v>
      </c>
      <c r="H1204" s="3">
        <v>45428</v>
      </c>
      <c r="I1204" s="2">
        <v>3</v>
      </c>
      <c r="J1204" s="2" t="s">
        <v>33</v>
      </c>
      <c r="K1204" s="2" t="s">
        <v>174</v>
      </c>
      <c r="L1204" s="2" t="s">
        <v>48</v>
      </c>
      <c r="M1204" s="2" t="s">
        <v>83</v>
      </c>
      <c r="N1204" s="2" t="s">
        <v>109</v>
      </c>
      <c r="O1204" s="2" t="s">
        <v>178</v>
      </c>
      <c r="P1204" s="2">
        <v>155</v>
      </c>
      <c r="Q1204" s="2" t="s">
        <v>50</v>
      </c>
      <c r="R1204" s="2" t="s">
        <v>136</v>
      </c>
      <c r="S1204" s="2">
        <v>151397</v>
      </c>
      <c r="T1204" s="2">
        <v>0</v>
      </c>
      <c r="U1204" s="2">
        <v>151397</v>
      </c>
      <c r="V1204" s="2">
        <v>125844</v>
      </c>
      <c r="W1204" s="2">
        <v>16124</v>
      </c>
      <c r="X1204" s="2">
        <v>7512</v>
      </c>
      <c r="Y1204" s="2" t="s">
        <v>41</v>
      </c>
      <c r="Z1204" s="2">
        <v>96</v>
      </c>
      <c r="AA1204" s="2">
        <v>2.4</v>
      </c>
      <c r="AB1204" s="2" t="s">
        <v>64</v>
      </c>
    </row>
    <row r="1205" spans="1:28" x14ac:dyDescent="0.25">
      <c r="A1205" s="4" t="s">
        <v>1948</v>
      </c>
      <c r="B1205" s="4" t="s">
        <v>911</v>
      </c>
      <c r="C1205" s="4">
        <v>73</v>
      </c>
      <c r="D1205" s="4" t="s">
        <v>30</v>
      </c>
      <c r="E1205" s="4" t="s">
        <v>122</v>
      </c>
      <c r="F1205" s="4" t="s">
        <v>94</v>
      </c>
      <c r="G1205" s="5">
        <v>45562</v>
      </c>
      <c r="H1205" s="5">
        <v>45589</v>
      </c>
      <c r="I1205" s="4">
        <v>27</v>
      </c>
      <c r="J1205" s="4" t="s">
        <v>33</v>
      </c>
      <c r="K1205" s="4" t="s">
        <v>174</v>
      </c>
      <c r="L1205" s="4" t="s">
        <v>48</v>
      </c>
      <c r="M1205" s="4" t="s">
        <v>83</v>
      </c>
      <c r="N1205" s="4" t="s">
        <v>118</v>
      </c>
      <c r="O1205" s="4" t="s">
        <v>326</v>
      </c>
      <c r="P1205" s="4">
        <v>351</v>
      </c>
      <c r="Q1205" s="4" t="s">
        <v>50</v>
      </c>
      <c r="R1205" s="4" t="s">
        <v>40</v>
      </c>
      <c r="S1205" s="4">
        <v>120250</v>
      </c>
      <c r="T1205" s="4">
        <v>53091</v>
      </c>
      <c r="U1205" s="4">
        <v>67159</v>
      </c>
      <c r="V1205" s="4">
        <v>79779</v>
      </c>
      <c r="W1205" s="4">
        <v>28502</v>
      </c>
      <c r="X1205" s="4">
        <v>8731</v>
      </c>
      <c r="Y1205" s="4" t="s">
        <v>41</v>
      </c>
      <c r="Z1205" s="4">
        <v>52</v>
      </c>
      <c r="AA1205" s="4">
        <v>3.3</v>
      </c>
      <c r="AB1205" s="4" t="s">
        <v>137</v>
      </c>
    </row>
    <row r="1206" spans="1:28" x14ac:dyDescent="0.25">
      <c r="A1206" s="2" t="s">
        <v>1949</v>
      </c>
      <c r="B1206" s="2" t="s">
        <v>1233</v>
      </c>
      <c r="C1206" s="2">
        <v>8</v>
      </c>
      <c r="D1206" s="2" t="s">
        <v>55</v>
      </c>
      <c r="E1206" s="2" t="s">
        <v>87</v>
      </c>
      <c r="F1206" s="2" t="s">
        <v>114</v>
      </c>
      <c r="G1206" s="3">
        <v>45515</v>
      </c>
      <c r="H1206" s="3">
        <v>45529</v>
      </c>
      <c r="I1206" s="2">
        <v>14</v>
      </c>
      <c r="J1206" s="2" t="s">
        <v>33</v>
      </c>
      <c r="K1206" s="2" t="s">
        <v>99</v>
      </c>
      <c r="L1206" s="2" t="s">
        <v>100</v>
      </c>
      <c r="M1206" s="2" t="s">
        <v>134</v>
      </c>
      <c r="N1206" s="2" t="s">
        <v>62</v>
      </c>
      <c r="O1206" s="2" t="s">
        <v>455</v>
      </c>
      <c r="P1206" s="2">
        <v>12</v>
      </c>
      <c r="Q1206" s="2" t="s">
        <v>103</v>
      </c>
      <c r="R1206" s="2" t="s">
        <v>111</v>
      </c>
      <c r="S1206" s="2">
        <v>144950</v>
      </c>
      <c r="T1206" s="2">
        <v>112921</v>
      </c>
      <c r="U1206" s="2">
        <v>32029</v>
      </c>
      <c r="V1206" s="2">
        <v>127485</v>
      </c>
      <c r="W1206" s="2">
        <v>12622</v>
      </c>
      <c r="X1206" s="2">
        <v>1819</v>
      </c>
      <c r="Y1206" s="2" t="s">
        <v>41</v>
      </c>
      <c r="Z1206" s="2">
        <v>59</v>
      </c>
      <c r="AA1206" s="2">
        <v>2.2999999999999998</v>
      </c>
      <c r="AB1206" s="2" t="s">
        <v>52</v>
      </c>
    </row>
    <row r="1207" spans="1:28" x14ac:dyDescent="0.25">
      <c r="A1207" s="4" t="s">
        <v>1950</v>
      </c>
      <c r="B1207" s="4" t="s">
        <v>275</v>
      </c>
      <c r="C1207" s="4">
        <v>31</v>
      </c>
      <c r="D1207" s="4" t="s">
        <v>55</v>
      </c>
      <c r="E1207" s="4" t="s">
        <v>122</v>
      </c>
      <c r="F1207" s="4" t="s">
        <v>72</v>
      </c>
      <c r="G1207" s="5">
        <v>44681</v>
      </c>
      <c r="H1207" s="5">
        <v>44707</v>
      </c>
      <c r="I1207" s="4">
        <v>26</v>
      </c>
      <c r="J1207" s="4" t="s">
        <v>33</v>
      </c>
      <c r="K1207" s="4" t="s">
        <v>197</v>
      </c>
      <c r="L1207" s="4" t="s">
        <v>198</v>
      </c>
      <c r="M1207" s="4" t="s">
        <v>101</v>
      </c>
      <c r="N1207" s="4" t="s">
        <v>118</v>
      </c>
      <c r="O1207" s="4" t="s">
        <v>184</v>
      </c>
      <c r="P1207" s="4">
        <v>191</v>
      </c>
      <c r="Q1207" s="4" t="s">
        <v>103</v>
      </c>
      <c r="R1207" s="4" t="s">
        <v>136</v>
      </c>
      <c r="S1207" s="4">
        <v>150968</v>
      </c>
      <c r="T1207" s="4">
        <v>0</v>
      </c>
      <c r="U1207" s="4">
        <v>150968</v>
      </c>
      <c r="V1207" s="4">
        <v>137707</v>
      </c>
      <c r="W1207" s="4">
        <v>5915</v>
      </c>
      <c r="X1207" s="4">
        <v>4467</v>
      </c>
      <c r="Y1207" s="4" t="s">
        <v>41</v>
      </c>
      <c r="Z1207" s="4">
        <v>61</v>
      </c>
      <c r="AA1207" s="4">
        <v>2.7</v>
      </c>
      <c r="AB1207" s="4" t="s">
        <v>52</v>
      </c>
    </row>
    <row r="1208" spans="1:28" x14ac:dyDescent="0.25">
      <c r="A1208" s="2" t="s">
        <v>1951</v>
      </c>
      <c r="B1208" s="2" t="s">
        <v>1952</v>
      </c>
      <c r="C1208" s="2">
        <v>51</v>
      </c>
      <c r="D1208" s="2" t="s">
        <v>55</v>
      </c>
      <c r="E1208" s="2" t="s">
        <v>45</v>
      </c>
      <c r="F1208" s="2" t="s">
        <v>129</v>
      </c>
      <c r="G1208" s="3">
        <v>44972</v>
      </c>
      <c r="H1208" s="3">
        <v>45000</v>
      </c>
      <c r="I1208" s="2">
        <v>28</v>
      </c>
      <c r="J1208" s="2" t="s">
        <v>140</v>
      </c>
      <c r="K1208" s="2" t="s">
        <v>141</v>
      </c>
      <c r="L1208" s="2" t="s">
        <v>142</v>
      </c>
      <c r="M1208" s="2" t="s">
        <v>108</v>
      </c>
      <c r="N1208" s="2" t="s">
        <v>62</v>
      </c>
      <c r="O1208" s="2" t="s">
        <v>38</v>
      </c>
      <c r="P1208" s="2">
        <v>134</v>
      </c>
      <c r="Q1208" s="2" t="s">
        <v>103</v>
      </c>
      <c r="R1208" s="2" t="s">
        <v>90</v>
      </c>
      <c r="S1208" s="2">
        <v>32915</v>
      </c>
      <c r="T1208" s="2">
        <v>27796</v>
      </c>
      <c r="U1208" s="2">
        <v>5119</v>
      </c>
      <c r="V1208" s="2">
        <v>25625</v>
      </c>
      <c r="W1208" s="2">
        <v>3298</v>
      </c>
      <c r="X1208" s="2">
        <v>1481</v>
      </c>
      <c r="Y1208" s="2" t="s">
        <v>41</v>
      </c>
      <c r="Z1208" s="2">
        <v>88</v>
      </c>
      <c r="AA1208" s="2">
        <v>4</v>
      </c>
      <c r="AB1208" s="2" t="s">
        <v>137</v>
      </c>
    </row>
    <row r="1209" spans="1:28" x14ac:dyDescent="0.25">
      <c r="A1209" s="4" t="s">
        <v>1953</v>
      </c>
      <c r="B1209" s="4" t="s">
        <v>1478</v>
      </c>
      <c r="C1209" s="4">
        <v>81</v>
      </c>
      <c r="D1209" s="4" t="s">
        <v>30</v>
      </c>
      <c r="E1209" s="4" t="s">
        <v>45</v>
      </c>
      <c r="F1209" s="4" t="s">
        <v>157</v>
      </c>
      <c r="G1209" s="5">
        <v>44739</v>
      </c>
      <c r="H1209" s="5">
        <v>44757</v>
      </c>
      <c r="I1209" s="4">
        <v>18</v>
      </c>
      <c r="J1209" s="4" t="s">
        <v>33</v>
      </c>
      <c r="K1209" s="4" t="s">
        <v>34</v>
      </c>
      <c r="L1209" s="4" t="s">
        <v>35</v>
      </c>
      <c r="M1209" s="4" t="s">
        <v>75</v>
      </c>
      <c r="N1209" s="4" t="s">
        <v>109</v>
      </c>
      <c r="O1209" s="4" t="s">
        <v>119</v>
      </c>
      <c r="P1209" s="4">
        <v>206</v>
      </c>
      <c r="Q1209" s="4" t="s">
        <v>103</v>
      </c>
      <c r="R1209" s="4" t="s">
        <v>90</v>
      </c>
      <c r="S1209" s="4">
        <v>121577</v>
      </c>
      <c r="T1209" s="4">
        <v>89311</v>
      </c>
      <c r="U1209" s="4">
        <v>32266</v>
      </c>
      <c r="V1209" s="4">
        <v>86778</v>
      </c>
      <c r="W1209" s="4">
        <v>24926</v>
      </c>
      <c r="X1209" s="4">
        <v>5520</v>
      </c>
      <c r="Y1209" s="4" t="s">
        <v>41</v>
      </c>
      <c r="Z1209" s="4">
        <v>72</v>
      </c>
      <c r="AA1209" s="4">
        <v>3.9</v>
      </c>
      <c r="AB1209" s="4" t="s">
        <v>137</v>
      </c>
    </row>
    <row r="1210" spans="1:28" x14ac:dyDescent="0.25">
      <c r="A1210" s="2" t="s">
        <v>1954</v>
      </c>
      <c r="B1210" s="2" t="s">
        <v>534</v>
      </c>
      <c r="C1210" s="2">
        <v>5</v>
      </c>
      <c r="D1210" s="2" t="s">
        <v>30</v>
      </c>
      <c r="E1210" s="2" t="s">
        <v>87</v>
      </c>
      <c r="F1210" s="2" t="s">
        <v>72</v>
      </c>
      <c r="G1210" s="3">
        <v>45404</v>
      </c>
      <c r="H1210" s="3">
        <v>45417</v>
      </c>
      <c r="I1210" s="2">
        <v>13</v>
      </c>
      <c r="J1210" s="2" t="s">
        <v>115</v>
      </c>
      <c r="K1210" s="2" t="s">
        <v>116</v>
      </c>
      <c r="L1210" s="2" t="s">
        <v>117</v>
      </c>
      <c r="M1210" s="2" t="s">
        <v>143</v>
      </c>
      <c r="N1210" s="2" t="s">
        <v>62</v>
      </c>
      <c r="O1210" s="2" t="s">
        <v>355</v>
      </c>
      <c r="P1210" s="2">
        <v>189</v>
      </c>
      <c r="Q1210" s="2" t="s">
        <v>103</v>
      </c>
      <c r="R1210" s="2" t="s">
        <v>136</v>
      </c>
      <c r="S1210" s="2">
        <v>115018</v>
      </c>
      <c r="T1210" s="2">
        <v>0</v>
      </c>
      <c r="U1210" s="2">
        <v>115018</v>
      </c>
      <c r="V1210" s="2">
        <v>103284</v>
      </c>
      <c r="W1210" s="2">
        <v>1549</v>
      </c>
      <c r="X1210" s="2">
        <v>9130</v>
      </c>
      <c r="Y1210" s="2" t="s">
        <v>41</v>
      </c>
      <c r="Z1210" s="2">
        <v>50</v>
      </c>
      <c r="AA1210" s="2">
        <v>4.0999999999999996</v>
      </c>
      <c r="AB1210" s="2" t="s">
        <v>64</v>
      </c>
    </row>
    <row r="1211" spans="1:28" x14ac:dyDescent="0.25">
      <c r="A1211" s="4" t="s">
        <v>1955</v>
      </c>
      <c r="B1211" s="4" t="s">
        <v>513</v>
      </c>
      <c r="C1211" s="4">
        <v>78</v>
      </c>
      <c r="D1211" s="4" t="s">
        <v>55</v>
      </c>
      <c r="E1211" s="4" t="s">
        <v>87</v>
      </c>
      <c r="F1211" s="4" t="s">
        <v>114</v>
      </c>
      <c r="G1211" s="5">
        <v>45147</v>
      </c>
      <c r="H1211" s="5">
        <v>45175</v>
      </c>
      <c r="I1211" s="4">
        <v>28</v>
      </c>
      <c r="J1211" s="4" t="s">
        <v>123</v>
      </c>
      <c r="K1211" s="4" t="s">
        <v>251</v>
      </c>
      <c r="L1211" s="4" t="s">
        <v>125</v>
      </c>
      <c r="M1211" s="4" t="s">
        <v>134</v>
      </c>
      <c r="N1211" s="4" t="s">
        <v>37</v>
      </c>
      <c r="O1211" s="4" t="s">
        <v>89</v>
      </c>
      <c r="P1211" s="4">
        <v>274</v>
      </c>
      <c r="Q1211" s="4" t="s">
        <v>103</v>
      </c>
      <c r="R1211" s="4" t="s">
        <v>40</v>
      </c>
      <c r="S1211" s="4">
        <v>54577</v>
      </c>
      <c r="T1211" s="4">
        <v>27636</v>
      </c>
      <c r="U1211" s="4">
        <v>26941</v>
      </c>
      <c r="V1211" s="4">
        <v>45780</v>
      </c>
      <c r="W1211" s="4">
        <v>3198</v>
      </c>
      <c r="X1211" s="4">
        <v>4651</v>
      </c>
      <c r="Y1211" s="4" t="s">
        <v>41</v>
      </c>
      <c r="Z1211" s="4">
        <v>45</v>
      </c>
      <c r="AA1211" s="4">
        <v>3.6</v>
      </c>
      <c r="AB1211" s="4" t="s">
        <v>137</v>
      </c>
    </row>
    <row r="1212" spans="1:28" x14ac:dyDescent="0.25">
      <c r="A1212" s="2" t="s">
        <v>1956</v>
      </c>
      <c r="B1212" s="2" t="s">
        <v>1314</v>
      </c>
      <c r="C1212" s="2">
        <v>67</v>
      </c>
      <c r="D1212" s="2" t="s">
        <v>30</v>
      </c>
      <c r="E1212" s="2" t="s">
        <v>87</v>
      </c>
      <c r="F1212" s="2" t="s">
        <v>32</v>
      </c>
      <c r="G1212" s="3">
        <v>44998</v>
      </c>
      <c r="H1212" s="3">
        <v>45016</v>
      </c>
      <c r="I1212" s="2">
        <v>18</v>
      </c>
      <c r="J1212" s="2" t="s">
        <v>33</v>
      </c>
      <c r="K1212" s="2" t="s">
        <v>278</v>
      </c>
      <c r="L1212" s="2" t="s">
        <v>279</v>
      </c>
      <c r="M1212" s="2" t="s">
        <v>134</v>
      </c>
      <c r="N1212" s="2" t="s">
        <v>37</v>
      </c>
      <c r="O1212" s="2" t="s">
        <v>673</v>
      </c>
      <c r="P1212" s="2">
        <v>86</v>
      </c>
      <c r="Q1212" s="2" t="s">
        <v>50</v>
      </c>
      <c r="R1212" s="2" t="s">
        <v>111</v>
      </c>
      <c r="S1212" s="2">
        <v>119781</v>
      </c>
      <c r="T1212" s="2">
        <v>71964</v>
      </c>
      <c r="U1212" s="2">
        <v>47817</v>
      </c>
      <c r="V1212" s="2">
        <v>83441</v>
      </c>
      <c r="W1212" s="2">
        <v>29335</v>
      </c>
      <c r="X1212" s="2">
        <v>5455</v>
      </c>
      <c r="Y1212" s="2" t="s">
        <v>41</v>
      </c>
      <c r="Z1212" s="2">
        <v>56</v>
      </c>
      <c r="AA1212" s="2">
        <v>2.8</v>
      </c>
      <c r="AB1212" s="2" t="s">
        <v>104</v>
      </c>
    </row>
    <row r="1213" spans="1:28" x14ac:dyDescent="0.25">
      <c r="A1213" s="4" t="s">
        <v>1957</v>
      </c>
      <c r="B1213" s="4" t="s">
        <v>452</v>
      </c>
      <c r="C1213" s="4">
        <v>33</v>
      </c>
      <c r="D1213" s="4" t="s">
        <v>30</v>
      </c>
      <c r="E1213" s="4" t="s">
        <v>31</v>
      </c>
      <c r="F1213" s="4" t="s">
        <v>80</v>
      </c>
      <c r="G1213" s="5">
        <v>44730</v>
      </c>
      <c r="H1213" s="5">
        <v>44748</v>
      </c>
      <c r="I1213" s="4">
        <v>18</v>
      </c>
      <c r="J1213" s="4" t="s">
        <v>33</v>
      </c>
      <c r="K1213" s="4" t="s">
        <v>81</v>
      </c>
      <c r="L1213" s="4" t="s">
        <v>82</v>
      </c>
      <c r="M1213" s="4" t="s">
        <v>134</v>
      </c>
      <c r="N1213" s="4" t="s">
        <v>37</v>
      </c>
      <c r="O1213" s="4" t="s">
        <v>119</v>
      </c>
      <c r="P1213" s="4">
        <v>49</v>
      </c>
      <c r="Q1213" s="4" t="s">
        <v>39</v>
      </c>
      <c r="R1213" s="4" t="s">
        <v>90</v>
      </c>
      <c r="S1213" s="4">
        <v>77758</v>
      </c>
      <c r="T1213" s="4">
        <v>62385</v>
      </c>
      <c r="U1213" s="4">
        <v>15373</v>
      </c>
      <c r="V1213" s="4">
        <v>58360</v>
      </c>
      <c r="W1213" s="4">
        <v>13008</v>
      </c>
      <c r="X1213" s="4">
        <v>1750</v>
      </c>
      <c r="Y1213" s="4" t="s">
        <v>91</v>
      </c>
      <c r="Z1213" s="4">
        <v>62</v>
      </c>
      <c r="AA1213" s="4">
        <v>3.5</v>
      </c>
      <c r="AB1213" s="4" t="s">
        <v>64</v>
      </c>
    </row>
    <row r="1214" spans="1:28" x14ac:dyDescent="0.25">
      <c r="A1214" s="2" t="s">
        <v>1958</v>
      </c>
      <c r="B1214" s="2" t="s">
        <v>1334</v>
      </c>
      <c r="C1214" s="2">
        <v>45</v>
      </c>
      <c r="D1214" s="2" t="s">
        <v>55</v>
      </c>
      <c r="E1214" s="2" t="s">
        <v>45</v>
      </c>
      <c r="F1214" s="2" t="s">
        <v>32</v>
      </c>
      <c r="G1214" s="3">
        <v>45641</v>
      </c>
      <c r="H1214" s="3">
        <v>45657</v>
      </c>
      <c r="I1214" s="2">
        <v>16</v>
      </c>
      <c r="J1214" s="2" t="s">
        <v>33</v>
      </c>
      <c r="K1214" s="2" t="s">
        <v>99</v>
      </c>
      <c r="L1214" s="2" t="s">
        <v>100</v>
      </c>
      <c r="M1214" s="2" t="s">
        <v>143</v>
      </c>
      <c r="N1214" s="2" t="s">
        <v>62</v>
      </c>
      <c r="O1214" s="2" t="s">
        <v>681</v>
      </c>
      <c r="P1214" s="2">
        <v>309</v>
      </c>
      <c r="Q1214" s="2" t="s">
        <v>50</v>
      </c>
      <c r="R1214" s="2" t="s">
        <v>136</v>
      </c>
      <c r="S1214" s="2">
        <v>62417</v>
      </c>
      <c r="T1214" s="2">
        <v>0</v>
      </c>
      <c r="U1214" s="2">
        <v>62417</v>
      </c>
      <c r="V1214" s="2">
        <v>20174</v>
      </c>
      <c r="W1214" s="2">
        <v>27504</v>
      </c>
      <c r="X1214" s="2">
        <v>9959</v>
      </c>
      <c r="Y1214" s="2" t="s">
        <v>41</v>
      </c>
      <c r="Z1214" s="2">
        <v>96</v>
      </c>
      <c r="AA1214" s="2">
        <v>4</v>
      </c>
      <c r="AB1214" s="2" t="s">
        <v>104</v>
      </c>
    </row>
    <row r="1215" spans="1:28" x14ac:dyDescent="0.25">
      <c r="A1215" s="4" t="s">
        <v>1959</v>
      </c>
      <c r="B1215" s="4" t="s">
        <v>452</v>
      </c>
      <c r="C1215" s="4">
        <v>75</v>
      </c>
      <c r="D1215" s="4" t="s">
        <v>30</v>
      </c>
      <c r="E1215" s="4" t="s">
        <v>45</v>
      </c>
      <c r="F1215" s="4" t="s">
        <v>80</v>
      </c>
      <c r="G1215" s="5">
        <v>45624</v>
      </c>
      <c r="H1215" s="5">
        <v>45651</v>
      </c>
      <c r="I1215" s="4">
        <v>27</v>
      </c>
      <c r="J1215" s="4" t="s">
        <v>33</v>
      </c>
      <c r="K1215" s="4" t="s">
        <v>34</v>
      </c>
      <c r="L1215" s="4" t="s">
        <v>35</v>
      </c>
      <c r="M1215" s="4" t="s">
        <v>83</v>
      </c>
      <c r="N1215" s="4" t="s">
        <v>118</v>
      </c>
      <c r="O1215" s="4" t="s">
        <v>147</v>
      </c>
      <c r="P1215" s="4">
        <v>111</v>
      </c>
      <c r="Q1215" s="4" t="s">
        <v>39</v>
      </c>
      <c r="R1215" s="4" t="s">
        <v>90</v>
      </c>
      <c r="S1215" s="4">
        <v>84427</v>
      </c>
      <c r="T1215" s="4">
        <v>64529</v>
      </c>
      <c r="U1215" s="4">
        <v>19898</v>
      </c>
      <c r="V1215" s="4">
        <v>62760</v>
      </c>
      <c r="W1215" s="4">
        <v>11192</v>
      </c>
      <c r="X1215" s="4">
        <v>9224</v>
      </c>
      <c r="Y1215" s="4" t="s">
        <v>41</v>
      </c>
      <c r="Z1215" s="4">
        <v>42</v>
      </c>
      <c r="AA1215" s="4">
        <v>4.2</v>
      </c>
      <c r="AB1215" s="4" t="s">
        <v>64</v>
      </c>
    </row>
    <row r="1216" spans="1:28" x14ac:dyDescent="0.25">
      <c r="A1216" s="2" t="s">
        <v>1960</v>
      </c>
      <c r="B1216" s="2" t="s">
        <v>1353</v>
      </c>
      <c r="C1216" s="2">
        <v>38</v>
      </c>
      <c r="D1216" s="2" t="s">
        <v>30</v>
      </c>
      <c r="E1216" s="2" t="s">
        <v>31</v>
      </c>
      <c r="F1216" s="2" t="s">
        <v>46</v>
      </c>
      <c r="G1216" s="3">
        <v>44822</v>
      </c>
      <c r="H1216" s="3">
        <v>44845</v>
      </c>
      <c r="I1216" s="2">
        <v>23</v>
      </c>
      <c r="J1216" s="2" t="s">
        <v>33</v>
      </c>
      <c r="K1216" s="2" t="s">
        <v>233</v>
      </c>
      <c r="L1216" s="2" t="s">
        <v>35</v>
      </c>
      <c r="M1216" s="2" t="s">
        <v>134</v>
      </c>
      <c r="N1216" s="2" t="s">
        <v>109</v>
      </c>
      <c r="O1216" s="2" t="s">
        <v>337</v>
      </c>
      <c r="P1216" s="2">
        <v>449</v>
      </c>
      <c r="Q1216" s="2" t="s">
        <v>50</v>
      </c>
      <c r="R1216" s="2" t="s">
        <v>51</v>
      </c>
      <c r="S1216" s="2">
        <v>168615</v>
      </c>
      <c r="T1216" s="2">
        <v>116921</v>
      </c>
      <c r="U1216" s="2">
        <v>51694</v>
      </c>
      <c r="V1216" s="2">
        <v>126454</v>
      </c>
      <c r="W1216" s="2">
        <v>25397</v>
      </c>
      <c r="X1216" s="2">
        <v>14281</v>
      </c>
      <c r="Y1216" s="2" t="s">
        <v>41</v>
      </c>
      <c r="Z1216" s="2">
        <v>93</v>
      </c>
      <c r="AA1216" s="2">
        <v>3.8</v>
      </c>
      <c r="AB1216" s="2" t="s">
        <v>104</v>
      </c>
    </row>
    <row r="1217" spans="1:28" x14ac:dyDescent="0.25">
      <c r="A1217" s="4" t="s">
        <v>1961</v>
      </c>
      <c r="B1217" s="4" t="s">
        <v>704</v>
      </c>
      <c r="C1217" s="4">
        <v>70</v>
      </c>
      <c r="D1217" s="4" t="s">
        <v>30</v>
      </c>
      <c r="E1217" s="4" t="s">
        <v>154</v>
      </c>
      <c r="F1217" s="4" t="s">
        <v>150</v>
      </c>
      <c r="G1217" s="5">
        <v>44957</v>
      </c>
      <c r="H1217" s="5">
        <v>44967</v>
      </c>
      <c r="I1217" s="4">
        <v>10</v>
      </c>
      <c r="J1217" s="4" t="s">
        <v>202</v>
      </c>
      <c r="K1217" s="4" t="s">
        <v>203</v>
      </c>
      <c r="L1217" s="4" t="s">
        <v>204</v>
      </c>
      <c r="M1217" s="4" t="s">
        <v>134</v>
      </c>
      <c r="N1217" s="4" t="s">
        <v>37</v>
      </c>
      <c r="O1217" s="4" t="s">
        <v>199</v>
      </c>
      <c r="P1217" s="4">
        <v>128</v>
      </c>
      <c r="Q1217" s="4" t="s">
        <v>69</v>
      </c>
      <c r="R1217" s="4" t="s">
        <v>136</v>
      </c>
      <c r="S1217" s="4">
        <v>115942</v>
      </c>
      <c r="T1217" s="4">
        <v>0</v>
      </c>
      <c r="U1217" s="4">
        <v>115942</v>
      </c>
      <c r="V1217" s="4">
        <v>98417</v>
      </c>
      <c r="W1217" s="4">
        <v>12876</v>
      </c>
      <c r="X1217" s="4">
        <v>3707</v>
      </c>
      <c r="Y1217" s="4" t="s">
        <v>41</v>
      </c>
      <c r="Z1217" s="4">
        <v>60</v>
      </c>
      <c r="AA1217" s="4">
        <v>2.7</v>
      </c>
      <c r="AB1217" s="4" t="s">
        <v>64</v>
      </c>
    </row>
    <row r="1218" spans="1:28" x14ac:dyDescent="0.25">
      <c r="A1218" s="2" t="s">
        <v>1962</v>
      </c>
      <c r="B1218" s="2" t="s">
        <v>1314</v>
      </c>
      <c r="C1218" s="2">
        <v>42</v>
      </c>
      <c r="D1218" s="2" t="s">
        <v>55</v>
      </c>
      <c r="E1218" s="2" t="s">
        <v>87</v>
      </c>
      <c r="F1218" s="2" t="s">
        <v>150</v>
      </c>
      <c r="G1218" s="3">
        <v>45653</v>
      </c>
      <c r="H1218" s="3">
        <v>45656</v>
      </c>
      <c r="I1218" s="2">
        <v>3</v>
      </c>
      <c r="J1218" s="2" t="s">
        <v>33</v>
      </c>
      <c r="K1218" s="2" t="s">
        <v>34</v>
      </c>
      <c r="L1218" s="2" t="s">
        <v>35</v>
      </c>
      <c r="M1218" s="2" t="s">
        <v>101</v>
      </c>
      <c r="N1218" s="2" t="s">
        <v>37</v>
      </c>
      <c r="O1218" s="2" t="s">
        <v>379</v>
      </c>
      <c r="P1218" s="2">
        <v>282</v>
      </c>
      <c r="Q1218" s="2" t="s">
        <v>50</v>
      </c>
      <c r="R1218" s="2" t="s">
        <v>136</v>
      </c>
      <c r="S1218" s="2">
        <v>115990</v>
      </c>
      <c r="T1218" s="2">
        <v>0</v>
      </c>
      <c r="U1218" s="2">
        <v>115990</v>
      </c>
      <c r="V1218" s="2">
        <v>88824</v>
      </c>
      <c r="W1218" s="2">
        <v>15962</v>
      </c>
      <c r="X1218" s="2">
        <v>7164</v>
      </c>
      <c r="Y1218" s="2" t="s">
        <v>41</v>
      </c>
      <c r="Z1218" s="2">
        <v>91</v>
      </c>
      <c r="AA1218" s="2">
        <v>2.9</v>
      </c>
      <c r="AB1218" s="2" t="s">
        <v>52</v>
      </c>
    </row>
    <row r="1219" spans="1:28" x14ac:dyDescent="0.25">
      <c r="A1219" s="4" t="s">
        <v>1963</v>
      </c>
      <c r="B1219" s="4" t="s">
        <v>1085</v>
      </c>
      <c r="C1219" s="4">
        <v>28</v>
      </c>
      <c r="D1219" s="4" t="s">
        <v>55</v>
      </c>
      <c r="E1219" s="4" t="s">
        <v>154</v>
      </c>
      <c r="F1219" s="4" t="s">
        <v>114</v>
      </c>
      <c r="G1219" s="5">
        <v>45108</v>
      </c>
      <c r="H1219" s="5">
        <v>45119</v>
      </c>
      <c r="I1219" s="4">
        <v>11</v>
      </c>
      <c r="J1219" s="4" t="s">
        <v>140</v>
      </c>
      <c r="K1219" s="4" t="s">
        <v>141</v>
      </c>
      <c r="L1219" s="4" t="s">
        <v>142</v>
      </c>
      <c r="M1219" s="4" t="s">
        <v>108</v>
      </c>
      <c r="N1219" s="4" t="s">
        <v>118</v>
      </c>
      <c r="O1219" s="4" t="s">
        <v>337</v>
      </c>
      <c r="P1219" s="4">
        <v>470</v>
      </c>
      <c r="Q1219" s="4" t="s">
        <v>69</v>
      </c>
      <c r="R1219" s="4" t="s">
        <v>90</v>
      </c>
      <c r="S1219" s="4">
        <v>134873</v>
      </c>
      <c r="T1219" s="4">
        <v>120666</v>
      </c>
      <c r="U1219" s="4">
        <v>14207</v>
      </c>
      <c r="V1219" s="4">
        <v>114930</v>
      </c>
      <c r="W1219" s="4">
        <v>4428</v>
      </c>
      <c r="X1219" s="4">
        <v>11883</v>
      </c>
      <c r="Y1219" s="4" t="s">
        <v>41</v>
      </c>
      <c r="Z1219" s="4">
        <v>79</v>
      </c>
      <c r="AA1219" s="4">
        <v>2.2999999999999998</v>
      </c>
      <c r="AB1219" s="4" t="s">
        <v>104</v>
      </c>
    </row>
    <row r="1220" spans="1:28" x14ac:dyDescent="0.25">
      <c r="A1220" s="2" t="s">
        <v>1964</v>
      </c>
      <c r="B1220" s="2" t="s">
        <v>325</v>
      </c>
      <c r="C1220" s="2">
        <v>21</v>
      </c>
      <c r="D1220" s="2" t="s">
        <v>55</v>
      </c>
      <c r="E1220" s="2" t="s">
        <v>79</v>
      </c>
      <c r="F1220" s="2" t="s">
        <v>129</v>
      </c>
      <c r="G1220" s="3">
        <v>44814</v>
      </c>
      <c r="H1220" s="3">
        <v>44827</v>
      </c>
      <c r="I1220" s="2">
        <v>13</v>
      </c>
      <c r="J1220" s="2" t="s">
        <v>33</v>
      </c>
      <c r="K1220" s="2" t="s">
        <v>99</v>
      </c>
      <c r="L1220" s="2" t="s">
        <v>100</v>
      </c>
      <c r="M1220" s="2" t="s">
        <v>108</v>
      </c>
      <c r="N1220" s="2" t="s">
        <v>109</v>
      </c>
      <c r="O1220" s="2" t="s">
        <v>509</v>
      </c>
      <c r="P1220" s="2">
        <v>325</v>
      </c>
      <c r="Q1220" s="2" t="s">
        <v>103</v>
      </c>
      <c r="R1220" s="2" t="s">
        <v>136</v>
      </c>
      <c r="S1220" s="2">
        <v>131772</v>
      </c>
      <c r="T1220" s="2">
        <v>0</v>
      </c>
      <c r="U1220" s="2">
        <v>131772</v>
      </c>
      <c r="V1220" s="2">
        <v>110410</v>
      </c>
      <c r="W1220" s="2">
        <v>6586</v>
      </c>
      <c r="X1220" s="2">
        <v>11155</v>
      </c>
      <c r="Y1220" s="2" t="s">
        <v>41</v>
      </c>
      <c r="Z1220" s="2">
        <v>76</v>
      </c>
      <c r="AA1220" s="2">
        <v>4.3</v>
      </c>
      <c r="AB1220" s="2" t="s">
        <v>64</v>
      </c>
    </row>
    <row r="1221" spans="1:28" x14ac:dyDescent="0.25">
      <c r="A1221" s="4" t="s">
        <v>1965</v>
      </c>
      <c r="B1221" s="4" t="s">
        <v>599</v>
      </c>
      <c r="C1221" s="4">
        <v>29</v>
      </c>
      <c r="D1221" s="4" t="s">
        <v>30</v>
      </c>
      <c r="E1221" s="4" t="s">
        <v>87</v>
      </c>
      <c r="F1221" s="4" t="s">
        <v>72</v>
      </c>
      <c r="G1221" s="5">
        <v>44738</v>
      </c>
      <c r="H1221" s="5">
        <v>44762</v>
      </c>
      <c r="I1221" s="4">
        <v>24</v>
      </c>
      <c r="J1221" s="4" t="s">
        <v>123</v>
      </c>
      <c r="K1221" s="4" t="s">
        <v>251</v>
      </c>
      <c r="L1221" s="4" t="s">
        <v>125</v>
      </c>
      <c r="M1221" s="4" t="s">
        <v>95</v>
      </c>
      <c r="N1221" s="4" t="s">
        <v>109</v>
      </c>
      <c r="O1221" s="4" t="s">
        <v>406</v>
      </c>
      <c r="P1221" s="4">
        <v>253</v>
      </c>
      <c r="Q1221" s="4" t="s">
        <v>39</v>
      </c>
      <c r="R1221" s="4" t="s">
        <v>40</v>
      </c>
      <c r="S1221" s="4">
        <v>179936</v>
      </c>
      <c r="T1221" s="4">
        <v>109948</v>
      </c>
      <c r="U1221" s="4">
        <v>69988</v>
      </c>
      <c r="V1221" s="4">
        <v>149511</v>
      </c>
      <c r="W1221" s="4">
        <v>21555</v>
      </c>
      <c r="X1221" s="4">
        <v>7968</v>
      </c>
      <c r="Y1221" s="4" t="s">
        <v>41</v>
      </c>
      <c r="Z1221" s="4">
        <v>41</v>
      </c>
      <c r="AA1221" s="4">
        <v>2.1</v>
      </c>
      <c r="AB1221" s="4" t="s">
        <v>137</v>
      </c>
    </row>
    <row r="1222" spans="1:28" x14ac:dyDescent="0.25">
      <c r="A1222" s="2" t="s">
        <v>1966</v>
      </c>
      <c r="B1222" s="2" t="s">
        <v>767</v>
      </c>
      <c r="C1222" s="2">
        <v>76</v>
      </c>
      <c r="D1222" s="2" t="s">
        <v>30</v>
      </c>
      <c r="E1222" s="2" t="s">
        <v>87</v>
      </c>
      <c r="F1222" s="2" t="s">
        <v>129</v>
      </c>
      <c r="G1222" s="3">
        <v>45082</v>
      </c>
      <c r="H1222" s="3">
        <v>45108</v>
      </c>
      <c r="I1222" s="2">
        <v>26</v>
      </c>
      <c r="J1222" s="2" t="s">
        <v>115</v>
      </c>
      <c r="K1222" s="2" t="s">
        <v>160</v>
      </c>
      <c r="L1222" s="2" t="s">
        <v>117</v>
      </c>
      <c r="M1222" s="2" t="s">
        <v>83</v>
      </c>
      <c r="N1222" s="2" t="s">
        <v>62</v>
      </c>
      <c r="O1222" s="2" t="s">
        <v>530</v>
      </c>
      <c r="P1222" s="2">
        <v>180</v>
      </c>
      <c r="Q1222" s="2" t="s">
        <v>69</v>
      </c>
      <c r="R1222" s="2" t="s">
        <v>136</v>
      </c>
      <c r="S1222" s="2">
        <v>112952</v>
      </c>
      <c r="T1222" s="2">
        <v>0</v>
      </c>
      <c r="U1222" s="2">
        <v>112952</v>
      </c>
      <c r="V1222" s="2">
        <v>92733</v>
      </c>
      <c r="W1222" s="2">
        <v>7103</v>
      </c>
      <c r="X1222" s="2">
        <v>12250</v>
      </c>
      <c r="Y1222" s="2" t="s">
        <v>41</v>
      </c>
      <c r="Z1222" s="2">
        <v>72</v>
      </c>
      <c r="AA1222" s="2">
        <v>4.7</v>
      </c>
      <c r="AB1222" s="2" t="s">
        <v>104</v>
      </c>
    </row>
    <row r="1223" spans="1:28" x14ac:dyDescent="0.25">
      <c r="A1223" s="4" t="s">
        <v>1967</v>
      </c>
      <c r="B1223" s="4" t="s">
        <v>1838</v>
      </c>
      <c r="C1223" s="4">
        <v>85</v>
      </c>
      <c r="D1223" s="4" t="s">
        <v>30</v>
      </c>
      <c r="E1223" s="4" t="s">
        <v>122</v>
      </c>
      <c r="F1223" s="4" t="s">
        <v>114</v>
      </c>
      <c r="G1223" s="5">
        <v>44651</v>
      </c>
      <c r="H1223" s="5">
        <v>44661</v>
      </c>
      <c r="I1223" s="4">
        <v>10</v>
      </c>
      <c r="J1223" s="4" t="s">
        <v>33</v>
      </c>
      <c r="K1223" s="4" t="s">
        <v>99</v>
      </c>
      <c r="L1223" s="4" t="s">
        <v>100</v>
      </c>
      <c r="M1223" s="4" t="s">
        <v>143</v>
      </c>
      <c r="N1223" s="4" t="s">
        <v>109</v>
      </c>
      <c r="O1223" s="4" t="s">
        <v>246</v>
      </c>
      <c r="P1223" s="4">
        <v>215</v>
      </c>
      <c r="Q1223" s="4" t="s">
        <v>50</v>
      </c>
      <c r="R1223" s="4" t="s">
        <v>136</v>
      </c>
      <c r="S1223" s="4">
        <v>151364</v>
      </c>
      <c r="T1223" s="4">
        <v>0</v>
      </c>
      <c r="U1223" s="4">
        <v>151364</v>
      </c>
      <c r="V1223" s="4">
        <v>130070</v>
      </c>
      <c r="W1223" s="4">
        <v>9634</v>
      </c>
      <c r="X1223" s="4">
        <v>7891</v>
      </c>
      <c r="Y1223" s="4" t="s">
        <v>41</v>
      </c>
      <c r="Z1223" s="4">
        <v>78</v>
      </c>
      <c r="AA1223" s="4">
        <v>4.9000000000000004</v>
      </c>
      <c r="AB1223" s="4" t="s">
        <v>104</v>
      </c>
    </row>
    <row r="1224" spans="1:28" x14ac:dyDescent="0.25">
      <c r="A1224" s="2" t="s">
        <v>1968</v>
      </c>
      <c r="B1224" s="2" t="s">
        <v>1969</v>
      </c>
      <c r="C1224" s="2">
        <v>7</v>
      </c>
      <c r="D1224" s="2" t="s">
        <v>30</v>
      </c>
      <c r="E1224" s="2" t="s">
        <v>56</v>
      </c>
      <c r="F1224" s="2" t="s">
        <v>94</v>
      </c>
      <c r="G1224" s="3">
        <v>45596</v>
      </c>
      <c r="H1224" s="3">
        <v>45607</v>
      </c>
      <c r="I1224" s="2">
        <v>11</v>
      </c>
      <c r="J1224" s="2" t="s">
        <v>33</v>
      </c>
      <c r="K1224" s="2" t="s">
        <v>81</v>
      </c>
      <c r="L1224" s="2" t="s">
        <v>82</v>
      </c>
      <c r="M1224" s="2" t="s">
        <v>134</v>
      </c>
      <c r="N1224" s="2" t="s">
        <v>109</v>
      </c>
      <c r="O1224" s="2" t="s">
        <v>396</v>
      </c>
      <c r="P1224" s="2">
        <v>462</v>
      </c>
      <c r="Q1224" s="2" t="s">
        <v>103</v>
      </c>
      <c r="R1224" s="2" t="s">
        <v>136</v>
      </c>
      <c r="S1224" s="2">
        <v>128339</v>
      </c>
      <c r="T1224" s="2">
        <v>0</v>
      </c>
      <c r="U1224" s="2">
        <v>128339</v>
      </c>
      <c r="V1224" s="2">
        <v>97908</v>
      </c>
      <c r="W1224" s="2">
        <v>15136</v>
      </c>
      <c r="X1224" s="2">
        <v>13693</v>
      </c>
      <c r="Y1224" s="2" t="s">
        <v>41</v>
      </c>
      <c r="Z1224" s="2">
        <v>75</v>
      </c>
      <c r="AA1224" s="2">
        <v>3.5</v>
      </c>
      <c r="AB1224" s="2" t="s">
        <v>42</v>
      </c>
    </row>
    <row r="1225" spans="1:28" x14ac:dyDescent="0.25">
      <c r="A1225" s="4" t="s">
        <v>1970</v>
      </c>
      <c r="B1225" s="4" t="s">
        <v>221</v>
      </c>
      <c r="C1225" s="4">
        <v>61</v>
      </c>
      <c r="D1225" s="4" t="s">
        <v>30</v>
      </c>
      <c r="E1225" s="4" t="s">
        <v>45</v>
      </c>
      <c r="F1225" s="4" t="s">
        <v>114</v>
      </c>
      <c r="G1225" s="5">
        <v>45048</v>
      </c>
      <c r="H1225" s="5">
        <v>45051</v>
      </c>
      <c r="I1225" s="4">
        <v>3</v>
      </c>
      <c r="J1225" s="4" t="s">
        <v>115</v>
      </c>
      <c r="K1225" s="4" t="s">
        <v>160</v>
      </c>
      <c r="L1225" s="4" t="s">
        <v>117</v>
      </c>
      <c r="M1225" s="4" t="s">
        <v>130</v>
      </c>
      <c r="N1225" s="4" t="s">
        <v>37</v>
      </c>
      <c r="O1225" s="4" t="s">
        <v>560</v>
      </c>
      <c r="P1225" s="4">
        <v>432</v>
      </c>
      <c r="Q1225" s="4" t="s">
        <v>69</v>
      </c>
      <c r="R1225" s="4" t="s">
        <v>90</v>
      </c>
      <c r="S1225" s="4">
        <v>72295</v>
      </c>
      <c r="T1225" s="4">
        <v>55436</v>
      </c>
      <c r="U1225" s="4">
        <v>16859</v>
      </c>
      <c r="V1225" s="4">
        <v>30608</v>
      </c>
      <c r="W1225" s="4">
        <v>27193</v>
      </c>
      <c r="X1225" s="4">
        <v>12409</v>
      </c>
      <c r="Y1225" s="4" t="s">
        <v>91</v>
      </c>
      <c r="Z1225" s="4">
        <v>57</v>
      </c>
      <c r="AA1225" s="4">
        <v>3.4</v>
      </c>
      <c r="AB1225" s="4" t="s">
        <v>42</v>
      </c>
    </row>
    <row r="1226" spans="1:28" x14ac:dyDescent="0.25">
      <c r="A1226" s="2" t="s">
        <v>1971</v>
      </c>
      <c r="B1226" s="2" t="s">
        <v>506</v>
      </c>
      <c r="C1226" s="2">
        <v>15</v>
      </c>
      <c r="D1226" s="2" t="s">
        <v>55</v>
      </c>
      <c r="E1226" s="2" t="s">
        <v>31</v>
      </c>
      <c r="F1226" s="2" t="s">
        <v>94</v>
      </c>
      <c r="G1226" s="3">
        <v>44596</v>
      </c>
      <c r="H1226" s="3">
        <v>44603</v>
      </c>
      <c r="I1226" s="2">
        <v>7</v>
      </c>
      <c r="J1226" s="2" t="s">
        <v>33</v>
      </c>
      <c r="K1226" s="2" t="s">
        <v>47</v>
      </c>
      <c r="L1226" s="2" t="s">
        <v>48</v>
      </c>
      <c r="M1226" s="2" t="s">
        <v>134</v>
      </c>
      <c r="N1226" s="2" t="s">
        <v>118</v>
      </c>
      <c r="O1226" s="2" t="s">
        <v>266</v>
      </c>
      <c r="P1226" s="2">
        <v>87</v>
      </c>
      <c r="Q1226" s="2" t="s">
        <v>50</v>
      </c>
      <c r="R1226" s="2" t="s">
        <v>136</v>
      </c>
      <c r="S1226" s="2">
        <v>58202</v>
      </c>
      <c r="T1226" s="2">
        <v>0</v>
      </c>
      <c r="U1226" s="2">
        <v>58202</v>
      </c>
      <c r="V1226" s="2">
        <v>24246</v>
      </c>
      <c r="W1226" s="2">
        <v>20304</v>
      </c>
      <c r="X1226" s="2">
        <v>12153</v>
      </c>
      <c r="Y1226" s="2" t="s">
        <v>41</v>
      </c>
      <c r="Z1226" s="2">
        <v>91</v>
      </c>
      <c r="AA1226" s="2">
        <v>3.7</v>
      </c>
      <c r="AB1226" s="2" t="s">
        <v>104</v>
      </c>
    </row>
    <row r="1227" spans="1:28" x14ac:dyDescent="0.25">
      <c r="A1227" s="4" t="s">
        <v>1972</v>
      </c>
      <c r="B1227" s="4" t="s">
        <v>292</v>
      </c>
      <c r="C1227" s="4">
        <v>44</v>
      </c>
      <c r="D1227" s="4" t="s">
        <v>30</v>
      </c>
      <c r="E1227" s="4" t="s">
        <v>154</v>
      </c>
      <c r="F1227" s="4" t="s">
        <v>94</v>
      </c>
      <c r="G1227" s="5">
        <v>45052</v>
      </c>
      <c r="H1227" s="5">
        <v>45071</v>
      </c>
      <c r="I1227" s="4">
        <v>19</v>
      </c>
      <c r="J1227" s="4" t="s">
        <v>58</v>
      </c>
      <c r="K1227" s="4" t="s">
        <v>88</v>
      </c>
      <c r="L1227" s="4" t="s">
        <v>60</v>
      </c>
      <c r="M1227" s="4" t="s">
        <v>108</v>
      </c>
      <c r="N1227" s="4" t="s">
        <v>37</v>
      </c>
      <c r="O1227" s="4" t="s">
        <v>151</v>
      </c>
      <c r="P1227" s="4">
        <v>420</v>
      </c>
      <c r="Q1227" s="4" t="s">
        <v>50</v>
      </c>
      <c r="R1227" s="4" t="s">
        <v>40</v>
      </c>
      <c r="S1227" s="4">
        <v>76787</v>
      </c>
      <c r="T1227" s="4">
        <v>42081</v>
      </c>
      <c r="U1227" s="4">
        <v>34706</v>
      </c>
      <c r="V1227" s="4">
        <v>38054</v>
      </c>
      <c r="W1227" s="4">
        <v>22545</v>
      </c>
      <c r="X1227" s="4">
        <v>12462</v>
      </c>
      <c r="Y1227" s="4" t="s">
        <v>41</v>
      </c>
      <c r="Z1227" s="4">
        <v>56</v>
      </c>
      <c r="AA1227" s="4">
        <v>4.5999999999999996</v>
      </c>
      <c r="AB1227" s="4" t="s">
        <v>42</v>
      </c>
    </row>
    <row r="1228" spans="1:28" x14ac:dyDescent="0.25">
      <c r="A1228" s="2" t="s">
        <v>1973</v>
      </c>
      <c r="B1228" s="2" t="s">
        <v>1974</v>
      </c>
      <c r="C1228" s="2">
        <v>57</v>
      </c>
      <c r="D1228" s="2" t="s">
        <v>30</v>
      </c>
      <c r="E1228" s="2" t="s">
        <v>67</v>
      </c>
      <c r="F1228" s="2" t="s">
        <v>129</v>
      </c>
      <c r="G1228" s="3">
        <v>44903</v>
      </c>
      <c r="H1228" s="3">
        <v>44915</v>
      </c>
      <c r="I1228" s="2">
        <v>12</v>
      </c>
      <c r="J1228" s="2" t="s">
        <v>33</v>
      </c>
      <c r="K1228" s="2" t="s">
        <v>99</v>
      </c>
      <c r="L1228" s="2" t="s">
        <v>100</v>
      </c>
      <c r="M1228" s="2" t="s">
        <v>143</v>
      </c>
      <c r="N1228" s="2" t="s">
        <v>109</v>
      </c>
      <c r="O1228" s="2" t="s">
        <v>214</v>
      </c>
      <c r="P1228" s="2">
        <v>390</v>
      </c>
      <c r="Q1228" s="2" t="s">
        <v>69</v>
      </c>
      <c r="R1228" s="2" t="s">
        <v>51</v>
      </c>
      <c r="S1228" s="2">
        <v>76368</v>
      </c>
      <c r="T1228" s="2">
        <v>35351</v>
      </c>
      <c r="U1228" s="2">
        <v>41017</v>
      </c>
      <c r="V1228" s="2">
        <v>62234</v>
      </c>
      <c r="W1228" s="2">
        <v>6054</v>
      </c>
      <c r="X1228" s="2">
        <v>4521</v>
      </c>
      <c r="Y1228" s="2" t="s">
        <v>41</v>
      </c>
      <c r="Z1228" s="2">
        <v>72</v>
      </c>
      <c r="AA1228" s="2">
        <v>3.5</v>
      </c>
      <c r="AB1228" s="2" t="s">
        <v>137</v>
      </c>
    </row>
    <row r="1229" spans="1:28" x14ac:dyDescent="0.25">
      <c r="A1229" s="4" t="s">
        <v>1975</v>
      </c>
      <c r="B1229" s="4" t="s">
        <v>1976</v>
      </c>
      <c r="C1229" s="4">
        <v>59</v>
      </c>
      <c r="D1229" s="4" t="s">
        <v>30</v>
      </c>
      <c r="E1229" s="4" t="s">
        <v>67</v>
      </c>
      <c r="F1229" s="4" t="s">
        <v>150</v>
      </c>
      <c r="G1229" s="5">
        <v>45590</v>
      </c>
      <c r="H1229" s="5">
        <v>45591</v>
      </c>
      <c r="I1229" s="4">
        <v>1</v>
      </c>
      <c r="J1229" s="4" t="s">
        <v>33</v>
      </c>
      <c r="K1229" s="4" t="s">
        <v>233</v>
      </c>
      <c r="L1229" s="4" t="s">
        <v>35</v>
      </c>
      <c r="M1229" s="4" t="s">
        <v>134</v>
      </c>
      <c r="N1229" s="4" t="s">
        <v>118</v>
      </c>
      <c r="O1229" s="4" t="s">
        <v>358</v>
      </c>
      <c r="P1229" s="4">
        <v>246</v>
      </c>
      <c r="Q1229" s="4" t="s">
        <v>50</v>
      </c>
      <c r="R1229" s="4" t="s">
        <v>136</v>
      </c>
      <c r="S1229" s="4">
        <v>132851</v>
      </c>
      <c r="T1229" s="4">
        <v>0</v>
      </c>
      <c r="U1229" s="4">
        <v>132851</v>
      </c>
      <c r="V1229" s="4">
        <v>90315</v>
      </c>
      <c r="W1229" s="4">
        <v>28228</v>
      </c>
      <c r="X1229" s="4">
        <v>9918</v>
      </c>
      <c r="Y1229" s="4" t="s">
        <v>41</v>
      </c>
      <c r="Z1229" s="4">
        <v>45</v>
      </c>
      <c r="AA1229" s="4">
        <v>2.7</v>
      </c>
      <c r="AB1229" s="4" t="s">
        <v>64</v>
      </c>
    </row>
    <row r="1230" spans="1:28" x14ac:dyDescent="0.25">
      <c r="A1230" s="2" t="s">
        <v>1977</v>
      </c>
      <c r="B1230" s="2" t="s">
        <v>1503</v>
      </c>
      <c r="C1230" s="2">
        <v>46</v>
      </c>
      <c r="D1230" s="2" t="s">
        <v>30</v>
      </c>
      <c r="E1230" s="2" t="s">
        <v>45</v>
      </c>
      <c r="F1230" s="2" t="s">
        <v>72</v>
      </c>
      <c r="G1230" s="3">
        <v>44886</v>
      </c>
      <c r="H1230" s="3">
        <v>44916</v>
      </c>
      <c r="I1230" s="2">
        <v>30</v>
      </c>
      <c r="J1230" s="2" t="s">
        <v>202</v>
      </c>
      <c r="K1230" s="2" t="s">
        <v>225</v>
      </c>
      <c r="L1230" s="2" t="s">
        <v>226</v>
      </c>
      <c r="M1230" s="2" t="s">
        <v>83</v>
      </c>
      <c r="N1230" s="2" t="s">
        <v>118</v>
      </c>
      <c r="O1230" s="2" t="s">
        <v>96</v>
      </c>
      <c r="P1230" s="2">
        <v>495</v>
      </c>
      <c r="Q1230" s="2" t="s">
        <v>50</v>
      </c>
      <c r="R1230" s="2" t="s">
        <v>90</v>
      </c>
      <c r="S1230" s="2">
        <v>59806</v>
      </c>
      <c r="T1230" s="2">
        <v>53300</v>
      </c>
      <c r="U1230" s="2">
        <v>6506</v>
      </c>
      <c r="V1230" s="2">
        <v>21874</v>
      </c>
      <c r="W1230" s="2">
        <v>24126</v>
      </c>
      <c r="X1230" s="2">
        <v>10922</v>
      </c>
      <c r="Y1230" s="2" t="s">
        <v>41</v>
      </c>
      <c r="Z1230" s="2">
        <v>96</v>
      </c>
      <c r="AA1230" s="2">
        <v>4.9000000000000004</v>
      </c>
      <c r="AB1230" s="2" t="s">
        <v>64</v>
      </c>
    </row>
    <row r="1231" spans="1:28" x14ac:dyDescent="0.25">
      <c r="A1231" s="4" t="s">
        <v>1978</v>
      </c>
      <c r="B1231" s="4" t="s">
        <v>410</v>
      </c>
      <c r="C1231" s="4">
        <v>46</v>
      </c>
      <c r="D1231" s="4" t="s">
        <v>55</v>
      </c>
      <c r="E1231" s="4" t="s">
        <v>56</v>
      </c>
      <c r="F1231" s="4" t="s">
        <v>72</v>
      </c>
      <c r="G1231" s="5">
        <v>45571</v>
      </c>
      <c r="H1231" s="5">
        <v>45585</v>
      </c>
      <c r="I1231" s="4">
        <v>14</v>
      </c>
      <c r="J1231" s="4" t="s">
        <v>140</v>
      </c>
      <c r="K1231" s="4" t="s">
        <v>167</v>
      </c>
      <c r="L1231" s="4" t="s">
        <v>142</v>
      </c>
      <c r="M1231" s="4" t="s">
        <v>61</v>
      </c>
      <c r="N1231" s="4" t="s">
        <v>118</v>
      </c>
      <c r="O1231" s="4" t="s">
        <v>1000</v>
      </c>
      <c r="P1231" s="4">
        <v>183</v>
      </c>
      <c r="Q1231" s="4" t="s">
        <v>50</v>
      </c>
      <c r="R1231" s="4" t="s">
        <v>90</v>
      </c>
      <c r="S1231" s="4">
        <v>140488</v>
      </c>
      <c r="T1231" s="4">
        <v>97387</v>
      </c>
      <c r="U1231" s="4">
        <v>43101</v>
      </c>
      <c r="V1231" s="4">
        <v>98897</v>
      </c>
      <c r="W1231" s="4">
        <v>26514</v>
      </c>
      <c r="X1231" s="4">
        <v>11007</v>
      </c>
      <c r="Y1231" s="4" t="s">
        <v>91</v>
      </c>
      <c r="Z1231" s="4">
        <v>65</v>
      </c>
      <c r="AA1231" s="4">
        <v>3.3</v>
      </c>
      <c r="AB1231" s="4" t="s">
        <v>42</v>
      </c>
    </row>
    <row r="1232" spans="1:28" x14ac:dyDescent="0.25">
      <c r="A1232" s="2" t="s">
        <v>1979</v>
      </c>
      <c r="B1232" s="2" t="s">
        <v>1307</v>
      </c>
      <c r="C1232" s="2">
        <v>6</v>
      </c>
      <c r="D1232" s="2" t="s">
        <v>55</v>
      </c>
      <c r="E1232" s="2" t="s">
        <v>31</v>
      </c>
      <c r="F1232" s="2" t="s">
        <v>80</v>
      </c>
      <c r="G1232" s="3">
        <v>45594</v>
      </c>
      <c r="H1232" s="3">
        <v>45621</v>
      </c>
      <c r="I1232" s="2">
        <v>27</v>
      </c>
      <c r="J1232" s="2" t="s">
        <v>123</v>
      </c>
      <c r="K1232" s="2" t="s">
        <v>124</v>
      </c>
      <c r="L1232" s="2" t="s">
        <v>125</v>
      </c>
      <c r="M1232" s="2" t="s">
        <v>36</v>
      </c>
      <c r="N1232" s="2" t="s">
        <v>37</v>
      </c>
      <c r="O1232" s="2" t="s">
        <v>151</v>
      </c>
      <c r="P1232" s="2">
        <v>44</v>
      </c>
      <c r="Q1232" s="2" t="s">
        <v>50</v>
      </c>
      <c r="R1232" s="2" t="s">
        <v>51</v>
      </c>
      <c r="S1232" s="2">
        <v>164739</v>
      </c>
      <c r="T1232" s="2">
        <v>74423</v>
      </c>
      <c r="U1232" s="2">
        <v>90316</v>
      </c>
      <c r="V1232" s="2">
        <v>129623</v>
      </c>
      <c r="W1232" s="2">
        <v>22371</v>
      </c>
      <c r="X1232" s="2">
        <v>10974</v>
      </c>
      <c r="Y1232" s="2" t="s">
        <v>41</v>
      </c>
      <c r="Z1232" s="2">
        <v>48</v>
      </c>
      <c r="AA1232" s="2">
        <v>3.6</v>
      </c>
      <c r="AB1232" s="2" t="s">
        <v>42</v>
      </c>
    </row>
    <row r="1233" spans="1:28" x14ac:dyDescent="0.25">
      <c r="A1233" s="4" t="s">
        <v>1980</v>
      </c>
      <c r="B1233" s="4" t="s">
        <v>413</v>
      </c>
      <c r="C1233" s="4">
        <v>44</v>
      </c>
      <c r="D1233" s="4" t="s">
        <v>55</v>
      </c>
      <c r="E1233" s="4" t="s">
        <v>87</v>
      </c>
      <c r="F1233" s="4" t="s">
        <v>114</v>
      </c>
      <c r="G1233" s="5">
        <v>45402</v>
      </c>
      <c r="H1233" s="5">
        <v>45420</v>
      </c>
      <c r="I1233" s="4">
        <v>18</v>
      </c>
      <c r="J1233" s="4" t="s">
        <v>33</v>
      </c>
      <c r="K1233" s="4" t="s">
        <v>197</v>
      </c>
      <c r="L1233" s="4" t="s">
        <v>198</v>
      </c>
      <c r="M1233" s="4" t="s">
        <v>75</v>
      </c>
      <c r="N1233" s="4" t="s">
        <v>118</v>
      </c>
      <c r="O1233" s="4" t="s">
        <v>368</v>
      </c>
      <c r="P1233" s="4">
        <v>489</v>
      </c>
      <c r="Q1233" s="4" t="s">
        <v>69</v>
      </c>
      <c r="R1233" s="4" t="s">
        <v>51</v>
      </c>
      <c r="S1233" s="4">
        <v>26604</v>
      </c>
      <c r="T1233" s="4">
        <v>12210</v>
      </c>
      <c r="U1233" s="4">
        <v>14394</v>
      </c>
      <c r="V1233" s="4">
        <v>13804</v>
      </c>
      <c r="W1233" s="4">
        <v>9997</v>
      </c>
      <c r="X1233" s="4">
        <v>632</v>
      </c>
      <c r="Y1233" s="4" t="s">
        <v>41</v>
      </c>
      <c r="Z1233" s="4">
        <v>40</v>
      </c>
      <c r="AA1233" s="4">
        <v>2.2000000000000002</v>
      </c>
      <c r="AB1233" s="4" t="s">
        <v>52</v>
      </c>
    </row>
    <row r="1234" spans="1:28" x14ac:dyDescent="0.25">
      <c r="A1234" s="2" t="s">
        <v>1981</v>
      </c>
      <c r="B1234" s="2" t="s">
        <v>832</v>
      </c>
      <c r="C1234" s="2">
        <v>61</v>
      </c>
      <c r="D1234" s="2" t="s">
        <v>55</v>
      </c>
      <c r="E1234" s="2" t="s">
        <v>45</v>
      </c>
      <c r="F1234" s="2" t="s">
        <v>94</v>
      </c>
      <c r="G1234" s="3">
        <v>45379</v>
      </c>
      <c r="H1234" s="3">
        <v>45392</v>
      </c>
      <c r="I1234" s="2">
        <v>13</v>
      </c>
      <c r="J1234" s="2" t="s">
        <v>33</v>
      </c>
      <c r="K1234" s="2" t="s">
        <v>174</v>
      </c>
      <c r="L1234" s="2" t="s">
        <v>48</v>
      </c>
      <c r="M1234" s="2" t="s">
        <v>95</v>
      </c>
      <c r="N1234" s="2" t="s">
        <v>118</v>
      </c>
      <c r="O1234" s="2" t="s">
        <v>471</v>
      </c>
      <c r="P1234" s="2">
        <v>214</v>
      </c>
      <c r="Q1234" s="2" t="s">
        <v>69</v>
      </c>
      <c r="R1234" s="2" t="s">
        <v>136</v>
      </c>
      <c r="S1234" s="2">
        <v>96177</v>
      </c>
      <c r="T1234" s="2">
        <v>0</v>
      </c>
      <c r="U1234" s="2">
        <v>96177</v>
      </c>
      <c r="V1234" s="2">
        <v>69237</v>
      </c>
      <c r="W1234" s="2">
        <v>20194</v>
      </c>
      <c r="X1234" s="2">
        <v>3027</v>
      </c>
      <c r="Y1234" s="2" t="s">
        <v>91</v>
      </c>
      <c r="Z1234" s="2">
        <v>96</v>
      </c>
      <c r="AA1234" s="2">
        <v>3.3</v>
      </c>
      <c r="AB1234" s="2" t="s">
        <v>52</v>
      </c>
    </row>
    <row r="1235" spans="1:28" x14ac:dyDescent="0.25">
      <c r="A1235" s="4" t="s">
        <v>1982</v>
      </c>
      <c r="B1235" s="4" t="s">
        <v>968</v>
      </c>
      <c r="C1235" s="4">
        <v>22</v>
      </c>
      <c r="D1235" s="4" t="s">
        <v>30</v>
      </c>
      <c r="E1235" s="4" t="s">
        <v>154</v>
      </c>
      <c r="F1235" s="4" t="s">
        <v>57</v>
      </c>
      <c r="G1235" s="5">
        <v>45243</v>
      </c>
      <c r="H1235" s="5">
        <v>45267</v>
      </c>
      <c r="I1235" s="4">
        <v>24</v>
      </c>
      <c r="J1235" s="4" t="s">
        <v>115</v>
      </c>
      <c r="K1235" s="4" t="s">
        <v>160</v>
      </c>
      <c r="L1235" s="4" t="s">
        <v>117</v>
      </c>
      <c r="M1235" s="4" t="s">
        <v>134</v>
      </c>
      <c r="N1235" s="4" t="s">
        <v>62</v>
      </c>
      <c r="O1235" s="4" t="s">
        <v>337</v>
      </c>
      <c r="P1235" s="4">
        <v>354</v>
      </c>
      <c r="Q1235" s="4" t="s">
        <v>39</v>
      </c>
      <c r="R1235" s="4" t="s">
        <v>51</v>
      </c>
      <c r="S1235" s="4">
        <v>120426</v>
      </c>
      <c r="T1235" s="4">
        <v>77182</v>
      </c>
      <c r="U1235" s="4">
        <v>43244</v>
      </c>
      <c r="V1235" s="4">
        <v>96494</v>
      </c>
      <c r="W1235" s="4">
        <v>14394</v>
      </c>
      <c r="X1235" s="4">
        <v>7781</v>
      </c>
      <c r="Y1235" s="4" t="s">
        <v>41</v>
      </c>
      <c r="Z1235" s="4">
        <v>42</v>
      </c>
      <c r="AA1235" s="4">
        <v>2.5</v>
      </c>
      <c r="AB1235" s="4" t="s">
        <v>104</v>
      </c>
    </row>
    <row r="1236" spans="1:28" x14ac:dyDescent="0.25">
      <c r="A1236" s="2" t="s">
        <v>1983</v>
      </c>
      <c r="B1236" s="2" t="s">
        <v>1060</v>
      </c>
      <c r="C1236" s="2">
        <v>46</v>
      </c>
      <c r="D1236" s="2" t="s">
        <v>55</v>
      </c>
      <c r="E1236" s="2" t="s">
        <v>31</v>
      </c>
      <c r="F1236" s="2" t="s">
        <v>57</v>
      </c>
      <c r="G1236" s="3">
        <v>45580</v>
      </c>
      <c r="H1236" s="3">
        <v>45595</v>
      </c>
      <c r="I1236" s="2">
        <v>15</v>
      </c>
      <c r="J1236" s="2" t="s">
        <v>33</v>
      </c>
      <c r="K1236" s="2" t="s">
        <v>47</v>
      </c>
      <c r="L1236" s="2" t="s">
        <v>48</v>
      </c>
      <c r="M1236" s="2" t="s">
        <v>75</v>
      </c>
      <c r="N1236" s="2" t="s">
        <v>109</v>
      </c>
      <c r="O1236" s="2" t="s">
        <v>241</v>
      </c>
      <c r="P1236" s="2">
        <v>198</v>
      </c>
      <c r="Q1236" s="2" t="s">
        <v>39</v>
      </c>
      <c r="R1236" s="2" t="s">
        <v>111</v>
      </c>
      <c r="S1236" s="2">
        <v>95225</v>
      </c>
      <c r="T1236" s="2">
        <v>68495</v>
      </c>
      <c r="U1236" s="2">
        <v>26730</v>
      </c>
      <c r="V1236" s="2">
        <v>73110</v>
      </c>
      <c r="W1236" s="2">
        <v>8128</v>
      </c>
      <c r="X1236" s="2">
        <v>10450</v>
      </c>
      <c r="Y1236" s="2" t="s">
        <v>41</v>
      </c>
      <c r="Z1236" s="2">
        <v>57</v>
      </c>
      <c r="AA1236" s="2">
        <v>2.9</v>
      </c>
      <c r="AB1236" s="2" t="s">
        <v>137</v>
      </c>
    </row>
    <row r="1237" spans="1:28" x14ac:dyDescent="0.25">
      <c r="A1237" s="4" t="s">
        <v>1984</v>
      </c>
      <c r="B1237" s="4" t="s">
        <v>996</v>
      </c>
      <c r="C1237" s="4">
        <v>76</v>
      </c>
      <c r="D1237" s="4" t="s">
        <v>55</v>
      </c>
      <c r="E1237" s="4" t="s">
        <v>87</v>
      </c>
      <c r="F1237" s="4" t="s">
        <v>80</v>
      </c>
      <c r="G1237" s="5">
        <v>44730</v>
      </c>
      <c r="H1237" s="5">
        <v>44752</v>
      </c>
      <c r="I1237" s="4">
        <v>22</v>
      </c>
      <c r="J1237" s="4" t="s">
        <v>33</v>
      </c>
      <c r="K1237" s="4" t="s">
        <v>278</v>
      </c>
      <c r="L1237" s="4" t="s">
        <v>279</v>
      </c>
      <c r="M1237" s="4" t="s">
        <v>36</v>
      </c>
      <c r="N1237" s="4" t="s">
        <v>62</v>
      </c>
      <c r="O1237" s="4" t="s">
        <v>189</v>
      </c>
      <c r="P1237" s="4">
        <v>192</v>
      </c>
      <c r="Q1237" s="4" t="s">
        <v>50</v>
      </c>
      <c r="R1237" s="4" t="s">
        <v>90</v>
      </c>
      <c r="S1237" s="4">
        <v>79288</v>
      </c>
      <c r="T1237" s="4">
        <v>54683</v>
      </c>
      <c r="U1237" s="4">
        <v>24605</v>
      </c>
      <c r="V1237" s="4">
        <v>45154</v>
      </c>
      <c r="W1237" s="4">
        <v>19762</v>
      </c>
      <c r="X1237" s="4">
        <v>11601</v>
      </c>
      <c r="Y1237" s="4" t="s">
        <v>41</v>
      </c>
      <c r="Z1237" s="4">
        <v>78</v>
      </c>
      <c r="AA1237" s="4">
        <v>4.3</v>
      </c>
      <c r="AB1237" s="4" t="s">
        <v>52</v>
      </c>
    </row>
    <row r="1238" spans="1:28" x14ac:dyDescent="0.25">
      <c r="A1238" s="2" t="s">
        <v>1985</v>
      </c>
      <c r="B1238" s="2" t="s">
        <v>1091</v>
      </c>
      <c r="C1238" s="2">
        <v>59</v>
      </c>
      <c r="D1238" s="2" t="s">
        <v>30</v>
      </c>
      <c r="E1238" s="2" t="s">
        <v>154</v>
      </c>
      <c r="F1238" s="2" t="s">
        <v>94</v>
      </c>
      <c r="G1238" s="3">
        <v>45062</v>
      </c>
      <c r="H1238" s="3">
        <v>45079</v>
      </c>
      <c r="I1238" s="2">
        <v>17</v>
      </c>
      <c r="J1238" s="2" t="s">
        <v>33</v>
      </c>
      <c r="K1238" s="2" t="s">
        <v>47</v>
      </c>
      <c r="L1238" s="2" t="s">
        <v>48</v>
      </c>
      <c r="M1238" s="2" t="s">
        <v>83</v>
      </c>
      <c r="N1238" s="2" t="s">
        <v>118</v>
      </c>
      <c r="O1238" s="2" t="s">
        <v>189</v>
      </c>
      <c r="P1238" s="2">
        <v>223</v>
      </c>
      <c r="Q1238" s="2" t="s">
        <v>50</v>
      </c>
      <c r="R1238" s="2" t="s">
        <v>111</v>
      </c>
      <c r="S1238" s="2">
        <v>114312</v>
      </c>
      <c r="T1238" s="2">
        <v>69230</v>
      </c>
      <c r="U1238" s="2">
        <v>45082</v>
      </c>
      <c r="V1238" s="2">
        <v>88686</v>
      </c>
      <c r="W1238" s="2">
        <v>20082</v>
      </c>
      <c r="X1238" s="2">
        <v>1101</v>
      </c>
      <c r="Y1238" s="2" t="s">
        <v>41</v>
      </c>
      <c r="Z1238" s="2">
        <v>86</v>
      </c>
      <c r="AA1238" s="2">
        <v>3.8</v>
      </c>
      <c r="AB1238" s="2" t="s">
        <v>64</v>
      </c>
    </row>
    <row r="1239" spans="1:28" x14ac:dyDescent="0.25">
      <c r="A1239" s="4" t="s">
        <v>1986</v>
      </c>
      <c r="B1239" s="4" t="s">
        <v>732</v>
      </c>
      <c r="C1239" s="4">
        <v>33</v>
      </c>
      <c r="D1239" s="4" t="s">
        <v>30</v>
      </c>
      <c r="E1239" s="4" t="s">
        <v>87</v>
      </c>
      <c r="F1239" s="4" t="s">
        <v>150</v>
      </c>
      <c r="G1239" s="5">
        <v>44770</v>
      </c>
      <c r="H1239" s="5">
        <v>44781</v>
      </c>
      <c r="I1239" s="4">
        <v>11</v>
      </c>
      <c r="J1239" s="4" t="s">
        <v>33</v>
      </c>
      <c r="K1239" s="4" t="s">
        <v>81</v>
      </c>
      <c r="L1239" s="4" t="s">
        <v>82</v>
      </c>
      <c r="M1239" s="4" t="s">
        <v>143</v>
      </c>
      <c r="N1239" s="4" t="s">
        <v>109</v>
      </c>
      <c r="O1239" s="4" t="s">
        <v>321</v>
      </c>
      <c r="P1239" s="4">
        <v>137</v>
      </c>
      <c r="Q1239" s="4" t="s">
        <v>69</v>
      </c>
      <c r="R1239" s="4" t="s">
        <v>111</v>
      </c>
      <c r="S1239" s="4">
        <v>142276</v>
      </c>
      <c r="T1239" s="4">
        <v>122292</v>
      </c>
      <c r="U1239" s="4">
        <v>19984</v>
      </c>
      <c r="V1239" s="4">
        <v>111146</v>
      </c>
      <c r="W1239" s="4">
        <v>23738</v>
      </c>
      <c r="X1239" s="4">
        <v>4448</v>
      </c>
      <c r="Y1239" s="4" t="s">
        <v>41</v>
      </c>
      <c r="Z1239" s="4">
        <v>63</v>
      </c>
      <c r="AA1239" s="4">
        <v>3.8</v>
      </c>
      <c r="AB1239" s="4" t="s">
        <v>137</v>
      </c>
    </row>
    <row r="1240" spans="1:28" x14ac:dyDescent="0.25">
      <c r="A1240" s="2" t="s">
        <v>1987</v>
      </c>
      <c r="B1240" s="2" t="s">
        <v>1018</v>
      </c>
      <c r="C1240" s="2">
        <v>11</v>
      </c>
      <c r="D1240" s="2" t="s">
        <v>55</v>
      </c>
      <c r="E1240" s="2" t="s">
        <v>56</v>
      </c>
      <c r="F1240" s="2" t="s">
        <v>80</v>
      </c>
      <c r="G1240" s="3">
        <v>45078</v>
      </c>
      <c r="H1240" s="3">
        <v>45093</v>
      </c>
      <c r="I1240" s="2">
        <v>15</v>
      </c>
      <c r="J1240" s="2" t="s">
        <v>33</v>
      </c>
      <c r="K1240" s="2" t="s">
        <v>107</v>
      </c>
      <c r="L1240" s="2" t="s">
        <v>48</v>
      </c>
      <c r="M1240" s="2" t="s">
        <v>134</v>
      </c>
      <c r="N1240" s="2" t="s">
        <v>118</v>
      </c>
      <c r="O1240" s="2" t="s">
        <v>365</v>
      </c>
      <c r="P1240" s="2">
        <v>420</v>
      </c>
      <c r="Q1240" s="2" t="s">
        <v>50</v>
      </c>
      <c r="R1240" s="2" t="s">
        <v>51</v>
      </c>
      <c r="S1240" s="2">
        <v>143906</v>
      </c>
      <c r="T1240" s="2">
        <v>98255</v>
      </c>
      <c r="U1240" s="2">
        <v>45651</v>
      </c>
      <c r="V1240" s="2">
        <v>131813</v>
      </c>
      <c r="W1240" s="2">
        <v>5374</v>
      </c>
      <c r="X1240" s="2">
        <v>3333</v>
      </c>
      <c r="Y1240" s="2" t="s">
        <v>41</v>
      </c>
      <c r="Z1240" s="2">
        <v>72</v>
      </c>
      <c r="AA1240" s="2">
        <v>3</v>
      </c>
      <c r="AB1240" s="2" t="s">
        <v>52</v>
      </c>
    </row>
    <row r="1241" spans="1:28" x14ac:dyDescent="0.25">
      <c r="A1241" s="4" t="s">
        <v>1988</v>
      </c>
      <c r="B1241" s="4" t="s">
        <v>774</v>
      </c>
      <c r="C1241" s="4">
        <v>48</v>
      </c>
      <c r="D1241" s="4" t="s">
        <v>30</v>
      </c>
      <c r="E1241" s="4" t="s">
        <v>87</v>
      </c>
      <c r="F1241" s="4" t="s">
        <v>46</v>
      </c>
      <c r="G1241" s="5">
        <v>44757</v>
      </c>
      <c r="H1241" s="5">
        <v>44770</v>
      </c>
      <c r="I1241" s="4">
        <v>13</v>
      </c>
      <c r="J1241" s="4" t="s">
        <v>33</v>
      </c>
      <c r="K1241" s="4" t="s">
        <v>99</v>
      </c>
      <c r="L1241" s="4" t="s">
        <v>100</v>
      </c>
      <c r="M1241" s="4" t="s">
        <v>95</v>
      </c>
      <c r="N1241" s="4" t="s">
        <v>37</v>
      </c>
      <c r="O1241" s="4" t="s">
        <v>89</v>
      </c>
      <c r="P1241" s="4">
        <v>341</v>
      </c>
      <c r="Q1241" s="4" t="s">
        <v>50</v>
      </c>
      <c r="R1241" s="4" t="s">
        <v>40</v>
      </c>
      <c r="S1241" s="4">
        <v>104299</v>
      </c>
      <c r="T1241" s="4">
        <v>53194</v>
      </c>
      <c r="U1241" s="4">
        <v>51105</v>
      </c>
      <c r="V1241" s="4">
        <v>67334</v>
      </c>
      <c r="W1241" s="4">
        <v>29203</v>
      </c>
      <c r="X1241" s="4">
        <v>2868</v>
      </c>
      <c r="Y1241" s="4" t="s">
        <v>41</v>
      </c>
      <c r="Z1241" s="4">
        <v>75</v>
      </c>
      <c r="AA1241" s="4">
        <v>2.1</v>
      </c>
      <c r="AB1241" s="4" t="s">
        <v>42</v>
      </c>
    </row>
    <row r="1242" spans="1:28" x14ac:dyDescent="0.25">
      <c r="A1242" s="2" t="s">
        <v>1989</v>
      </c>
      <c r="B1242" s="2" t="s">
        <v>463</v>
      </c>
      <c r="C1242" s="2">
        <v>67</v>
      </c>
      <c r="D1242" s="2" t="s">
        <v>30</v>
      </c>
      <c r="E1242" s="2" t="s">
        <v>87</v>
      </c>
      <c r="F1242" s="2" t="s">
        <v>80</v>
      </c>
      <c r="G1242" s="3">
        <v>45589</v>
      </c>
      <c r="H1242" s="3">
        <v>45593</v>
      </c>
      <c r="I1242" s="2">
        <v>4</v>
      </c>
      <c r="J1242" s="2" t="s">
        <v>33</v>
      </c>
      <c r="K1242" s="2" t="s">
        <v>81</v>
      </c>
      <c r="L1242" s="2" t="s">
        <v>82</v>
      </c>
      <c r="M1242" s="2" t="s">
        <v>130</v>
      </c>
      <c r="N1242" s="2" t="s">
        <v>109</v>
      </c>
      <c r="O1242" s="2" t="s">
        <v>492</v>
      </c>
      <c r="P1242" s="2">
        <v>322</v>
      </c>
      <c r="Q1242" s="2" t="s">
        <v>69</v>
      </c>
      <c r="R1242" s="2" t="s">
        <v>40</v>
      </c>
      <c r="S1242" s="2">
        <v>125766</v>
      </c>
      <c r="T1242" s="2">
        <v>78289</v>
      </c>
      <c r="U1242" s="2">
        <v>47477</v>
      </c>
      <c r="V1242" s="2">
        <v>112621</v>
      </c>
      <c r="W1242" s="2">
        <v>6493</v>
      </c>
      <c r="X1242" s="2">
        <v>4404</v>
      </c>
      <c r="Y1242" s="2" t="s">
        <v>41</v>
      </c>
      <c r="Z1242" s="2">
        <v>80</v>
      </c>
      <c r="AA1242" s="2">
        <v>2.9</v>
      </c>
      <c r="AB1242" s="2" t="s">
        <v>104</v>
      </c>
    </row>
    <row r="1243" spans="1:28" x14ac:dyDescent="0.25">
      <c r="A1243" s="4" t="s">
        <v>1990</v>
      </c>
      <c r="B1243" s="4" t="s">
        <v>739</v>
      </c>
      <c r="C1243" s="4">
        <v>64</v>
      </c>
      <c r="D1243" s="4" t="s">
        <v>55</v>
      </c>
      <c r="E1243" s="4" t="s">
        <v>79</v>
      </c>
      <c r="F1243" s="4" t="s">
        <v>114</v>
      </c>
      <c r="G1243" s="5">
        <v>45472</v>
      </c>
      <c r="H1243" s="5">
        <v>45493</v>
      </c>
      <c r="I1243" s="4">
        <v>21</v>
      </c>
      <c r="J1243" s="4" t="s">
        <v>33</v>
      </c>
      <c r="K1243" s="4" t="s">
        <v>34</v>
      </c>
      <c r="L1243" s="4" t="s">
        <v>35</v>
      </c>
      <c r="M1243" s="4" t="s">
        <v>83</v>
      </c>
      <c r="N1243" s="4" t="s">
        <v>37</v>
      </c>
      <c r="O1243" s="4" t="s">
        <v>168</v>
      </c>
      <c r="P1243" s="4">
        <v>64</v>
      </c>
      <c r="Q1243" s="4" t="s">
        <v>50</v>
      </c>
      <c r="R1243" s="4" t="s">
        <v>136</v>
      </c>
      <c r="S1243" s="4">
        <v>107772</v>
      </c>
      <c r="T1243" s="4">
        <v>0</v>
      </c>
      <c r="U1243" s="4">
        <v>107772</v>
      </c>
      <c r="V1243" s="4">
        <v>94140</v>
      </c>
      <c r="W1243" s="4">
        <v>2367</v>
      </c>
      <c r="X1243" s="4">
        <v>8990</v>
      </c>
      <c r="Y1243" s="4" t="s">
        <v>41</v>
      </c>
      <c r="Z1243" s="4">
        <v>58</v>
      </c>
      <c r="AA1243" s="4">
        <v>3.1</v>
      </c>
      <c r="AB1243" s="4" t="s">
        <v>137</v>
      </c>
    </row>
    <row r="1244" spans="1:28" x14ac:dyDescent="0.25">
      <c r="A1244" s="2" t="s">
        <v>1991</v>
      </c>
      <c r="B1244" s="2" t="s">
        <v>384</v>
      </c>
      <c r="C1244" s="2">
        <v>64</v>
      </c>
      <c r="D1244" s="2" t="s">
        <v>55</v>
      </c>
      <c r="E1244" s="2" t="s">
        <v>31</v>
      </c>
      <c r="F1244" s="2" t="s">
        <v>72</v>
      </c>
      <c r="G1244" s="3">
        <v>45357</v>
      </c>
      <c r="H1244" s="3">
        <v>45361</v>
      </c>
      <c r="I1244" s="2">
        <v>4</v>
      </c>
      <c r="J1244" s="2" t="s">
        <v>123</v>
      </c>
      <c r="K1244" s="2" t="s">
        <v>251</v>
      </c>
      <c r="L1244" s="2" t="s">
        <v>125</v>
      </c>
      <c r="M1244" s="2" t="s">
        <v>83</v>
      </c>
      <c r="N1244" s="2" t="s">
        <v>118</v>
      </c>
      <c r="O1244" s="2" t="s">
        <v>464</v>
      </c>
      <c r="P1244" s="2">
        <v>338</v>
      </c>
      <c r="Q1244" s="2" t="s">
        <v>69</v>
      </c>
      <c r="R1244" s="2" t="s">
        <v>90</v>
      </c>
      <c r="S1244" s="2">
        <v>150187</v>
      </c>
      <c r="T1244" s="2">
        <v>110839</v>
      </c>
      <c r="U1244" s="2">
        <v>39348</v>
      </c>
      <c r="V1244" s="2">
        <v>119905</v>
      </c>
      <c r="W1244" s="2">
        <v>25566</v>
      </c>
      <c r="X1244" s="2">
        <v>1077</v>
      </c>
      <c r="Y1244" s="2" t="s">
        <v>41</v>
      </c>
      <c r="Z1244" s="2">
        <v>57</v>
      </c>
      <c r="AA1244" s="2">
        <v>3.7</v>
      </c>
      <c r="AB1244" s="2" t="s">
        <v>137</v>
      </c>
    </row>
    <row r="1245" spans="1:28" x14ac:dyDescent="0.25">
      <c r="A1245" s="4" t="s">
        <v>1992</v>
      </c>
      <c r="B1245" s="4" t="s">
        <v>1993</v>
      </c>
      <c r="C1245" s="4">
        <v>81</v>
      </c>
      <c r="D1245" s="4" t="s">
        <v>55</v>
      </c>
      <c r="E1245" s="4" t="s">
        <v>45</v>
      </c>
      <c r="F1245" s="4" t="s">
        <v>80</v>
      </c>
      <c r="G1245" s="5">
        <v>44762</v>
      </c>
      <c r="H1245" s="5">
        <v>44775</v>
      </c>
      <c r="I1245" s="4">
        <v>13</v>
      </c>
      <c r="J1245" s="4" t="s">
        <v>140</v>
      </c>
      <c r="K1245" s="4" t="s">
        <v>141</v>
      </c>
      <c r="L1245" s="4" t="s">
        <v>142</v>
      </c>
      <c r="M1245" s="4" t="s">
        <v>95</v>
      </c>
      <c r="N1245" s="4" t="s">
        <v>109</v>
      </c>
      <c r="O1245" s="4" t="s">
        <v>295</v>
      </c>
      <c r="P1245" s="4">
        <v>218</v>
      </c>
      <c r="Q1245" s="4" t="s">
        <v>103</v>
      </c>
      <c r="R1245" s="4" t="s">
        <v>111</v>
      </c>
      <c r="S1245" s="4">
        <v>90849</v>
      </c>
      <c r="T1245" s="4">
        <v>67777</v>
      </c>
      <c r="U1245" s="4">
        <v>23072</v>
      </c>
      <c r="V1245" s="4">
        <v>70532</v>
      </c>
      <c r="W1245" s="4">
        <v>12565</v>
      </c>
      <c r="X1245" s="4">
        <v>3743</v>
      </c>
      <c r="Y1245" s="4" t="s">
        <v>41</v>
      </c>
      <c r="Z1245" s="4">
        <v>96</v>
      </c>
      <c r="AA1245" s="4">
        <v>4</v>
      </c>
      <c r="AB1245" s="4" t="s">
        <v>52</v>
      </c>
    </row>
    <row r="1246" spans="1:28" x14ac:dyDescent="0.25">
      <c r="A1246" s="2" t="s">
        <v>1994</v>
      </c>
      <c r="B1246" s="2" t="s">
        <v>929</v>
      </c>
      <c r="C1246" s="2">
        <v>81</v>
      </c>
      <c r="D1246" s="2" t="s">
        <v>30</v>
      </c>
      <c r="E1246" s="2" t="s">
        <v>122</v>
      </c>
      <c r="F1246" s="2" t="s">
        <v>150</v>
      </c>
      <c r="G1246" s="3">
        <v>44680</v>
      </c>
      <c r="H1246" s="3">
        <v>44695</v>
      </c>
      <c r="I1246" s="2">
        <v>15</v>
      </c>
      <c r="J1246" s="2" t="s">
        <v>140</v>
      </c>
      <c r="K1246" s="2" t="s">
        <v>141</v>
      </c>
      <c r="L1246" s="2" t="s">
        <v>142</v>
      </c>
      <c r="M1246" s="2" t="s">
        <v>75</v>
      </c>
      <c r="N1246" s="2" t="s">
        <v>109</v>
      </c>
      <c r="O1246" s="2" t="s">
        <v>438</v>
      </c>
      <c r="P1246" s="2">
        <v>496</v>
      </c>
      <c r="Q1246" s="2" t="s">
        <v>39</v>
      </c>
      <c r="R1246" s="2" t="s">
        <v>40</v>
      </c>
      <c r="S1246" s="2">
        <v>127756</v>
      </c>
      <c r="T1246" s="2">
        <v>74562</v>
      </c>
      <c r="U1246" s="2">
        <v>53194</v>
      </c>
      <c r="V1246" s="2">
        <v>95546</v>
      </c>
      <c r="W1246" s="2">
        <v>27878</v>
      </c>
      <c r="X1246" s="2">
        <v>2244</v>
      </c>
      <c r="Y1246" s="2" t="s">
        <v>91</v>
      </c>
      <c r="Z1246" s="2">
        <v>52</v>
      </c>
      <c r="AA1246" s="2">
        <v>2.1</v>
      </c>
      <c r="AB1246" s="2" t="s">
        <v>137</v>
      </c>
    </row>
    <row r="1247" spans="1:28" x14ac:dyDescent="0.25">
      <c r="A1247" s="4" t="s">
        <v>1995</v>
      </c>
      <c r="B1247" s="4" t="s">
        <v>1113</v>
      </c>
      <c r="C1247" s="4">
        <v>26</v>
      </c>
      <c r="D1247" s="4" t="s">
        <v>30</v>
      </c>
      <c r="E1247" s="4" t="s">
        <v>79</v>
      </c>
      <c r="F1247" s="4" t="s">
        <v>72</v>
      </c>
      <c r="G1247" s="5">
        <v>45026</v>
      </c>
      <c r="H1247" s="5">
        <v>45040</v>
      </c>
      <c r="I1247" s="4">
        <v>14</v>
      </c>
      <c r="J1247" s="4" t="s">
        <v>115</v>
      </c>
      <c r="K1247" s="4" t="s">
        <v>116</v>
      </c>
      <c r="L1247" s="4" t="s">
        <v>117</v>
      </c>
      <c r="M1247" s="4" t="s">
        <v>95</v>
      </c>
      <c r="N1247" s="4" t="s">
        <v>37</v>
      </c>
      <c r="O1247" s="4" t="s">
        <v>1000</v>
      </c>
      <c r="P1247" s="4">
        <v>227</v>
      </c>
      <c r="Q1247" s="4" t="s">
        <v>69</v>
      </c>
      <c r="R1247" s="4" t="s">
        <v>136</v>
      </c>
      <c r="S1247" s="4">
        <v>147389</v>
      </c>
      <c r="T1247" s="4">
        <v>0</v>
      </c>
      <c r="U1247" s="4">
        <v>147389</v>
      </c>
      <c r="V1247" s="4">
        <v>141356</v>
      </c>
      <c r="W1247" s="4">
        <v>1732</v>
      </c>
      <c r="X1247" s="4">
        <v>3711</v>
      </c>
      <c r="Y1247" s="4" t="s">
        <v>41</v>
      </c>
      <c r="Z1247" s="4">
        <v>98</v>
      </c>
      <c r="AA1247" s="4">
        <v>3.4</v>
      </c>
      <c r="AB1247" s="4" t="s">
        <v>64</v>
      </c>
    </row>
    <row r="1248" spans="1:28" x14ac:dyDescent="0.25">
      <c r="A1248" s="2" t="s">
        <v>1996</v>
      </c>
      <c r="B1248" s="2" t="s">
        <v>463</v>
      </c>
      <c r="C1248" s="2">
        <v>85</v>
      </c>
      <c r="D1248" s="2" t="s">
        <v>30</v>
      </c>
      <c r="E1248" s="2" t="s">
        <v>45</v>
      </c>
      <c r="F1248" s="2" t="s">
        <v>94</v>
      </c>
      <c r="G1248" s="3">
        <v>44876</v>
      </c>
      <c r="H1248" s="3">
        <v>44889</v>
      </c>
      <c r="I1248" s="2">
        <v>13</v>
      </c>
      <c r="J1248" s="2" t="s">
        <v>123</v>
      </c>
      <c r="K1248" s="2" t="s">
        <v>251</v>
      </c>
      <c r="L1248" s="2" t="s">
        <v>125</v>
      </c>
      <c r="M1248" s="2" t="s">
        <v>143</v>
      </c>
      <c r="N1248" s="2" t="s">
        <v>118</v>
      </c>
      <c r="O1248" s="2" t="s">
        <v>571</v>
      </c>
      <c r="P1248" s="2">
        <v>122</v>
      </c>
      <c r="Q1248" s="2" t="s">
        <v>103</v>
      </c>
      <c r="R1248" s="2" t="s">
        <v>51</v>
      </c>
      <c r="S1248" s="2">
        <v>112811</v>
      </c>
      <c r="T1248" s="2">
        <v>49913</v>
      </c>
      <c r="U1248" s="2">
        <v>62898</v>
      </c>
      <c r="V1248" s="2">
        <v>74315</v>
      </c>
      <c r="W1248" s="2">
        <v>24184</v>
      </c>
      <c r="X1248" s="2">
        <v>13253</v>
      </c>
      <c r="Y1248" s="2" t="s">
        <v>41</v>
      </c>
      <c r="Z1248" s="2">
        <v>88</v>
      </c>
      <c r="AA1248" s="2">
        <v>3.6</v>
      </c>
      <c r="AB1248" s="2" t="s">
        <v>137</v>
      </c>
    </row>
    <row r="1249" spans="1:28" x14ac:dyDescent="0.25">
      <c r="A1249" s="4" t="s">
        <v>1997</v>
      </c>
      <c r="B1249" s="4" t="s">
        <v>405</v>
      </c>
      <c r="C1249" s="4">
        <v>16</v>
      </c>
      <c r="D1249" s="4" t="s">
        <v>55</v>
      </c>
      <c r="E1249" s="4" t="s">
        <v>154</v>
      </c>
      <c r="F1249" s="4" t="s">
        <v>32</v>
      </c>
      <c r="G1249" s="5">
        <v>44902</v>
      </c>
      <c r="H1249" s="5">
        <v>44905</v>
      </c>
      <c r="I1249" s="4">
        <v>3</v>
      </c>
      <c r="J1249" s="4" t="s">
        <v>140</v>
      </c>
      <c r="K1249" s="4" t="s">
        <v>167</v>
      </c>
      <c r="L1249" s="4" t="s">
        <v>142</v>
      </c>
      <c r="M1249" s="4" t="s">
        <v>95</v>
      </c>
      <c r="N1249" s="4" t="s">
        <v>109</v>
      </c>
      <c r="O1249" s="4" t="s">
        <v>376</v>
      </c>
      <c r="P1249" s="4">
        <v>473</v>
      </c>
      <c r="Q1249" s="4" t="s">
        <v>69</v>
      </c>
      <c r="R1249" s="4" t="s">
        <v>51</v>
      </c>
      <c r="S1249" s="4">
        <v>176120</v>
      </c>
      <c r="T1249" s="4">
        <v>100438</v>
      </c>
      <c r="U1249" s="4">
        <v>75682</v>
      </c>
      <c r="V1249" s="4">
        <v>133249</v>
      </c>
      <c r="W1249" s="4">
        <v>26877</v>
      </c>
      <c r="X1249" s="4">
        <v>11017</v>
      </c>
      <c r="Y1249" s="4" t="s">
        <v>41</v>
      </c>
      <c r="Z1249" s="4">
        <v>93</v>
      </c>
      <c r="AA1249" s="4">
        <v>3</v>
      </c>
      <c r="AB1249" s="4" t="s">
        <v>42</v>
      </c>
    </row>
    <row r="1250" spans="1:28" x14ac:dyDescent="0.25">
      <c r="A1250" s="2" t="s">
        <v>1998</v>
      </c>
      <c r="B1250" s="2" t="s">
        <v>915</v>
      </c>
      <c r="C1250" s="2">
        <v>55</v>
      </c>
      <c r="D1250" s="2" t="s">
        <v>30</v>
      </c>
      <c r="E1250" s="2" t="s">
        <v>87</v>
      </c>
      <c r="F1250" s="2" t="s">
        <v>46</v>
      </c>
      <c r="G1250" s="3">
        <v>45120</v>
      </c>
      <c r="H1250" s="3">
        <v>45133</v>
      </c>
      <c r="I1250" s="2">
        <v>13</v>
      </c>
      <c r="J1250" s="2" t="s">
        <v>58</v>
      </c>
      <c r="K1250" s="2" t="s">
        <v>88</v>
      </c>
      <c r="L1250" s="2" t="s">
        <v>60</v>
      </c>
      <c r="M1250" s="2" t="s">
        <v>143</v>
      </c>
      <c r="N1250" s="2" t="s">
        <v>118</v>
      </c>
      <c r="O1250" s="2" t="s">
        <v>461</v>
      </c>
      <c r="P1250" s="2">
        <v>147</v>
      </c>
      <c r="Q1250" s="2" t="s">
        <v>69</v>
      </c>
      <c r="R1250" s="2" t="s">
        <v>90</v>
      </c>
      <c r="S1250" s="2">
        <v>164135</v>
      </c>
      <c r="T1250" s="2">
        <v>131262</v>
      </c>
      <c r="U1250" s="2">
        <v>32873</v>
      </c>
      <c r="V1250" s="2">
        <v>141517</v>
      </c>
      <c r="W1250" s="2">
        <v>4196</v>
      </c>
      <c r="X1250" s="2">
        <v>13562</v>
      </c>
      <c r="Y1250" s="2" t="s">
        <v>41</v>
      </c>
      <c r="Z1250" s="2">
        <v>84</v>
      </c>
      <c r="AA1250" s="2">
        <v>3</v>
      </c>
      <c r="AB1250" s="2" t="s">
        <v>64</v>
      </c>
    </row>
    <row r="1251" spans="1:28" x14ac:dyDescent="0.25">
      <c r="A1251" s="4" t="s">
        <v>1999</v>
      </c>
      <c r="B1251" s="4" t="s">
        <v>911</v>
      </c>
      <c r="C1251" s="4">
        <v>29</v>
      </c>
      <c r="D1251" s="4" t="s">
        <v>55</v>
      </c>
      <c r="E1251" s="4" t="s">
        <v>45</v>
      </c>
      <c r="F1251" s="4" t="s">
        <v>129</v>
      </c>
      <c r="G1251" s="5">
        <v>44680</v>
      </c>
      <c r="H1251" s="5">
        <v>44687</v>
      </c>
      <c r="I1251" s="4">
        <v>7</v>
      </c>
      <c r="J1251" s="4" t="s">
        <v>33</v>
      </c>
      <c r="K1251" s="4" t="s">
        <v>99</v>
      </c>
      <c r="L1251" s="4" t="s">
        <v>100</v>
      </c>
      <c r="M1251" s="4" t="s">
        <v>36</v>
      </c>
      <c r="N1251" s="4" t="s">
        <v>109</v>
      </c>
      <c r="O1251" s="4" t="s">
        <v>352</v>
      </c>
      <c r="P1251" s="4">
        <v>263</v>
      </c>
      <c r="Q1251" s="4" t="s">
        <v>50</v>
      </c>
      <c r="R1251" s="4" t="s">
        <v>90</v>
      </c>
      <c r="S1251" s="4">
        <v>181944</v>
      </c>
      <c r="T1251" s="4">
        <v>160425</v>
      </c>
      <c r="U1251" s="4">
        <v>21519</v>
      </c>
      <c r="V1251" s="4">
        <v>145786</v>
      </c>
      <c r="W1251" s="4">
        <v>26512</v>
      </c>
      <c r="X1251" s="4">
        <v>5078</v>
      </c>
      <c r="Y1251" s="4" t="s">
        <v>41</v>
      </c>
      <c r="Z1251" s="4">
        <v>82</v>
      </c>
      <c r="AA1251" s="4">
        <v>2.4</v>
      </c>
      <c r="AB1251" s="4" t="s">
        <v>104</v>
      </c>
    </row>
    <row r="1252" spans="1:28" x14ac:dyDescent="0.25">
      <c r="A1252" s="2" t="s">
        <v>2000</v>
      </c>
      <c r="B1252" s="2" t="s">
        <v>386</v>
      </c>
      <c r="C1252" s="2">
        <v>71</v>
      </c>
      <c r="D1252" s="2" t="s">
        <v>55</v>
      </c>
      <c r="E1252" s="2" t="s">
        <v>31</v>
      </c>
      <c r="F1252" s="2" t="s">
        <v>32</v>
      </c>
      <c r="G1252" s="3">
        <v>45224</v>
      </c>
      <c r="H1252" s="3">
        <v>45233</v>
      </c>
      <c r="I1252" s="2">
        <v>9</v>
      </c>
      <c r="J1252" s="2" t="s">
        <v>33</v>
      </c>
      <c r="K1252" s="2" t="s">
        <v>197</v>
      </c>
      <c r="L1252" s="2" t="s">
        <v>198</v>
      </c>
      <c r="M1252" s="2" t="s">
        <v>36</v>
      </c>
      <c r="N1252" s="2" t="s">
        <v>109</v>
      </c>
      <c r="O1252" s="2" t="s">
        <v>591</v>
      </c>
      <c r="P1252" s="2">
        <v>278</v>
      </c>
      <c r="Q1252" s="2" t="s">
        <v>39</v>
      </c>
      <c r="R1252" s="2" t="s">
        <v>111</v>
      </c>
      <c r="S1252" s="2">
        <v>20590</v>
      </c>
      <c r="T1252" s="2">
        <v>15329</v>
      </c>
      <c r="U1252" s="2">
        <v>5261</v>
      </c>
      <c r="V1252" s="2">
        <v>7993</v>
      </c>
      <c r="W1252" s="2">
        <v>7409</v>
      </c>
      <c r="X1252" s="2">
        <v>526</v>
      </c>
      <c r="Y1252" s="2" t="s">
        <v>41</v>
      </c>
      <c r="Z1252" s="2">
        <v>98</v>
      </c>
      <c r="AA1252" s="2">
        <v>2.9</v>
      </c>
      <c r="AB1252" s="2" t="s">
        <v>137</v>
      </c>
    </row>
    <row r="1253" spans="1:28" x14ac:dyDescent="0.25">
      <c r="A1253" s="4" t="s">
        <v>2001</v>
      </c>
      <c r="B1253" s="4" t="s">
        <v>608</v>
      </c>
      <c r="C1253" s="4">
        <v>6</v>
      </c>
      <c r="D1253" s="4" t="s">
        <v>30</v>
      </c>
      <c r="E1253" s="4" t="s">
        <v>87</v>
      </c>
      <c r="F1253" s="4" t="s">
        <v>114</v>
      </c>
      <c r="G1253" s="5">
        <v>44784</v>
      </c>
      <c r="H1253" s="5">
        <v>44802</v>
      </c>
      <c r="I1253" s="4">
        <v>18</v>
      </c>
      <c r="J1253" s="4" t="s">
        <v>73</v>
      </c>
      <c r="K1253" s="4" t="s">
        <v>74</v>
      </c>
      <c r="L1253" s="4" t="s">
        <v>73</v>
      </c>
      <c r="M1253" s="4" t="s">
        <v>108</v>
      </c>
      <c r="N1253" s="4" t="s">
        <v>109</v>
      </c>
      <c r="O1253" s="4" t="s">
        <v>950</v>
      </c>
      <c r="P1253" s="4">
        <v>2</v>
      </c>
      <c r="Q1253" s="4" t="s">
        <v>103</v>
      </c>
      <c r="R1253" s="4" t="s">
        <v>111</v>
      </c>
      <c r="S1253" s="4">
        <v>170408</v>
      </c>
      <c r="T1253" s="4">
        <v>134785</v>
      </c>
      <c r="U1253" s="4">
        <v>35623</v>
      </c>
      <c r="V1253" s="4">
        <v>131557</v>
      </c>
      <c r="W1253" s="4">
        <v>23578</v>
      </c>
      <c r="X1253" s="4">
        <v>14235</v>
      </c>
      <c r="Y1253" s="4" t="s">
        <v>41</v>
      </c>
      <c r="Z1253" s="4">
        <v>46</v>
      </c>
      <c r="AA1253" s="4">
        <v>3.5</v>
      </c>
      <c r="AB1253" s="4" t="s">
        <v>104</v>
      </c>
    </row>
    <row r="1254" spans="1:28" x14ac:dyDescent="0.25">
      <c r="A1254" s="2" t="s">
        <v>2002</v>
      </c>
      <c r="B1254" s="2" t="s">
        <v>523</v>
      </c>
      <c r="C1254" s="2">
        <v>72</v>
      </c>
      <c r="D1254" s="2" t="s">
        <v>30</v>
      </c>
      <c r="E1254" s="2" t="s">
        <v>122</v>
      </c>
      <c r="F1254" s="2" t="s">
        <v>46</v>
      </c>
      <c r="G1254" s="3">
        <v>44772</v>
      </c>
      <c r="H1254" s="3">
        <v>44789</v>
      </c>
      <c r="I1254" s="2">
        <v>17</v>
      </c>
      <c r="J1254" s="2" t="s">
        <v>115</v>
      </c>
      <c r="K1254" s="2" t="s">
        <v>116</v>
      </c>
      <c r="L1254" s="2" t="s">
        <v>117</v>
      </c>
      <c r="M1254" s="2" t="s">
        <v>61</v>
      </c>
      <c r="N1254" s="2" t="s">
        <v>62</v>
      </c>
      <c r="O1254" s="2" t="s">
        <v>678</v>
      </c>
      <c r="P1254" s="2">
        <v>199</v>
      </c>
      <c r="Q1254" s="2" t="s">
        <v>50</v>
      </c>
      <c r="R1254" s="2" t="s">
        <v>136</v>
      </c>
      <c r="S1254" s="2">
        <v>134016</v>
      </c>
      <c r="T1254" s="2">
        <v>0</v>
      </c>
      <c r="U1254" s="2">
        <v>134016</v>
      </c>
      <c r="V1254" s="2">
        <v>110016</v>
      </c>
      <c r="W1254" s="2">
        <v>9411</v>
      </c>
      <c r="X1254" s="2">
        <v>10572</v>
      </c>
      <c r="Y1254" s="2" t="s">
        <v>41</v>
      </c>
      <c r="Z1254" s="2">
        <v>46</v>
      </c>
      <c r="AA1254" s="2">
        <v>3.8</v>
      </c>
      <c r="AB1254" s="2" t="s">
        <v>104</v>
      </c>
    </row>
    <row r="1255" spans="1:28" x14ac:dyDescent="0.25">
      <c r="A1255" s="4" t="s">
        <v>2003</v>
      </c>
      <c r="B1255" s="4" t="s">
        <v>1799</v>
      </c>
      <c r="C1255" s="4">
        <v>46</v>
      </c>
      <c r="D1255" s="4" t="s">
        <v>55</v>
      </c>
      <c r="E1255" s="4" t="s">
        <v>122</v>
      </c>
      <c r="F1255" s="4" t="s">
        <v>114</v>
      </c>
      <c r="G1255" s="5">
        <v>45074</v>
      </c>
      <c r="H1255" s="5">
        <v>45100</v>
      </c>
      <c r="I1255" s="4">
        <v>26</v>
      </c>
      <c r="J1255" s="4" t="s">
        <v>33</v>
      </c>
      <c r="K1255" s="4" t="s">
        <v>278</v>
      </c>
      <c r="L1255" s="4" t="s">
        <v>279</v>
      </c>
      <c r="M1255" s="4" t="s">
        <v>101</v>
      </c>
      <c r="N1255" s="4" t="s">
        <v>37</v>
      </c>
      <c r="O1255" s="4" t="s">
        <v>1038</v>
      </c>
      <c r="P1255" s="4">
        <v>153</v>
      </c>
      <c r="Q1255" s="4" t="s">
        <v>39</v>
      </c>
      <c r="R1255" s="4" t="s">
        <v>136</v>
      </c>
      <c r="S1255" s="4">
        <v>73577</v>
      </c>
      <c r="T1255" s="4">
        <v>0</v>
      </c>
      <c r="U1255" s="4">
        <v>73577</v>
      </c>
      <c r="V1255" s="4">
        <v>35013</v>
      </c>
      <c r="W1255" s="4">
        <v>24106</v>
      </c>
      <c r="X1255" s="4">
        <v>10267</v>
      </c>
      <c r="Y1255" s="4" t="s">
        <v>41</v>
      </c>
      <c r="Z1255" s="4">
        <v>47</v>
      </c>
      <c r="AA1255" s="4">
        <v>3.7</v>
      </c>
      <c r="AB1255" s="4" t="s">
        <v>52</v>
      </c>
    </row>
    <row r="1256" spans="1:28" x14ac:dyDescent="0.25">
      <c r="A1256" s="2" t="s">
        <v>2004</v>
      </c>
      <c r="B1256" s="2" t="s">
        <v>1040</v>
      </c>
      <c r="C1256" s="2">
        <v>17</v>
      </c>
      <c r="D1256" s="2" t="s">
        <v>55</v>
      </c>
      <c r="E1256" s="2" t="s">
        <v>67</v>
      </c>
      <c r="F1256" s="2" t="s">
        <v>94</v>
      </c>
      <c r="G1256" s="3">
        <v>44853</v>
      </c>
      <c r="H1256" s="3">
        <v>44872</v>
      </c>
      <c r="I1256" s="2">
        <v>19</v>
      </c>
      <c r="J1256" s="2" t="s">
        <v>115</v>
      </c>
      <c r="K1256" s="2" t="s">
        <v>116</v>
      </c>
      <c r="L1256" s="2" t="s">
        <v>117</v>
      </c>
      <c r="M1256" s="2" t="s">
        <v>130</v>
      </c>
      <c r="N1256" s="2" t="s">
        <v>37</v>
      </c>
      <c r="O1256" s="2" t="s">
        <v>455</v>
      </c>
      <c r="P1256" s="2">
        <v>61</v>
      </c>
      <c r="Q1256" s="2" t="s">
        <v>50</v>
      </c>
      <c r="R1256" s="2" t="s">
        <v>40</v>
      </c>
      <c r="S1256" s="2">
        <v>51505</v>
      </c>
      <c r="T1256" s="2">
        <v>31860</v>
      </c>
      <c r="U1256" s="2">
        <v>19645</v>
      </c>
      <c r="V1256" s="2">
        <v>22559</v>
      </c>
      <c r="W1256" s="2">
        <v>20607</v>
      </c>
      <c r="X1256" s="2">
        <v>4579</v>
      </c>
      <c r="Y1256" s="2" t="s">
        <v>41</v>
      </c>
      <c r="Z1256" s="2">
        <v>61</v>
      </c>
      <c r="AA1256" s="2">
        <v>4.9000000000000004</v>
      </c>
      <c r="AB1256" s="2" t="s">
        <v>137</v>
      </c>
    </row>
    <row r="1257" spans="1:28" x14ac:dyDescent="0.25">
      <c r="A1257" s="4" t="s">
        <v>2005</v>
      </c>
      <c r="B1257" s="4" t="s">
        <v>454</v>
      </c>
      <c r="C1257" s="4">
        <v>22</v>
      </c>
      <c r="D1257" s="4" t="s">
        <v>55</v>
      </c>
      <c r="E1257" s="4" t="s">
        <v>56</v>
      </c>
      <c r="F1257" s="4" t="s">
        <v>114</v>
      </c>
      <c r="G1257" s="5">
        <v>44613</v>
      </c>
      <c r="H1257" s="5">
        <v>44631</v>
      </c>
      <c r="I1257" s="4">
        <v>18</v>
      </c>
      <c r="J1257" s="4" t="s">
        <v>202</v>
      </c>
      <c r="K1257" s="4" t="s">
        <v>225</v>
      </c>
      <c r="L1257" s="4" t="s">
        <v>226</v>
      </c>
      <c r="M1257" s="4" t="s">
        <v>95</v>
      </c>
      <c r="N1257" s="4" t="s">
        <v>118</v>
      </c>
      <c r="O1257" s="4" t="s">
        <v>214</v>
      </c>
      <c r="P1257" s="4">
        <v>73</v>
      </c>
      <c r="Q1257" s="4" t="s">
        <v>39</v>
      </c>
      <c r="R1257" s="4" t="s">
        <v>40</v>
      </c>
      <c r="S1257" s="4">
        <v>129254</v>
      </c>
      <c r="T1257" s="4">
        <v>83791</v>
      </c>
      <c r="U1257" s="4">
        <v>45463</v>
      </c>
      <c r="V1257" s="4">
        <v>101483</v>
      </c>
      <c r="W1257" s="4">
        <v>18866</v>
      </c>
      <c r="X1257" s="4">
        <v>4281</v>
      </c>
      <c r="Y1257" s="4" t="s">
        <v>41</v>
      </c>
      <c r="Z1257" s="4">
        <v>93</v>
      </c>
      <c r="AA1257" s="4">
        <v>3.9</v>
      </c>
      <c r="AB1257" s="4" t="s">
        <v>104</v>
      </c>
    </row>
    <row r="1258" spans="1:28" x14ac:dyDescent="0.25">
      <c r="A1258" s="2" t="s">
        <v>2006</v>
      </c>
      <c r="B1258" s="2" t="s">
        <v>1614</v>
      </c>
      <c r="C1258" s="2">
        <v>51</v>
      </c>
      <c r="D1258" s="2" t="s">
        <v>30</v>
      </c>
      <c r="E1258" s="2" t="s">
        <v>31</v>
      </c>
      <c r="F1258" s="2" t="s">
        <v>80</v>
      </c>
      <c r="G1258" s="3">
        <v>44734</v>
      </c>
      <c r="H1258" s="3">
        <v>44750</v>
      </c>
      <c r="I1258" s="2">
        <v>16</v>
      </c>
      <c r="J1258" s="2" t="s">
        <v>58</v>
      </c>
      <c r="K1258" s="2" t="s">
        <v>59</v>
      </c>
      <c r="L1258" s="2" t="s">
        <v>60</v>
      </c>
      <c r="M1258" s="2" t="s">
        <v>134</v>
      </c>
      <c r="N1258" s="2" t="s">
        <v>37</v>
      </c>
      <c r="O1258" s="2" t="s">
        <v>382</v>
      </c>
      <c r="P1258" s="2">
        <v>396</v>
      </c>
      <c r="Q1258" s="2" t="s">
        <v>50</v>
      </c>
      <c r="R1258" s="2" t="s">
        <v>90</v>
      </c>
      <c r="S1258" s="2">
        <v>45858</v>
      </c>
      <c r="T1258" s="2">
        <v>31701</v>
      </c>
      <c r="U1258" s="2">
        <v>14157</v>
      </c>
      <c r="V1258" s="2">
        <v>11815</v>
      </c>
      <c r="W1258" s="2">
        <v>29707</v>
      </c>
      <c r="X1258" s="2">
        <v>3169</v>
      </c>
      <c r="Y1258" s="2" t="s">
        <v>41</v>
      </c>
      <c r="Z1258" s="2">
        <v>88</v>
      </c>
      <c r="AA1258" s="2">
        <v>2.2999999999999998</v>
      </c>
      <c r="AB1258" s="2" t="s">
        <v>42</v>
      </c>
    </row>
    <row r="1259" spans="1:28" x14ac:dyDescent="0.25">
      <c r="A1259" s="4" t="s">
        <v>2007</v>
      </c>
      <c r="B1259" s="4" t="s">
        <v>954</v>
      </c>
      <c r="C1259" s="4">
        <v>16</v>
      </c>
      <c r="D1259" s="4" t="s">
        <v>30</v>
      </c>
      <c r="E1259" s="4" t="s">
        <v>45</v>
      </c>
      <c r="F1259" s="4" t="s">
        <v>94</v>
      </c>
      <c r="G1259" s="5">
        <v>45549</v>
      </c>
      <c r="H1259" s="5">
        <v>45568</v>
      </c>
      <c r="I1259" s="4">
        <v>19</v>
      </c>
      <c r="J1259" s="4" t="s">
        <v>33</v>
      </c>
      <c r="K1259" s="4" t="s">
        <v>278</v>
      </c>
      <c r="L1259" s="4" t="s">
        <v>279</v>
      </c>
      <c r="M1259" s="4" t="s">
        <v>61</v>
      </c>
      <c r="N1259" s="4" t="s">
        <v>118</v>
      </c>
      <c r="O1259" s="4" t="s">
        <v>271</v>
      </c>
      <c r="P1259" s="4">
        <v>52</v>
      </c>
      <c r="Q1259" s="4" t="s">
        <v>103</v>
      </c>
      <c r="R1259" s="4" t="s">
        <v>111</v>
      </c>
      <c r="S1259" s="4">
        <v>64612</v>
      </c>
      <c r="T1259" s="4">
        <v>42494</v>
      </c>
      <c r="U1259" s="4">
        <v>22118</v>
      </c>
      <c r="V1259" s="4">
        <v>26350</v>
      </c>
      <c r="W1259" s="4">
        <v>29082</v>
      </c>
      <c r="X1259" s="4">
        <v>8461</v>
      </c>
      <c r="Y1259" s="4" t="s">
        <v>41</v>
      </c>
      <c r="Z1259" s="4">
        <v>72</v>
      </c>
      <c r="AA1259" s="4">
        <v>3.4</v>
      </c>
      <c r="AB1259" s="4" t="s">
        <v>104</v>
      </c>
    </row>
    <row r="1260" spans="1:28" x14ac:dyDescent="0.25">
      <c r="A1260" s="2" t="s">
        <v>2008</v>
      </c>
      <c r="B1260" s="2" t="s">
        <v>582</v>
      </c>
      <c r="C1260" s="2">
        <v>43</v>
      </c>
      <c r="D1260" s="2" t="s">
        <v>55</v>
      </c>
      <c r="E1260" s="2" t="s">
        <v>154</v>
      </c>
      <c r="F1260" s="2" t="s">
        <v>46</v>
      </c>
      <c r="G1260" s="3">
        <v>45344</v>
      </c>
      <c r="H1260" s="3">
        <v>45345</v>
      </c>
      <c r="I1260" s="2">
        <v>1</v>
      </c>
      <c r="J1260" s="2" t="s">
        <v>33</v>
      </c>
      <c r="K1260" s="2" t="s">
        <v>47</v>
      </c>
      <c r="L1260" s="2" t="s">
        <v>48</v>
      </c>
      <c r="M1260" s="2" t="s">
        <v>108</v>
      </c>
      <c r="N1260" s="2" t="s">
        <v>118</v>
      </c>
      <c r="O1260" s="2" t="s">
        <v>358</v>
      </c>
      <c r="P1260" s="2">
        <v>390</v>
      </c>
      <c r="Q1260" s="2" t="s">
        <v>50</v>
      </c>
      <c r="R1260" s="2" t="s">
        <v>40</v>
      </c>
      <c r="S1260" s="2">
        <v>92787</v>
      </c>
      <c r="T1260" s="2">
        <v>40324</v>
      </c>
      <c r="U1260" s="2">
        <v>52463</v>
      </c>
      <c r="V1260" s="2">
        <v>67670</v>
      </c>
      <c r="W1260" s="2">
        <v>15687</v>
      </c>
      <c r="X1260" s="2">
        <v>6810</v>
      </c>
      <c r="Y1260" s="2" t="s">
        <v>41</v>
      </c>
      <c r="Z1260" s="2">
        <v>88</v>
      </c>
      <c r="AA1260" s="2">
        <v>4.5</v>
      </c>
      <c r="AB1260" s="2" t="s">
        <v>137</v>
      </c>
    </row>
    <row r="1261" spans="1:28" x14ac:dyDescent="0.25">
      <c r="A1261" s="4" t="s">
        <v>2009</v>
      </c>
      <c r="B1261" s="4" t="s">
        <v>216</v>
      </c>
      <c r="C1261" s="4">
        <v>12</v>
      </c>
      <c r="D1261" s="4" t="s">
        <v>55</v>
      </c>
      <c r="E1261" s="4" t="s">
        <v>67</v>
      </c>
      <c r="F1261" s="4" t="s">
        <v>46</v>
      </c>
      <c r="G1261" s="5">
        <v>45021</v>
      </c>
      <c r="H1261" s="5">
        <v>45031</v>
      </c>
      <c r="I1261" s="4">
        <v>10</v>
      </c>
      <c r="J1261" s="4" t="s">
        <v>33</v>
      </c>
      <c r="K1261" s="4" t="s">
        <v>47</v>
      </c>
      <c r="L1261" s="4" t="s">
        <v>48</v>
      </c>
      <c r="M1261" s="4" t="s">
        <v>83</v>
      </c>
      <c r="N1261" s="4" t="s">
        <v>109</v>
      </c>
      <c r="O1261" s="4" t="s">
        <v>178</v>
      </c>
      <c r="P1261" s="4">
        <v>390</v>
      </c>
      <c r="Q1261" s="4" t="s">
        <v>39</v>
      </c>
      <c r="R1261" s="4" t="s">
        <v>90</v>
      </c>
      <c r="S1261" s="4">
        <v>79138</v>
      </c>
      <c r="T1261" s="4">
        <v>61256</v>
      </c>
      <c r="U1261" s="4">
        <v>17882</v>
      </c>
      <c r="V1261" s="4">
        <v>64676</v>
      </c>
      <c r="W1261" s="4">
        <v>8398</v>
      </c>
      <c r="X1261" s="4">
        <v>3400</v>
      </c>
      <c r="Y1261" s="4" t="s">
        <v>41</v>
      </c>
      <c r="Z1261" s="4">
        <v>93</v>
      </c>
      <c r="AA1261" s="4">
        <v>4.2</v>
      </c>
      <c r="AB1261" s="4" t="s">
        <v>137</v>
      </c>
    </row>
    <row r="1262" spans="1:28" x14ac:dyDescent="0.25">
      <c r="A1262" s="2" t="s">
        <v>2010</v>
      </c>
      <c r="B1262" s="2" t="s">
        <v>547</v>
      </c>
      <c r="C1262" s="2">
        <v>38</v>
      </c>
      <c r="D1262" s="2" t="s">
        <v>30</v>
      </c>
      <c r="E1262" s="2" t="s">
        <v>56</v>
      </c>
      <c r="F1262" s="2" t="s">
        <v>57</v>
      </c>
      <c r="G1262" s="3">
        <v>45180</v>
      </c>
      <c r="H1262" s="3">
        <v>45198</v>
      </c>
      <c r="I1262" s="2">
        <v>18</v>
      </c>
      <c r="J1262" s="2" t="s">
        <v>140</v>
      </c>
      <c r="K1262" s="2" t="s">
        <v>167</v>
      </c>
      <c r="L1262" s="2" t="s">
        <v>142</v>
      </c>
      <c r="M1262" s="2" t="s">
        <v>130</v>
      </c>
      <c r="N1262" s="2" t="s">
        <v>118</v>
      </c>
      <c r="O1262" s="2" t="s">
        <v>256</v>
      </c>
      <c r="P1262" s="2">
        <v>432</v>
      </c>
      <c r="Q1262" s="2" t="s">
        <v>69</v>
      </c>
      <c r="R1262" s="2" t="s">
        <v>51</v>
      </c>
      <c r="S1262" s="2">
        <v>49094</v>
      </c>
      <c r="T1262" s="2">
        <v>32252</v>
      </c>
      <c r="U1262" s="2">
        <v>16842</v>
      </c>
      <c r="V1262" s="2">
        <v>29308</v>
      </c>
      <c r="W1262" s="2">
        <v>12286</v>
      </c>
      <c r="X1262" s="2">
        <v>6840</v>
      </c>
      <c r="Y1262" s="2" t="s">
        <v>41</v>
      </c>
      <c r="Z1262" s="2">
        <v>50</v>
      </c>
      <c r="AA1262" s="2">
        <v>3.5</v>
      </c>
      <c r="AB1262" s="2" t="s">
        <v>137</v>
      </c>
    </row>
    <row r="1263" spans="1:28" x14ac:dyDescent="0.25">
      <c r="A1263" s="4" t="s">
        <v>2011</v>
      </c>
      <c r="B1263" s="4" t="s">
        <v>615</v>
      </c>
      <c r="C1263" s="4">
        <v>51</v>
      </c>
      <c r="D1263" s="4" t="s">
        <v>30</v>
      </c>
      <c r="E1263" s="4" t="s">
        <v>87</v>
      </c>
      <c r="F1263" s="4" t="s">
        <v>114</v>
      </c>
      <c r="G1263" s="5">
        <v>44802</v>
      </c>
      <c r="H1263" s="5">
        <v>44806</v>
      </c>
      <c r="I1263" s="4">
        <v>4</v>
      </c>
      <c r="J1263" s="4" t="s">
        <v>33</v>
      </c>
      <c r="K1263" s="4" t="s">
        <v>34</v>
      </c>
      <c r="L1263" s="4" t="s">
        <v>35</v>
      </c>
      <c r="M1263" s="4" t="s">
        <v>83</v>
      </c>
      <c r="N1263" s="4" t="s">
        <v>37</v>
      </c>
      <c r="O1263" s="4" t="s">
        <v>63</v>
      </c>
      <c r="P1263" s="4">
        <v>452</v>
      </c>
      <c r="Q1263" s="4" t="s">
        <v>103</v>
      </c>
      <c r="R1263" s="4" t="s">
        <v>136</v>
      </c>
      <c r="S1263" s="4">
        <v>120127</v>
      </c>
      <c r="T1263" s="4">
        <v>0</v>
      </c>
      <c r="U1263" s="4">
        <v>120127</v>
      </c>
      <c r="V1263" s="4">
        <v>81003</v>
      </c>
      <c r="W1263" s="4">
        <v>23072</v>
      </c>
      <c r="X1263" s="4">
        <v>12676</v>
      </c>
      <c r="Y1263" s="4" t="s">
        <v>41</v>
      </c>
      <c r="Z1263" s="4">
        <v>69</v>
      </c>
      <c r="AA1263" s="4">
        <v>2.4</v>
      </c>
      <c r="AB1263" s="4" t="s">
        <v>42</v>
      </c>
    </row>
    <row r="1264" spans="1:28" x14ac:dyDescent="0.25">
      <c r="A1264" s="2" t="s">
        <v>2012</v>
      </c>
      <c r="B1264" s="2" t="s">
        <v>802</v>
      </c>
      <c r="C1264" s="2">
        <v>24</v>
      </c>
      <c r="D1264" s="2" t="s">
        <v>55</v>
      </c>
      <c r="E1264" s="2" t="s">
        <v>67</v>
      </c>
      <c r="F1264" s="2" t="s">
        <v>72</v>
      </c>
      <c r="G1264" s="3">
        <v>44992</v>
      </c>
      <c r="H1264" s="3">
        <v>45002</v>
      </c>
      <c r="I1264" s="2">
        <v>10</v>
      </c>
      <c r="J1264" s="2" t="s">
        <v>202</v>
      </c>
      <c r="K1264" s="2" t="s">
        <v>225</v>
      </c>
      <c r="L1264" s="2" t="s">
        <v>226</v>
      </c>
      <c r="M1264" s="2" t="s">
        <v>134</v>
      </c>
      <c r="N1264" s="2" t="s">
        <v>62</v>
      </c>
      <c r="O1264" s="2" t="s">
        <v>89</v>
      </c>
      <c r="P1264" s="2">
        <v>6</v>
      </c>
      <c r="Q1264" s="2" t="s">
        <v>50</v>
      </c>
      <c r="R1264" s="2" t="s">
        <v>111</v>
      </c>
      <c r="S1264" s="2">
        <v>182775</v>
      </c>
      <c r="T1264" s="2">
        <v>110291</v>
      </c>
      <c r="U1264" s="2">
        <v>72484</v>
      </c>
      <c r="V1264" s="2">
        <v>143523</v>
      </c>
      <c r="W1264" s="2">
        <v>29123</v>
      </c>
      <c r="X1264" s="2">
        <v>6215</v>
      </c>
      <c r="Y1264" s="2" t="s">
        <v>41</v>
      </c>
      <c r="Z1264" s="2">
        <v>86</v>
      </c>
      <c r="AA1264" s="2">
        <v>3.8</v>
      </c>
      <c r="AB1264" s="2" t="s">
        <v>42</v>
      </c>
    </row>
    <row r="1265" spans="1:28" x14ac:dyDescent="0.25">
      <c r="A1265" s="4" t="s">
        <v>2013</v>
      </c>
      <c r="B1265" s="4" t="s">
        <v>113</v>
      </c>
      <c r="C1265" s="4">
        <v>13</v>
      </c>
      <c r="D1265" s="4" t="s">
        <v>55</v>
      </c>
      <c r="E1265" s="4" t="s">
        <v>154</v>
      </c>
      <c r="F1265" s="4" t="s">
        <v>114</v>
      </c>
      <c r="G1265" s="5">
        <v>45537</v>
      </c>
      <c r="H1265" s="5">
        <v>45539</v>
      </c>
      <c r="I1265" s="4">
        <v>2</v>
      </c>
      <c r="J1265" s="4" t="s">
        <v>33</v>
      </c>
      <c r="K1265" s="4" t="s">
        <v>233</v>
      </c>
      <c r="L1265" s="4" t="s">
        <v>35</v>
      </c>
      <c r="M1265" s="4" t="s">
        <v>83</v>
      </c>
      <c r="N1265" s="4" t="s">
        <v>37</v>
      </c>
      <c r="O1265" s="4" t="s">
        <v>234</v>
      </c>
      <c r="P1265" s="4">
        <v>192</v>
      </c>
      <c r="Q1265" s="4" t="s">
        <v>103</v>
      </c>
      <c r="R1265" s="4" t="s">
        <v>90</v>
      </c>
      <c r="S1265" s="4">
        <v>92016</v>
      </c>
      <c r="T1265" s="4">
        <v>59193</v>
      </c>
      <c r="U1265" s="4">
        <v>32823</v>
      </c>
      <c r="V1265" s="4">
        <v>58771</v>
      </c>
      <c r="W1265" s="4">
        <v>19661</v>
      </c>
      <c r="X1265" s="4">
        <v>9756</v>
      </c>
      <c r="Y1265" s="4" t="s">
        <v>41</v>
      </c>
      <c r="Z1265" s="4">
        <v>69</v>
      </c>
      <c r="AA1265" s="4">
        <v>3.8</v>
      </c>
      <c r="AB1265" s="4" t="s">
        <v>137</v>
      </c>
    </row>
    <row r="1266" spans="1:28" x14ac:dyDescent="0.25">
      <c r="A1266" s="2" t="s">
        <v>2014</v>
      </c>
      <c r="B1266" s="2" t="s">
        <v>1478</v>
      </c>
      <c r="C1266" s="2">
        <v>12</v>
      </c>
      <c r="D1266" s="2" t="s">
        <v>30</v>
      </c>
      <c r="E1266" s="2" t="s">
        <v>31</v>
      </c>
      <c r="F1266" s="2" t="s">
        <v>80</v>
      </c>
      <c r="G1266" s="3">
        <v>44814</v>
      </c>
      <c r="H1266" s="3">
        <v>44819</v>
      </c>
      <c r="I1266" s="2">
        <v>5</v>
      </c>
      <c r="J1266" s="2" t="s">
        <v>33</v>
      </c>
      <c r="K1266" s="2" t="s">
        <v>99</v>
      </c>
      <c r="L1266" s="2" t="s">
        <v>100</v>
      </c>
      <c r="M1266" s="2" t="s">
        <v>108</v>
      </c>
      <c r="N1266" s="2" t="s">
        <v>109</v>
      </c>
      <c r="O1266" s="2" t="s">
        <v>548</v>
      </c>
      <c r="P1266" s="2">
        <v>209</v>
      </c>
      <c r="Q1266" s="2" t="s">
        <v>39</v>
      </c>
      <c r="R1266" s="2" t="s">
        <v>136</v>
      </c>
      <c r="S1266" s="2">
        <v>70625</v>
      </c>
      <c r="T1266" s="2">
        <v>0</v>
      </c>
      <c r="U1266" s="2">
        <v>70625</v>
      </c>
      <c r="V1266" s="2">
        <v>57878</v>
      </c>
      <c r="W1266" s="2">
        <v>6372</v>
      </c>
      <c r="X1266" s="2">
        <v>4298</v>
      </c>
      <c r="Y1266" s="2" t="s">
        <v>41</v>
      </c>
      <c r="Z1266" s="2">
        <v>89</v>
      </c>
      <c r="AA1266" s="2">
        <v>2.7</v>
      </c>
      <c r="AB1266" s="2" t="s">
        <v>64</v>
      </c>
    </row>
    <row r="1267" spans="1:28" x14ac:dyDescent="0.25">
      <c r="A1267" s="4" t="s">
        <v>2015</v>
      </c>
      <c r="B1267" s="4" t="s">
        <v>854</v>
      </c>
      <c r="C1267" s="4">
        <v>80</v>
      </c>
      <c r="D1267" s="4" t="s">
        <v>55</v>
      </c>
      <c r="E1267" s="4" t="s">
        <v>79</v>
      </c>
      <c r="F1267" s="4" t="s">
        <v>46</v>
      </c>
      <c r="G1267" s="5">
        <v>45338</v>
      </c>
      <c r="H1267" s="5">
        <v>45339</v>
      </c>
      <c r="I1267" s="4">
        <v>1</v>
      </c>
      <c r="J1267" s="4" t="s">
        <v>115</v>
      </c>
      <c r="K1267" s="4" t="s">
        <v>116</v>
      </c>
      <c r="L1267" s="4" t="s">
        <v>117</v>
      </c>
      <c r="M1267" s="4" t="s">
        <v>108</v>
      </c>
      <c r="N1267" s="4" t="s">
        <v>118</v>
      </c>
      <c r="O1267" s="4" t="s">
        <v>151</v>
      </c>
      <c r="P1267" s="4">
        <v>205</v>
      </c>
      <c r="Q1267" s="4" t="s">
        <v>50</v>
      </c>
      <c r="R1267" s="4" t="s">
        <v>40</v>
      </c>
      <c r="S1267" s="4">
        <v>79746</v>
      </c>
      <c r="T1267" s="4">
        <v>52950</v>
      </c>
      <c r="U1267" s="4">
        <v>26796</v>
      </c>
      <c r="V1267" s="4">
        <v>54998</v>
      </c>
      <c r="W1267" s="4">
        <v>12174</v>
      </c>
      <c r="X1267" s="4">
        <v>7670</v>
      </c>
      <c r="Y1267" s="4" t="s">
        <v>41</v>
      </c>
      <c r="Z1267" s="4">
        <v>48</v>
      </c>
      <c r="AA1267" s="4">
        <v>3.8</v>
      </c>
      <c r="AB1267" s="4" t="s">
        <v>104</v>
      </c>
    </row>
    <row r="1268" spans="1:28" x14ac:dyDescent="0.25">
      <c r="A1268" s="2" t="s">
        <v>2016</v>
      </c>
      <c r="B1268" s="2" t="s">
        <v>484</v>
      </c>
      <c r="C1268" s="2">
        <v>48</v>
      </c>
      <c r="D1268" s="2" t="s">
        <v>55</v>
      </c>
      <c r="E1268" s="2" t="s">
        <v>87</v>
      </c>
      <c r="F1268" s="2" t="s">
        <v>57</v>
      </c>
      <c r="G1268" s="3">
        <v>44629</v>
      </c>
      <c r="H1268" s="3">
        <v>44655</v>
      </c>
      <c r="I1268" s="2">
        <v>26</v>
      </c>
      <c r="J1268" s="2" t="s">
        <v>115</v>
      </c>
      <c r="K1268" s="2" t="s">
        <v>116</v>
      </c>
      <c r="L1268" s="2" t="s">
        <v>117</v>
      </c>
      <c r="M1268" s="2" t="s">
        <v>134</v>
      </c>
      <c r="N1268" s="2" t="s">
        <v>118</v>
      </c>
      <c r="O1268" s="2" t="s">
        <v>84</v>
      </c>
      <c r="P1268" s="2">
        <v>246</v>
      </c>
      <c r="Q1268" s="2" t="s">
        <v>50</v>
      </c>
      <c r="R1268" s="2" t="s">
        <v>40</v>
      </c>
      <c r="S1268" s="2">
        <v>52510</v>
      </c>
      <c r="T1268" s="2">
        <v>33343</v>
      </c>
      <c r="U1268" s="2">
        <v>19167</v>
      </c>
      <c r="V1268" s="2">
        <v>32953</v>
      </c>
      <c r="W1268" s="2">
        <v>4815</v>
      </c>
      <c r="X1268" s="2">
        <v>9980</v>
      </c>
      <c r="Y1268" s="2" t="s">
        <v>41</v>
      </c>
      <c r="Z1268" s="2">
        <v>63</v>
      </c>
      <c r="AA1268" s="2">
        <v>3.1</v>
      </c>
      <c r="AB1268" s="2" t="s">
        <v>52</v>
      </c>
    </row>
    <row r="1269" spans="1:28" x14ac:dyDescent="0.25">
      <c r="A1269" s="4" t="s">
        <v>2017</v>
      </c>
      <c r="B1269" s="4" t="s">
        <v>360</v>
      </c>
      <c r="C1269" s="4">
        <v>72</v>
      </c>
      <c r="D1269" s="4" t="s">
        <v>55</v>
      </c>
      <c r="E1269" s="4" t="s">
        <v>45</v>
      </c>
      <c r="F1269" s="4" t="s">
        <v>32</v>
      </c>
      <c r="G1269" s="5">
        <v>45471</v>
      </c>
      <c r="H1269" s="5">
        <v>45485</v>
      </c>
      <c r="I1269" s="4">
        <v>14</v>
      </c>
      <c r="J1269" s="4" t="s">
        <v>58</v>
      </c>
      <c r="K1269" s="4" t="s">
        <v>59</v>
      </c>
      <c r="L1269" s="4" t="s">
        <v>60</v>
      </c>
      <c r="M1269" s="4" t="s">
        <v>95</v>
      </c>
      <c r="N1269" s="4" t="s">
        <v>118</v>
      </c>
      <c r="O1269" s="4" t="s">
        <v>631</v>
      </c>
      <c r="P1269" s="4">
        <v>286</v>
      </c>
      <c r="Q1269" s="4" t="s">
        <v>103</v>
      </c>
      <c r="R1269" s="4" t="s">
        <v>51</v>
      </c>
      <c r="S1269" s="4">
        <v>178611</v>
      </c>
      <c r="T1269" s="4">
        <v>92711</v>
      </c>
      <c r="U1269" s="4">
        <v>85900</v>
      </c>
      <c r="V1269" s="4">
        <v>143945</v>
      </c>
      <c r="W1269" s="4">
        <v>21890</v>
      </c>
      <c r="X1269" s="4">
        <v>7817</v>
      </c>
      <c r="Y1269" s="4" t="s">
        <v>41</v>
      </c>
      <c r="Z1269" s="4">
        <v>42</v>
      </c>
      <c r="AA1269" s="4">
        <v>2.7</v>
      </c>
      <c r="AB1269" s="4" t="s">
        <v>42</v>
      </c>
    </row>
    <row r="1270" spans="1:28" x14ac:dyDescent="0.25">
      <c r="A1270" s="2" t="s">
        <v>2018</v>
      </c>
      <c r="B1270" s="2" t="s">
        <v>956</v>
      </c>
      <c r="C1270" s="2">
        <v>20</v>
      </c>
      <c r="D1270" s="2" t="s">
        <v>55</v>
      </c>
      <c r="E1270" s="2" t="s">
        <v>56</v>
      </c>
      <c r="F1270" s="2" t="s">
        <v>150</v>
      </c>
      <c r="G1270" s="3">
        <v>44632</v>
      </c>
      <c r="H1270" s="3">
        <v>44661</v>
      </c>
      <c r="I1270" s="2">
        <v>29</v>
      </c>
      <c r="J1270" s="2" t="s">
        <v>202</v>
      </c>
      <c r="K1270" s="2" t="s">
        <v>203</v>
      </c>
      <c r="L1270" s="2" t="s">
        <v>204</v>
      </c>
      <c r="M1270" s="2" t="s">
        <v>95</v>
      </c>
      <c r="N1270" s="2" t="s">
        <v>37</v>
      </c>
      <c r="O1270" s="2" t="s">
        <v>164</v>
      </c>
      <c r="P1270" s="2">
        <v>488</v>
      </c>
      <c r="Q1270" s="2" t="s">
        <v>39</v>
      </c>
      <c r="R1270" s="2" t="s">
        <v>51</v>
      </c>
      <c r="S1270" s="2">
        <v>161825</v>
      </c>
      <c r="T1270" s="2">
        <v>72472</v>
      </c>
      <c r="U1270" s="2">
        <v>89353</v>
      </c>
      <c r="V1270" s="2">
        <v>128725</v>
      </c>
      <c r="W1270" s="2">
        <v>19542</v>
      </c>
      <c r="X1270" s="2">
        <v>9093</v>
      </c>
      <c r="Y1270" s="2" t="s">
        <v>41</v>
      </c>
      <c r="Z1270" s="2">
        <v>71</v>
      </c>
      <c r="AA1270" s="2">
        <v>2.6</v>
      </c>
      <c r="AB1270" s="2" t="s">
        <v>104</v>
      </c>
    </row>
    <row r="1271" spans="1:28" x14ac:dyDescent="0.25">
      <c r="A1271" s="4" t="s">
        <v>2019</v>
      </c>
      <c r="B1271" s="4" t="s">
        <v>149</v>
      </c>
      <c r="C1271" s="4">
        <v>44</v>
      </c>
      <c r="D1271" s="4" t="s">
        <v>30</v>
      </c>
      <c r="E1271" s="4" t="s">
        <v>67</v>
      </c>
      <c r="F1271" s="4" t="s">
        <v>129</v>
      </c>
      <c r="G1271" s="5">
        <v>44793</v>
      </c>
      <c r="H1271" s="5">
        <v>44809</v>
      </c>
      <c r="I1271" s="4">
        <v>16</v>
      </c>
      <c r="J1271" s="4" t="s">
        <v>33</v>
      </c>
      <c r="K1271" s="4" t="s">
        <v>278</v>
      </c>
      <c r="L1271" s="4" t="s">
        <v>279</v>
      </c>
      <c r="M1271" s="4" t="s">
        <v>134</v>
      </c>
      <c r="N1271" s="4" t="s">
        <v>118</v>
      </c>
      <c r="O1271" s="4" t="s">
        <v>230</v>
      </c>
      <c r="P1271" s="4">
        <v>5</v>
      </c>
      <c r="Q1271" s="4" t="s">
        <v>39</v>
      </c>
      <c r="R1271" s="4" t="s">
        <v>40</v>
      </c>
      <c r="S1271" s="4">
        <v>85934</v>
      </c>
      <c r="T1271" s="4">
        <v>34545</v>
      </c>
      <c r="U1271" s="4">
        <v>51389</v>
      </c>
      <c r="V1271" s="4">
        <v>52907</v>
      </c>
      <c r="W1271" s="4">
        <v>18757</v>
      </c>
      <c r="X1271" s="4">
        <v>9621</v>
      </c>
      <c r="Y1271" s="4" t="s">
        <v>91</v>
      </c>
      <c r="Z1271" s="4">
        <v>60</v>
      </c>
      <c r="AA1271" s="4">
        <v>2.2000000000000002</v>
      </c>
      <c r="AB1271" s="4" t="s">
        <v>104</v>
      </c>
    </row>
    <row r="1272" spans="1:28" x14ac:dyDescent="0.25">
      <c r="A1272" s="2" t="s">
        <v>2020</v>
      </c>
      <c r="B1272" s="2" t="s">
        <v>1073</v>
      </c>
      <c r="C1272" s="2">
        <v>67</v>
      </c>
      <c r="D1272" s="2" t="s">
        <v>30</v>
      </c>
      <c r="E1272" s="2" t="s">
        <v>45</v>
      </c>
      <c r="F1272" s="2" t="s">
        <v>157</v>
      </c>
      <c r="G1272" s="3">
        <v>44869</v>
      </c>
      <c r="H1272" s="3">
        <v>44870</v>
      </c>
      <c r="I1272" s="2">
        <v>1</v>
      </c>
      <c r="J1272" s="2" t="s">
        <v>140</v>
      </c>
      <c r="K1272" s="2" t="s">
        <v>141</v>
      </c>
      <c r="L1272" s="2" t="s">
        <v>142</v>
      </c>
      <c r="M1272" s="2" t="s">
        <v>130</v>
      </c>
      <c r="N1272" s="2" t="s">
        <v>62</v>
      </c>
      <c r="O1272" s="2" t="s">
        <v>343</v>
      </c>
      <c r="P1272" s="2">
        <v>153</v>
      </c>
      <c r="Q1272" s="2" t="s">
        <v>50</v>
      </c>
      <c r="R1272" s="2" t="s">
        <v>136</v>
      </c>
      <c r="S1272" s="2">
        <v>46422</v>
      </c>
      <c r="T1272" s="2">
        <v>0</v>
      </c>
      <c r="U1272" s="2">
        <v>46422</v>
      </c>
      <c r="V1272" s="2">
        <v>22517</v>
      </c>
      <c r="W1272" s="2">
        <v>14053</v>
      </c>
      <c r="X1272" s="2">
        <v>5012</v>
      </c>
      <c r="Y1272" s="2" t="s">
        <v>41</v>
      </c>
      <c r="Z1272" s="2">
        <v>48</v>
      </c>
      <c r="AA1272" s="2">
        <v>4</v>
      </c>
      <c r="AB1272" s="2" t="s">
        <v>104</v>
      </c>
    </row>
    <row r="1273" spans="1:28" x14ac:dyDescent="0.25">
      <c r="A1273" s="4" t="s">
        <v>2021</v>
      </c>
      <c r="B1273" s="4" t="s">
        <v>834</v>
      </c>
      <c r="C1273" s="4">
        <v>56</v>
      </c>
      <c r="D1273" s="4" t="s">
        <v>30</v>
      </c>
      <c r="E1273" s="4" t="s">
        <v>154</v>
      </c>
      <c r="F1273" s="4" t="s">
        <v>150</v>
      </c>
      <c r="G1273" s="5">
        <v>45216</v>
      </c>
      <c r="H1273" s="5">
        <v>45237</v>
      </c>
      <c r="I1273" s="4">
        <v>21</v>
      </c>
      <c r="J1273" s="4" t="s">
        <v>123</v>
      </c>
      <c r="K1273" s="4" t="s">
        <v>251</v>
      </c>
      <c r="L1273" s="4" t="s">
        <v>125</v>
      </c>
      <c r="M1273" s="4" t="s">
        <v>95</v>
      </c>
      <c r="N1273" s="4" t="s">
        <v>109</v>
      </c>
      <c r="O1273" s="4" t="s">
        <v>431</v>
      </c>
      <c r="P1273" s="4">
        <v>230</v>
      </c>
      <c r="Q1273" s="4" t="s">
        <v>50</v>
      </c>
      <c r="R1273" s="4" t="s">
        <v>136</v>
      </c>
      <c r="S1273" s="4">
        <v>81531</v>
      </c>
      <c r="T1273" s="4">
        <v>0</v>
      </c>
      <c r="U1273" s="4">
        <v>81531</v>
      </c>
      <c r="V1273" s="4">
        <v>49776</v>
      </c>
      <c r="W1273" s="4">
        <v>28041</v>
      </c>
      <c r="X1273" s="4">
        <v>1332</v>
      </c>
      <c r="Y1273" s="4" t="s">
        <v>41</v>
      </c>
      <c r="Z1273" s="4">
        <v>65</v>
      </c>
      <c r="AA1273" s="4">
        <v>2.2000000000000002</v>
      </c>
      <c r="AB1273" s="4" t="s">
        <v>42</v>
      </c>
    </row>
    <row r="1274" spans="1:28" x14ac:dyDescent="0.25">
      <c r="A1274" s="2" t="s">
        <v>2022</v>
      </c>
      <c r="B1274" s="2" t="s">
        <v>427</v>
      </c>
      <c r="C1274" s="2">
        <v>42</v>
      </c>
      <c r="D1274" s="2" t="s">
        <v>55</v>
      </c>
      <c r="E1274" s="2" t="s">
        <v>31</v>
      </c>
      <c r="F1274" s="2" t="s">
        <v>57</v>
      </c>
      <c r="G1274" s="3">
        <v>45324</v>
      </c>
      <c r="H1274" s="3">
        <v>45341</v>
      </c>
      <c r="I1274" s="2">
        <v>17</v>
      </c>
      <c r="J1274" s="2" t="s">
        <v>33</v>
      </c>
      <c r="K1274" s="2" t="s">
        <v>174</v>
      </c>
      <c r="L1274" s="2" t="s">
        <v>48</v>
      </c>
      <c r="M1274" s="2" t="s">
        <v>61</v>
      </c>
      <c r="N1274" s="2" t="s">
        <v>109</v>
      </c>
      <c r="O1274" s="2" t="s">
        <v>285</v>
      </c>
      <c r="P1274" s="2">
        <v>363</v>
      </c>
      <c r="Q1274" s="2" t="s">
        <v>69</v>
      </c>
      <c r="R1274" s="2" t="s">
        <v>111</v>
      </c>
      <c r="S1274" s="2">
        <v>49474</v>
      </c>
      <c r="T1274" s="2">
        <v>34665</v>
      </c>
      <c r="U1274" s="2">
        <v>14809</v>
      </c>
      <c r="V1274" s="2">
        <v>17838</v>
      </c>
      <c r="W1274" s="2">
        <v>27070</v>
      </c>
      <c r="X1274" s="2">
        <v>1940</v>
      </c>
      <c r="Y1274" s="2" t="s">
        <v>41</v>
      </c>
      <c r="Z1274" s="2">
        <v>49</v>
      </c>
      <c r="AA1274" s="2">
        <v>2.7</v>
      </c>
      <c r="AB1274" s="2" t="s">
        <v>137</v>
      </c>
    </row>
    <row r="1275" spans="1:28" x14ac:dyDescent="0.25">
      <c r="A1275" s="4" t="s">
        <v>2023</v>
      </c>
      <c r="B1275" s="4" t="s">
        <v>349</v>
      </c>
      <c r="C1275" s="4">
        <v>39</v>
      </c>
      <c r="D1275" s="4" t="s">
        <v>30</v>
      </c>
      <c r="E1275" s="4" t="s">
        <v>56</v>
      </c>
      <c r="F1275" s="4" t="s">
        <v>72</v>
      </c>
      <c r="G1275" s="5">
        <v>45504</v>
      </c>
      <c r="H1275" s="5">
        <v>45505</v>
      </c>
      <c r="I1275" s="4">
        <v>1</v>
      </c>
      <c r="J1275" s="4" t="s">
        <v>33</v>
      </c>
      <c r="K1275" s="4" t="s">
        <v>34</v>
      </c>
      <c r="L1275" s="4" t="s">
        <v>35</v>
      </c>
      <c r="M1275" s="4" t="s">
        <v>130</v>
      </c>
      <c r="N1275" s="4" t="s">
        <v>62</v>
      </c>
      <c r="O1275" s="4" t="s">
        <v>1000</v>
      </c>
      <c r="P1275" s="4">
        <v>255</v>
      </c>
      <c r="Q1275" s="4" t="s">
        <v>103</v>
      </c>
      <c r="R1275" s="4" t="s">
        <v>40</v>
      </c>
      <c r="S1275" s="4">
        <v>39479</v>
      </c>
      <c r="T1275" s="4">
        <v>16663</v>
      </c>
      <c r="U1275" s="4">
        <v>22816</v>
      </c>
      <c r="V1275" s="4">
        <v>12263</v>
      </c>
      <c r="W1275" s="4">
        <v>21231</v>
      </c>
      <c r="X1275" s="4">
        <v>2615</v>
      </c>
      <c r="Y1275" s="4" t="s">
        <v>91</v>
      </c>
      <c r="Z1275" s="4">
        <v>47</v>
      </c>
      <c r="AA1275" s="4">
        <v>4.5</v>
      </c>
      <c r="AB1275" s="4" t="s">
        <v>64</v>
      </c>
    </row>
    <row r="1276" spans="1:28" x14ac:dyDescent="0.25">
      <c r="A1276" s="2" t="s">
        <v>2024</v>
      </c>
      <c r="B1276" s="2" t="s">
        <v>1586</v>
      </c>
      <c r="C1276" s="2">
        <v>21</v>
      </c>
      <c r="D1276" s="2" t="s">
        <v>55</v>
      </c>
      <c r="E1276" s="2" t="s">
        <v>31</v>
      </c>
      <c r="F1276" s="2" t="s">
        <v>129</v>
      </c>
      <c r="G1276" s="3">
        <v>45483</v>
      </c>
      <c r="H1276" s="3">
        <v>45510</v>
      </c>
      <c r="I1276" s="2">
        <v>27</v>
      </c>
      <c r="J1276" s="2" t="s">
        <v>123</v>
      </c>
      <c r="K1276" s="2" t="s">
        <v>251</v>
      </c>
      <c r="L1276" s="2" t="s">
        <v>125</v>
      </c>
      <c r="M1276" s="2" t="s">
        <v>101</v>
      </c>
      <c r="N1276" s="2" t="s">
        <v>109</v>
      </c>
      <c r="O1276" s="2" t="s">
        <v>234</v>
      </c>
      <c r="P1276" s="2">
        <v>175</v>
      </c>
      <c r="Q1276" s="2" t="s">
        <v>39</v>
      </c>
      <c r="R1276" s="2" t="s">
        <v>51</v>
      </c>
      <c r="S1276" s="2">
        <v>57119</v>
      </c>
      <c r="T1276" s="2">
        <v>38518</v>
      </c>
      <c r="U1276" s="2">
        <v>18601</v>
      </c>
      <c r="V1276" s="2">
        <v>32037</v>
      </c>
      <c r="W1276" s="2">
        <v>12261</v>
      </c>
      <c r="X1276" s="2">
        <v>9274</v>
      </c>
      <c r="Y1276" s="2" t="s">
        <v>41</v>
      </c>
      <c r="Z1276" s="2">
        <v>44</v>
      </c>
      <c r="AA1276" s="2">
        <v>3.3</v>
      </c>
      <c r="AB1276" s="2" t="s">
        <v>64</v>
      </c>
    </row>
    <row r="1277" spans="1:28" x14ac:dyDescent="0.25">
      <c r="A1277" s="4" t="s">
        <v>2025</v>
      </c>
      <c r="B1277" s="4" t="s">
        <v>685</v>
      </c>
      <c r="C1277" s="4">
        <v>61</v>
      </c>
      <c r="D1277" s="4" t="s">
        <v>55</v>
      </c>
      <c r="E1277" s="4" t="s">
        <v>79</v>
      </c>
      <c r="F1277" s="4" t="s">
        <v>72</v>
      </c>
      <c r="G1277" s="5">
        <v>44899</v>
      </c>
      <c r="H1277" s="5">
        <v>44900</v>
      </c>
      <c r="I1277" s="4">
        <v>1</v>
      </c>
      <c r="J1277" s="4" t="s">
        <v>33</v>
      </c>
      <c r="K1277" s="4" t="s">
        <v>107</v>
      </c>
      <c r="L1277" s="4" t="s">
        <v>48</v>
      </c>
      <c r="M1277" s="4" t="s">
        <v>83</v>
      </c>
      <c r="N1277" s="4" t="s">
        <v>118</v>
      </c>
      <c r="O1277" s="4" t="s">
        <v>161</v>
      </c>
      <c r="P1277" s="4">
        <v>469</v>
      </c>
      <c r="Q1277" s="4" t="s">
        <v>39</v>
      </c>
      <c r="R1277" s="4" t="s">
        <v>136</v>
      </c>
      <c r="S1277" s="4">
        <v>163984</v>
      </c>
      <c r="T1277" s="4">
        <v>0</v>
      </c>
      <c r="U1277" s="4">
        <v>163984</v>
      </c>
      <c r="V1277" s="4">
        <v>127616</v>
      </c>
      <c r="W1277" s="4">
        <v>28090</v>
      </c>
      <c r="X1277" s="4">
        <v>4403</v>
      </c>
      <c r="Y1277" s="4" t="s">
        <v>41</v>
      </c>
      <c r="Z1277" s="4">
        <v>48</v>
      </c>
      <c r="AA1277" s="4">
        <v>3</v>
      </c>
      <c r="AB1277" s="4" t="s">
        <v>104</v>
      </c>
    </row>
    <row r="1278" spans="1:28" x14ac:dyDescent="0.25">
      <c r="A1278" s="2" t="s">
        <v>2026</v>
      </c>
      <c r="B1278" s="2" t="s">
        <v>2027</v>
      </c>
      <c r="C1278" s="2">
        <v>35</v>
      </c>
      <c r="D1278" s="2" t="s">
        <v>55</v>
      </c>
      <c r="E1278" s="2" t="s">
        <v>154</v>
      </c>
      <c r="F1278" s="2" t="s">
        <v>46</v>
      </c>
      <c r="G1278" s="3">
        <v>45524</v>
      </c>
      <c r="H1278" s="3">
        <v>45548</v>
      </c>
      <c r="I1278" s="2">
        <v>24</v>
      </c>
      <c r="J1278" s="2" t="s">
        <v>33</v>
      </c>
      <c r="K1278" s="2" t="s">
        <v>107</v>
      </c>
      <c r="L1278" s="2" t="s">
        <v>48</v>
      </c>
      <c r="M1278" s="2" t="s">
        <v>108</v>
      </c>
      <c r="N1278" s="2" t="s">
        <v>37</v>
      </c>
      <c r="O1278" s="2" t="s">
        <v>591</v>
      </c>
      <c r="P1278" s="2">
        <v>452</v>
      </c>
      <c r="Q1278" s="2" t="s">
        <v>50</v>
      </c>
      <c r="R1278" s="2" t="s">
        <v>136</v>
      </c>
      <c r="S1278" s="2">
        <v>84585</v>
      </c>
      <c r="T1278" s="2">
        <v>0</v>
      </c>
      <c r="U1278" s="2">
        <v>84585</v>
      </c>
      <c r="V1278" s="2">
        <v>55140</v>
      </c>
      <c r="W1278" s="2">
        <v>21819</v>
      </c>
      <c r="X1278" s="2">
        <v>5508</v>
      </c>
      <c r="Y1278" s="2" t="s">
        <v>41</v>
      </c>
      <c r="Z1278" s="2">
        <v>61</v>
      </c>
      <c r="AA1278" s="2">
        <v>4.5999999999999996</v>
      </c>
      <c r="AB1278" s="2" t="s">
        <v>42</v>
      </c>
    </row>
    <row r="1279" spans="1:28" x14ac:dyDescent="0.25">
      <c r="A1279" s="4" t="s">
        <v>2028</v>
      </c>
      <c r="B1279" s="4" t="s">
        <v>440</v>
      </c>
      <c r="C1279" s="4">
        <v>71</v>
      </c>
      <c r="D1279" s="4" t="s">
        <v>30</v>
      </c>
      <c r="E1279" s="4" t="s">
        <v>154</v>
      </c>
      <c r="F1279" s="4" t="s">
        <v>72</v>
      </c>
      <c r="G1279" s="5">
        <v>45332</v>
      </c>
      <c r="H1279" s="5">
        <v>45344</v>
      </c>
      <c r="I1279" s="4">
        <v>12</v>
      </c>
      <c r="J1279" s="4" t="s">
        <v>33</v>
      </c>
      <c r="K1279" s="4" t="s">
        <v>174</v>
      </c>
      <c r="L1279" s="4" t="s">
        <v>48</v>
      </c>
      <c r="M1279" s="4" t="s">
        <v>95</v>
      </c>
      <c r="N1279" s="4" t="s">
        <v>37</v>
      </c>
      <c r="O1279" s="4" t="s">
        <v>543</v>
      </c>
      <c r="P1279" s="4">
        <v>458</v>
      </c>
      <c r="Q1279" s="4" t="s">
        <v>69</v>
      </c>
      <c r="R1279" s="4" t="s">
        <v>40</v>
      </c>
      <c r="S1279" s="4">
        <v>59346</v>
      </c>
      <c r="T1279" s="4">
        <v>28549</v>
      </c>
      <c r="U1279" s="4">
        <v>30797</v>
      </c>
      <c r="V1279" s="4">
        <v>17288</v>
      </c>
      <c r="W1279" s="4">
        <v>25998</v>
      </c>
      <c r="X1279" s="4">
        <v>13706</v>
      </c>
      <c r="Y1279" s="4" t="s">
        <v>41</v>
      </c>
      <c r="Z1279" s="4">
        <v>41</v>
      </c>
      <c r="AA1279" s="4">
        <v>3.9</v>
      </c>
      <c r="AB1279" s="4" t="s">
        <v>64</v>
      </c>
    </row>
    <row r="1280" spans="1:28" x14ac:dyDescent="0.25">
      <c r="A1280" s="2" t="s">
        <v>2029</v>
      </c>
      <c r="B1280" s="2" t="s">
        <v>689</v>
      </c>
      <c r="C1280" s="2">
        <v>79</v>
      </c>
      <c r="D1280" s="2" t="s">
        <v>30</v>
      </c>
      <c r="E1280" s="2" t="s">
        <v>122</v>
      </c>
      <c r="F1280" s="2" t="s">
        <v>57</v>
      </c>
      <c r="G1280" s="3">
        <v>44664</v>
      </c>
      <c r="H1280" s="3">
        <v>44683</v>
      </c>
      <c r="I1280" s="2">
        <v>19</v>
      </c>
      <c r="J1280" s="2" t="s">
        <v>58</v>
      </c>
      <c r="K1280" s="2" t="s">
        <v>59</v>
      </c>
      <c r="L1280" s="2" t="s">
        <v>60</v>
      </c>
      <c r="M1280" s="2" t="s">
        <v>101</v>
      </c>
      <c r="N1280" s="2" t="s">
        <v>62</v>
      </c>
      <c r="O1280" s="2" t="s">
        <v>390</v>
      </c>
      <c r="P1280" s="2">
        <v>248</v>
      </c>
      <c r="Q1280" s="2" t="s">
        <v>39</v>
      </c>
      <c r="R1280" s="2" t="s">
        <v>111</v>
      </c>
      <c r="S1280" s="2">
        <v>126110</v>
      </c>
      <c r="T1280" s="2">
        <v>91008</v>
      </c>
      <c r="U1280" s="2">
        <v>35102</v>
      </c>
      <c r="V1280" s="2">
        <v>113842</v>
      </c>
      <c r="W1280" s="2">
        <v>5176</v>
      </c>
      <c r="X1280" s="2">
        <v>5218</v>
      </c>
      <c r="Y1280" s="2" t="s">
        <v>41</v>
      </c>
      <c r="Z1280" s="2">
        <v>84</v>
      </c>
      <c r="AA1280" s="2">
        <v>4.5</v>
      </c>
      <c r="AB1280" s="2" t="s">
        <v>64</v>
      </c>
    </row>
    <row r="1281" spans="1:28" x14ac:dyDescent="0.25">
      <c r="A1281" s="4" t="s">
        <v>2030</v>
      </c>
      <c r="B1281" s="4" t="s">
        <v>1273</v>
      </c>
      <c r="C1281" s="4">
        <v>81</v>
      </c>
      <c r="D1281" s="4" t="s">
        <v>55</v>
      </c>
      <c r="E1281" s="4" t="s">
        <v>122</v>
      </c>
      <c r="F1281" s="4" t="s">
        <v>32</v>
      </c>
      <c r="G1281" s="5">
        <v>45406</v>
      </c>
      <c r="H1281" s="5">
        <v>45432</v>
      </c>
      <c r="I1281" s="4">
        <v>26</v>
      </c>
      <c r="J1281" s="4" t="s">
        <v>33</v>
      </c>
      <c r="K1281" s="4" t="s">
        <v>233</v>
      </c>
      <c r="L1281" s="4" t="s">
        <v>35</v>
      </c>
      <c r="M1281" s="4" t="s">
        <v>130</v>
      </c>
      <c r="N1281" s="4" t="s">
        <v>62</v>
      </c>
      <c r="O1281" s="4" t="s">
        <v>246</v>
      </c>
      <c r="P1281" s="4">
        <v>468</v>
      </c>
      <c r="Q1281" s="4" t="s">
        <v>69</v>
      </c>
      <c r="R1281" s="4" t="s">
        <v>136</v>
      </c>
      <c r="S1281" s="4">
        <v>66022</v>
      </c>
      <c r="T1281" s="4">
        <v>0</v>
      </c>
      <c r="U1281" s="4">
        <v>66022</v>
      </c>
      <c r="V1281" s="4">
        <v>43878</v>
      </c>
      <c r="W1281" s="4">
        <v>16294</v>
      </c>
      <c r="X1281" s="4">
        <v>4460</v>
      </c>
      <c r="Y1281" s="4" t="s">
        <v>41</v>
      </c>
      <c r="Z1281" s="4">
        <v>47</v>
      </c>
      <c r="AA1281" s="4">
        <v>4.3</v>
      </c>
      <c r="AB1281" s="4" t="s">
        <v>64</v>
      </c>
    </row>
    <row r="1282" spans="1:28" x14ac:dyDescent="0.25">
      <c r="A1282" s="2" t="s">
        <v>2031</v>
      </c>
      <c r="B1282" s="2" t="s">
        <v>1391</v>
      </c>
      <c r="C1282" s="2">
        <v>55</v>
      </c>
      <c r="D1282" s="2" t="s">
        <v>30</v>
      </c>
      <c r="E1282" s="2" t="s">
        <v>56</v>
      </c>
      <c r="F1282" s="2" t="s">
        <v>46</v>
      </c>
      <c r="G1282" s="3">
        <v>45568</v>
      </c>
      <c r="H1282" s="3">
        <v>45596</v>
      </c>
      <c r="I1282" s="2">
        <v>28</v>
      </c>
      <c r="J1282" s="2" t="s">
        <v>33</v>
      </c>
      <c r="K1282" s="2" t="s">
        <v>47</v>
      </c>
      <c r="L1282" s="2" t="s">
        <v>48</v>
      </c>
      <c r="M1282" s="2" t="s">
        <v>101</v>
      </c>
      <c r="N1282" s="2" t="s">
        <v>62</v>
      </c>
      <c r="O1282" s="2" t="s">
        <v>396</v>
      </c>
      <c r="P1282" s="2">
        <v>268</v>
      </c>
      <c r="Q1282" s="2" t="s">
        <v>50</v>
      </c>
      <c r="R1282" s="2" t="s">
        <v>40</v>
      </c>
      <c r="S1282" s="2">
        <v>82249</v>
      </c>
      <c r="T1282" s="2">
        <v>57205</v>
      </c>
      <c r="U1282" s="2">
        <v>25044</v>
      </c>
      <c r="V1282" s="2">
        <v>63398</v>
      </c>
      <c r="W1282" s="2">
        <v>8124</v>
      </c>
      <c r="X1282" s="2">
        <v>5906</v>
      </c>
      <c r="Y1282" s="2" t="s">
        <v>41</v>
      </c>
      <c r="Z1282" s="2">
        <v>91</v>
      </c>
      <c r="AA1282" s="2">
        <v>2.9</v>
      </c>
      <c r="AB1282" s="2" t="s">
        <v>64</v>
      </c>
    </row>
    <row r="1283" spans="1:28" x14ac:dyDescent="0.25">
      <c r="A1283" s="4" t="s">
        <v>2032</v>
      </c>
      <c r="B1283" s="4" t="s">
        <v>1327</v>
      </c>
      <c r="C1283" s="4">
        <v>36</v>
      </c>
      <c r="D1283" s="4" t="s">
        <v>30</v>
      </c>
      <c r="E1283" s="4" t="s">
        <v>67</v>
      </c>
      <c r="F1283" s="4" t="s">
        <v>114</v>
      </c>
      <c r="G1283" s="5">
        <v>45547</v>
      </c>
      <c r="H1283" s="5">
        <v>45573</v>
      </c>
      <c r="I1283" s="4">
        <v>26</v>
      </c>
      <c r="J1283" s="4" t="s">
        <v>33</v>
      </c>
      <c r="K1283" s="4" t="s">
        <v>174</v>
      </c>
      <c r="L1283" s="4" t="s">
        <v>48</v>
      </c>
      <c r="M1283" s="4" t="s">
        <v>95</v>
      </c>
      <c r="N1283" s="4" t="s">
        <v>109</v>
      </c>
      <c r="O1283" s="4" t="s">
        <v>464</v>
      </c>
      <c r="P1283" s="4">
        <v>405</v>
      </c>
      <c r="Q1283" s="4" t="s">
        <v>39</v>
      </c>
      <c r="R1283" s="4" t="s">
        <v>40</v>
      </c>
      <c r="S1283" s="4">
        <v>150405</v>
      </c>
      <c r="T1283" s="4">
        <v>81142</v>
      </c>
      <c r="U1283" s="4">
        <v>69263</v>
      </c>
      <c r="V1283" s="4">
        <v>118056</v>
      </c>
      <c r="W1283" s="4">
        <v>26203</v>
      </c>
      <c r="X1283" s="4">
        <v>3179</v>
      </c>
      <c r="Y1283" s="4" t="s">
        <v>41</v>
      </c>
      <c r="Z1283" s="4">
        <v>65</v>
      </c>
      <c r="AA1283" s="4">
        <v>3</v>
      </c>
      <c r="AB1283" s="4" t="s">
        <v>104</v>
      </c>
    </row>
    <row r="1284" spans="1:28" x14ac:dyDescent="0.25">
      <c r="A1284" s="2" t="s">
        <v>2033</v>
      </c>
      <c r="B1284" s="2" t="s">
        <v>610</v>
      </c>
      <c r="C1284" s="2">
        <v>23</v>
      </c>
      <c r="D1284" s="2" t="s">
        <v>55</v>
      </c>
      <c r="E1284" s="2" t="s">
        <v>122</v>
      </c>
      <c r="F1284" s="2" t="s">
        <v>57</v>
      </c>
      <c r="G1284" s="3">
        <v>45447</v>
      </c>
      <c r="H1284" s="3">
        <v>45457</v>
      </c>
      <c r="I1284" s="2">
        <v>10</v>
      </c>
      <c r="J1284" s="2" t="s">
        <v>33</v>
      </c>
      <c r="K1284" s="2" t="s">
        <v>107</v>
      </c>
      <c r="L1284" s="2" t="s">
        <v>48</v>
      </c>
      <c r="M1284" s="2" t="s">
        <v>36</v>
      </c>
      <c r="N1284" s="2" t="s">
        <v>118</v>
      </c>
      <c r="O1284" s="2" t="s">
        <v>455</v>
      </c>
      <c r="P1284" s="2">
        <v>232</v>
      </c>
      <c r="Q1284" s="2" t="s">
        <v>103</v>
      </c>
      <c r="R1284" s="2" t="s">
        <v>40</v>
      </c>
      <c r="S1284" s="2">
        <v>107275</v>
      </c>
      <c r="T1284" s="2">
        <v>65901</v>
      </c>
      <c r="U1284" s="2">
        <v>41374</v>
      </c>
      <c r="V1284" s="2">
        <v>90166</v>
      </c>
      <c r="W1284" s="2">
        <v>11423</v>
      </c>
      <c r="X1284" s="2">
        <v>4756</v>
      </c>
      <c r="Y1284" s="2" t="s">
        <v>41</v>
      </c>
      <c r="Z1284" s="2">
        <v>81</v>
      </c>
      <c r="AA1284" s="2">
        <v>2.7</v>
      </c>
      <c r="AB1284" s="2" t="s">
        <v>137</v>
      </c>
    </row>
    <row r="1285" spans="1:28" x14ac:dyDescent="0.25">
      <c r="A1285" s="4" t="s">
        <v>2034</v>
      </c>
      <c r="B1285" s="4" t="s">
        <v>328</v>
      </c>
      <c r="C1285" s="4">
        <v>81</v>
      </c>
      <c r="D1285" s="4" t="s">
        <v>55</v>
      </c>
      <c r="E1285" s="4" t="s">
        <v>122</v>
      </c>
      <c r="F1285" s="4" t="s">
        <v>114</v>
      </c>
      <c r="G1285" s="5">
        <v>45469</v>
      </c>
      <c r="H1285" s="5">
        <v>45481</v>
      </c>
      <c r="I1285" s="4">
        <v>12</v>
      </c>
      <c r="J1285" s="4" t="s">
        <v>140</v>
      </c>
      <c r="K1285" s="4" t="s">
        <v>167</v>
      </c>
      <c r="L1285" s="4" t="s">
        <v>142</v>
      </c>
      <c r="M1285" s="4" t="s">
        <v>61</v>
      </c>
      <c r="N1285" s="4" t="s">
        <v>109</v>
      </c>
      <c r="O1285" s="4" t="s">
        <v>543</v>
      </c>
      <c r="P1285" s="4">
        <v>351</v>
      </c>
      <c r="Q1285" s="4" t="s">
        <v>103</v>
      </c>
      <c r="R1285" s="4" t="s">
        <v>51</v>
      </c>
      <c r="S1285" s="4">
        <v>28091</v>
      </c>
      <c r="T1285" s="4">
        <v>17467</v>
      </c>
      <c r="U1285" s="4">
        <v>10624</v>
      </c>
      <c r="V1285" s="4">
        <v>10039</v>
      </c>
      <c r="W1285" s="4">
        <v>10082</v>
      </c>
      <c r="X1285" s="4">
        <v>5734</v>
      </c>
      <c r="Y1285" s="4" t="s">
        <v>41</v>
      </c>
      <c r="Z1285" s="4">
        <v>95</v>
      </c>
      <c r="AA1285" s="4">
        <v>2.5</v>
      </c>
      <c r="AB1285" s="4" t="s">
        <v>52</v>
      </c>
    </row>
    <row r="1286" spans="1:28" x14ac:dyDescent="0.25">
      <c r="A1286" s="2" t="s">
        <v>2035</v>
      </c>
      <c r="B1286" s="2" t="s">
        <v>1073</v>
      </c>
      <c r="C1286" s="2">
        <v>65</v>
      </c>
      <c r="D1286" s="2" t="s">
        <v>55</v>
      </c>
      <c r="E1286" s="2" t="s">
        <v>45</v>
      </c>
      <c r="F1286" s="2" t="s">
        <v>150</v>
      </c>
      <c r="G1286" s="3">
        <v>44967</v>
      </c>
      <c r="H1286" s="3">
        <v>44975</v>
      </c>
      <c r="I1286" s="2">
        <v>8</v>
      </c>
      <c r="J1286" s="2" t="s">
        <v>202</v>
      </c>
      <c r="K1286" s="2" t="s">
        <v>225</v>
      </c>
      <c r="L1286" s="2" t="s">
        <v>226</v>
      </c>
      <c r="M1286" s="2" t="s">
        <v>61</v>
      </c>
      <c r="N1286" s="2" t="s">
        <v>109</v>
      </c>
      <c r="O1286" s="2" t="s">
        <v>631</v>
      </c>
      <c r="P1286" s="2">
        <v>120</v>
      </c>
      <c r="Q1286" s="2" t="s">
        <v>50</v>
      </c>
      <c r="R1286" s="2" t="s">
        <v>136</v>
      </c>
      <c r="S1286" s="2">
        <v>108208</v>
      </c>
      <c r="T1286" s="2">
        <v>0</v>
      </c>
      <c r="U1286" s="2">
        <v>108208</v>
      </c>
      <c r="V1286" s="2">
        <v>70156</v>
      </c>
      <c r="W1286" s="2">
        <v>21613</v>
      </c>
      <c r="X1286" s="2">
        <v>14234</v>
      </c>
      <c r="Y1286" s="2" t="s">
        <v>91</v>
      </c>
      <c r="Z1286" s="2">
        <v>54</v>
      </c>
      <c r="AA1286" s="2">
        <v>3.3</v>
      </c>
      <c r="AB1286" s="2" t="s">
        <v>104</v>
      </c>
    </row>
    <row r="1287" spans="1:28" x14ac:dyDescent="0.25">
      <c r="A1287" s="4" t="s">
        <v>2036</v>
      </c>
      <c r="B1287" s="4" t="s">
        <v>1360</v>
      </c>
      <c r="C1287" s="4">
        <v>24</v>
      </c>
      <c r="D1287" s="4" t="s">
        <v>30</v>
      </c>
      <c r="E1287" s="4" t="s">
        <v>87</v>
      </c>
      <c r="F1287" s="4" t="s">
        <v>46</v>
      </c>
      <c r="G1287" s="5">
        <v>44606</v>
      </c>
      <c r="H1287" s="5">
        <v>44627</v>
      </c>
      <c r="I1287" s="4">
        <v>21</v>
      </c>
      <c r="J1287" s="4" t="s">
        <v>33</v>
      </c>
      <c r="K1287" s="4" t="s">
        <v>278</v>
      </c>
      <c r="L1287" s="4" t="s">
        <v>279</v>
      </c>
      <c r="M1287" s="4" t="s">
        <v>95</v>
      </c>
      <c r="N1287" s="4" t="s">
        <v>109</v>
      </c>
      <c r="O1287" s="4" t="s">
        <v>591</v>
      </c>
      <c r="P1287" s="4">
        <v>29</v>
      </c>
      <c r="Q1287" s="4" t="s">
        <v>39</v>
      </c>
      <c r="R1287" s="4" t="s">
        <v>40</v>
      </c>
      <c r="S1287" s="4">
        <v>105295</v>
      </c>
      <c r="T1287" s="4">
        <v>54746</v>
      </c>
      <c r="U1287" s="4">
        <v>50549</v>
      </c>
      <c r="V1287" s="4">
        <v>95922</v>
      </c>
      <c r="W1287" s="4">
        <v>2468</v>
      </c>
      <c r="X1287" s="4">
        <v>5811</v>
      </c>
      <c r="Y1287" s="4" t="s">
        <v>91</v>
      </c>
      <c r="Z1287" s="4">
        <v>92</v>
      </c>
      <c r="AA1287" s="4">
        <v>2.4</v>
      </c>
      <c r="AB1287" s="4" t="s">
        <v>104</v>
      </c>
    </row>
    <row r="1288" spans="1:28" x14ac:dyDescent="0.25">
      <c r="A1288" s="2" t="s">
        <v>2037</v>
      </c>
      <c r="B1288" s="2" t="s">
        <v>354</v>
      </c>
      <c r="C1288" s="2">
        <v>67</v>
      </c>
      <c r="D1288" s="2" t="s">
        <v>55</v>
      </c>
      <c r="E1288" s="2" t="s">
        <v>45</v>
      </c>
      <c r="F1288" s="2" t="s">
        <v>80</v>
      </c>
      <c r="G1288" s="3">
        <v>45226</v>
      </c>
      <c r="H1288" s="3">
        <v>45244</v>
      </c>
      <c r="I1288" s="2">
        <v>18</v>
      </c>
      <c r="J1288" s="2" t="s">
        <v>33</v>
      </c>
      <c r="K1288" s="2" t="s">
        <v>174</v>
      </c>
      <c r="L1288" s="2" t="s">
        <v>48</v>
      </c>
      <c r="M1288" s="2" t="s">
        <v>101</v>
      </c>
      <c r="N1288" s="2" t="s">
        <v>118</v>
      </c>
      <c r="O1288" s="2" t="s">
        <v>428</v>
      </c>
      <c r="P1288" s="2">
        <v>78</v>
      </c>
      <c r="Q1288" s="2" t="s">
        <v>39</v>
      </c>
      <c r="R1288" s="2" t="s">
        <v>136</v>
      </c>
      <c r="S1288" s="2">
        <v>114836</v>
      </c>
      <c r="T1288" s="2">
        <v>0</v>
      </c>
      <c r="U1288" s="2">
        <v>114836</v>
      </c>
      <c r="V1288" s="2">
        <v>94361</v>
      </c>
      <c r="W1288" s="2">
        <v>13886</v>
      </c>
      <c r="X1288" s="2">
        <v>5506</v>
      </c>
      <c r="Y1288" s="2" t="s">
        <v>91</v>
      </c>
      <c r="Z1288" s="2">
        <v>79</v>
      </c>
      <c r="AA1288" s="2">
        <v>2.5</v>
      </c>
      <c r="AB1288" s="2" t="s">
        <v>52</v>
      </c>
    </row>
    <row r="1289" spans="1:28" x14ac:dyDescent="0.25">
      <c r="A1289" s="4" t="s">
        <v>2038</v>
      </c>
      <c r="B1289" s="4" t="s">
        <v>418</v>
      </c>
      <c r="C1289" s="4">
        <v>21</v>
      </c>
      <c r="D1289" s="4" t="s">
        <v>30</v>
      </c>
      <c r="E1289" s="4" t="s">
        <v>31</v>
      </c>
      <c r="F1289" s="4" t="s">
        <v>94</v>
      </c>
      <c r="G1289" s="5">
        <v>44634</v>
      </c>
      <c r="H1289" s="5">
        <v>44650</v>
      </c>
      <c r="I1289" s="4">
        <v>16</v>
      </c>
      <c r="J1289" s="4" t="s">
        <v>202</v>
      </c>
      <c r="K1289" s="4" t="s">
        <v>225</v>
      </c>
      <c r="L1289" s="4" t="s">
        <v>226</v>
      </c>
      <c r="M1289" s="4" t="s">
        <v>101</v>
      </c>
      <c r="N1289" s="4" t="s">
        <v>62</v>
      </c>
      <c r="O1289" s="4" t="s">
        <v>627</v>
      </c>
      <c r="P1289" s="4">
        <v>463</v>
      </c>
      <c r="Q1289" s="4" t="s">
        <v>69</v>
      </c>
      <c r="R1289" s="4" t="s">
        <v>136</v>
      </c>
      <c r="S1289" s="4">
        <v>103230</v>
      </c>
      <c r="T1289" s="4">
        <v>0</v>
      </c>
      <c r="U1289" s="4">
        <v>103230</v>
      </c>
      <c r="V1289" s="4">
        <v>63514</v>
      </c>
      <c r="W1289" s="4">
        <v>24895</v>
      </c>
      <c r="X1289" s="4">
        <v>11781</v>
      </c>
      <c r="Y1289" s="4" t="s">
        <v>41</v>
      </c>
      <c r="Z1289" s="4">
        <v>56</v>
      </c>
      <c r="AA1289" s="4">
        <v>4.8</v>
      </c>
      <c r="AB1289" s="4" t="s">
        <v>104</v>
      </c>
    </row>
    <row r="1290" spans="1:28" x14ac:dyDescent="0.25">
      <c r="A1290" s="2" t="s">
        <v>2039</v>
      </c>
      <c r="B1290" s="2" t="s">
        <v>328</v>
      </c>
      <c r="C1290" s="2">
        <v>19</v>
      </c>
      <c r="D1290" s="2" t="s">
        <v>30</v>
      </c>
      <c r="E1290" s="2" t="s">
        <v>87</v>
      </c>
      <c r="F1290" s="2" t="s">
        <v>80</v>
      </c>
      <c r="G1290" s="3">
        <v>45295</v>
      </c>
      <c r="H1290" s="3">
        <v>45311</v>
      </c>
      <c r="I1290" s="2">
        <v>16</v>
      </c>
      <c r="J1290" s="2" t="s">
        <v>33</v>
      </c>
      <c r="K1290" s="2" t="s">
        <v>34</v>
      </c>
      <c r="L1290" s="2" t="s">
        <v>35</v>
      </c>
      <c r="M1290" s="2" t="s">
        <v>108</v>
      </c>
      <c r="N1290" s="2" t="s">
        <v>109</v>
      </c>
      <c r="O1290" s="2" t="s">
        <v>340</v>
      </c>
      <c r="P1290" s="2">
        <v>324</v>
      </c>
      <c r="Q1290" s="2" t="s">
        <v>39</v>
      </c>
      <c r="R1290" s="2" t="s">
        <v>136</v>
      </c>
      <c r="S1290" s="2">
        <v>126241</v>
      </c>
      <c r="T1290" s="2">
        <v>0</v>
      </c>
      <c r="U1290" s="2">
        <v>126241</v>
      </c>
      <c r="V1290" s="2">
        <v>112368</v>
      </c>
      <c r="W1290" s="2">
        <v>9061</v>
      </c>
      <c r="X1290" s="2">
        <v>785</v>
      </c>
      <c r="Y1290" s="2" t="s">
        <v>91</v>
      </c>
      <c r="Z1290" s="2">
        <v>66</v>
      </c>
      <c r="AA1290" s="2">
        <v>2.4</v>
      </c>
      <c r="AB1290" s="2" t="s">
        <v>104</v>
      </c>
    </row>
    <row r="1291" spans="1:28" x14ac:dyDescent="0.25">
      <c r="A1291" s="4" t="s">
        <v>2040</v>
      </c>
      <c r="B1291" s="4" t="s">
        <v>1254</v>
      </c>
      <c r="C1291" s="4">
        <v>51</v>
      </c>
      <c r="D1291" s="4" t="s">
        <v>30</v>
      </c>
      <c r="E1291" s="4" t="s">
        <v>31</v>
      </c>
      <c r="F1291" s="4" t="s">
        <v>80</v>
      </c>
      <c r="G1291" s="5">
        <v>44831</v>
      </c>
      <c r="H1291" s="5">
        <v>44832</v>
      </c>
      <c r="I1291" s="4">
        <v>1</v>
      </c>
      <c r="J1291" s="4" t="s">
        <v>123</v>
      </c>
      <c r="K1291" s="4" t="s">
        <v>251</v>
      </c>
      <c r="L1291" s="4" t="s">
        <v>125</v>
      </c>
      <c r="M1291" s="4" t="s">
        <v>108</v>
      </c>
      <c r="N1291" s="4" t="s">
        <v>62</v>
      </c>
      <c r="O1291" s="4" t="s">
        <v>497</v>
      </c>
      <c r="P1291" s="4">
        <v>149</v>
      </c>
      <c r="Q1291" s="4" t="s">
        <v>39</v>
      </c>
      <c r="R1291" s="4" t="s">
        <v>90</v>
      </c>
      <c r="S1291" s="4">
        <v>121679</v>
      </c>
      <c r="T1291" s="4">
        <v>91295</v>
      </c>
      <c r="U1291" s="4">
        <v>30384</v>
      </c>
      <c r="V1291" s="4">
        <v>87416</v>
      </c>
      <c r="W1291" s="4">
        <v>20893</v>
      </c>
      <c r="X1291" s="4">
        <v>9713</v>
      </c>
      <c r="Y1291" s="4" t="s">
        <v>41</v>
      </c>
      <c r="Z1291" s="4">
        <v>81</v>
      </c>
      <c r="AA1291" s="4">
        <v>3.3</v>
      </c>
      <c r="AB1291" s="4" t="s">
        <v>137</v>
      </c>
    </row>
    <row r="1292" spans="1:28" x14ac:dyDescent="0.25">
      <c r="A1292" s="2" t="s">
        <v>2041</v>
      </c>
      <c r="B1292" s="2" t="s">
        <v>444</v>
      </c>
      <c r="C1292" s="2">
        <v>44</v>
      </c>
      <c r="D1292" s="2" t="s">
        <v>55</v>
      </c>
      <c r="E1292" s="2" t="s">
        <v>31</v>
      </c>
      <c r="F1292" s="2" t="s">
        <v>114</v>
      </c>
      <c r="G1292" s="3">
        <v>44611</v>
      </c>
      <c r="H1292" s="3">
        <v>44641</v>
      </c>
      <c r="I1292" s="2">
        <v>30</v>
      </c>
      <c r="J1292" s="2" t="s">
        <v>202</v>
      </c>
      <c r="K1292" s="2" t="s">
        <v>225</v>
      </c>
      <c r="L1292" s="2" t="s">
        <v>226</v>
      </c>
      <c r="M1292" s="2" t="s">
        <v>101</v>
      </c>
      <c r="N1292" s="2" t="s">
        <v>62</v>
      </c>
      <c r="O1292" s="2" t="s">
        <v>76</v>
      </c>
      <c r="P1292" s="2">
        <v>41</v>
      </c>
      <c r="Q1292" s="2" t="s">
        <v>50</v>
      </c>
      <c r="R1292" s="2" t="s">
        <v>111</v>
      </c>
      <c r="S1292" s="2">
        <v>62610</v>
      </c>
      <c r="T1292" s="2">
        <v>48834</v>
      </c>
      <c r="U1292" s="2">
        <v>13776</v>
      </c>
      <c r="V1292" s="2">
        <v>30178</v>
      </c>
      <c r="W1292" s="2">
        <v>28839</v>
      </c>
      <c r="X1292" s="2">
        <v>1320</v>
      </c>
      <c r="Y1292" s="2" t="s">
        <v>41</v>
      </c>
      <c r="Z1292" s="2">
        <v>72</v>
      </c>
      <c r="AA1292" s="2">
        <v>3.6</v>
      </c>
      <c r="AB1292" s="2" t="s">
        <v>42</v>
      </c>
    </row>
    <row r="1293" spans="1:28" x14ac:dyDescent="0.25">
      <c r="A1293" s="4" t="s">
        <v>2042</v>
      </c>
      <c r="B1293" s="4" t="s">
        <v>1085</v>
      </c>
      <c r="C1293" s="4">
        <v>81</v>
      </c>
      <c r="D1293" s="4" t="s">
        <v>55</v>
      </c>
      <c r="E1293" s="4" t="s">
        <v>122</v>
      </c>
      <c r="F1293" s="4" t="s">
        <v>46</v>
      </c>
      <c r="G1293" s="5">
        <v>45362</v>
      </c>
      <c r="H1293" s="5">
        <v>45384</v>
      </c>
      <c r="I1293" s="4">
        <v>22</v>
      </c>
      <c r="J1293" s="4" t="s">
        <v>33</v>
      </c>
      <c r="K1293" s="4" t="s">
        <v>34</v>
      </c>
      <c r="L1293" s="4" t="s">
        <v>35</v>
      </c>
      <c r="M1293" s="4" t="s">
        <v>61</v>
      </c>
      <c r="N1293" s="4" t="s">
        <v>62</v>
      </c>
      <c r="O1293" s="4" t="s">
        <v>285</v>
      </c>
      <c r="P1293" s="4">
        <v>243</v>
      </c>
      <c r="Q1293" s="4" t="s">
        <v>50</v>
      </c>
      <c r="R1293" s="4" t="s">
        <v>90</v>
      </c>
      <c r="S1293" s="4">
        <v>186162</v>
      </c>
      <c r="T1293" s="4">
        <v>163781</v>
      </c>
      <c r="U1293" s="4">
        <v>22381</v>
      </c>
      <c r="V1293" s="4">
        <v>143265</v>
      </c>
      <c r="W1293" s="4">
        <v>27781</v>
      </c>
      <c r="X1293" s="4">
        <v>11723</v>
      </c>
      <c r="Y1293" s="4" t="s">
        <v>41</v>
      </c>
      <c r="Z1293" s="4">
        <v>42</v>
      </c>
      <c r="AA1293" s="4">
        <v>5</v>
      </c>
      <c r="AB1293" s="4" t="s">
        <v>104</v>
      </c>
    </row>
    <row r="1294" spans="1:28" x14ac:dyDescent="0.25">
      <c r="A1294" s="2" t="s">
        <v>2043</v>
      </c>
      <c r="B1294" s="2" t="s">
        <v>1109</v>
      </c>
      <c r="C1294" s="2">
        <v>53</v>
      </c>
      <c r="D1294" s="2" t="s">
        <v>30</v>
      </c>
      <c r="E1294" s="2" t="s">
        <v>67</v>
      </c>
      <c r="F1294" s="2" t="s">
        <v>94</v>
      </c>
      <c r="G1294" s="3">
        <v>44890</v>
      </c>
      <c r="H1294" s="3">
        <v>44903</v>
      </c>
      <c r="I1294" s="2">
        <v>13</v>
      </c>
      <c r="J1294" s="2" t="s">
        <v>33</v>
      </c>
      <c r="K1294" s="2" t="s">
        <v>174</v>
      </c>
      <c r="L1294" s="2" t="s">
        <v>48</v>
      </c>
      <c r="M1294" s="2" t="s">
        <v>75</v>
      </c>
      <c r="N1294" s="2" t="s">
        <v>62</v>
      </c>
      <c r="O1294" s="2" t="s">
        <v>631</v>
      </c>
      <c r="P1294" s="2">
        <v>487</v>
      </c>
      <c r="Q1294" s="2" t="s">
        <v>39</v>
      </c>
      <c r="R1294" s="2" t="s">
        <v>111</v>
      </c>
      <c r="S1294" s="2">
        <v>76001</v>
      </c>
      <c r="T1294" s="2">
        <v>60950</v>
      </c>
      <c r="U1294" s="2">
        <v>15051</v>
      </c>
      <c r="V1294" s="2">
        <v>46049</v>
      </c>
      <c r="W1294" s="2">
        <v>28004</v>
      </c>
      <c r="X1294" s="2">
        <v>529</v>
      </c>
      <c r="Y1294" s="2" t="s">
        <v>41</v>
      </c>
      <c r="Z1294" s="2">
        <v>58</v>
      </c>
      <c r="AA1294" s="2">
        <v>3.3</v>
      </c>
      <c r="AB1294" s="2" t="s">
        <v>64</v>
      </c>
    </row>
    <row r="1295" spans="1:28" x14ac:dyDescent="0.25">
      <c r="A1295" s="4" t="s">
        <v>2044</v>
      </c>
      <c r="B1295" s="4" t="s">
        <v>1595</v>
      </c>
      <c r="C1295" s="4">
        <v>50</v>
      </c>
      <c r="D1295" s="4" t="s">
        <v>30</v>
      </c>
      <c r="E1295" s="4" t="s">
        <v>79</v>
      </c>
      <c r="F1295" s="4" t="s">
        <v>57</v>
      </c>
      <c r="G1295" s="5">
        <v>45516</v>
      </c>
      <c r="H1295" s="5">
        <v>45533</v>
      </c>
      <c r="I1295" s="4">
        <v>17</v>
      </c>
      <c r="J1295" s="4" t="s">
        <v>73</v>
      </c>
      <c r="K1295" s="4" t="s">
        <v>74</v>
      </c>
      <c r="L1295" s="4" t="s">
        <v>73</v>
      </c>
      <c r="M1295" s="4" t="s">
        <v>75</v>
      </c>
      <c r="N1295" s="4" t="s">
        <v>109</v>
      </c>
      <c r="O1295" s="4" t="s">
        <v>184</v>
      </c>
      <c r="P1295" s="4">
        <v>310</v>
      </c>
      <c r="Q1295" s="4" t="s">
        <v>103</v>
      </c>
      <c r="R1295" s="4" t="s">
        <v>51</v>
      </c>
      <c r="S1295" s="4">
        <v>120299</v>
      </c>
      <c r="T1295" s="4">
        <v>60631</v>
      </c>
      <c r="U1295" s="4">
        <v>59668</v>
      </c>
      <c r="V1295" s="4">
        <v>102315</v>
      </c>
      <c r="W1295" s="4">
        <v>4382</v>
      </c>
      <c r="X1295" s="4">
        <v>11011</v>
      </c>
      <c r="Y1295" s="4" t="s">
        <v>41</v>
      </c>
      <c r="Z1295" s="4">
        <v>75</v>
      </c>
      <c r="AA1295" s="4">
        <v>2.6</v>
      </c>
      <c r="AB1295" s="4" t="s">
        <v>137</v>
      </c>
    </row>
    <row r="1296" spans="1:28" x14ac:dyDescent="0.25">
      <c r="A1296" s="2" t="s">
        <v>2045</v>
      </c>
      <c r="B1296" s="2" t="s">
        <v>1426</v>
      </c>
      <c r="C1296" s="2">
        <v>38</v>
      </c>
      <c r="D1296" s="2" t="s">
        <v>30</v>
      </c>
      <c r="E1296" s="2" t="s">
        <v>87</v>
      </c>
      <c r="F1296" s="2" t="s">
        <v>46</v>
      </c>
      <c r="G1296" s="3">
        <v>44634</v>
      </c>
      <c r="H1296" s="3">
        <v>44648</v>
      </c>
      <c r="I1296" s="2">
        <v>14</v>
      </c>
      <c r="J1296" s="2" t="s">
        <v>115</v>
      </c>
      <c r="K1296" s="2" t="s">
        <v>116</v>
      </c>
      <c r="L1296" s="2" t="s">
        <v>117</v>
      </c>
      <c r="M1296" s="2" t="s">
        <v>75</v>
      </c>
      <c r="N1296" s="2" t="s">
        <v>37</v>
      </c>
      <c r="O1296" s="2" t="s">
        <v>343</v>
      </c>
      <c r="P1296" s="2">
        <v>36</v>
      </c>
      <c r="Q1296" s="2" t="s">
        <v>50</v>
      </c>
      <c r="R1296" s="2" t="s">
        <v>111</v>
      </c>
      <c r="S1296" s="2">
        <v>45677</v>
      </c>
      <c r="T1296" s="2">
        <v>32262</v>
      </c>
      <c r="U1296" s="2">
        <v>13415</v>
      </c>
      <c r="V1296" s="2">
        <v>31470</v>
      </c>
      <c r="W1296" s="2">
        <v>3752</v>
      </c>
      <c r="X1296" s="2">
        <v>7462</v>
      </c>
      <c r="Y1296" s="2" t="s">
        <v>91</v>
      </c>
      <c r="Z1296" s="2">
        <v>82</v>
      </c>
      <c r="AA1296" s="2">
        <v>3.8</v>
      </c>
      <c r="AB1296" s="2" t="s">
        <v>52</v>
      </c>
    </row>
    <row r="1297" spans="1:28" x14ac:dyDescent="0.25">
      <c r="A1297" s="4" t="s">
        <v>2046</v>
      </c>
      <c r="B1297" s="4" t="s">
        <v>601</v>
      </c>
      <c r="C1297" s="4">
        <v>31</v>
      </c>
      <c r="D1297" s="4" t="s">
        <v>30</v>
      </c>
      <c r="E1297" s="4" t="s">
        <v>31</v>
      </c>
      <c r="F1297" s="4" t="s">
        <v>157</v>
      </c>
      <c r="G1297" s="5">
        <v>45593</v>
      </c>
      <c r="H1297" s="5">
        <v>45595</v>
      </c>
      <c r="I1297" s="4">
        <v>2</v>
      </c>
      <c r="J1297" s="4" t="s">
        <v>33</v>
      </c>
      <c r="K1297" s="4" t="s">
        <v>107</v>
      </c>
      <c r="L1297" s="4" t="s">
        <v>48</v>
      </c>
      <c r="M1297" s="4" t="s">
        <v>101</v>
      </c>
      <c r="N1297" s="4" t="s">
        <v>109</v>
      </c>
      <c r="O1297" s="4" t="s">
        <v>38</v>
      </c>
      <c r="P1297" s="4">
        <v>69</v>
      </c>
      <c r="Q1297" s="4" t="s">
        <v>50</v>
      </c>
      <c r="R1297" s="4" t="s">
        <v>51</v>
      </c>
      <c r="S1297" s="4">
        <v>118948</v>
      </c>
      <c r="T1297" s="4">
        <v>56152</v>
      </c>
      <c r="U1297" s="4">
        <v>62796</v>
      </c>
      <c r="V1297" s="4">
        <v>95728</v>
      </c>
      <c r="W1297" s="4">
        <v>15041</v>
      </c>
      <c r="X1297" s="4">
        <v>5927</v>
      </c>
      <c r="Y1297" s="4" t="s">
        <v>41</v>
      </c>
      <c r="Z1297" s="4">
        <v>70</v>
      </c>
      <c r="AA1297" s="4">
        <v>3.4</v>
      </c>
      <c r="AB1297" s="4" t="s">
        <v>64</v>
      </c>
    </row>
    <row r="1298" spans="1:28" x14ac:dyDescent="0.25">
      <c r="A1298" s="2" t="s">
        <v>2047</v>
      </c>
      <c r="B1298" s="2" t="s">
        <v>584</v>
      </c>
      <c r="C1298" s="2">
        <v>17</v>
      </c>
      <c r="D1298" s="2" t="s">
        <v>30</v>
      </c>
      <c r="E1298" s="2" t="s">
        <v>87</v>
      </c>
      <c r="F1298" s="2" t="s">
        <v>94</v>
      </c>
      <c r="G1298" s="3">
        <v>45547</v>
      </c>
      <c r="H1298" s="3">
        <v>45551</v>
      </c>
      <c r="I1298" s="2">
        <v>4</v>
      </c>
      <c r="J1298" s="2" t="s">
        <v>33</v>
      </c>
      <c r="K1298" s="2" t="s">
        <v>278</v>
      </c>
      <c r="L1298" s="2" t="s">
        <v>279</v>
      </c>
      <c r="M1298" s="2" t="s">
        <v>108</v>
      </c>
      <c r="N1298" s="2" t="s">
        <v>62</v>
      </c>
      <c r="O1298" s="2" t="s">
        <v>461</v>
      </c>
      <c r="P1298" s="2">
        <v>281</v>
      </c>
      <c r="Q1298" s="2" t="s">
        <v>103</v>
      </c>
      <c r="R1298" s="2" t="s">
        <v>40</v>
      </c>
      <c r="S1298" s="2">
        <v>41100</v>
      </c>
      <c r="T1298" s="2">
        <v>19678</v>
      </c>
      <c r="U1298" s="2">
        <v>21422</v>
      </c>
      <c r="V1298" s="2">
        <v>8307</v>
      </c>
      <c r="W1298" s="2">
        <v>28922</v>
      </c>
      <c r="X1298" s="2">
        <v>2195</v>
      </c>
      <c r="Y1298" s="2" t="s">
        <v>91</v>
      </c>
      <c r="Z1298" s="2">
        <v>63</v>
      </c>
      <c r="AA1298" s="2">
        <v>4.9000000000000004</v>
      </c>
      <c r="AB1298" s="2" t="s">
        <v>52</v>
      </c>
    </row>
    <row r="1299" spans="1:28" x14ac:dyDescent="0.25">
      <c r="A1299" s="4" t="s">
        <v>2048</v>
      </c>
      <c r="B1299" s="4" t="s">
        <v>974</v>
      </c>
      <c r="C1299" s="4">
        <v>8</v>
      </c>
      <c r="D1299" s="4" t="s">
        <v>55</v>
      </c>
      <c r="E1299" s="4" t="s">
        <v>45</v>
      </c>
      <c r="F1299" s="4" t="s">
        <v>46</v>
      </c>
      <c r="G1299" s="5">
        <v>44626</v>
      </c>
      <c r="H1299" s="5">
        <v>44643</v>
      </c>
      <c r="I1299" s="4">
        <v>17</v>
      </c>
      <c r="J1299" s="4" t="s">
        <v>33</v>
      </c>
      <c r="K1299" s="4" t="s">
        <v>197</v>
      </c>
      <c r="L1299" s="4" t="s">
        <v>198</v>
      </c>
      <c r="M1299" s="4" t="s">
        <v>101</v>
      </c>
      <c r="N1299" s="4" t="s">
        <v>109</v>
      </c>
      <c r="O1299" s="4" t="s">
        <v>271</v>
      </c>
      <c r="P1299" s="4">
        <v>206</v>
      </c>
      <c r="Q1299" s="4" t="s">
        <v>103</v>
      </c>
      <c r="R1299" s="4" t="s">
        <v>40</v>
      </c>
      <c r="S1299" s="4">
        <v>169080</v>
      </c>
      <c r="T1299" s="4">
        <v>83349</v>
      </c>
      <c r="U1299" s="4">
        <v>85731</v>
      </c>
      <c r="V1299" s="4">
        <v>141427</v>
      </c>
      <c r="W1299" s="4">
        <v>17711</v>
      </c>
      <c r="X1299" s="4">
        <v>8336</v>
      </c>
      <c r="Y1299" s="4" t="s">
        <v>91</v>
      </c>
      <c r="Z1299" s="4">
        <v>53</v>
      </c>
      <c r="AA1299" s="4">
        <v>2</v>
      </c>
      <c r="AB1299" s="4" t="s">
        <v>52</v>
      </c>
    </row>
    <row r="1300" spans="1:28" x14ac:dyDescent="0.25">
      <c r="A1300" s="2" t="s">
        <v>2049</v>
      </c>
      <c r="B1300" s="2" t="s">
        <v>635</v>
      </c>
      <c r="C1300" s="2">
        <v>33</v>
      </c>
      <c r="D1300" s="2" t="s">
        <v>55</v>
      </c>
      <c r="E1300" s="2" t="s">
        <v>122</v>
      </c>
      <c r="F1300" s="2" t="s">
        <v>57</v>
      </c>
      <c r="G1300" s="3">
        <v>44724</v>
      </c>
      <c r="H1300" s="3">
        <v>44734</v>
      </c>
      <c r="I1300" s="2">
        <v>10</v>
      </c>
      <c r="J1300" s="2" t="s">
        <v>73</v>
      </c>
      <c r="K1300" s="2" t="s">
        <v>74</v>
      </c>
      <c r="L1300" s="2" t="s">
        <v>73</v>
      </c>
      <c r="M1300" s="2" t="s">
        <v>143</v>
      </c>
      <c r="N1300" s="2" t="s">
        <v>118</v>
      </c>
      <c r="O1300" s="2" t="s">
        <v>382</v>
      </c>
      <c r="P1300" s="2">
        <v>10</v>
      </c>
      <c r="Q1300" s="2" t="s">
        <v>103</v>
      </c>
      <c r="R1300" s="2" t="s">
        <v>136</v>
      </c>
      <c r="S1300" s="2">
        <v>61910</v>
      </c>
      <c r="T1300" s="2">
        <v>0</v>
      </c>
      <c r="U1300" s="2">
        <v>61910</v>
      </c>
      <c r="V1300" s="2">
        <v>32880</v>
      </c>
      <c r="W1300" s="2">
        <v>15341</v>
      </c>
      <c r="X1300" s="2">
        <v>9808</v>
      </c>
      <c r="Y1300" s="2" t="s">
        <v>41</v>
      </c>
      <c r="Z1300" s="2">
        <v>57</v>
      </c>
      <c r="AA1300" s="2">
        <v>3.2</v>
      </c>
      <c r="AB1300" s="2" t="s">
        <v>137</v>
      </c>
    </row>
    <row r="1301" spans="1:28" x14ac:dyDescent="0.25">
      <c r="A1301" s="4" t="s">
        <v>2050</v>
      </c>
      <c r="B1301" s="4" t="s">
        <v>484</v>
      </c>
      <c r="C1301" s="4">
        <v>84</v>
      </c>
      <c r="D1301" s="4" t="s">
        <v>30</v>
      </c>
      <c r="E1301" s="4" t="s">
        <v>31</v>
      </c>
      <c r="F1301" s="4" t="s">
        <v>80</v>
      </c>
      <c r="G1301" s="5">
        <v>44766</v>
      </c>
      <c r="H1301" s="5">
        <v>44783</v>
      </c>
      <c r="I1301" s="4">
        <v>17</v>
      </c>
      <c r="J1301" s="4" t="s">
        <v>33</v>
      </c>
      <c r="K1301" s="4" t="s">
        <v>233</v>
      </c>
      <c r="L1301" s="4" t="s">
        <v>35</v>
      </c>
      <c r="M1301" s="4" t="s">
        <v>143</v>
      </c>
      <c r="N1301" s="4" t="s">
        <v>109</v>
      </c>
      <c r="O1301" s="4" t="s">
        <v>355</v>
      </c>
      <c r="P1301" s="4">
        <v>232</v>
      </c>
      <c r="Q1301" s="4" t="s">
        <v>50</v>
      </c>
      <c r="R1301" s="4" t="s">
        <v>111</v>
      </c>
      <c r="S1301" s="4">
        <v>25494</v>
      </c>
      <c r="T1301" s="4">
        <v>17207</v>
      </c>
      <c r="U1301" s="4">
        <v>8287</v>
      </c>
      <c r="V1301" s="4">
        <v>19597</v>
      </c>
      <c r="W1301" s="4">
        <v>1136</v>
      </c>
      <c r="X1301" s="4">
        <v>3218</v>
      </c>
      <c r="Y1301" s="4" t="s">
        <v>91</v>
      </c>
      <c r="Z1301" s="4">
        <v>97</v>
      </c>
      <c r="AA1301" s="4">
        <v>4.9000000000000004</v>
      </c>
      <c r="AB1301" s="4" t="s">
        <v>104</v>
      </c>
    </row>
    <row r="1302" spans="1:28" x14ac:dyDescent="0.25">
      <c r="A1302" s="2" t="s">
        <v>2051</v>
      </c>
      <c r="B1302" s="2" t="s">
        <v>437</v>
      </c>
      <c r="C1302" s="2">
        <v>64</v>
      </c>
      <c r="D1302" s="2" t="s">
        <v>30</v>
      </c>
      <c r="E1302" s="2" t="s">
        <v>56</v>
      </c>
      <c r="F1302" s="2" t="s">
        <v>129</v>
      </c>
      <c r="G1302" s="3">
        <v>45298</v>
      </c>
      <c r="H1302" s="3">
        <v>45301</v>
      </c>
      <c r="I1302" s="2">
        <v>3</v>
      </c>
      <c r="J1302" s="2" t="s">
        <v>58</v>
      </c>
      <c r="K1302" s="2" t="s">
        <v>88</v>
      </c>
      <c r="L1302" s="2" t="s">
        <v>60</v>
      </c>
      <c r="M1302" s="2" t="s">
        <v>101</v>
      </c>
      <c r="N1302" s="2" t="s">
        <v>62</v>
      </c>
      <c r="O1302" s="2" t="s">
        <v>438</v>
      </c>
      <c r="P1302" s="2">
        <v>473</v>
      </c>
      <c r="Q1302" s="2" t="s">
        <v>39</v>
      </c>
      <c r="R1302" s="2" t="s">
        <v>51</v>
      </c>
      <c r="S1302" s="2">
        <v>25692</v>
      </c>
      <c r="T1302" s="2">
        <v>13379</v>
      </c>
      <c r="U1302" s="2">
        <v>12313</v>
      </c>
      <c r="V1302" s="2">
        <v>8138</v>
      </c>
      <c r="W1302" s="2">
        <v>12036</v>
      </c>
      <c r="X1302" s="2">
        <v>1637</v>
      </c>
      <c r="Y1302" s="2" t="s">
        <v>91</v>
      </c>
      <c r="Z1302" s="2">
        <v>74</v>
      </c>
      <c r="AA1302" s="2">
        <v>4.4000000000000004</v>
      </c>
      <c r="AB1302" s="2" t="s">
        <v>64</v>
      </c>
    </row>
    <row r="1303" spans="1:28" x14ac:dyDescent="0.25">
      <c r="A1303" s="4" t="s">
        <v>2052</v>
      </c>
      <c r="B1303" s="4" t="s">
        <v>943</v>
      </c>
      <c r="C1303" s="4">
        <v>21</v>
      </c>
      <c r="D1303" s="4" t="s">
        <v>30</v>
      </c>
      <c r="E1303" s="4" t="s">
        <v>79</v>
      </c>
      <c r="F1303" s="4" t="s">
        <v>46</v>
      </c>
      <c r="G1303" s="5">
        <v>45557</v>
      </c>
      <c r="H1303" s="5">
        <v>45578</v>
      </c>
      <c r="I1303" s="4">
        <v>21</v>
      </c>
      <c r="J1303" s="4" t="s">
        <v>33</v>
      </c>
      <c r="K1303" s="4" t="s">
        <v>233</v>
      </c>
      <c r="L1303" s="4" t="s">
        <v>35</v>
      </c>
      <c r="M1303" s="4" t="s">
        <v>101</v>
      </c>
      <c r="N1303" s="4" t="s">
        <v>37</v>
      </c>
      <c r="O1303" s="4" t="s">
        <v>126</v>
      </c>
      <c r="P1303" s="4">
        <v>43</v>
      </c>
      <c r="Q1303" s="4" t="s">
        <v>50</v>
      </c>
      <c r="R1303" s="4" t="s">
        <v>40</v>
      </c>
      <c r="S1303" s="4">
        <v>156632</v>
      </c>
      <c r="T1303" s="4">
        <v>101613</v>
      </c>
      <c r="U1303" s="4">
        <v>55019</v>
      </c>
      <c r="V1303" s="4">
        <v>129160</v>
      </c>
      <c r="W1303" s="4">
        <v>13809</v>
      </c>
      <c r="X1303" s="4">
        <v>10518</v>
      </c>
      <c r="Y1303" s="4" t="s">
        <v>41</v>
      </c>
      <c r="Z1303" s="4">
        <v>94</v>
      </c>
      <c r="AA1303" s="4">
        <v>4.5999999999999996</v>
      </c>
      <c r="AB1303" s="4" t="s">
        <v>52</v>
      </c>
    </row>
    <row r="1304" spans="1:28" x14ac:dyDescent="0.25">
      <c r="A1304" s="2" t="s">
        <v>2053</v>
      </c>
      <c r="B1304" s="2" t="s">
        <v>1046</v>
      </c>
      <c r="C1304" s="2">
        <v>6</v>
      </c>
      <c r="D1304" s="2" t="s">
        <v>55</v>
      </c>
      <c r="E1304" s="2" t="s">
        <v>154</v>
      </c>
      <c r="F1304" s="2" t="s">
        <v>46</v>
      </c>
      <c r="G1304" s="3">
        <v>44867</v>
      </c>
      <c r="H1304" s="3">
        <v>44876</v>
      </c>
      <c r="I1304" s="2">
        <v>9</v>
      </c>
      <c r="J1304" s="2" t="s">
        <v>33</v>
      </c>
      <c r="K1304" s="2" t="s">
        <v>99</v>
      </c>
      <c r="L1304" s="2" t="s">
        <v>100</v>
      </c>
      <c r="M1304" s="2" t="s">
        <v>108</v>
      </c>
      <c r="N1304" s="2" t="s">
        <v>109</v>
      </c>
      <c r="O1304" s="2" t="s">
        <v>199</v>
      </c>
      <c r="P1304" s="2">
        <v>445</v>
      </c>
      <c r="Q1304" s="2" t="s">
        <v>103</v>
      </c>
      <c r="R1304" s="2" t="s">
        <v>40</v>
      </c>
      <c r="S1304" s="2">
        <v>138556</v>
      </c>
      <c r="T1304" s="2">
        <v>57150</v>
      </c>
      <c r="U1304" s="2">
        <v>81406</v>
      </c>
      <c r="V1304" s="2">
        <v>126116</v>
      </c>
      <c r="W1304" s="2">
        <v>3516</v>
      </c>
      <c r="X1304" s="2">
        <v>5418</v>
      </c>
      <c r="Y1304" s="2" t="s">
        <v>41</v>
      </c>
      <c r="Z1304" s="2">
        <v>93</v>
      </c>
      <c r="AA1304" s="2">
        <v>4.5</v>
      </c>
      <c r="AB1304" s="2" t="s">
        <v>104</v>
      </c>
    </row>
    <row r="1305" spans="1:28" x14ac:dyDescent="0.25">
      <c r="A1305" s="4" t="s">
        <v>2054</v>
      </c>
      <c r="B1305" s="4" t="s">
        <v>2055</v>
      </c>
      <c r="C1305" s="4">
        <v>9</v>
      </c>
      <c r="D1305" s="4" t="s">
        <v>55</v>
      </c>
      <c r="E1305" s="4" t="s">
        <v>67</v>
      </c>
      <c r="F1305" s="4" t="s">
        <v>114</v>
      </c>
      <c r="G1305" s="5">
        <v>44811</v>
      </c>
      <c r="H1305" s="5">
        <v>44841</v>
      </c>
      <c r="I1305" s="4">
        <v>30</v>
      </c>
      <c r="J1305" s="4" t="s">
        <v>140</v>
      </c>
      <c r="K1305" s="4" t="s">
        <v>167</v>
      </c>
      <c r="L1305" s="4" t="s">
        <v>142</v>
      </c>
      <c r="M1305" s="4" t="s">
        <v>101</v>
      </c>
      <c r="N1305" s="4" t="s">
        <v>109</v>
      </c>
      <c r="O1305" s="4" t="s">
        <v>1000</v>
      </c>
      <c r="P1305" s="4">
        <v>4</v>
      </c>
      <c r="Q1305" s="4" t="s">
        <v>103</v>
      </c>
      <c r="R1305" s="4" t="s">
        <v>90</v>
      </c>
      <c r="S1305" s="4">
        <v>30262</v>
      </c>
      <c r="T1305" s="4">
        <v>26086</v>
      </c>
      <c r="U1305" s="4">
        <v>4176</v>
      </c>
      <c r="V1305" s="4">
        <v>11424</v>
      </c>
      <c r="W1305" s="4">
        <v>9640</v>
      </c>
      <c r="X1305" s="4">
        <v>7941</v>
      </c>
      <c r="Y1305" s="4" t="s">
        <v>41</v>
      </c>
      <c r="Z1305" s="4">
        <v>87</v>
      </c>
      <c r="AA1305" s="4">
        <v>2.4</v>
      </c>
      <c r="AB1305" s="4" t="s">
        <v>104</v>
      </c>
    </row>
    <row r="1306" spans="1:28" x14ac:dyDescent="0.25">
      <c r="A1306" s="2" t="s">
        <v>2056</v>
      </c>
      <c r="B1306" s="2" t="s">
        <v>2057</v>
      </c>
      <c r="C1306" s="2">
        <v>83</v>
      </c>
      <c r="D1306" s="2" t="s">
        <v>55</v>
      </c>
      <c r="E1306" s="2" t="s">
        <v>45</v>
      </c>
      <c r="F1306" s="2" t="s">
        <v>114</v>
      </c>
      <c r="G1306" s="3">
        <v>44854</v>
      </c>
      <c r="H1306" s="3">
        <v>44883</v>
      </c>
      <c r="I1306" s="2">
        <v>29</v>
      </c>
      <c r="J1306" s="2" t="s">
        <v>58</v>
      </c>
      <c r="K1306" s="2" t="s">
        <v>59</v>
      </c>
      <c r="L1306" s="2" t="s">
        <v>60</v>
      </c>
      <c r="M1306" s="2" t="s">
        <v>108</v>
      </c>
      <c r="N1306" s="2" t="s">
        <v>109</v>
      </c>
      <c r="O1306" s="2" t="s">
        <v>438</v>
      </c>
      <c r="P1306" s="2">
        <v>497</v>
      </c>
      <c r="Q1306" s="2" t="s">
        <v>69</v>
      </c>
      <c r="R1306" s="2" t="s">
        <v>40</v>
      </c>
      <c r="S1306" s="2">
        <v>83575</v>
      </c>
      <c r="T1306" s="2">
        <v>38394</v>
      </c>
      <c r="U1306" s="2">
        <v>45181</v>
      </c>
      <c r="V1306" s="2">
        <v>73638</v>
      </c>
      <c r="W1306" s="2">
        <v>3572</v>
      </c>
      <c r="X1306" s="2">
        <v>5102</v>
      </c>
      <c r="Y1306" s="2" t="s">
        <v>91</v>
      </c>
      <c r="Z1306" s="2">
        <v>46</v>
      </c>
      <c r="AA1306" s="2">
        <v>2.2999999999999998</v>
      </c>
      <c r="AB1306" s="2" t="s">
        <v>42</v>
      </c>
    </row>
    <row r="1307" spans="1:28" x14ac:dyDescent="0.25">
      <c r="A1307" s="4" t="s">
        <v>2058</v>
      </c>
      <c r="B1307" s="4" t="s">
        <v>29</v>
      </c>
      <c r="C1307" s="4">
        <v>44</v>
      </c>
      <c r="D1307" s="4" t="s">
        <v>55</v>
      </c>
      <c r="E1307" s="4" t="s">
        <v>45</v>
      </c>
      <c r="F1307" s="4" t="s">
        <v>157</v>
      </c>
      <c r="G1307" s="5">
        <v>45036</v>
      </c>
      <c r="H1307" s="5">
        <v>45042</v>
      </c>
      <c r="I1307" s="4">
        <v>6</v>
      </c>
      <c r="J1307" s="4" t="s">
        <v>33</v>
      </c>
      <c r="K1307" s="4" t="s">
        <v>47</v>
      </c>
      <c r="L1307" s="4" t="s">
        <v>48</v>
      </c>
      <c r="M1307" s="4" t="s">
        <v>83</v>
      </c>
      <c r="N1307" s="4" t="s">
        <v>62</v>
      </c>
      <c r="O1307" s="4" t="s">
        <v>471</v>
      </c>
      <c r="P1307" s="4">
        <v>231</v>
      </c>
      <c r="Q1307" s="4" t="s">
        <v>69</v>
      </c>
      <c r="R1307" s="4" t="s">
        <v>51</v>
      </c>
      <c r="S1307" s="4">
        <v>117516</v>
      </c>
      <c r="T1307" s="4">
        <v>74942</v>
      </c>
      <c r="U1307" s="4">
        <v>42574</v>
      </c>
      <c r="V1307" s="4">
        <v>99675</v>
      </c>
      <c r="W1307" s="4">
        <v>14568</v>
      </c>
      <c r="X1307" s="4">
        <v>522</v>
      </c>
      <c r="Y1307" s="4" t="s">
        <v>41</v>
      </c>
      <c r="Z1307" s="4">
        <v>97</v>
      </c>
      <c r="AA1307" s="4">
        <v>3.2</v>
      </c>
      <c r="AB1307" s="4" t="s">
        <v>104</v>
      </c>
    </row>
    <row r="1308" spans="1:28" x14ac:dyDescent="0.25">
      <c r="A1308" s="2" t="s">
        <v>2059</v>
      </c>
      <c r="B1308" s="2" t="s">
        <v>2060</v>
      </c>
      <c r="C1308" s="2">
        <v>63</v>
      </c>
      <c r="D1308" s="2" t="s">
        <v>55</v>
      </c>
      <c r="E1308" s="2" t="s">
        <v>56</v>
      </c>
      <c r="F1308" s="2" t="s">
        <v>57</v>
      </c>
      <c r="G1308" s="3">
        <v>44967</v>
      </c>
      <c r="H1308" s="3">
        <v>44971</v>
      </c>
      <c r="I1308" s="2">
        <v>4</v>
      </c>
      <c r="J1308" s="2" t="s">
        <v>140</v>
      </c>
      <c r="K1308" s="2" t="s">
        <v>167</v>
      </c>
      <c r="L1308" s="2" t="s">
        <v>142</v>
      </c>
      <c r="M1308" s="2" t="s">
        <v>108</v>
      </c>
      <c r="N1308" s="2" t="s">
        <v>118</v>
      </c>
      <c r="O1308" s="2" t="s">
        <v>416</v>
      </c>
      <c r="P1308" s="2">
        <v>65</v>
      </c>
      <c r="Q1308" s="2" t="s">
        <v>39</v>
      </c>
      <c r="R1308" s="2" t="s">
        <v>111</v>
      </c>
      <c r="S1308" s="2">
        <v>124627</v>
      </c>
      <c r="T1308" s="2">
        <v>104334</v>
      </c>
      <c r="U1308" s="2">
        <v>20293</v>
      </c>
      <c r="V1308" s="2">
        <v>91015</v>
      </c>
      <c r="W1308" s="2">
        <v>22672</v>
      </c>
      <c r="X1308" s="2">
        <v>8239</v>
      </c>
      <c r="Y1308" s="2" t="s">
        <v>41</v>
      </c>
      <c r="Z1308" s="2">
        <v>57</v>
      </c>
      <c r="AA1308" s="2">
        <v>2.1</v>
      </c>
      <c r="AB1308" s="2" t="s">
        <v>64</v>
      </c>
    </row>
    <row r="1309" spans="1:28" x14ac:dyDescent="0.25">
      <c r="A1309" s="4" t="s">
        <v>2061</v>
      </c>
      <c r="B1309" s="4" t="s">
        <v>677</v>
      </c>
      <c r="C1309" s="4">
        <v>38</v>
      </c>
      <c r="D1309" s="4" t="s">
        <v>30</v>
      </c>
      <c r="E1309" s="4" t="s">
        <v>87</v>
      </c>
      <c r="F1309" s="4" t="s">
        <v>57</v>
      </c>
      <c r="G1309" s="5">
        <v>45032</v>
      </c>
      <c r="H1309" s="5">
        <v>45040</v>
      </c>
      <c r="I1309" s="4">
        <v>8</v>
      </c>
      <c r="J1309" s="4" t="s">
        <v>33</v>
      </c>
      <c r="K1309" s="4" t="s">
        <v>233</v>
      </c>
      <c r="L1309" s="4" t="s">
        <v>35</v>
      </c>
      <c r="M1309" s="4" t="s">
        <v>61</v>
      </c>
      <c r="N1309" s="4" t="s">
        <v>37</v>
      </c>
      <c r="O1309" s="4" t="s">
        <v>326</v>
      </c>
      <c r="P1309" s="4">
        <v>46</v>
      </c>
      <c r="Q1309" s="4" t="s">
        <v>39</v>
      </c>
      <c r="R1309" s="4" t="s">
        <v>111</v>
      </c>
      <c r="S1309" s="4">
        <v>91309</v>
      </c>
      <c r="T1309" s="4">
        <v>55249</v>
      </c>
      <c r="U1309" s="4">
        <v>36060</v>
      </c>
      <c r="V1309" s="4">
        <v>83763</v>
      </c>
      <c r="W1309" s="4">
        <v>3320</v>
      </c>
      <c r="X1309" s="4">
        <v>570</v>
      </c>
      <c r="Y1309" s="4" t="s">
        <v>41</v>
      </c>
      <c r="Z1309" s="4">
        <v>88</v>
      </c>
      <c r="AA1309" s="4">
        <v>4.4000000000000004</v>
      </c>
      <c r="AB1309" s="4" t="s">
        <v>52</v>
      </c>
    </row>
    <row r="1310" spans="1:28" x14ac:dyDescent="0.25">
      <c r="A1310" s="2" t="s">
        <v>2062</v>
      </c>
      <c r="B1310" s="2" t="s">
        <v>1740</v>
      </c>
      <c r="C1310" s="2">
        <v>76</v>
      </c>
      <c r="D1310" s="2" t="s">
        <v>55</v>
      </c>
      <c r="E1310" s="2" t="s">
        <v>45</v>
      </c>
      <c r="F1310" s="2" t="s">
        <v>150</v>
      </c>
      <c r="G1310" s="3">
        <v>45374</v>
      </c>
      <c r="H1310" s="3">
        <v>45382</v>
      </c>
      <c r="I1310" s="2">
        <v>8</v>
      </c>
      <c r="J1310" s="2" t="s">
        <v>202</v>
      </c>
      <c r="K1310" s="2" t="s">
        <v>203</v>
      </c>
      <c r="L1310" s="2" t="s">
        <v>204</v>
      </c>
      <c r="M1310" s="2" t="s">
        <v>36</v>
      </c>
      <c r="N1310" s="2" t="s">
        <v>62</v>
      </c>
      <c r="O1310" s="2" t="s">
        <v>295</v>
      </c>
      <c r="P1310" s="2">
        <v>208</v>
      </c>
      <c r="Q1310" s="2" t="s">
        <v>50</v>
      </c>
      <c r="R1310" s="2" t="s">
        <v>136</v>
      </c>
      <c r="S1310" s="2">
        <v>142382</v>
      </c>
      <c r="T1310" s="2">
        <v>0</v>
      </c>
      <c r="U1310" s="2">
        <v>142382</v>
      </c>
      <c r="V1310" s="2">
        <v>111693</v>
      </c>
      <c r="W1310" s="2">
        <v>26782</v>
      </c>
      <c r="X1310" s="2">
        <v>2050</v>
      </c>
      <c r="Y1310" s="2" t="s">
        <v>41</v>
      </c>
      <c r="Z1310" s="2">
        <v>65</v>
      </c>
      <c r="AA1310" s="2">
        <v>2.1</v>
      </c>
      <c r="AB1310" s="2" t="s">
        <v>52</v>
      </c>
    </row>
    <row r="1311" spans="1:28" x14ac:dyDescent="0.25">
      <c r="A1311" s="4" t="s">
        <v>2063</v>
      </c>
      <c r="B1311" s="4" t="s">
        <v>1487</v>
      </c>
      <c r="C1311" s="4">
        <v>40</v>
      </c>
      <c r="D1311" s="4" t="s">
        <v>30</v>
      </c>
      <c r="E1311" s="4" t="s">
        <v>79</v>
      </c>
      <c r="F1311" s="4" t="s">
        <v>94</v>
      </c>
      <c r="G1311" s="5">
        <v>45381</v>
      </c>
      <c r="H1311" s="5">
        <v>45396</v>
      </c>
      <c r="I1311" s="4">
        <v>15</v>
      </c>
      <c r="J1311" s="4" t="s">
        <v>33</v>
      </c>
      <c r="K1311" s="4" t="s">
        <v>233</v>
      </c>
      <c r="L1311" s="4" t="s">
        <v>35</v>
      </c>
      <c r="M1311" s="4" t="s">
        <v>75</v>
      </c>
      <c r="N1311" s="4" t="s">
        <v>37</v>
      </c>
      <c r="O1311" s="4" t="s">
        <v>259</v>
      </c>
      <c r="P1311" s="4">
        <v>303</v>
      </c>
      <c r="Q1311" s="4" t="s">
        <v>50</v>
      </c>
      <c r="R1311" s="4" t="s">
        <v>51</v>
      </c>
      <c r="S1311" s="4">
        <v>95042</v>
      </c>
      <c r="T1311" s="4">
        <v>38362</v>
      </c>
      <c r="U1311" s="4">
        <v>56680</v>
      </c>
      <c r="V1311" s="4">
        <v>71145</v>
      </c>
      <c r="W1311" s="4">
        <v>17933</v>
      </c>
      <c r="X1311" s="4">
        <v>1636</v>
      </c>
      <c r="Y1311" s="4" t="s">
        <v>41</v>
      </c>
      <c r="Z1311" s="4">
        <v>65</v>
      </c>
      <c r="AA1311" s="4">
        <v>4.4000000000000004</v>
      </c>
      <c r="AB1311" s="4" t="s">
        <v>104</v>
      </c>
    </row>
    <row r="1312" spans="1:28" x14ac:dyDescent="0.25">
      <c r="A1312" s="2" t="s">
        <v>2064</v>
      </c>
      <c r="B1312" s="2" t="s">
        <v>2065</v>
      </c>
      <c r="C1312" s="2">
        <v>64</v>
      </c>
      <c r="D1312" s="2" t="s">
        <v>55</v>
      </c>
      <c r="E1312" s="2" t="s">
        <v>56</v>
      </c>
      <c r="F1312" s="2" t="s">
        <v>150</v>
      </c>
      <c r="G1312" s="3">
        <v>45557</v>
      </c>
      <c r="H1312" s="3">
        <v>45582</v>
      </c>
      <c r="I1312" s="2">
        <v>25</v>
      </c>
      <c r="J1312" s="2" t="s">
        <v>73</v>
      </c>
      <c r="K1312" s="2" t="s">
        <v>74</v>
      </c>
      <c r="L1312" s="2" t="s">
        <v>73</v>
      </c>
      <c r="M1312" s="2" t="s">
        <v>95</v>
      </c>
      <c r="N1312" s="2" t="s">
        <v>118</v>
      </c>
      <c r="O1312" s="2" t="s">
        <v>382</v>
      </c>
      <c r="P1312" s="2">
        <v>415</v>
      </c>
      <c r="Q1312" s="2" t="s">
        <v>39</v>
      </c>
      <c r="R1312" s="2" t="s">
        <v>90</v>
      </c>
      <c r="S1312" s="2">
        <v>143323</v>
      </c>
      <c r="T1312" s="2">
        <v>126049</v>
      </c>
      <c r="U1312" s="2">
        <v>17274</v>
      </c>
      <c r="V1312" s="2">
        <v>121431</v>
      </c>
      <c r="W1312" s="2">
        <v>18295</v>
      </c>
      <c r="X1312" s="2">
        <v>2191</v>
      </c>
      <c r="Y1312" s="2" t="s">
        <v>91</v>
      </c>
      <c r="Z1312" s="2">
        <v>46</v>
      </c>
      <c r="AA1312" s="2">
        <v>3.7</v>
      </c>
      <c r="AB1312" s="2" t="s">
        <v>137</v>
      </c>
    </row>
    <row r="1313" spans="1:28" x14ac:dyDescent="0.25">
      <c r="A1313" s="4" t="s">
        <v>2066</v>
      </c>
      <c r="B1313" s="4" t="s">
        <v>1687</v>
      </c>
      <c r="C1313" s="4">
        <v>9</v>
      </c>
      <c r="D1313" s="4" t="s">
        <v>30</v>
      </c>
      <c r="E1313" s="4" t="s">
        <v>122</v>
      </c>
      <c r="F1313" s="4" t="s">
        <v>129</v>
      </c>
      <c r="G1313" s="5">
        <v>44752</v>
      </c>
      <c r="H1313" s="5">
        <v>44761</v>
      </c>
      <c r="I1313" s="4">
        <v>9</v>
      </c>
      <c r="J1313" s="4" t="s">
        <v>58</v>
      </c>
      <c r="K1313" s="4" t="s">
        <v>59</v>
      </c>
      <c r="L1313" s="4" t="s">
        <v>60</v>
      </c>
      <c r="M1313" s="4" t="s">
        <v>36</v>
      </c>
      <c r="N1313" s="4" t="s">
        <v>118</v>
      </c>
      <c r="O1313" s="4" t="s">
        <v>379</v>
      </c>
      <c r="P1313" s="4">
        <v>217</v>
      </c>
      <c r="Q1313" s="4" t="s">
        <v>103</v>
      </c>
      <c r="R1313" s="4" t="s">
        <v>136</v>
      </c>
      <c r="S1313" s="4">
        <v>82311</v>
      </c>
      <c r="T1313" s="4">
        <v>0</v>
      </c>
      <c r="U1313" s="4">
        <v>82311</v>
      </c>
      <c r="V1313" s="4">
        <v>64624</v>
      </c>
      <c r="W1313" s="4">
        <v>8614</v>
      </c>
      <c r="X1313" s="4">
        <v>4322</v>
      </c>
      <c r="Y1313" s="4" t="s">
        <v>41</v>
      </c>
      <c r="Z1313" s="4">
        <v>76</v>
      </c>
      <c r="AA1313" s="4">
        <v>4.2</v>
      </c>
      <c r="AB1313" s="4" t="s">
        <v>52</v>
      </c>
    </row>
    <row r="1314" spans="1:28" x14ac:dyDescent="0.25">
      <c r="A1314" s="2" t="s">
        <v>2067</v>
      </c>
      <c r="B1314" s="2" t="s">
        <v>888</v>
      </c>
      <c r="C1314" s="2">
        <v>34</v>
      </c>
      <c r="D1314" s="2" t="s">
        <v>55</v>
      </c>
      <c r="E1314" s="2" t="s">
        <v>87</v>
      </c>
      <c r="F1314" s="2" t="s">
        <v>57</v>
      </c>
      <c r="G1314" s="3">
        <v>44994</v>
      </c>
      <c r="H1314" s="3">
        <v>45018</v>
      </c>
      <c r="I1314" s="2">
        <v>24</v>
      </c>
      <c r="J1314" s="2" t="s">
        <v>73</v>
      </c>
      <c r="K1314" s="2" t="s">
        <v>74</v>
      </c>
      <c r="L1314" s="2" t="s">
        <v>73</v>
      </c>
      <c r="M1314" s="2" t="s">
        <v>61</v>
      </c>
      <c r="N1314" s="2" t="s">
        <v>62</v>
      </c>
      <c r="O1314" s="2" t="s">
        <v>428</v>
      </c>
      <c r="P1314" s="2">
        <v>317</v>
      </c>
      <c r="Q1314" s="2" t="s">
        <v>39</v>
      </c>
      <c r="R1314" s="2" t="s">
        <v>111</v>
      </c>
      <c r="S1314" s="2">
        <v>131039</v>
      </c>
      <c r="T1314" s="2">
        <v>106835</v>
      </c>
      <c r="U1314" s="2">
        <v>24204</v>
      </c>
      <c r="V1314" s="2">
        <v>110963</v>
      </c>
      <c r="W1314" s="2">
        <v>12402</v>
      </c>
      <c r="X1314" s="2">
        <v>4013</v>
      </c>
      <c r="Y1314" s="2" t="s">
        <v>41</v>
      </c>
      <c r="Z1314" s="2">
        <v>79</v>
      </c>
      <c r="AA1314" s="2">
        <v>3.4</v>
      </c>
      <c r="AB1314" s="2" t="s">
        <v>137</v>
      </c>
    </row>
    <row r="1315" spans="1:28" x14ac:dyDescent="0.25">
      <c r="A1315" s="4" t="s">
        <v>2068</v>
      </c>
      <c r="B1315" s="4" t="s">
        <v>219</v>
      </c>
      <c r="C1315" s="4">
        <v>63</v>
      </c>
      <c r="D1315" s="4" t="s">
        <v>55</v>
      </c>
      <c r="E1315" s="4" t="s">
        <v>79</v>
      </c>
      <c r="F1315" s="4" t="s">
        <v>114</v>
      </c>
      <c r="G1315" s="5">
        <v>44878</v>
      </c>
      <c r="H1315" s="5">
        <v>44887</v>
      </c>
      <c r="I1315" s="4">
        <v>9</v>
      </c>
      <c r="J1315" s="4" t="s">
        <v>202</v>
      </c>
      <c r="K1315" s="4" t="s">
        <v>225</v>
      </c>
      <c r="L1315" s="4" t="s">
        <v>226</v>
      </c>
      <c r="M1315" s="4" t="s">
        <v>143</v>
      </c>
      <c r="N1315" s="4" t="s">
        <v>109</v>
      </c>
      <c r="O1315" s="4" t="s">
        <v>673</v>
      </c>
      <c r="P1315" s="4">
        <v>434</v>
      </c>
      <c r="Q1315" s="4" t="s">
        <v>103</v>
      </c>
      <c r="R1315" s="4" t="s">
        <v>136</v>
      </c>
      <c r="S1315" s="4">
        <v>109680</v>
      </c>
      <c r="T1315" s="4">
        <v>0</v>
      </c>
      <c r="U1315" s="4">
        <v>109680</v>
      </c>
      <c r="V1315" s="4">
        <v>68858</v>
      </c>
      <c r="W1315" s="4">
        <v>28380</v>
      </c>
      <c r="X1315" s="4">
        <v>10686</v>
      </c>
      <c r="Y1315" s="4" t="s">
        <v>41</v>
      </c>
      <c r="Z1315" s="4">
        <v>82</v>
      </c>
      <c r="AA1315" s="4">
        <v>4.4000000000000004</v>
      </c>
      <c r="AB1315" s="4" t="s">
        <v>42</v>
      </c>
    </row>
    <row r="1316" spans="1:28" x14ac:dyDescent="0.25">
      <c r="A1316" s="2" t="s">
        <v>2069</v>
      </c>
      <c r="B1316" s="2" t="s">
        <v>444</v>
      </c>
      <c r="C1316" s="2">
        <v>38</v>
      </c>
      <c r="D1316" s="2" t="s">
        <v>55</v>
      </c>
      <c r="E1316" s="2" t="s">
        <v>31</v>
      </c>
      <c r="F1316" s="2" t="s">
        <v>46</v>
      </c>
      <c r="G1316" s="3">
        <v>44973</v>
      </c>
      <c r="H1316" s="3">
        <v>44999</v>
      </c>
      <c r="I1316" s="2">
        <v>26</v>
      </c>
      <c r="J1316" s="2" t="s">
        <v>33</v>
      </c>
      <c r="K1316" s="2" t="s">
        <v>34</v>
      </c>
      <c r="L1316" s="2" t="s">
        <v>35</v>
      </c>
      <c r="M1316" s="2" t="s">
        <v>101</v>
      </c>
      <c r="N1316" s="2" t="s">
        <v>37</v>
      </c>
      <c r="O1316" s="2" t="s">
        <v>373</v>
      </c>
      <c r="P1316" s="2">
        <v>221</v>
      </c>
      <c r="Q1316" s="2" t="s">
        <v>69</v>
      </c>
      <c r="R1316" s="2" t="s">
        <v>136</v>
      </c>
      <c r="S1316" s="2">
        <v>132033</v>
      </c>
      <c r="T1316" s="2">
        <v>0</v>
      </c>
      <c r="U1316" s="2">
        <v>132033</v>
      </c>
      <c r="V1316" s="2">
        <v>100377</v>
      </c>
      <c r="W1316" s="2">
        <v>19324</v>
      </c>
      <c r="X1316" s="2">
        <v>11003</v>
      </c>
      <c r="Y1316" s="2" t="s">
        <v>41</v>
      </c>
      <c r="Z1316" s="2">
        <v>54</v>
      </c>
      <c r="AA1316" s="2">
        <v>4.5</v>
      </c>
      <c r="AB1316" s="2" t="s">
        <v>137</v>
      </c>
    </row>
    <row r="1317" spans="1:28" x14ac:dyDescent="0.25">
      <c r="A1317" s="4" t="s">
        <v>2070</v>
      </c>
      <c r="B1317" s="4" t="s">
        <v>180</v>
      </c>
      <c r="C1317" s="4">
        <v>20</v>
      </c>
      <c r="D1317" s="4" t="s">
        <v>55</v>
      </c>
      <c r="E1317" s="4" t="s">
        <v>67</v>
      </c>
      <c r="F1317" s="4" t="s">
        <v>129</v>
      </c>
      <c r="G1317" s="5">
        <v>45256</v>
      </c>
      <c r="H1317" s="5">
        <v>45257</v>
      </c>
      <c r="I1317" s="4">
        <v>1</v>
      </c>
      <c r="J1317" s="4" t="s">
        <v>115</v>
      </c>
      <c r="K1317" s="4" t="s">
        <v>116</v>
      </c>
      <c r="L1317" s="4" t="s">
        <v>117</v>
      </c>
      <c r="M1317" s="4" t="s">
        <v>75</v>
      </c>
      <c r="N1317" s="4" t="s">
        <v>109</v>
      </c>
      <c r="O1317" s="4" t="s">
        <v>461</v>
      </c>
      <c r="P1317" s="4">
        <v>202</v>
      </c>
      <c r="Q1317" s="4" t="s">
        <v>50</v>
      </c>
      <c r="R1317" s="4" t="s">
        <v>111</v>
      </c>
      <c r="S1317" s="4">
        <v>102637</v>
      </c>
      <c r="T1317" s="4">
        <v>82950</v>
      </c>
      <c r="U1317" s="4">
        <v>19687</v>
      </c>
      <c r="V1317" s="4">
        <v>59690</v>
      </c>
      <c r="W1317" s="4">
        <v>27856</v>
      </c>
      <c r="X1317" s="4">
        <v>10208</v>
      </c>
      <c r="Y1317" s="4" t="s">
        <v>41</v>
      </c>
      <c r="Z1317" s="4">
        <v>46</v>
      </c>
      <c r="AA1317" s="4">
        <v>4.8</v>
      </c>
      <c r="AB1317" s="4" t="s">
        <v>52</v>
      </c>
    </row>
    <row r="1318" spans="1:28" x14ac:dyDescent="0.25">
      <c r="A1318" s="2" t="s">
        <v>2071</v>
      </c>
      <c r="B1318" s="2" t="s">
        <v>1736</v>
      </c>
      <c r="C1318" s="2">
        <v>5</v>
      </c>
      <c r="D1318" s="2" t="s">
        <v>55</v>
      </c>
      <c r="E1318" s="2" t="s">
        <v>31</v>
      </c>
      <c r="F1318" s="2" t="s">
        <v>46</v>
      </c>
      <c r="G1318" s="3">
        <v>44832</v>
      </c>
      <c r="H1318" s="3">
        <v>44848</v>
      </c>
      <c r="I1318" s="2">
        <v>16</v>
      </c>
      <c r="J1318" s="2" t="s">
        <v>33</v>
      </c>
      <c r="K1318" s="2" t="s">
        <v>34</v>
      </c>
      <c r="L1318" s="2" t="s">
        <v>35</v>
      </c>
      <c r="M1318" s="2" t="s">
        <v>108</v>
      </c>
      <c r="N1318" s="2" t="s">
        <v>37</v>
      </c>
      <c r="O1318" s="2" t="s">
        <v>147</v>
      </c>
      <c r="P1318" s="2">
        <v>186</v>
      </c>
      <c r="Q1318" s="2" t="s">
        <v>50</v>
      </c>
      <c r="R1318" s="2" t="s">
        <v>40</v>
      </c>
      <c r="S1318" s="2">
        <v>33956</v>
      </c>
      <c r="T1318" s="2">
        <v>17549</v>
      </c>
      <c r="U1318" s="2">
        <v>16407</v>
      </c>
      <c r="V1318" s="2">
        <v>19355</v>
      </c>
      <c r="W1318" s="2">
        <v>11789</v>
      </c>
      <c r="X1318" s="2">
        <v>890</v>
      </c>
      <c r="Y1318" s="2" t="s">
        <v>91</v>
      </c>
      <c r="Z1318" s="2">
        <v>43</v>
      </c>
      <c r="AA1318" s="2">
        <v>4</v>
      </c>
      <c r="AB1318" s="2" t="s">
        <v>104</v>
      </c>
    </row>
    <row r="1319" spans="1:28" x14ac:dyDescent="0.25">
      <c r="A1319" s="4" t="s">
        <v>2072</v>
      </c>
      <c r="B1319" s="4" t="s">
        <v>1660</v>
      </c>
      <c r="C1319" s="4">
        <v>15</v>
      </c>
      <c r="D1319" s="4" t="s">
        <v>30</v>
      </c>
      <c r="E1319" s="4" t="s">
        <v>67</v>
      </c>
      <c r="F1319" s="4" t="s">
        <v>157</v>
      </c>
      <c r="G1319" s="5">
        <v>45412</v>
      </c>
      <c r="H1319" s="5">
        <v>45415</v>
      </c>
      <c r="I1319" s="4">
        <v>3</v>
      </c>
      <c r="J1319" s="4" t="s">
        <v>33</v>
      </c>
      <c r="K1319" s="4" t="s">
        <v>278</v>
      </c>
      <c r="L1319" s="4" t="s">
        <v>279</v>
      </c>
      <c r="M1319" s="4" t="s">
        <v>61</v>
      </c>
      <c r="N1319" s="4" t="s">
        <v>118</v>
      </c>
      <c r="O1319" s="4" t="s">
        <v>211</v>
      </c>
      <c r="P1319" s="4">
        <v>321</v>
      </c>
      <c r="Q1319" s="4" t="s">
        <v>69</v>
      </c>
      <c r="R1319" s="4" t="s">
        <v>40</v>
      </c>
      <c r="S1319" s="4">
        <v>61818</v>
      </c>
      <c r="T1319" s="4">
        <v>25597</v>
      </c>
      <c r="U1319" s="4">
        <v>36221</v>
      </c>
      <c r="V1319" s="4">
        <v>27995</v>
      </c>
      <c r="W1319" s="4">
        <v>29030</v>
      </c>
      <c r="X1319" s="4">
        <v>4284</v>
      </c>
      <c r="Y1319" s="4" t="s">
        <v>41</v>
      </c>
      <c r="Z1319" s="4">
        <v>72</v>
      </c>
      <c r="AA1319" s="4">
        <v>2.4</v>
      </c>
      <c r="AB1319" s="4" t="s">
        <v>64</v>
      </c>
    </row>
    <row r="1320" spans="1:28" x14ac:dyDescent="0.25">
      <c r="A1320" s="2" t="s">
        <v>2073</v>
      </c>
      <c r="B1320" s="2" t="s">
        <v>758</v>
      </c>
      <c r="C1320" s="2">
        <v>53</v>
      </c>
      <c r="D1320" s="2" t="s">
        <v>55</v>
      </c>
      <c r="E1320" s="2" t="s">
        <v>67</v>
      </c>
      <c r="F1320" s="2" t="s">
        <v>150</v>
      </c>
      <c r="G1320" s="3">
        <v>44823</v>
      </c>
      <c r="H1320" s="3">
        <v>44830</v>
      </c>
      <c r="I1320" s="2">
        <v>7</v>
      </c>
      <c r="J1320" s="2" t="s">
        <v>115</v>
      </c>
      <c r="K1320" s="2" t="s">
        <v>160</v>
      </c>
      <c r="L1320" s="2" t="s">
        <v>117</v>
      </c>
      <c r="M1320" s="2" t="s">
        <v>130</v>
      </c>
      <c r="N1320" s="2" t="s">
        <v>118</v>
      </c>
      <c r="O1320" s="2" t="s">
        <v>84</v>
      </c>
      <c r="P1320" s="2">
        <v>64</v>
      </c>
      <c r="Q1320" s="2" t="s">
        <v>103</v>
      </c>
      <c r="R1320" s="2" t="s">
        <v>111</v>
      </c>
      <c r="S1320" s="2">
        <v>101543</v>
      </c>
      <c r="T1320" s="2">
        <v>90457</v>
      </c>
      <c r="U1320" s="2">
        <v>11086</v>
      </c>
      <c r="V1320" s="2">
        <v>69228</v>
      </c>
      <c r="W1320" s="2">
        <v>21582</v>
      </c>
      <c r="X1320" s="2">
        <v>7261</v>
      </c>
      <c r="Y1320" s="2" t="s">
        <v>41</v>
      </c>
      <c r="Z1320" s="2">
        <v>44</v>
      </c>
      <c r="AA1320" s="2">
        <v>3.8</v>
      </c>
      <c r="AB1320" s="2" t="s">
        <v>64</v>
      </c>
    </row>
    <row r="1321" spans="1:28" x14ac:dyDescent="0.25">
      <c r="A1321" s="4" t="s">
        <v>2074</v>
      </c>
      <c r="B1321" s="4" t="s">
        <v>612</v>
      </c>
      <c r="C1321" s="4">
        <v>75</v>
      </c>
      <c r="D1321" s="4" t="s">
        <v>55</v>
      </c>
      <c r="E1321" s="4" t="s">
        <v>154</v>
      </c>
      <c r="F1321" s="4" t="s">
        <v>57</v>
      </c>
      <c r="G1321" s="5">
        <v>45403</v>
      </c>
      <c r="H1321" s="5">
        <v>45410</v>
      </c>
      <c r="I1321" s="4">
        <v>7</v>
      </c>
      <c r="J1321" s="4" t="s">
        <v>202</v>
      </c>
      <c r="K1321" s="4" t="s">
        <v>203</v>
      </c>
      <c r="L1321" s="4" t="s">
        <v>204</v>
      </c>
      <c r="M1321" s="4" t="s">
        <v>108</v>
      </c>
      <c r="N1321" s="4" t="s">
        <v>118</v>
      </c>
      <c r="O1321" s="4" t="s">
        <v>178</v>
      </c>
      <c r="P1321" s="4">
        <v>197</v>
      </c>
      <c r="Q1321" s="4" t="s">
        <v>69</v>
      </c>
      <c r="R1321" s="4" t="s">
        <v>40</v>
      </c>
      <c r="S1321" s="4">
        <v>26205</v>
      </c>
      <c r="T1321" s="4">
        <v>12540</v>
      </c>
      <c r="U1321" s="4">
        <v>13665</v>
      </c>
      <c r="V1321" s="4">
        <v>12616</v>
      </c>
      <c r="W1321" s="4">
        <v>6096</v>
      </c>
      <c r="X1321" s="4">
        <v>3606</v>
      </c>
      <c r="Y1321" s="4" t="s">
        <v>91</v>
      </c>
      <c r="Z1321" s="4">
        <v>80</v>
      </c>
      <c r="AA1321" s="4">
        <v>3.3</v>
      </c>
      <c r="AB1321" s="4" t="s">
        <v>64</v>
      </c>
    </row>
    <row r="1322" spans="1:28" x14ac:dyDescent="0.25">
      <c r="A1322" s="2" t="s">
        <v>2075</v>
      </c>
      <c r="B1322" s="2" t="s">
        <v>576</v>
      </c>
      <c r="C1322" s="2">
        <v>29</v>
      </c>
      <c r="D1322" s="2" t="s">
        <v>30</v>
      </c>
      <c r="E1322" s="2" t="s">
        <v>56</v>
      </c>
      <c r="F1322" s="2" t="s">
        <v>114</v>
      </c>
      <c r="G1322" s="3">
        <v>45509</v>
      </c>
      <c r="H1322" s="3">
        <v>45523</v>
      </c>
      <c r="I1322" s="2">
        <v>14</v>
      </c>
      <c r="J1322" s="2" t="s">
        <v>140</v>
      </c>
      <c r="K1322" s="2" t="s">
        <v>167</v>
      </c>
      <c r="L1322" s="2" t="s">
        <v>142</v>
      </c>
      <c r="M1322" s="2" t="s">
        <v>61</v>
      </c>
      <c r="N1322" s="2" t="s">
        <v>109</v>
      </c>
      <c r="O1322" s="2" t="s">
        <v>89</v>
      </c>
      <c r="P1322" s="2">
        <v>342</v>
      </c>
      <c r="Q1322" s="2" t="s">
        <v>69</v>
      </c>
      <c r="R1322" s="2" t="s">
        <v>51</v>
      </c>
      <c r="S1322" s="2">
        <v>94134</v>
      </c>
      <c r="T1322" s="2">
        <v>41605</v>
      </c>
      <c r="U1322" s="2">
        <v>52529</v>
      </c>
      <c r="V1322" s="2">
        <v>64799</v>
      </c>
      <c r="W1322" s="2">
        <v>22580</v>
      </c>
      <c r="X1322" s="2">
        <v>3443</v>
      </c>
      <c r="Y1322" s="2" t="s">
        <v>41</v>
      </c>
      <c r="Z1322" s="2">
        <v>49</v>
      </c>
      <c r="AA1322" s="2">
        <v>4.7</v>
      </c>
      <c r="AB1322" s="2" t="s">
        <v>137</v>
      </c>
    </row>
    <row r="1323" spans="1:28" x14ac:dyDescent="0.25">
      <c r="A1323" s="4" t="s">
        <v>2076</v>
      </c>
      <c r="B1323" s="4" t="s">
        <v>802</v>
      </c>
      <c r="C1323" s="4">
        <v>18</v>
      </c>
      <c r="D1323" s="4" t="s">
        <v>55</v>
      </c>
      <c r="E1323" s="4" t="s">
        <v>67</v>
      </c>
      <c r="F1323" s="4" t="s">
        <v>72</v>
      </c>
      <c r="G1323" s="5">
        <v>45054</v>
      </c>
      <c r="H1323" s="5">
        <v>45069</v>
      </c>
      <c r="I1323" s="4">
        <v>15</v>
      </c>
      <c r="J1323" s="4" t="s">
        <v>33</v>
      </c>
      <c r="K1323" s="4" t="s">
        <v>278</v>
      </c>
      <c r="L1323" s="4" t="s">
        <v>279</v>
      </c>
      <c r="M1323" s="4" t="s">
        <v>101</v>
      </c>
      <c r="N1323" s="4" t="s">
        <v>118</v>
      </c>
      <c r="O1323" s="4" t="s">
        <v>560</v>
      </c>
      <c r="P1323" s="4">
        <v>161</v>
      </c>
      <c r="Q1323" s="4" t="s">
        <v>39</v>
      </c>
      <c r="R1323" s="4" t="s">
        <v>51</v>
      </c>
      <c r="S1323" s="4">
        <v>146935</v>
      </c>
      <c r="T1323" s="4">
        <v>72055</v>
      </c>
      <c r="U1323" s="4">
        <v>74880</v>
      </c>
      <c r="V1323" s="4">
        <v>113651</v>
      </c>
      <c r="W1323" s="4">
        <v>25956</v>
      </c>
      <c r="X1323" s="4">
        <v>4714</v>
      </c>
      <c r="Y1323" s="4" t="s">
        <v>41</v>
      </c>
      <c r="Z1323" s="4">
        <v>88</v>
      </c>
      <c r="AA1323" s="4">
        <v>4.9000000000000004</v>
      </c>
      <c r="AB1323" s="4" t="s">
        <v>137</v>
      </c>
    </row>
    <row r="1324" spans="1:28" x14ac:dyDescent="0.25">
      <c r="A1324" s="2" t="s">
        <v>2077</v>
      </c>
      <c r="B1324" s="2" t="s">
        <v>347</v>
      </c>
      <c r="C1324" s="2">
        <v>60</v>
      </c>
      <c r="D1324" s="2" t="s">
        <v>55</v>
      </c>
      <c r="E1324" s="2" t="s">
        <v>56</v>
      </c>
      <c r="F1324" s="2" t="s">
        <v>157</v>
      </c>
      <c r="G1324" s="3">
        <v>45195</v>
      </c>
      <c r="H1324" s="3">
        <v>45221</v>
      </c>
      <c r="I1324" s="2">
        <v>26</v>
      </c>
      <c r="J1324" s="2" t="s">
        <v>73</v>
      </c>
      <c r="K1324" s="2" t="s">
        <v>74</v>
      </c>
      <c r="L1324" s="2" t="s">
        <v>73</v>
      </c>
      <c r="M1324" s="2" t="s">
        <v>130</v>
      </c>
      <c r="N1324" s="2" t="s">
        <v>37</v>
      </c>
      <c r="O1324" s="2" t="s">
        <v>246</v>
      </c>
      <c r="P1324" s="2">
        <v>310</v>
      </c>
      <c r="Q1324" s="2" t="s">
        <v>69</v>
      </c>
      <c r="R1324" s="2" t="s">
        <v>136</v>
      </c>
      <c r="S1324" s="2">
        <v>157810</v>
      </c>
      <c r="T1324" s="2">
        <v>0</v>
      </c>
      <c r="U1324" s="2">
        <v>157810</v>
      </c>
      <c r="V1324" s="2">
        <v>135988</v>
      </c>
      <c r="W1324" s="2">
        <v>16692</v>
      </c>
      <c r="X1324" s="2">
        <v>1895</v>
      </c>
      <c r="Y1324" s="2" t="s">
        <v>41</v>
      </c>
      <c r="Z1324" s="2">
        <v>62</v>
      </c>
      <c r="AA1324" s="2">
        <v>3.8</v>
      </c>
      <c r="AB1324" s="2" t="s">
        <v>104</v>
      </c>
    </row>
    <row r="1325" spans="1:28" x14ac:dyDescent="0.25">
      <c r="A1325" s="4" t="s">
        <v>2078</v>
      </c>
      <c r="B1325" s="4" t="s">
        <v>415</v>
      </c>
      <c r="C1325" s="4">
        <v>26</v>
      </c>
      <c r="D1325" s="4" t="s">
        <v>30</v>
      </c>
      <c r="E1325" s="4" t="s">
        <v>87</v>
      </c>
      <c r="F1325" s="4" t="s">
        <v>72</v>
      </c>
      <c r="G1325" s="5">
        <v>44668</v>
      </c>
      <c r="H1325" s="5">
        <v>44674</v>
      </c>
      <c r="I1325" s="4">
        <v>6</v>
      </c>
      <c r="J1325" s="4" t="s">
        <v>58</v>
      </c>
      <c r="K1325" s="4" t="s">
        <v>88</v>
      </c>
      <c r="L1325" s="4" t="s">
        <v>60</v>
      </c>
      <c r="M1325" s="4" t="s">
        <v>36</v>
      </c>
      <c r="N1325" s="4" t="s">
        <v>109</v>
      </c>
      <c r="O1325" s="4" t="s">
        <v>428</v>
      </c>
      <c r="P1325" s="4">
        <v>489</v>
      </c>
      <c r="Q1325" s="4" t="s">
        <v>103</v>
      </c>
      <c r="R1325" s="4" t="s">
        <v>40</v>
      </c>
      <c r="S1325" s="4">
        <v>140469</v>
      </c>
      <c r="T1325" s="4">
        <v>63713</v>
      </c>
      <c r="U1325" s="4">
        <v>76756</v>
      </c>
      <c r="V1325" s="4">
        <v>127673</v>
      </c>
      <c r="W1325" s="4">
        <v>6514</v>
      </c>
      <c r="X1325" s="4">
        <v>2404</v>
      </c>
      <c r="Y1325" s="4" t="s">
        <v>41</v>
      </c>
      <c r="Z1325" s="4">
        <v>65</v>
      </c>
      <c r="AA1325" s="4">
        <v>3.2</v>
      </c>
      <c r="AB1325" s="4" t="s">
        <v>104</v>
      </c>
    </row>
    <row r="1326" spans="1:28" x14ac:dyDescent="0.25">
      <c r="A1326" s="2" t="s">
        <v>2079</v>
      </c>
      <c r="B1326" s="2" t="s">
        <v>1638</v>
      </c>
      <c r="C1326" s="2">
        <v>29</v>
      </c>
      <c r="D1326" s="2" t="s">
        <v>30</v>
      </c>
      <c r="E1326" s="2" t="s">
        <v>79</v>
      </c>
      <c r="F1326" s="2" t="s">
        <v>157</v>
      </c>
      <c r="G1326" s="3">
        <v>44575</v>
      </c>
      <c r="H1326" s="3">
        <v>44581</v>
      </c>
      <c r="I1326" s="2">
        <v>6</v>
      </c>
      <c r="J1326" s="2" t="s">
        <v>33</v>
      </c>
      <c r="K1326" s="2" t="s">
        <v>233</v>
      </c>
      <c r="L1326" s="2" t="s">
        <v>35</v>
      </c>
      <c r="M1326" s="2" t="s">
        <v>95</v>
      </c>
      <c r="N1326" s="2" t="s">
        <v>37</v>
      </c>
      <c r="O1326" s="2" t="s">
        <v>256</v>
      </c>
      <c r="P1326" s="2">
        <v>370</v>
      </c>
      <c r="Q1326" s="2" t="s">
        <v>103</v>
      </c>
      <c r="R1326" s="2" t="s">
        <v>51</v>
      </c>
      <c r="S1326" s="2">
        <v>94528</v>
      </c>
      <c r="T1326" s="2">
        <v>65510</v>
      </c>
      <c r="U1326" s="2">
        <v>29018</v>
      </c>
      <c r="V1326" s="2">
        <v>56266</v>
      </c>
      <c r="W1326" s="2">
        <v>20714</v>
      </c>
      <c r="X1326" s="2">
        <v>14108</v>
      </c>
      <c r="Y1326" s="2" t="s">
        <v>41</v>
      </c>
      <c r="Z1326" s="2">
        <v>60</v>
      </c>
      <c r="AA1326" s="2">
        <v>4.3</v>
      </c>
      <c r="AB1326" s="2" t="s">
        <v>104</v>
      </c>
    </row>
    <row r="1327" spans="1:28" x14ac:dyDescent="0.25">
      <c r="A1327" s="4" t="s">
        <v>2080</v>
      </c>
      <c r="B1327" s="4" t="s">
        <v>459</v>
      </c>
      <c r="C1327" s="4">
        <v>37</v>
      </c>
      <c r="D1327" s="4" t="s">
        <v>30</v>
      </c>
      <c r="E1327" s="4" t="s">
        <v>79</v>
      </c>
      <c r="F1327" s="4" t="s">
        <v>157</v>
      </c>
      <c r="G1327" s="5">
        <v>44712</v>
      </c>
      <c r="H1327" s="5">
        <v>44715</v>
      </c>
      <c r="I1327" s="4">
        <v>3</v>
      </c>
      <c r="J1327" s="4" t="s">
        <v>33</v>
      </c>
      <c r="K1327" s="4" t="s">
        <v>174</v>
      </c>
      <c r="L1327" s="4" t="s">
        <v>48</v>
      </c>
      <c r="M1327" s="4" t="s">
        <v>108</v>
      </c>
      <c r="N1327" s="4" t="s">
        <v>37</v>
      </c>
      <c r="O1327" s="4" t="s">
        <v>1038</v>
      </c>
      <c r="P1327" s="4">
        <v>364</v>
      </c>
      <c r="Q1327" s="4" t="s">
        <v>103</v>
      </c>
      <c r="R1327" s="4" t="s">
        <v>40</v>
      </c>
      <c r="S1327" s="4">
        <v>127465</v>
      </c>
      <c r="T1327" s="4">
        <v>83981</v>
      </c>
      <c r="U1327" s="4">
        <v>43484</v>
      </c>
      <c r="V1327" s="4">
        <v>98099</v>
      </c>
      <c r="W1327" s="4">
        <v>13876</v>
      </c>
      <c r="X1327" s="4">
        <v>11197</v>
      </c>
      <c r="Y1327" s="4" t="s">
        <v>91</v>
      </c>
      <c r="Z1327" s="4">
        <v>50</v>
      </c>
      <c r="AA1327" s="4">
        <v>3.1</v>
      </c>
      <c r="AB1327" s="4" t="s">
        <v>42</v>
      </c>
    </row>
    <row r="1328" spans="1:28" x14ac:dyDescent="0.25">
      <c r="A1328" s="2" t="s">
        <v>2081</v>
      </c>
      <c r="B1328" s="2" t="s">
        <v>504</v>
      </c>
      <c r="C1328" s="2">
        <v>31</v>
      </c>
      <c r="D1328" s="2" t="s">
        <v>55</v>
      </c>
      <c r="E1328" s="2" t="s">
        <v>122</v>
      </c>
      <c r="F1328" s="2" t="s">
        <v>57</v>
      </c>
      <c r="G1328" s="3">
        <v>44649</v>
      </c>
      <c r="H1328" s="3">
        <v>44661</v>
      </c>
      <c r="I1328" s="2">
        <v>12</v>
      </c>
      <c r="J1328" s="2" t="s">
        <v>115</v>
      </c>
      <c r="K1328" s="2" t="s">
        <v>116</v>
      </c>
      <c r="L1328" s="2" t="s">
        <v>117</v>
      </c>
      <c r="M1328" s="2" t="s">
        <v>130</v>
      </c>
      <c r="N1328" s="2" t="s">
        <v>109</v>
      </c>
      <c r="O1328" s="2" t="s">
        <v>147</v>
      </c>
      <c r="P1328" s="2">
        <v>322</v>
      </c>
      <c r="Q1328" s="2" t="s">
        <v>50</v>
      </c>
      <c r="R1328" s="2" t="s">
        <v>51</v>
      </c>
      <c r="S1328" s="2">
        <v>69741</v>
      </c>
      <c r="T1328" s="2">
        <v>48014</v>
      </c>
      <c r="U1328" s="2">
        <v>21727</v>
      </c>
      <c r="V1328" s="2">
        <v>41520</v>
      </c>
      <c r="W1328" s="2">
        <v>17753</v>
      </c>
      <c r="X1328" s="2">
        <v>8140</v>
      </c>
      <c r="Y1328" s="2" t="s">
        <v>41</v>
      </c>
      <c r="Z1328" s="2">
        <v>50</v>
      </c>
      <c r="AA1328" s="2">
        <v>4.4000000000000004</v>
      </c>
      <c r="AB1328" s="2" t="s">
        <v>104</v>
      </c>
    </row>
    <row r="1329" spans="1:28" x14ac:dyDescent="0.25">
      <c r="A1329" s="4" t="s">
        <v>2082</v>
      </c>
      <c r="B1329" s="4" t="s">
        <v>744</v>
      </c>
      <c r="C1329" s="4">
        <v>71</v>
      </c>
      <c r="D1329" s="4" t="s">
        <v>55</v>
      </c>
      <c r="E1329" s="4" t="s">
        <v>56</v>
      </c>
      <c r="F1329" s="4" t="s">
        <v>129</v>
      </c>
      <c r="G1329" s="5">
        <v>45465</v>
      </c>
      <c r="H1329" s="5">
        <v>45473</v>
      </c>
      <c r="I1329" s="4">
        <v>8</v>
      </c>
      <c r="J1329" s="4" t="s">
        <v>33</v>
      </c>
      <c r="K1329" s="4" t="s">
        <v>81</v>
      </c>
      <c r="L1329" s="4" t="s">
        <v>82</v>
      </c>
      <c r="M1329" s="4" t="s">
        <v>134</v>
      </c>
      <c r="N1329" s="4" t="s">
        <v>118</v>
      </c>
      <c r="O1329" s="4" t="s">
        <v>560</v>
      </c>
      <c r="P1329" s="4">
        <v>2</v>
      </c>
      <c r="Q1329" s="4" t="s">
        <v>103</v>
      </c>
      <c r="R1329" s="4" t="s">
        <v>40</v>
      </c>
      <c r="S1329" s="4">
        <v>24613</v>
      </c>
      <c r="T1329" s="4">
        <v>16084</v>
      </c>
      <c r="U1329" s="4">
        <v>8529</v>
      </c>
      <c r="V1329" s="4">
        <v>6725</v>
      </c>
      <c r="W1329" s="4">
        <v>3098</v>
      </c>
      <c r="X1329" s="4">
        <v>10611</v>
      </c>
      <c r="Y1329" s="4" t="s">
        <v>41</v>
      </c>
      <c r="Z1329" s="4">
        <v>48</v>
      </c>
      <c r="AA1329" s="4">
        <v>3.6</v>
      </c>
      <c r="AB1329" s="4" t="s">
        <v>52</v>
      </c>
    </row>
    <row r="1330" spans="1:28" x14ac:dyDescent="0.25">
      <c r="A1330" s="2" t="s">
        <v>2083</v>
      </c>
      <c r="B1330" s="2" t="s">
        <v>394</v>
      </c>
      <c r="C1330" s="2">
        <v>60</v>
      </c>
      <c r="D1330" s="2" t="s">
        <v>55</v>
      </c>
      <c r="E1330" s="2" t="s">
        <v>87</v>
      </c>
      <c r="F1330" s="2" t="s">
        <v>72</v>
      </c>
      <c r="G1330" s="3">
        <v>45442</v>
      </c>
      <c r="H1330" s="3">
        <v>45467</v>
      </c>
      <c r="I1330" s="2">
        <v>25</v>
      </c>
      <c r="J1330" s="2" t="s">
        <v>115</v>
      </c>
      <c r="K1330" s="2" t="s">
        <v>160</v>
      </c>
      <c r="L1330" s="2" t="s">
        <v>117</v>
      </c>
      <c r="M1330" s="2" t="s">
        <v>95</v>
      </c>
      <c r="N1330" s="2" t="s">
        <v>62</v>
      </c>
      <c r="O1330" s="2" t="s">
        <v>530</v>
      </c>
      <c r="P1330" s="2">
        <v>375</v>
      </c>
      <c r="Q1330" s="2" t="s">
        <v>50</v>
      </c>
      <c r="R1330" s="2" t="s">
        <v>136</v>
      </c>
      <c r="S1330" s="2">
        <v>108402</v>
      </c>
      <c r="T1330" s="2">
        <v>0</v>
      </c>
      <c r="U1330" s="2">
        <v>108402</v>
      </c>
      <c r="V1330" s="2">
        <v>92036</v>
      </c>
      <c r="W1330" s="2">
        <v>3994</v>
      </c>
      <c r="X1330" s="2">
        <v>11713</v>
      </c>
      <c r="Y1330" s="2" t="s">
        <v>91</v>
      </c>
      <c r="Z1330" s="2">
        <v>63</v>
      </c>
      <c r="AA1330" s="2">
        <v>4.7</v>
      </c>
      <c r="AB1330" s="2" t="s">
        <v>104</v>
      </c>
    </row>
    <row r="1331" spans="1:28" x14ac:dyDescent="0.25">
      <c r="A1331" s="4" t="s">
        <v>2084</v>
      </c>
      <c r="B1331" s="4" t="s">
        <v>1048</v>
      </c>
      <c r="C1331" s="4">
        <v>84</v>
      </c>
      <c r="D1331" s="4" t="s">
        <v>30</v>
      </c>
      <c r="E1331" s="4" t="s">
        <v>79</v>
      </c>
      <c r="F1331" s="4" t="s">
        <v>129</v>
      </c>
      <c r="G1331" s="5">
        <v>44825</v>
      </c>
      <c r="H1331" s="5">
        <v>44839</v>
      </c>
      <c r="I1331" s="4">
        <v>14</v>
      </c>
      <c r="J1331" s="4" t="s">
        <v>123</v>
      </c>
      <c r="K1331" s="4" t="s">
        <v>124</v>
      </c>
      <c r="L1331" s="4" t="s">
        <v>125</v>
      </c>
      <c r="M1331" s="4" t="s">
        <v>130</v>
      </c>
      <c r="N1331" s="4" t="s">
        <v>62</v>
      </c>
      <c r="O1331" s="4" t="s">
        <v>126</v>
      </c>
      <c r="P1331" s="4">
        <v>6</v>
      </c>
      <c r="Q1331" s="4" t="s">
        <v>103</v>
      </c>
      <c r="R1331" s="4" t="s">
        <v>40</v>
      </c>
      <c r="S1331" s="4">
        <v>54293</v>
      </c>
      <c r="T1331" s="4">
        <v>24218</v>
      </c>
      <c r="U1331" s="4">
        <v>30075</v>
      </c>
      <c r="V1331" s="4">
        <v>38817</v>
      </c>
      <c r="W1331" s="4">
        <v>8884</v>
      </c>
      <c r="X1331" s="4">
        <v>5779</v>
      </c>
      <c r="Y1331" s="4" t="s">
        <v>41</v>
      </c>
      <c r="Z1331" s="4">
        <v>54</v>
      </c>
      <c r="AA1331" s="4">
        <v>2</v>
      </c>
      <c r="AB1331" s="4" t="s">
        <v>64</v>
      </c>
    </row>
    <row r="1332" spans="1:28" x14ac:dyDescent="0.25">
      <c r="A1332" s="2" t="s">
        <v>2085</v>
      </c>
      <c r="B1332" s="2" t="s">
        <v>1644</v>
      </c>
      <c r="C1332" s="2">
        <v>23</v>
      </c>
      <c r="D1332" s="2" t="s">
        <v>30</v>
      </c>
      <c r="E1332" s="2" t="s">
        <v>31</v>
      </c>
      <c r="F1332" s="2" t="s">
        <v>150</v>
      </c>
      <c r="G1332" s="3">
        <v>45239</v>
      </c>
      <c r="H1332" s="3">
        <v>45265</v>
      </c>
      <c r="I1332" s="2">
        <v>26</v>
      </c>
      <c r="J1332" s="2" t="s">
        <v>115</v>
      </c>
      <c r="K1332" s="2" t="s">
        <v>160</v>
      </c>
      <c r="L1332" s="2" t="s">
        <v>117</v>
      </c>
      <c r="M1332" s="2" t="s">
        <v>36</v>
      </c>
      <c r="N1332" s="2" t="s">
        <v>37</v>
      </c>
      <c r="O1332" s="2" t="s">
        <v>147</v>
      </c>
      <c r="P1332" s="2">
        <v>435</v>
      </c>
      <c r="Q1332" s="2" t="s">
        <v>69</v>
      </c>
      <c r="R1332" s="2" t="s">
        <v>51</v>
      </c>
      <c r="S1332" s="2">
        <v>74924</v>
      </c>
      <c r="T1332" s="2">
        <v>34940</v>
      </c>
      <c r="U1332" s="2">
        <v>39984</v>
      </c>
      <c r="V1332" s="2">
        <v>34322</v>
      </c>
      <c r="W1332" s="2">
        <v>29547</v>
      </c>
      <c r="X1332" s="2">
        <v>7308</v>
      </c>
      <c r="Y1332" s="2" t="s">
        <v>41</v>
      </c>
      <c r="Z1332" s="2">
        <v>97</v>
      </c>
      <c r="AA1332" s="2">
        <v>4.4000000000000004</v>
      </c>
      <c r="AB1332" s="2" t="s">
        <v>42</v>
      </c>
    </row>
    <row r="1333" spans="1:28" x14ac:dyDescent="0.25">
      <c r="A1333" s="4" t="s">
        <v>2086</v>
      </c>
      <c r="B1333" s="4" t="s">
        <v>1383</v>
      </c>
      <c r="C1333" s="4">
        <v>65</v>
      </c>
      <c r="D1333" s="4" t="s">
        <v>30</v>
      </c>
      <c r="E1333" s="4" t="s">
        <v>122</v>
      </c>
      <c r="F1333" s="4" t="s">
        <v>32</v>
      </c>
      <c r="G1333" s="5">
        <v>44984</v>
      </c>
      <c r="H1333" s="5">
        <v>45012</v>
      </c>
      <c r="I1333" s="4">
        <v>28</v>
      </c>
      <c r="J1333" s="4" t="s">
        <v>123</v>
      </c>
      <c r="K1333" s="4" t="s">
        <v>251</v>
      </c>
      <c r="L1333" s="4" t="s">
        <v>125</v>
      </c>
      <c r="M1333" s="4" t="s">
        <v>95</v>
      </c>
      <c r="N1333" s="4" t="s">
        <v>118</v>
      </c>
      <c r="O1333" s="4" t="s">
        <v>438</v>
      </c>
      <c r="P1333" s="4">
        <v>483</v>
      </c>
      <c r="Q1333" s="4" t="s">
        <v>69</v>
      </c>
      <c r="R1333" s="4" t="s">
        <v>111</v>
      </c>
      <c r="S1333" s="4">
        <v>55955</v>
      </c>
      <c r="T1333" s="4">
        <v>43314</v>
      </c>
      <c r="U1333" s="4">
        <v>12641</v>
      </c>
      <c r="V1333" s="4">
        <v>31106</v>
      </c>
      <c r="W1333" s="4">
        <v>15283</v>
      </c>
      <c r="X1333" s="4">
        <v>6905</v>
      </c>
      <c r="Y1333" s="4" t="s">
        <v>91</v>
      </c>
      <c r="Z1333" s="4">
        <v>83</v>
      </c>
      <c r="AA1333" s="4">
        <v>3.6</v>
      </c>
      <c r="AB1333" s="4" t="s">
        <v>52</v>
      </c>
    </row>
    <row r="1334" spans="1:28" x14ac:dyDescent="0.25">
      <c r="A1334" s="2" t="s">
        <v>2087</v>
      </c>
      <c r="B1334" s="2" t="s">
        <v>1220</v>
      </c>
      <c r="C1334" s="2">
        <v>75</v>
      </c>
      <c r="D1334" s="2" t="s">
        <v>55</v>
      </c>
      <c r="E1334" s="2" t="s">
        <v>56</v>
      </c>
      <c r="F1334" s="2" t="s">
        <v>80</v>
      </c>
      <c r="G1334" s="3">
        <v>44756</v>
      </c>
      <c r="H1334" s="3">
        <v>44772</v>
      </c>
      <c r="I1334" s="2">
        <v>16</v>
      </c>
      <c r="J1334" s="2" t="s">
        <v>33</v>
      </c>
      <c r="K1334" s="2" t="s">
        <v>81</v>
      </c>
      <c r="L1334" s="2" t="s">
        <v>82</v>
      </c>
      <c r="M1334" s="2" t="s">
        <v>143</v>
      </c>
      <c r="N1334" s="2" t="s">
        <v>37</v>
      </c>
      <c r="O1334" s="2" t="s">
        <v>340</v>
      </c>
      <c r="P1334" s="2">
        <v>2</v>
      </c>
      <c r="Q1334" s="2" t="s">
        <v>39</v>
      </c>
      <c r="R1334" s="2" t="s">
        <v>136</v>
      </c>
      <c r="S1334" s="2">
        <v>41961</v>
      </c>
      <c r="T1334" s="2">
        <v>0</v>
      </c>
      <c r="U1334" s="2">
        <v>41961</v>
      </c>
      <c r="V1334" s="2">
        <v>30137</v>
      </c>
      <c r="W1334" s="2">
        <v>4899</v>
      </c>
      <c r="X1334" s="2">
        <v>6376</v>
      </c>
      <c r="Y1334" s="2" t="s">
        <v>41</v>
      </c>
      <c r="Z1334" s="2">
        <v>41</v>
      </c>
      <c r="AA1334" s="2">
        <v>4</v>
      </c>
      <c r="AB1334" s="2" t="s">
        <v>137</v>
      </c>
    </row>
    <row r="1335" spans="1:28" x14ac:dyDescent="0.25">
      <c r="A1335" s="4" t="s">
        <v>2088</v>
      </c>
      <c r="B1335" s="4" t="s">
        <v>615</v>
      </c>
      <c r="C1335" s="4">
        <v>58</v>
      </c>
      <c r="D1335" s="4" t="s">
        <v>55</v>
      </c>
      <c r="E1335" s="4" t="s">
        <v>31</v>
      </c>
      <c r="F1335" s="4" t="s">
        <v>157</v>
      </c>
      <c r="G1335" s="5">
        <v>45237</v>
      </c>
      <c r="H1335" s="5">
        <v>45264</v>
      </c>
      <c r="I1335" s="4">
        <v>27</v>
      </c>
      <c r="J1335" s="4" t="s">
        <v>123</v>
      </c>
      <c r="K1335" s="4" t="s">
        <v>124</v>
      </c>
      <c r="L1335" s="4" t="s">
        <v>125</v>
      </c>
      <c r="M1335" s="4" t="s">
        <v>95</v>
      </c>
      <c r="N1335" s="4" t="s">
        <v>109</v>
      </c>
      <c r="O1335" s="4" t="s">
        <v>678</v>
      </c>
      <c r="P1335" s="4">
        <v>69</v>
      </c>
      <c r="Q1335" s="4" t="s">
        <v>69</v>
      </c>
      <c r="R1335" s="4" t="s">
        <v>136</v>
      </c>
      <c r="S1335" s="4">
        <v>176918</v>
      </c>
      <c r="T1335" s="4">
        <v>0</v>
      </c>
      <c r="U1335" s="4">
        <v>176918</v>
      </c>
      <c r="V1335" s="4">
        <v>136914</v>
      </c>
      <c r="W1335" s="4">
        <v>28441</v>
      </c>
      <c r="X1335" s="4">
        <v>9482</v>
      </c>
      <c r="Y1335" s="4" t="s">
        <v>41</v>
      </c>
      <c r="Z1335" s="4">
        <v>81</v>
      </c>
      <c r="AA1335" s="4">
        <v>3.3</v>
      </c>
      <c r="AB1335" s="4" t="s">
        <v>52</v>
      </c>
    </row>
    <row r="1336" spans="1:28" x14ac:dyDescent="0.25">
      <c r="A1336" s="2" t="s">
        <v>2089</v>
      </c>
      <c r="B1336" s="2" t="s">
        <v>486</v>
      </c>
      <c r="C1336" s="2">
        <v>39</v>
      </c>
      <c r="D1336" s="2" t="s">
        <v>55</v>
      </c>
      <c r="E1336" s="2" t="s">
        <v>79</v>
      </c>
      <c r="F1336" s="2" t="s">
        <v>150</v>
      </c>
      <c r="G1336" s="3">
        <v>45390</v>
      </c>
      <c r="H1336" s="3">
        <v>45396</v>
      </c>
      <c r="I1336" s="2">
        <v>6</v>
      </c>
      <c r="J1336" s="2" t="s">
        <v>33</v>
      </c>
      <c r="K1336" s="2" t="s">
        <v>47</v>
      </c>
      <c r="L1336" s="2" t="s">
        <v>48</v>
      </c>
      <c r="M1336" s="2" t="s">
        <v>101</v>
      </c>
      <c r="N1336" s="2" t="s">
        <v>118</v>
      </c>
      <c r="O1336" s="2" t="s">
        <v>396</v>
      </c>
      <c r="P1336" s="2">
        <v>45</v>
      </c>
      <c r="Q1336" s="2" t="s">
        <v>69</v>
      </c>
      <c r="R1336" s="2" t="s">
        <v>136</v>
      </c>
      <c r="S1336" s="2">
        <v>83429</v>
      </c>
      <c r="T1336" s="2">
        <v>0</v>
      </c>
      <c r="U1336" s="2">
        <v>83429</v>
      </c>
      <c r="V1336" s="2">
        <v>46722</v>
      </c>
      <c r="W1336" s="2">
        <v>27773</v>
      </c>
      <c r="X1336" s="2">
        <v>5818</v>
      </c>
      <c r="Y1336" s="2" t="s">
        <v>41</v>
      </c>
      <c r="Z1336" s="2">
        <v>67</v>
      </c>
      <c r="AA1336" s="2">
        <v>4.5</v>
      </c>
      <c r="AB1336" s="2" t="s">
        <v>137</v>
      </c>
    </row>
    <row r="1337" spans="1:28" x14ac:dyDescent="0.25">
      <c r="A1337" s="4" t="s">
        <v>2090</v>
      </c>
      <c r="B1337" s="4" t="s">
        <v>597</v>
      </c>
      <c r="C1337" s="4">
        <v>75</v>
      </c>
      <c r="D1337" s="4" t="s">
        <v>55</v>
      </c>
      <c r="E1337" s="4" t="s">
        <v>67</v>
      </c>
      <c r="F1337" s="4" t="s">
        <v>57</v>
      </c>
      <c r="G1337" s="5">
        <v>45014</v>
      </c>
      <c r="H1337" s="5">
        <v>45017</v>
      </c>
      <c r="I1337" s="4">
        <v>3</v>
      </c>
      <c r="J1337" s="4" t="s">
        <v>33</v>
      </c>
      <c r="K1337" s="4" t="s">
        <v>107</v>
      </c>
      <c r="L1337" s="4" t="s">
        <v>48</v>
      </c>
      <c r="M1337" s="4" t="s">
        <v>75</v>
      </c>
      <c r="N1337" s="4" t="s">
        <v>62</v>
      </c>
      <c r="O1337" s="4" t="s">
        <v>151</v>
      </c>
      <c r="P1337" s="4">
        <v>131</v>
      </c>
      <c r="Q1337" s="4" t="s">
        <v>50</v>
      </c>
      <c r="R1337" s="4" t="s">
        <v>51</v>
      </c>
      <c r="S1337" s="4">
        <v>155701</v>
      </c>
      <c r="T1337" s="4">
        <v>67780</v>
      </c>
      <c r="U1337" s="4">
        <v>87921</v>
      </c>
      <c r="V1337" s="4">
        <v>138037</v>
      </c>
      <c r="W1337" s="4">
        <v>1229</v>
      </c>
      <c r="X1337" s="4">
        <v>12078</v>
      </c>
      <c r="Y1337" s="4" t="s">
        <v>41</v>
      </c>
      <c r="Z1337" s="4">
        <v>44</v>
      </c>
      <c r="AA1337" s="4">
        <v>4.4000000000000004</v>
      </c>
      <c r="AB1337" s="4" t="s">
        <v>52</v>
      </c>
    </row>
    <row r="1338" spans="1:28" x14ac:dyDescent="0.25">
      <c r="A1338" s="2" t="s">
        <v>2091</v>
      </c>
      <c r="B1338" s="2" t="s">
        <v>605</v>
      </c>
      <c r="C1338" s="2">
        <v>27</v>
      </c>
      <c r="D1338" s="2" t="s">
        <v>55</v>
      </c>
      <c r="E1338" s="2" t="s">
        <v>45</v>
      </c>
      <c r="F1338" s="2" t="s">
        <v>80</v>
      </c>
      <c r="G1338" s="3">
        <v>45166</v>
      </c>
      <c r="H1338" s="3">
        <v>45188</v>
      </c>
      <c r="I1338" s="2">
        <v>22</v>
      </c>
      <c r="J1338" s="2" t="s">
        <v>58</v>
      </c>
      <c r="K1338" s="2" t="s">
        <v>88</v>
      </c>
      <c r="L1338" s="2" t="s">
        <v>60</v>
      </c>
      <c r="M1338" s="2" t="s">
        <v>143</v>
      </c>
      <c r="N1338" s="2" t="s">
        <v>62</v>
      </c>
      <c r="O1338" s="2" t="s">
        <v>222</v>
      </c>
      <c r="P1338" s="2">
        <v>289</v>
      </c>
      <c r="Q1338" s="2" t="s">
        <v>103</v>
      </c>
      <c r="R1338" s="2" t="s">
        <v>111</v>
      </c>
      <c r="S1338" s="2">
        <v>114621</v>
      </c>
      <c r="T1338" s="2">
        <v>72451</v>
      </c>
      <c r="U1338" s="2">
        <v>42170</v>
      </c>
      <c r="V1338" s="2">
        <v>89194</v>
      </c>
      <c r="W1338" s="2">
        <v>15579</v>
      </c>
      <c r="X1338" s="2">
        <v>8625</v>
      </c>
      <c r="Y1338" s="2" t="s">
        <v>41</v>
      </c>
      <c r="Z1338" s="2">
        <v>68</v>
      </c>
      <c r="AA1338" s="2">
        <v>5</v>
      </c>
      <c r="AB1338" s="2" t="s">
        <v>42</v>
      </c>
    </row>
    <row r="1339" spans="1:28" x14ac:dyDescent="0.25">
      <c r="A1339" s="4" t="s">
        <v>2092</v>
      </c>
      <c r="B1339" s="4" t="s">
        <v>874</v>
      </c>
      <c r="C1339" s="4">
        <v>44</v>
      </c>
      <c r="D1339" s="4" t="s">
        <v>30</v>
      </c>
      <c r="E1339" s="4" t="s">
        <v>87</v>
      </c>
      <c r="F1339" s="4" t="s">
        <v>114</v>
      </c>
      <c r="G1339" s="5">
        <v>44854</v>
      </c>
      <c r="H1339" s="5">
        <v>44869</v>
      </c>
      <c r="I1339" s="4">
        <v>15</v>
      </c>
      <c r="J1339" s="4" t="s">
        <v>140</v>
      </c>
      <c r="K1339" s="4" t="s">
        <v>167</v>
      </c>
      <c r="L1339" s="4" t="s">
        <v>142</v>
      </c>
      <c r="M1339" s="4" t="s">
        <v>36</v>
      </c>
      <c r="N1339" s="4" t="s">
        <v>62</v>
      </c>
      <c r="O1339" s="4" t="s">
        <v>368</v>
      </c>
      <c r="P1339" s="4">
        <v>282</v>
      </c>
      <c r="Q1339" s="4" t="s">
        <v>50</v>
      </c>
      <c r="R1339" s="4" t="s">
        <v>51</v>
      </c>
      <c r="S1339" s="4">
        <v>144076</v>
      </c>
      <c r="T1339" s="4">
        <v>95588</v>
      </c>
      <c r="U1339" s="4">
        <v>48488</v>
      </c>
      <c r="V1339" s="4">
        <v>126832</v>
      </c>
      <c r="W1339" s="4">
        <v>2277</v>
      </c>
      <c r="X1339" s="4">
        <v>13574</v>
      </c>
      <c r="Y1339" s="4" t="s">
        <v>41</v>
      </c>
      <c r="Z1339" s="4">
        <v>50</v>
      </c>
      <c r="AA1339" s="4">
        <v>2.5</v>
      </c>
      <c r="AB1339" s="4" t="s">
        <v>64</v>
      </c>
    </row>
    <row r="1340" spans="1:28" x14ac:dyDescent="0.25">
      <c r="A1340" s="2" t="s">
        <v>2093</v>
      </c>
      <c r="B1340" s="2" t="s">
        <v>450</v>
      </c>
      <c r="C1340" s="2">
        <v>71</v>
      </c>
      <c r="D1340" s="2" t="s">
        <v>30</v>
      </c>
      <c r="E1340" s="2" t="s">
        <v>122</v>
      </c>
      <c r="F1340" s="2" t="s">
        <v>57</v>
      </c>
      <c r="G1340" s="3">
        <v>45614</v>
      </c>
      <c r="H1340" s="3">
        <v>45621</v>
      </c>
      <c r="I1340" s="2">
        <v>7</v>
      </c>
      <c r="J1340" s="2" t="s">
        <v>140</v>
      </c>
      <c r="K1340" s="2" t="s">
        <v>167</v>
      </c>
      <c r="L1340" s="2" t="s">
        <v>142</v>
      </c>
      <c r="M1340" s="2" t="s">
        <v>108</v>
      </c>
      <c r="N1340" s="2" t="s">
        <v>62</v>
      </c>
      <c r="O1340" s="2" t="s">
        <v>340</v>
      </c>
      <c r="P1340" s="2">
        <v>326</v>
      </c>
      <c r="Q1340" s="2" t="s">
        <v>39</v>
      </c>
      <c r="R1340" s="2" t="s">
        <v>90</v>
      </c>
      <c r="S1340" s="2">
        <v>153444</v>
      </c>
      <c r="T1340" s="2">
        <v>126153</v>
      </c>
      <c r="U1340" s="2">
        <v>27291</v>
      </c>
      <c r="V1340" s="2">
        <v>134982</v>
      </c>
      <c r="W1340" s="2">
        <v>10200</v>
      </c>
      <c r="X1340" s="2">
        <v>6896</v>
      </c>
      <c r="Y1340" s="2" t="s">
        <v>41</v>
      </c>
      <c r="Z1340" s="2">
        <v>86</v>
      </c>
      <c r="AA1340" s="2">
        <v>4.5</v>
      </c>
      <c r="AB1340" s="2" t="s">
        <v>42</v>
      </c>
    </row>
    <row r="1341" spans="1:28" x14ac:dyDescent="0.25">
      <c r="A1341" s="4" t="s">
        <v>2094</v>
      </c>
      <c r="B1341" s="4" t="s">
        <v>275</v>
      </c>
      <c r="C1341" s="4">
        <v>78</v>
      </c>
      <c r="D1341" s="4" t="s">
        <v>55</v>
      </c>
      <c r="E1341" s="4" t="s">
        <v>87</v>
      </c>
      <c r="F1341" s="4" t="s">
        <v>157</v>
      </c>
      <c r="G1341" s="5">
        <v>45234</v>
      </c>
      <c r="H1341" s="5">
        <v>45257</v>
      </c>
      <c r="I1341" s="4">
        <v>23</v>
      </c>
      <c r="J1341" s="4" t="s">
        <v>115</v>
      </c>
      <c r="K1341" s="4" t="s">
        <v>116</v>
      </c>
      <c r="L1341" s="4" t="s">
        <v>117</v>
      </c>
      <c r="M1341" s="4" t="s">
        <v>61</v>
      </c>
      <c r="N1341" s="4" t="s">
        <v>109</v>
      </c>
      <c r="O1341" s="4" t="s">
        <v>96</v>
      </c>
      <c r="P1341" s="4">
        <v>384</v>
      </c>
      <c r="Q1341" s="4" t="s">
        <v>50</v>
      </c>
      <c r="R1341" s="4" t="s">
        <v>40</v>
      </c>
      <c r="S1341" s="4">
        <v>169769</v>
      </c>
      <c r="T1341" s="4">
        <v>88105</v>
      </c>
      <c r="U1341" s="4">
        <v>81664</v>
      </c>
      <c r="V1341" s="4">
        <v>139575</v>
      </c>
      <c r="W1341" s="4">
        <v>12976</v>
      </c>
      <c r="X1341" s="4">
        <v>12523</v>
      </c>
      <c r="Y1341" s="4" t="s">
        <v>41</v>
      </c>
      <c r="Z1341" s="4">
        <v>74</v>
      </c>
      <c r="AA1341" s="4">
        <v>4.3</v>
      </c>
      <c r="AB1341" s="4" t="s">
        <v>52</v>
      </c>
    </row>
    <row r="1342" spans="1:28" x14ac:dyDescent="0.25">
      <c r="A1342" s="2" t="s">
        <v>2095</v>
      </c>
      <c r="B1342" s="2" t="s">
        <v>719</v>
      </c>
      <c r="C1342" s="2">
        <v>78</v>
      </c>
      <c r="D1342" s="2" t="s">
        <v>30</v>
      </c>
      <c r="E1342" s="2" t="s">
        <v>67</v>
      </c>
      <c r="F1342" s="2" t="s">
        <v>32</v>
      </c>
      <c r="G1342" s="3">
        <v>44666</v>
      </c>
      <c r="H1342" s="3">
        <v>44689</v>
      </c>
      <c r="I1342" s="2">
        <v>23</v>
      </c>
      <c r="J1342" s="2" t="s">
        <v>33</v>
      </c>
      <c r="K1342" s="2" t="s">
        <v>278</v>
      </c>
      <c r="L1342" s="2" t="s">
        <v>279</v>
      </c>
      <c r="M1342" s="2" t="s">
        <v>130</v>
      </c>
      <c r="N1342" s="2" t="s">
        <v>37</v>
      </c>
      <c r="O1342" s="2" t="s">
        <v>102</v>
      </c>
      <c r="P1342" s="2">
        <v>301</v>
      </c>
      <c r="Q1342" s="2" t="s">
        <v>50</v>
      </c>
      <c r="R1342" s="2" t="s">
        <v>51</v>
      </c>
      <c r="S1342" s="2">
        <v>117619</v>
      </c>
      <c r="T1342" s="2">
        <v>63369</v>
      </c>
      <c r="U1342" s="2">
        <v>54250</v>
      </c>
      <c r="V1342" s="2">
        <v>82906</v>
      </c>
      <c r="W1342" s="2">
        <v>26619</v>
      </c>
      <c r="X1342" s="2">
        <v>5033</v>
      </c>
      <c r="Y1342" s="2" t="s">
        <v>41</v>
      </c>
      <c r="Z1342" s="2">
        <v>82</v>
      </c>
      <c r="AA1342" s="2">
        <v>2.8</v>
      </c>
      <c r="AB1342" s="2" t="s">
        <v>52</v>
      </c>
    </row>
    <row r="1343" spans="1:28" x14ac:dyDescent="0.25">
      <c r="A1343" s="4" t="s">
        <v>2096</v>
      </c>
      <c r="B1343" s="4" t="s">
        <v>2097</v>
      </c>
      <c r="C1343" s="4">
        <v>10</v>
      </c>
      <c r="D1343" s="4" t="s">
        <v>30</v>
      </c>
      <c r="E1343" s="4" t="s">
        <v>67</v>
      </c>
      <c r="F1343" s="4" t="s">
        <v>72</v>
      </c>
      <c r="G1343" s="5">
        <v>44910</v>
      </c>
      <c r="H1343" s="5">
        <v>44934</v>
      </c>
      <c r="I1343" s="4">
        <v>24</v>
      </c>
      <c r="J1343" s="4" t="s">
        <v>33</v>
      </c>
      <c r="K1343" s="4" t="s">
        <v>81</v>
      </c>
      <c r="L1343" s="4" t="s">
        <v>82</v>
      </c>
      <c r="M1343" s="4" t="s">
        <v>108</v>
      </c>
      <c r="N1343" s="4" t="s">
        <v>118</v>
      </c>
      <c r="O1343" s="4" t="s">
        <v>543</v>
      </c>
      <c r="P1343" s="4">
        <v>153</v>
      </c>
      <c r="Q1343" s="4" t="s">
        <v>103</v>
      </c>
      <c r="R1343" s="4" t="s">
        <v>136</v>
      </c>
      <c r="S1343" s="4">
        <v>64854</v>
      </c>
      <c r="T1343" s="4">
        <v>0</v>
      </c>
      <c r="U1343" s="4">
        <v>64854</v>
      </c>
      <c r="V1343" s="4">
        <v>33606</v>
      </c>
      <c r="W1343" s="4">
        <v>23589</v>
      </c>
      <c r="X1343" s="4">
        <v>6906</v>
      </c>
      <c r="Y1343" s="4" t="s">
        <v>41</v>
      </c>
      <c r="Z1343" s="4">
        <v>86</v>
      </c>
      <c r="AA1343" s="4">
        <v>2.8</v>
      </c>
      <c r="AB1343" s="4" t="s">
        <v>52</v>
      </c>
    </row>
    <row r="1344" spans="1:28" x14ac:dyDescent="0.25">
      <c r="A1344" s="2" t="s">
        <v>2098</v>
      </c>
      <c r="B1344" s="2" t="s">
        <v>754</v>
      </c>
      <c r="C1344" s="2">
        <v>31</v>
      </c>
      <c r="D1344" s="2" t="s">
        <v>30</v>
      </c>
      <c r="E1344" s="2" t="s">
        <v>122</v>
      </c>
      <c r="F1344" s="2" t="s">
        <v>150</v>
      </c>
      <c r="G1344" s="3">
        <v>45440</v>
      </c>
      <c r="H1344" s="3">
        <v>45452</v>
      </c>
      <c r="I1344" s="2">
        <v>12</v>
      </c>
      <c r="J1344" s="2" t="s">
        <v>202</v>
      </c>
      <c r="K1344" s="2" t="s">
        <v>225</v>
      </c>
      <c r="L1344" s="2" t="s">
        <v>226</v>
      </c>
      <c r="M1344" s="2" t="s">
        <v>83</v>
      </c>
      <c r="N1344" s="2" t="s">
        <v>109</v>
      </c>
      <c r="O1344" s="2" t="s">
        <v>343</v>
      </c>
      <c r="P1344" s="2">
        <v>214</v>
      </c>
      <c r="Q1344" s="2" t="s">
        <v>69</v>
      </c>
      <c r="R1344" s="2" t="s">
        <v>111</v>
      </c>
      <c r="S1344" s="2">
        <v>156128</v>
      </c>
      <c r="T1344" s="2">
        <v>140093</v>
      </c>
      <c r="U1344" s="2">
        <v>16035</v>
      </c>
      <c r="V1344" s="2">
        <v>130029</v>
      </c>
      <c r="W1344" s="2">
        <v>18244</v>
      </c>
      <c r="X1344" s="2">
        <v>5569</v>
      </c>
      <c r="Y1344" s="2" t="s">
        <v>41</v>
      </c>
      <c r="Z1344" s="2">
        <v>71</v>
      </c>
      <c r="AA1344" s="2">
        <v>4.5</v>
      </c>
      <c r="AB1344" s="2" t="s">
        <v>64</v>
      </c>
    </row>
    <row r="1345" spans="1:28" x14ac:dyDescent="0.25">
      <c r="A1345" s="4" t="s">
        <v>2099</v>
      </c>
      <c r="B1345" s="4" t="s">
        <v>2065</v>
      </c>
      <c r="C1345" s="4">
        <v>17</v>
      </c>
      <c r="D1345" s="4" t="s">
        <v>30</v>
      </c>
      <c r="E1345" s="4" t="s">
        <v>87</v>
      </c>
      <c r="F1345" s="4" t="s">
        <v>114</v>
      </c>
      <c r="G1345" s="5">
        <v>44754</v>
      </c>
      <c r="H1345" s="5">
        <v>44783</v>
      </c>
      <c r="I1345" s="4">
        <v>29</v>
      </c>
      <c r="J1345" s="4" t="s">
        <v>115</v>
      </c>
      <c r="K1345" s="4" t="s">
        <v>160</v>
      </c>
      <c r="L1345" s="4" t="s">
        <v>117</v>
      </c>
      <c r="M1345" s="4" t="s">
        <v>130</v>
      </c>
      <c r="N1345" s="4" t="s">
        <v>62</v>
      </c>
      <c r="O1345" s="4" t="s">
        <v>681</v>
      </c>
      <c r="P1345" s="4">
        <v>274</v>
      </c>
      <c r="Q1345" s="4" t="s">
        <v>39</v>
      </c>
      <c r="R1345" s="4" t="s">
        <v>111</v>
      </c>
      <c r="S1345" s="4">
        <v>57693</v>
      </c>
      <c r="T1345" s="4">
        <v>47000</v>
      </c>
      <c r="U1345" s="4">
        <v>10693</v>
      </c>
      <c r="V1345" s="4">
        <v>46083</v>
      </c>
      <c r="W1345" s="4">
        <v>5869</v>
      </c>
      <c r="X1345" s="4">
        <v>3625</v>
      </c>
      <c r="Y1345" s="4" t="s">
        <v>41</v>
      </c>
      <c r="Z1345" s="4">
        <v>58</v>
      </c>
      <c r="AA1345" s="4">
        <v>2</v>
      </c>
      <c r="AB1345" s="4" t="s">
        <v>64</v>
      </c>
    </row>
    <row r="1346" spans="1:28" x14ac:dyDescent="0.25">
      <c r="A1346" s="2" t="s">
        <v>2100</v>
      </c>
      <c r="B1346" s="2" t="s">
        <v>2101</v>
      </c>
      <c r="C1346" s="2">
        <v>80</v>
      </c>
      <c r="D1346" s="2" t="s">
        <v>30</v>
      </c>
      <c r="E1346" s="2" t="s">
        <v>154</v>
      </c>
      <c r="F1346" s="2" t="s">
        <v>94</v>
      </c>
      <c r="G1346" s="3">
        <v>45244</v>
      </c>
      <c r="H1346" s="3">
        <v>45266</v>
      </c>
      <c r="I1346" s="2">
        <v>22</v>
      </c>
      <c r="J1346" s="2" t="s">
        <v>33</v>
      </c>
      <c r="K1346" s="2" t="s">
        <v>197</v>
      </c>
      <c r="L1346" s="2" t="s">
        <v>198</v>
      </c>
      <c r="M1346" s="2" t="s">
        <v>61</v>
      </c>
      <c r="N1346" s="2" t="s">
        <v>62</v>
      </c>
      <c r="O1346" s="2" t="s">
        <v>571</v>
      </c>
      <c r="P1346" s="2">
        <v>162</v>
      </c>
      <c r="Q1346" s="2" t="s">
        <v>39</v>
      </c>
      <c r="R1346" s="2" t="s">
        <v>40</v>
      </c>
      <c r="S1346" s="2">
        <v>142862</v>
      </c>
      <c r="T1346" s="2">
        <v>91811</v>
      </c>
      <c r="U1346" s="2">
        <v>51051</v>
      </c>
      <c r="V1346" s="2">
        <v>125219</v>
      </c>
      <c r="W1346" s="2">
        <v>8795</v>
      </c>
      <c r="X1346" s="2">
        <v>5637</v>
      </c>
      <c r="Y1346" s="2" t="s">
        <v>41</v>
      </c>
      <c r="Z1346" s="2">
        <v>68</v>
      </c>
      <c r="AA1346" s="2">
        <v>2.5</v>
      </c>
      <c r="AB1346" s="2" t="s">
        <v>42</v>
      </c>
    </row>
    <row r="1347" spans="1:28" x14ac:dyDescent="0.25">
      <c r="A1347" s="4" t="s">
        <v>2102</v>
      </c>
      <c r="B1347" s="4" t="s">
        <v>2103</v>
      </c>
      <c r="C1347" s="4">
        <v>29</v>
      </c>
      <c r="D1347" s="4" t="s">
        <v>55</v>
      </c>
      <c r="E1347" s="4" t="s">
        <v>154</v>
      </c>
      <c r="F1347" s="4" t="s">
        <v>32</v>
      </c>
      <c r="G1347" s="5">
        <v>45110</v>
      </c>
      <c r="H1347" s="5">
        <v>45126</v>
      </c>
      <c r="I1347" s="4">
        <v>16</v>
      </c>
      <c r="J1347" s="4" t="s">
        <v>33</v>
      </c>
      <c r="K1347" s="4" t="s">
        <v>174</v>
      </c>
      <c r="L1347" s="4" t="s">
        <v>48</v>
      </c>
      <c r="M1347" s="4" t="s">
        <v>134</v>
      </c>
      <c r="N1347" s="4" t="s">
        <v>37</v>
      </c>
      <c r="O1347" s="4" t="s">
        <v>950</v>
      </c>
      <c r="P1347" s="4">
        <v>454</v>
      </c>
      <c r="Q1347" s="4" t="s">
        <v>69</v>
      </c>
      <c r="R1347" s="4" t="s">
        <v>51</v>
      </c>
      <c r="S1347" s="4">
        <v>102403</v>
      </c>
      <c r="T1347" s="4">
        <v>52271</v>
      </c>
      <c r="U1347" s="4">
        <v>50132</v>
      </c>
      <c r="V1347" s="4">
        <v>68707</v>
      </c>
      <c r="W1347" s="4">
        <v>24277</v>
      </c>
      <c r="X1347" s="4">
        <v>6348</v>
      </c>
      <c r="Y1347" s="4" t="s">
        <v>41</v>
      </c>
      <c r="Z1347" s="4">
        <v>42</v>
      </c>
      <c r="AA1347" s="4">
        <v>4.7</v>
      </c>
      <c r="AB1347" s="4" t="s">
        <v>64</v>
      </c>
    </row>
    <row r="1348" spans="1:28" x14ac:dyDescent="0.25">
      <c r="A1348" s="2" t="s">
        <v>2104</v>
      </c>
      <c r="B1348" s="2" t="s">
        <v>680</v>
      </c>
      <c r="C1348" s="2">
        <v>57</v>
      </c>
      <c r="D1348" s="2" t="s">
        <v>55</v>
      </c>
      <c r="E1348" s="2" t="s">
        <v>87</v>
      </c>
      <c r="F1348" s="2" t="s">
        <v>46</v>
      </c>
      <c r="G1348" s="3">
        <v>44712</v>
      </c>
      <c r="H1348" s="3">
        <v>44719</v>
      </c>
      <c r="I1348" s="2">
        <v>7</v>
      </c>
      <c r="J1348" s="2" t="s">
        <v>33</v>
      </c>
      <c r="K1348" s="2" t="s">
        <v>81</v>
      </c>
      <c r="L1348" s="2" t="s">
        <v>82</v>
      </c>
      <c r="M1348" s="2" t="s">
        <v>134</v>
      </c>
      <c r="N1348" s="2" t="s">
        <v>118</v>
      </c>
      <c r="O1348" s="2" t="s">
        <v>326</v>
      </c>
      <c r="P1348" s="2">
        <v>410</v>
      </c>
      <c r="Q1348" s="2" t="s">
        <v>103</v>
      </c>
      <c r="R1348" s="2" t="s">
        <v>111</v>
      </c>
      <c r="S1348" s="2">
        <v>64743</v>
      </c>
      <c r="T1348" s="2">
        <v>49548</v>
      </c>
      <c r="U1348" s="2">
        <v>15195</v>
      </c>
      <c r="V1348" s="2">
        <v>34139</v>
      </c>
      <c r="W1348" s="2">
        <v>26099</v>
      </c>
      <c r="X1348" s="2">
        <v>3123</v>
      </c>
      <c r="Y1348" s="2" t="s">
        <v>41</v>
      </c>
      <c r="Z1348" s="2">
        <v>82</v>
      </c>
      <c r="AA1348" s="2">
        <v>3.8</v>
      </c>
      <c r="AB1348" s="2" t="s">
        <v>64</v>
      </c>
    </row>
    <row r="1349" spans="1:28" x14ac:dyDescent="0.25">
      <c r="A1349" s="4" t="s">
        <v>2105</v>
      </c>
      <c r="B1349" s="4" t="s">
        <v>747</v>
      </c>
      <c r="C1349" s="4">
        <v>58</v>
      </c>
      <c r="D1349" s="4" t="s">
        <v>30</v>
      </c>
      <c r="E1349" s="4" t="s">
        <v>122</v>
      </c>
      <c r="F1349" s="4" t="s">
        <v>150</v>
      </c>
      <c r="G1349" s="5">
        <v>45391</v>
      </c>
      <c r="H1349" s="5">
        <v>45395</v>
      </c>
      <c r="I1349" s="4">
        <v>4</v>
      </c>
      <c r="J1349" s="4" t="s">
        <v>140</v>
      </c>
      <c r="K1349" s="4" t="s">
        <v>141</v>
      </c>
      <c r="L1349" s="4" t="s">
        <v>142</v>
      </c>
      <c r="M1349" s="4" t="s">
        <v>143</v>
      </c>
      <c r="N1349" s="4" t="s">
        <v>109</v>
      </c>
      <c r="O1349" s="4" t="s">
        <v>300</v>
      </c>
      <c r="P1349" s="4">
        <v>198</v>
      </c>
      <c r="Q1349" s="4" t="s">
        <v>50</v>
      </c>
      <c r="R1349" s="4" t="s">
        <v>136</v>
      </c>
      <c r="S1349" s="4">
        <v>149443</v>
      </c>
      <c r="T1349" s="4">
        <v>0</v>
      </c>
      <c r="U1349" s="4">
        <v>149443</v>
      </c>
      <c r="V1349" s="4">
        <v>114902</v>
      </c>
      <c r="W1349" s="4">
        <v>19266</v>
      </c>
      <c r="X1349" s="4">
        <v>11886</v>
      </c>
      <c r="Y1349" s="4" t="s">
        <v>41</v>
      </c>
      <c r="Z1349" s="4">
        <v>40</v>
      </c>
      <c r="AA1349" s="4">
        <v>4.8</v>
      </c>
      <c r="AB1349" s="4" t="s">
        <v>52</v>
      </c>
    </row>
    <row r="1350" spans="1:28" x14ac:dyDescent="0.25">
      <c r="A1350" s="2" t="s">
        <v>2106</v>
      </c>
      <c r="B1350" s="2" t="s">
        <v>1805</v>
      </c>
      <c r="C1350" s="2">
        <v>48</v>
      </c>
      <c r="D1350" s="2" t="s">
        <v>30</v>
      </c>
      <c r="E1350" s="2" t="s">
        <v>122</v>
      </c>
      <c r="F1350" s="2" t="s">
        <v>129</v>
      </c>
      <c r="G1350" s="3">
        <v>45397</v>
      </c>
      <c r="H1350" s="3">
        <v>45404</v>
      </c>
      <c r="I1350" s="2">
        <v>7</v>
      </c>
      <c r="J1350" s="2" t="s">
        <v>33</v>
      </c>
      <c r="K1350" s="2" t="s">
        <v>47</v>
      </c>
      <c r="L1350" s="2" t="s">
        <v>48</v>
      </c>
      <c r="M1350" s="2" t="s">
        <v>130</v>
      </c>
      <c r="N1350" s="2" t="s">
        <v>37</v>
      </c>
      <c r="O1350" s="2" t="s">
        <v>189</v>
      </c>
      <c r="P1350" s="2">
        <v>394</v>
      </c>
      <c r="Q1350" s="2" t="s">
        <v>50</v>
      </c>
      <c r="R1350" s="2" t="s">
        <v>40</v>
      </c>
      <c r="S1350" s="2">
        <v>95253</v>
      </c>
      <c r="T1350" s="2">
        <v>49816</v>
      </c>
      <c r="U1350" s="2">
        <v>45437</v>
      </c>
      <c r="V1350" s="2">
        <v>65840</v>
      </c>
      <c r="W1350" s="2">
        <v>22173</v>
      </c>
      <c r="X1350" s="2">
        <v>2742</v>
      </c>
      <c r="Y1350" s="2" t="s">
        <v>41</v>
      </c>
      <c r="Z1350" s="2">
        <v>76</v>
      </c>
      <c r="AA1350" s="2">
        <v>4.2</v>
      </c>
      <c r="AB1350" s="2" t="s">
        <v>104</v>
      </c>
    </row>
    <row r="1351" spans="1:28" x14ac:dyDescent="0.25">
      <c r="A1351" s="4" t="s">
        <v>2107</v>
      </c>
      <c r="B1351" s="4" t="s">
        <v>1334</v>
      </c>
      <c r="C1351" s="4">
        <v>9</v>
      </c>
      <c r="D1351" s="4" t="s">
        <v>55</v>
      </c>
      <c r="E1351" s="4" t="s">
        <v>154</v>
      </c>
      <c r="F1351" s="4" t="s">
        <v>32</v>
      </c>
      <c r="G1351" s="5">
        <v>45381</v>
      </c>
      <c r="H1351" s="5">
        <v>45400</v>
      </c>
      <c r="I1351" s="4">
        <v>19</v>
      </c>
      <c r="J1351" s="4" t="s">
        <v>115</v>
      </c>
      <c r="K1351" s="4" t="s">
        <v>116</v>
      </c>
      <c r="L1351" s="4" t="s">
        <v>117</v>
      </c>
      <c r="M1351" s="4" t="s">
        <v>108</v>
      </c>
      <c r="N1351" s="4" t="s">
        <v>62</v>
      </c>
      <c r="O1351" s="4" t="s">
        <v>560</v>
      </c>
      <c r="P1351" s="4">
        <v>77</v>
      </c>
      <c r="Q1351" s="4" t="s">
        <v>69</v>
      </c>
      <c r="R1351" s="4" t="s">
        <v>51</v>
      </c>
      <c r="S1351" s="4">
        <v>141411</v>
      </c>
      <c r="T1351" s="4">
        <v>73551</v>
      </c>
      <c r="U1351" s="4">
        <v>67860</v>
      </c>
      <c r="V1351" s="4">
        <v>121424</v>
      </c>
      <c r="W1351" s="4">
        <v>13272</v>
      </c>
      <c r="X1351" s="4">
        <v>6024</v>
      </c>
      <c r="Y1351" s="4" t="s">
        <v>41</v>
      </c>
      <c r="Z1351" s="4">
        <v>78</v>
      </c>
      <c r="AA1351" s="4">
        <v>2.1</v>
      </c>
      <c r="AB1351" s="4" t="s">
        <v>137</v>
      </c>
    </row>
    <row r="1352" spans="1:28" x14ac:dyDescent="0.25">
      <c r="A1352" s="2" t="s">
        <v>2108</v>
      </c>
      <c r="B1352" s="2" t="s">
        <v>2109</v>
      </c>
      <c r="C1352" s="2">
        <v>48</v>
      </c>
      <c r="D1352" s="2" t="s">
        <v>55</v>
      </c>
      <c r="E1352" s="2" t="s">
        <v>154</v>
      </c>
      <c r="F1352" s="2" t="s">
        <v>57</v>
      </c>
      <c r="G1352" s="3">
        <v>44676</v>
      </c>
      <c r="H1352" s="3">
        <v>44683</v>
      </c>
      <c r="I1352" s="2">
        <v>7</v>
      </c>
      <c r="J1352" s="2" t="s">
        <v>33</v>
      </c>
      <c r="K1352" s="2" t="s">
        <v>278</v>
      </c>
      <c r="L1352" s="2" t="s">
        <v>279</v>
      </c>
      <c r="M1352" s="2" t="s">
        <v>134</v>
      </c>
      <c r="N1352" s="2" t="s">
        <v>118</v>
      </c>
      <c r="O1352" s="2" t="s">
        <v>464</v>
      </c>
      <c r="P1352" s="2">
        <v>235</v>
      </c>
      <c r="Q1352" s="2" t="s">
        <v>103</v>
      </c>
      <c r="R1352" s="2" t="s">
        <v>51</v>
      </c>
      <c r="S1352" s="2">
        <v>142049</v>
      </c>
      <c r="T1352" s="2">
        <v>64589</v>
      </c>
      <c r="U1352" s="2">
        <v>77460</v>
      </c>
      <c r="V1352" s="2">
        <v>129681</v>
      </c>
      <c r="W1352" s="2">
        <v>6360</v>
      </c>
      <c r="X1352" s="2">
        <v>2376</v>
      </c>
      <c r="Y1352" s="2" t="s">
        <v>91</v>
      </c>
      <c r="Z1352" s="2">
        <v>81</v>
      </c>
      <c r="AA1352" s="2">
        <v>2.6</v>
      </c>
      <c r="AB1352" s="2" t="s">
        <v>64</v>
      </c>
    </row>
    <row r="1353" spans="1:28" x14ac:dyDescent="0.25">
      <c r="A1353" s="4" t="s">
        <v>2110</v>
      </c>
      <c r="B1353" s="4" t="s">
        <v>719</v>
      </c>
      <c r="C1353" s="4">
        <v>80</v>
      </c>
      <c r="D1353" s="4" t="s">
        <v>55</v>
      </c>
      <c r="E1353" s="4" t="s">
        <v>154</v>
      </c>
      <c r="F1353" s="4" t="s">
        <v>72</v>
      </c>
      <c r="G1353" s="5">
        <v>45335</v>
      </c>
      <c r="H1353" s="5">
        <v>45361</v>
      </c>
      <c r="I1353" s="4">
        <v>26</v>
      </c>
      <c r="J1353" s="4" t="s">
        <v>33</v>
      </c>
      <c r="K1353" s="4" t="s">
        <v>233</v>
      </c>
      <c r="L1353" s="4" t="s">
        <v>35</v>
      </c>
      <c r="M1353" s="4" t="s">
        <v>36</v>
      </c>
      <c r="N1353" s="4" t="s">
        <v>62</v>
      </c>
      <c r="O1353" s="4" t="s">
        <v>248</v>
      </c>
      <c r="P1353" s="4">
        <v>13</v>
      </c>
      <c r="Q1353" s="4" t="s">
        <v>103</v>
      </c>
      <c r="R1353" s="4" t="s">
        <v>90</v>
      </c>
      <c r="S1353" s="4">
        <v>61712</v>
      </c>
      <c r="T1353" s="4">
        <v>53058</v>
      </c>
      <c r="U1353" s="4">
        <v>8654</v>
      </c>
      <c r="V1353" s="4">
        <v>46842</v>
      </c>
      <c r="W1353" s="4">
        <v>6679</v>
      </c>
      <c r="X1353" s="4">
        <v>7346</v>
      </c>
      <c r="Y1353" s="4" t="s">
        <v>41</v>
      </c>
      <c r="Z1353" s="4">
        <v>48</v>
      </c>
      <c r="AA1353" s="4">
        <v>4.7</v>
      </c>
      <c r="AB1353" s="4" t="s">
        <v>42</v>
      </c>
    </row>
    <row r="1354" spans="1:28" x14ac:dyDescent="0.25">
      <c r="A1354" s="2" t="s">
        <v>2111</v>
      </c>
      <c r="B1354" s="2" t="s">
        <v>1064</v>
      </c>
      <c r="C1354" s="2">
        <v>61</v>
      </c>
      <c r="D1354" s="2" t="s">
        <v>30</v>
      </c>
      <c r="E1354" s="2" t="s">
        <v>154</v>
      </c>
      <c r="F1354" s="2" t="s">
        <v>150</v>
      </c>
      <c r="G1354" s="3">
        <v>44672</v>
      </c>
      <c r="H1354" s="3">
        <v>44683</v>
      </c>
      <c r="I1354" s="2">
        <v>11</v>
      </c>
      <c r="J1354" s="2" t="s">
        <v>58</v>
      </c>
      <c r="K1354" s="2" t="s">
        <v>59</v>
      </c>
      <c r="L1354" s="2" t="s">
        <v>60</v>
      </c>
      <c r="M1354" s="2" t="s">
        <v>75</v>
      </c>
      <c r="N1354" s="2" t="s">
        <v>118</v>
      </c>
      <c r="O1354" s="2" t="s">
        <v>681</v>
      </c>
      <c r="P1354" s="2">
        <v>275</v>
      </c>
      <c r="Q1354" s="2" t="s">
        <v>103</v>
      </c>
      <c r="R1354" s="2" t="s">
        <v>40</v>
      </c>
      <c r="S1354" s="2">
        <v>159580</v>
      </c>
      <c r="T1354" s="2">
        <v>73096</v>
      </c>
      <c r="U1354" s="2">
        <v>86484</v>
      </c>
      <c r="V1354" s="2">
        <v>148524</v>
      </c>
      <c r="W1354" s="2">
        <v>5760</v>
      </c>
      <c r="X1354" s="2">
        <v>1518</v>
      </c>
      <c r="Y1354" s="2" t="s">
        <v>41</v>
      </c>
      <c r="Z1354" s="2">
        <v>82</v>
      </c>
      <c r="AA1354" s="2">
        <v>3.6</v>
      </c>
      <c r="AB1354" s="2" t="s">
        <v>104</v>
      </c>
    </row>
    <row r="1355" spans="1:28" x14ac:dyDescent="0.25">
      <c r="A1355" s="4" t="s">
        <v>2112</v>
      </c>
      <c r="B1355" s="4" t="s">
        <v>919</v>
      </c>
      <c r="C1355" s="4">
        <v>58</v>
      </c>
      <c r="D1355" s="4" t="s">
        <v>55</v>
      </c>
      <c r="E1355" s="4" t="s">
        <v>79</v>
      </c>
      <c r="F1355" s="4" t="s">
        <v>46</v>
      </c>
      <c r="G1355" s="5">
        <v>45413</v>
      </c>
      <c r="H1355" s="5">
        <v>45436</v>
      </c>
      <c r="I1355" s="4">
        <v>23</v>
      </c>
      <c r="J1355" s="4" t="s">
        <v>33</v>
      </c>
      <c r="K1355" s="4" t="s">
        <v>81</v>
      </c>
      <c r="L1355" s="4" t="s">
        <v>82</v>
      </c>
      <c r="M1355" s="4" t="s">
        <v>75</v>
      </c>
      <c r="N1355" s="4" t="s">
        <v>118</v>
      </c>
      <c r="O1355" s="4" t="s">
        <v>181</v>
      </c>
      <c r="P1355" s="4">
        <v>252</v>
      </c>
      <c r="Q1355" s="4" t="s">
        <v>103</v>
      </c>
      <c r="R1355" s="4" t="s">
        <v>90</v>
      </c>
      <c r="S1355" s="4">
        <v>154627</v>
      </c>
      <c r="T1355" s="4">
        <v>122777</v>
      </c>
      <c r="U1355" s="4">
        <v>31850</v>
      </c>
      <c r="V1355" s="4">
        <v>114302</v>
      </c>
      <c r="W1355" s="4">
        <v>27819</v>
      </c>
      <c r="X1355" s="4">
        <v>11847</v>
      </c>
      <c r="Y1355" s="4" t="s">
        <v>41</v>
      </c>
      <c r="Z1355" s="4">
        <v>100</v>
      </c>
      <c r="AA1355" s="4">
        <v>2.8</v>
      </c>
      <c r="AB1355" s="4" t="s">
        <v>64</v>
      </c>
    </row>
    <row r="1356" spans="1:28" x14ac:dyDescent="0.25">
      <c r="A1356" s="2" t="s">
        <v>2113</v>
      </c>
      <c r="B1356" s="2" t="s">
        <v>769</v>
      </c>
      <c r="C1356" s="2">
        <v>48</v>
      </c>
      <c r="D1356" s="2" t="s">
        <v>55</v>
      </c>
      <c r="E1356" s="2" t="s">
        <v>45</v>
      </c>
      <c r="F1356" s="2" t="s">
        <v>150</v>
      </c>
      <c r="G1356" s="3">
        <v>45007</v>
      </c>
      <c r="H1356" s="3">
        <v>45022</v>
      </c>
      <c r="I1356" s="2">
        <v>15</v>
      </c>
      <c r="J1356" s="2" t="s">
        <v>33</v>
      </c>
      <c r="K1356" s="2" t="s">
        <v>99</v>
      </c>
      <c r="L1356" s="2" t="s">
        <v>100</v>
      </c>
      <c r="M1356" s="2" t="s">
        <v>134</v>
      </c>
      <c r="N1356" s="2" t="s">
        <v>37</v>
      </c>
      <c r="O1356" s="2" t="s">
        <v>681</v>
      </c>
      <c r="P1356" s="2">
        <v>464</v>
      </c>
      <c r="Q1356" s="2" t="s">
        <v>50</v>
      </c>
      <c r="R1356" s="2" t="s">
        <v>90</v>
      </c>
      <c r="S1356" s="2">
        <v>138370</v>
      </c>
      <c r="T1356" s="2">
        <v>100314</v>
      </c>
      <c r="U1356" s="2">
        <v>38056</v>
      </c>
      <c r="V1356" s="2">
        <v>120741</v>
      </c>
      <c r="W1356" s="2">
        <v>1118</v>
      </c>
      <c r="X1356" s="2">
        <v>13778</v>
      </c>
      <c r="Y1356" s="2" t="s">
        <v>41</v>
      </c>
      <c r="Z1356" s="2">
        <v>69</v>
      </c>
      <c r="AA1356" s="2">
        <v>4.3</v>
      </c>
      <c r="AB1356" s="2" t="s">
        <v>104</v>
      </c>
    </row>
    <row r="1357" spans="1:28" x14ac:dyDescent="0.25">
      <c r="A1357" s="4" t="s">
        <v>2114</v>
      </c>
      <c r="B1357" s="4" t="s">
        <v>1115</v>
      </c>
      <c r="C1357" s="4">
        <v>23</v>
      </c>
      <c r="D1357" s="4" t="s">
        <v>30</v>
      </c>
      <c r="E1357" s="4" t="s">
        <v>154</v>
      </c>
      <c r="F1357" s="4" t="s">
        <v>94</v>
      </c>
      <c r="G1357" s="5">
        <v>45189</v>
      </c>
      <c r="H1357" s="5">
        <v>45194</v>
      </c>
      <c r="I1357" s="4">
        <v>5</v>
      </c>
      <c r="J1357" s="4" t="s">
        <v>115</v>
      </c>
      <c r="K1357" s="4" t="s">
        <v>116</v>
      </c>
      <c r="L1357" s="4" t="s">
        <v>117</v>
      </c>
      <c r="M1357" s="4" t="s">
        <v>130</v>
      </c>
      <c r="N1357" s="4" t="s">
        <v>109</v>
      </c>
      <c r="O1357" s="4" t="s">
        <v>217</v>
      </c>
      <c r="P1357" s="4">
        <v>458</v>
      </c>
      <c r="Q1357" s="4" t="s">
        <v>103</v>
      </c>
      <c r="R1357" s="4" t="s">
        <v>90</v>
      </c>
      <c r="S1357" s="4">
        <v>119968</v>
      </c>
      <c r="T1357" s="4">
        <v>72947</v>
      </c>
      <c r="U1357" s="4">
        <v>47021</v>
      </c>
      <c r="V1357" s="4">
        <v>104000</v>
      </c>
      <c r="W1357" s="4">
        <v>9426</v>
      </c>
      <c r="X1357" s="4">
        <v>2458</v>
      </c>
      <c r="Y1357" s="4" t="s">
        <v>41</v>
      </c>
      <c r="Z1357" s="4">
        <v>95</v>
      </c>
      <c r="AA1357" s="4">
        <v>3.5</v>
      </c>
      <c r="AB1357" s="4" t="s">
        <v>42</v>
      </c>
    </row>
    <row r="1358" spans="1:28" x14ac:dyDescent="0.25">
      <c r="A1358" s="2" t="s">
        <v>2115</v>
      </c>
      <c r="B1358" s="2" t="s">
        <v>2116</v>
      </c>
      <c r="C1358" s="2">
        <v>47</v>
      </c>
      <c r="D1358" s="2" t="s">
        <v>30</v>
      </c>
      <c r="E1358" s="2" t="s">
        <v>67</v>
      </c>
      <c r="F1358" s="2" t="s">
        <v>94</v>
      </c>
      <c r="G1358" s="3">
        <v>45617</v>
      </c>
      <c r="H1358" s="3">
        <v>45618</v>
      </c>
      <c r="I1358" s="2">
        <v>1</v>
      </c>
      <c r="J1358" s="2" t="s">
        <v>115</v>
      </c>
      <c r="K1358" s="2" t="s">
        <v>160</v>
      </c>
      <c r="L1358" s="2" t="s">
        <v>117</v>
      </c>
      <c r="M1358" s="2" t="s">
        <v>108</v>
      </c>
      <c r="N1358" s="2" t="s">
        <v>37</v>
      </c>
      <c r="O1358" s="2" t="s">
        <v>110</v>
      </c>
      <c r="P1358" s="2">
        <v>497</v>
      </c>
      <c r="Q1358" s="2" t="s">
        <v>50</v>
      </c>
      <c r="R1358" s="2" t="s">
        <v>90</v>
      </c>
      <c r="S1358" s="2">
        <v>73950</v>
      </c>
      <c r="T1358" s="2">
        <v>48605</v>
      </c>
      <c r="U1358" s="2">
        <v>25345</v>
      </c>
      <c r="V1358" s="2">
        <v>42839</v>
      </c>
      <c r="W1358" s="2">
        <v>16276</v>
      </c>
      <c r="X1358" s="2">
        <v>10045</v>
      </c>
      <c r="Y1358" s="2" t="s">
        <v>91</v>
      </c>
      <c r="Z1358" s="2">
        <v>51</v>
      </c>
      <c r="AA1358" s="2">
        <v>4.3</v>
      </c>
      <c r="AB1358" s="2" t="s">
        <v>52</v>
      </c>
    </row>
    <row r="1359" spans="1:28" x14ac:dyDescent="0.25">
      <c r="A1359" s="4" t="s">
        <v>2117</v>
      </c>
      <c r="B1359" s="4" t="s">
        <v>1243</v>
      </c>
      <c r="C1359" s="4">
        <v>51</v>
      </c>
      <c r="D1359" s="4" t="s">
        <v>55</v>
      </c>
      <c r="E1359" s="4" t="s">
        <v>45</v>
      </c>
      <c r="F1359" s="4" t="s">
        <v>46</v>
      </c>
      <c r="G1359" s="5">
        <v>44732</v>
      </c>
      <c r="H1359" s="5">
        <v>44759</v>
      </c>
      <c r="I1359" s="4">
        <v>27</v>
      </c>
      <c r="J1359" s="4" t="s">
        <v>115</v>
      </c>
      <c r="K1359" s="4" t="s">
        <v>116</v>
      </c>
      <c r="L1359" s="4" t="s">
        <v>117</v>
      </c>
      <c r="M1359" s="4" t="s">
        <v>36</v>
      </c>
      <c r="N1359" s="4" t="s">
        <v>62</v>
      </c>
      <c r="O1359" s="4" t="s">
        <v>259</v>
      </c>
      <c r="P1359" s="4">
        <v>349</v>
      </c>
      <c r="Q1359" s="4" t="s">
        <v>50</v>
      </c>
      <c r="R1359" s="4" t="s">
        <v>51</v>
      </c>
      <c r="S1359" s="4">
        <v>36513</v>
      </c>
      <c r="T1359" s="4">
        <v>24803</v>
      </c>
      <c r="U1359" s="4">
        <v>11710</v>
      </c>
      <c r="V1359" s="4">
        <v>10169</v>
      </c>
      <c r="W1359" s="4">
        <v>18114</v>
      </c>
      <c r="X1359" s="4">
        <v>7708</v>
      </c>
      <c r="Y1359" s="4" t="s">
        <v>91</v>
      </c>
      <c r="Z1359" s="4">
        <v>40</v>
      </c>
      <c r="AA1359" s="4">
        <v>4.0999999999999996</v>
      </c>
      <c r="AB1359" s="4" t="s">
        <v>137</v>
      </c>
    </row>
    <row r="1360" spans="1:28" x14ac:dyDescent="0.25">
      <c r="A1360" s="2" t="s">
        <v>2118</v>
      </c>
      <c r="B1360" s="2" t="s">
        <v>1004</v>
      </c>
      <c r="C1360" s="2">
        <v>51</v>
      </c>
      <c r="D1360" s="2" t="s">
        <v>55</v>
      </c>
      <c r="E1360" s="2" t="s">
        <v>122</v>
      </c>
      <c r="F1360" s="2" t="s">
        <v>150</v>
      </c>
      <c r="G1360" s="3">
        <v>45519</v>
      </c>
      <c r="H1360" s="3">
        <v>45540</v>
      </c>
      <c r="I1360" s="2">
        <v>21</v>
      </c>
      <c r="J1360" s="2" t="s">
        <v>33</v>
      </c>
      <c r="K1360" s="2" t="s">
        <v>34</v>
      </c>
      <c r="L1360" s="2" t="s">
        <v>35</v>
      </c>
      <c r="M1360" s="2" t="s">
        <v>83</v>
      </c>
      <c r="N1360" s="2" t="s">
        <v>118</v>
      </c>
      <c r="O1360" s="2" t="s">
        <v>428</v>
      </c>
      <c r="P1360" s="2">
        <v>116</v>
      </c>
      <c r="Q1360" s="2" t="s">
        <v>39</v>
      </c>
      <c r="R1360" s="2" t="s">
        <v>111</v>
      </c>
      <c r="S1360" s="2">
        <v>179356</v>
      </c>
      <c r="T1360" s="2">
        <v>139742</v>
      </c>
      <c r="U1360" s="2">
        <v>39614</v>
      </c>
      <c r="V1360" s="2">
        <v>148647</v>
      </c>
      <c r="W1360" s="2">
        <v>19972</v>
      </c>
      <c r="X1360" s="2">
        <v>6611</v>
      </c>
      <c r="Y1360" s="2" t="s">
        <v>41</v>
      </c>
      <c r="Z1360" s="2">
        <v>49</v>
      </c>
      <c r="AA1360" s="2">
        <v>3.9</v>
      </c>
      <c r="AB1360" s="2" t="s">
        <v>52</v>
      </c>
    </row>
    <row r="1361" spans="1:28" x14ac:dyDescent="0.25">
      <c r="A1361" s="4" t="s">
        <v>2119</v>
      </c>
      <c r="B1361" s="4" t="s">
        <v>1115</v>
      </c>
      <c r="C1361" s="4">
        <v>11</v>
      </c>
      <c r="D1361" s="4" t="s">
        <v>30</v>
      </c>
      <c r="E1361" s="4" t="s">
        <v>56</v>
      </c>
      <c r="F1361" s="4" t="s">
        <v>157</v>
      </c>
      <c r="G1361" s="5">
        <v>44633</v>
      </c>
      <c r="H1361" s="5">
        <v>44663</v>
      </c>
      <c r="I1361" s="4">
        <v>30</v>
      </c>
      <c r="J1361" s="4" t="s">
        <v>33</v>
      </c>
      <c r="K1361" s="4" t="s">
        <v>278</v>
      </c>
      <c r="L1361" s="4" t="s">
        <v>279</v>
      </c>
      <c r="M1361" s="4" t="s">
        <v>130</v>
      </c>
      <c r="N1361" s="4" t="s">
        <v>37</v>
      </c>
      <c r="O1361" s="4" t="s">
        <v>396</v>
      </c>
      <c r="P1361" s="4">
        <v>255</v>
      </c>
      <c r="Q1361" s="4" t="s">
        <v>50</v>
      </c>
      <c r="R1361" s="4" t="s">
        <v>90</v>
      </c>
      <c r="S1361" s="4">
        <v>60175</v>
      </c>
      <c r="T1361" s="4">
        <v>38788</v>
      </c>
      <c r="U1361" s="4">
        <v>21387</v>
      </c>
      <c r="V1361" s="4">
        <v>51297</v>
      </c>
      <c r="W1361" s="4">
        <v>1387</v>
      </c>
      <c r="X1361" s="4">
        <v>6598</v>
      </c>
      <c r="Y1361" s="4" t="s">
        <v>41</v>
      </c>
      <c r="Z1361" s="4">
        <v>76</v>
      </c>
      <c r="AA1361" s="4">
        <v>3.4</v>
      </c>
      <c r="AB1361" s="4" t="s">
        <v>64</v>
      </c>
    </row>
    <row r="1362" spans="1:28" x14ac:dyDescent="0.25">
      <c r="A1362" s="2" t="s">
        <v>2120</v>
      </c>
      <c r="B1362" s="2" t="s">
        <v>2121</v>
      </c>
      <c r="C1362" s="2">
        <v>27</v>
      </c>
      <c r="D1362" s="2" t="s">
        <v>55</v>
      </c>
      <c r="E1362" s="2" t="s">
        <v>56</v>
      </c>
      <c r="F1362" s="2" t="s">
        <v>57</v>
      </c>
      <c r="G1362" s="3">
        <v>44914</v>
      </c>
      <c r="H1362" s="3">
        <v>44934</v>
      </c>
      <c r="I1362" s="2">
        <v>20</v>
      </c>
      <c r="J1362" s="2" t="s">
        <v>33</v>
      </c>
      <c r="K1362" s="2" t="s">
        <v>174</v>
      </c>
      <c r="L1362" s="2" t="s">
        <v>48</v>
      </c>
      <c r="M1362" s="2" t="s">
        <v>101</v>
      </c>
      <c r="N1362" s="2" t="s">
        <v>37</v>
      </c>
      <c r="O1362" s="2" t="s">
        <v>110</v>
      </c>
      <c r="P1362" s="2">
        <v>346</v>
      </c>
      <c r="Q1362" s="2" t="s">
        <v>50</v>
      </c>
      <c r="R1362" s="2" t="s">
        <v>40</v>
      </c>
      <c r="S1362" s="2">
        <v>141666</v>
      </c>
      <c r="T1362" s="2">
        <v>88463</v>
      </c>
      <c r="U1362" s="2">
        <v>53203</v>
      </c>
      <c r="V1362" s="2">
        <v>115693</v>
      </c>
      <c r="W1362" s="2">
        <v>11528</v>
      </c>
      <c r="X1362" s="2">
        <v>10248</v>
      </c>
      <c r="Y1362" s="2" t="s">
        <v>41</v>
      </c>
      <c r="Z1362" s="2">
        <v>88</v>
      </c>
      <c r="AA1362" s="2">
        <v>2.5</v>
      </c>
      <c r="AB1362" s="2" t="s">
        <v>64</v>
      </c>
    </row>
    <row r="1363" spans="1:28" x14ac:dyDescent="0.25">
      <c r="A1363" s="4" t="s">
        <v>2122</v>
      </c>
      <c r="B1363" s="4" t="s">
        <v>255</v>
      </c>
      <c r="C1363" s="4">
        <v>38</v>
      </c>
      <c r="D1363" s="4" t="s">
        <v>55</v>
      </c>
      <c r="E1363" s="4" t="s">
        <v>122</v>
      </c>
      <c r="F1363" s="4" t="s">
        <v>46</v>
      </c>
      <c r="G1363" s="5">
        <v>44732</v>
      </c>
      <c r="H1363" s="5">
        <v>44745</v>
      </c>
      <c r="I1363" s="4">
        <v>13</v>
      </c>
      <c r="J1363" s="4" t="s">
        <v>58</v>
      </c>
      <c r="K1363" s="4" t="s">
        <v>59</v>
      </c>
      <c r="L1363" s="4" t="s">
        <v>60</v>
      </c>
      <c r="M1363" s="4" t="s">
        <v>95</v>
      </c>
      <c r="N1363" s="4" t="s">
        <v>109</v>
      </c>
      <c r="O1363" s="4" t="s">
        <v>119</v>
      </c>
      <c r="P1363" s="4">
        <v>21</v>
      </c>
      <c r="Q1363" s="4" t="s">
        <v>50</v>
      </c>
      <c r="R1363" s="4" t="s">
        <v>90</v>
      </c>
      <c r="S1363" s="4">
        <v>73397</v>
      </c>
      <c r="T1363" s="4">
        <v>63160</v>
      </c>
      <c r="U1363" s="4">
        <v>10237</v>
      </c>
      <c r="V1363" s="4">
        <v>54192</v>
      </c>
      <c r="W1363" s="4">
        <v>8810</v>
      </c>
      <c r="X1363" s="4">
        <v>8013</v>
      </c>
      <c r="Y1363" s="4" t="s">
        <v>41</v>
      </c>
      <c r="Z1363" s="4">
        <v>90</v>
      </c>
      <c r="AA1363" s="4">
        <v>4.3</v>
      </c>
      <c r="AB1363" s="4" t="s">
        <v>42</v>
      </c>
    </row>
    <row r="1364" spans="1:28" x14ac:dyDescent="0.25">
      <c r="A1364" s="2" t="s">
        <v>2123</v>
      </c>
      <c r="B1364" s="2" t="s">
        <v>847</v>
      </c>
      <c r="C1364" s="2">
        <v>62</v>
      </c>
      <c r="D1364" s="2" t="s">
        <v>30</v>
      </c>
      <c r="E1364" s="2" t="s">
        <v>56</v>
      </c>
      <c r="F1364" s="2" t="s">
        <v>114</v>
      </c>
      <c r="G1364" s="3">
        <v>44571</v>
      </c>
      <c r="H1364" s="3">
        <v>44598</v>
      </c>
      <c r="I1364" s="2">
        <v>27</v>
      </c>
      <c r="J1364" s="2" t="s">
        <v>202</v>
      </c>
      <c r="K1364" s="2" t="s">
        <v>225</v>
      </c>
      <c r="L1364" s="2" t="s">
        <v>226</v>
      </c>
      <c r="M1364" s="2" t="s">
        <v>95</v>
      </c>
      <c r="N1364" s="2" t="s">
        <v>37</v>
      </c>
      <c r="O1364" s="2" t="s">
        <v>178</v>
      </c>
      <c r="P1364" s="2">
        <v>155</v>
      </c>
      <c r="Q1364" s="2" t="s">
        <v>69</v>
      </c>
      <c r="R1364" s="2" t="s">
        <v>136</v>
      </c>
      <c r="S1364" s="2">
        <v>166624</v>
      </c>
      <c r="T1364" s="2">
        <v>0</v>
      </c>
      <c r="U1364" s="2">
        <v>166624</v>
      </c>
      <c r="V1364" s="2">
        <v>141567</v>
      </c>
      <c r="W1364" s="2">
        <v>10773</v>
      </c>
      <c r="X1364" s="2">
        <v>10582</v>
      </c>
      <c r="Y1364" s="2" t="s">
        <v>41</v>
      </c>
      <c r="Z1364" s="2">
        <v>45</v>
      </c>
      <c r="AA1364" s="2">
        <v>2.8</v>
      </c>
      <c r="AB1364" s="2" t="s">
        <v>42</v>
      </c>
    </row>
    <row r="1365" spans="1:28" x14ac:dyDescent="0.25">
      <c r="A1365" s="4" t="s">
        <v>2124</v>
      </c>
      <c r="B1365" s="4" t="s">
        <v>364</v>
      </c>
      <c r="C1365" s="4">
        <v>70</v>
      </c>
      <c r="D1365" s="4" t="s">
        <v>55</v>
      </c>
      <c r="E1365" s="4" t="s">
        <v>31</v>
      </c>
      <c r="F1365" s="4" t="s">
        <v>80</v>
      </c>
      <c r="G1365" s="5">
        <v>45592</v>
      </c>
      <c r="H1365" s="5">
        <v>45605</v>
      </c>
      <c r="I1365" s="4">
        <v>13</v>
      </c>
      <c r="J1365" s="4" t="s">
        <v>123</v>
      </c>
      <c r="K1365" s="4" t="s">
        <v>124</v>
      </c>
      <c r="L1365" s="4" t="s">
        <v>125</v>
      </c>
      <c r="M1365" s="4" t="s">
        <v>130</v>
      </c>
      <c r="N1365" s="4" t="s">
        <v>118</v>
      </c>
      <c r="O1365" s="4" t="s">
        <v>119</v>
      </c>
      <c r="P1365" s="4">
        <v>136</v>
      </c>
      <c r="Q1365" s="4" t="s">
        <v>50</v>
      </c>
      <c r="R1365" s="4" t="s">
        <v>90</v>
      </c>
      <c r="S1365" s="4">
        <v>133446</v>
      </c>
      <c r="T1365" s="4">
        <v>95036</v>
      </c>
      <c r="U1365" s="4">
        <v>38410</v>
      </c>
      <c r="V1365" s="4">
        <v>119486</v>
      </c>
      <c r="W1365" s="4">
        <v>7851</v>
      </c>
      <c r="X1365" s="4">
        <v>3492</v>
      </c>
      <c r="Y1365" s="4" t="s">
        <v>41</v>
      </c>
      <c r="Z1365" s="4">
        <v>49</v>
      </c>
      <c r="AA1365" s="4">
        <v>4.9000000000000004</v>
      </c>
      <c r="AB1365" s="4" t="s">
        <v>42</v>
      </c>
    </row>
    <row r="1366" spans="1:28" x14ac:dyDescent="0.25">
      <c r="A1366" s="2" t="s">
        <v>2125</v>
      </c>
      <c r="B1366" s="2" t="s">
        <v>1457</v>
      </c>
      <c r="C1366" s="2">
        <v>19</v>
      </c>
      <c r="D1366" s="2" t="s">
        <v>55</v>
      </c>
      <c r="E1366" s="2" t="s">
        <v>122</v>
      </c>
      <c r="F1366" s="2" t="s">
        <v>94</v>
      </c>
      <c r="G1366" s="3">
        <v>45323</v>
      </c>
      <c r="H1366" s="3">
        <v>45349</v>
      </c>
      <c r="I1366" s="2">
        <v>26</v>
      </c>
      <c r="J1366" s="2" t="s">
        <v>202</v>
      </c>
      <c r="K1366" s="2" t="s">
        <v>203</v>
      </c>
      <c r="L1366" s="2" t="s">
        <v>204</v>
      </c>
      <c r="M1366" s="2" t="s">
        <v>134</v>
      </c>
      <c r="N1366" s="2" t="s">
        <v>37</v>
      </c>
      <c r="O1366" s="2" t="s">
        <v>285</v>
      </c>
      <c r="P1366" s="2">
        <v>313</v>
      </c>
      <c r="Q1366" s="2" t="s">
        <v>50</v>
      </c>
      <c r="R1366" s="2" t="s">
        <v>51</v>
      </c>
      <c r="S1366" s="2">
        <v>95456</v>
      </c>
      <c r="T1366" s="2">
        <v>45134</v>
      </c>
      <c r="U1366" s="2">
        <v>50322</v>
      </c>
      <c r="V1366" s="2">
        <v>63293</v>
      </c>
      <c r="W1366" s="2">
        <v>27820</v>
      </c>
      <c r="X1366" s="2">
        <v>3218</v>
      </c>
      <c r="Y1366" s="2" t="s">
        <v>41</v>
      </c>
      <c r="Z1366" s="2">
        <v>66</v>
      </c>
      <c r="AA1366" s="2">
        <v>2.4</v>
      </c>
      <c r="AB1366" s="2" t="s">
        <v>64</v>
      </c>
    </row>
    <row r="1367" spans="1:28" x14ac:dyDescent="0.25">
      <c r="A1367" s="4" t="s">
        <v>2126</v>
      </c>
      <c r="B1367" s="4" t="s">
        <v>2065</v>
      </c>
      <c r="C1367" s="4">
        <v>30</v>
      </c>
      <c r="D1367" s="4" t="s">
        <v>30</v>
      </c>
      <c r="E1367" s="4" t="s">
        <v>122</v>
      </c>
      <c r="F1367" s="4" t="s">
        <v>57</v>
      </c>
      <c r="G1367" s="5">
        <v>44881</v>
      </c>
      <c r="H1367" s="5">
        <v>44886</v>
      </c>
      <c r="I1367" s="4">
        <v>5</v>
      </c>
      <c r="J1367" s="4" t="s">
        <v>33</v>
      </c>
      <c r="K1367" s="4" t="s">
        <v>81</v>
      </c>
      <c r="L1367" s="4" t="s">
        <v>82</v>
      </c>
      <c r="M1367" s="4" t="s">
        <v>143</v>
      </c>
      <c r="N1367" s="4" t="s">
        <v>118</v>
      </c>
      <c r="O1367" s="4" t="s">
        <v>271</v>
      </c>
      <c r="P1367" s="4">
        <v>340</v>
      </c>
      <c r="Q1367" s="4" t="s">
        <v>39</v>
      </c>
      <c r="R1367" s="4" t="s">
        <v>90</v>
      </c>
      <c r="S1367" s="4">
        <v>130572</v>
      </c>
      <c r="T1367" s="4">
        <v>99756</v>
      </c>
      <c r="U1367" s="4">
        <v>30816</v>
      </c>
      <c r="V1367" s="4">
        <v>92804</v>
      </c>
      <c r="W1367" s="4">
        <v>28903</v>
      </c>
      <c r="X1367" s="4">
        <v>5937</v>
      </c>
      <c r="Y1367" s="4" t="s">
        <v>41</v>
      </c>
      <c r="Z1367" s="4">
        <v>76</v>
      </c>
      <c r="AA1367" s="4">
        <v>3.6</v>
      </c>
      <c r="AB1367" s="4" t="s">
        <v>137</v>
      </c>
    </row>
    <row r="1368" spans="1:28" x14ac:dyDescent="0.25">
      <c r="A1368" s="2" t="s">
        <v>2127</v>
      </c>
      <c r="B1368" s="2" t="s">
        <v>2055</v>
      </c>
      <c r="C1368" s="2">
        <v>18</v>
      </c>
      <c r="D1368" s="2" t="s">
        <v>55</v>
      </c>
      <c r="E1368" s="2" t="s">
        <v>56</v>
      </c>
      <c r="F1368" s="2" t="s">
        <v>46</v>
      </c>
      <c r="G1368" s="3">
        <v>45525</v>
      </c>
      <c r="H1368" s="3">
        <v>45547</v>
      </c>
      <c r="I1368" s="2">
        <v>22</v>
      </c>
      <c r="J1368" s="2" t="s">
        <v>140</v>
      </c>
      <c r="K1368" s="2" t="s">
        <v>167</v>
      </c>
      <c r="L1368" s="2" t="s">
        <v>142</v>
      </c>
      <c r="M1368" s="2" t="s">
        <v>75</v>
      </c>
      <c r="N1368" s="2" t="s">
        <v>118</v>
      </c>
      <c r="O1368" s="2" t="s">
        <v>119</v>
      </c>
      <c r="P1368" s="2">
        <v>198</v>
      </c>
      <c r="Q1368" s="2" t="s">
        <v>69</v>
      </c>
      <c r="R1368" s="2" t="s">
        <v>136</v>
      </c>
      <c r="S1368" s="2">
        <v>79670</v>
      </c>
      <c r="T1368" s="2">
        <v>0</v>
      </c>
      <c r="U1368" s="2">
        <v>79670</v>
      </c>
      <c r="V1368" s="2">
        <v>50745</v>
      </c>
      <c r="W1368" s="2">
        <v>20132</v>
      </c>
      <c r="X1368" s="2">
        <v>4561</v>
      </c>
      <c r="Y1368" s="2" t="s">
        <v>41</v>
      </c>
      <c r="Z1368" s="2">
        <v>70</v>
      </c>
      <c r="AA1368" s="2">
        <v>4.2</v>
      </c>
      <c r="AB1368" s="2" t="s">
        <v>52</v>
      </c>
    </row>
    <row r="1369" spans="1:28" x14ac:dyDescent="0.25">
      <c r="A1369" s="4" t="s">
        <v>2128</v>
      </c>
      <c r="B1369" s="4" t="s">
        <v>258</v>
      </c>
      <c r="C1369" s="4">
        <v>28</v>
      </c>
      <c r="D1369" s="4" t="s">
        <v>55</v>
      </c>
      <c r="E1369" s="4" t="s">
        <v>79</v>
      </c>
      <c r="F1369" s="4" t="s">
        <v>114</v>
      </c>
      <c r="G1369" s="5">
        <v>44722</v>
      </c>
      <c r="H1369" s="5">
        <v>44737</v>
      </c>
      <c r="I1369" s="4">
        <v>15</v>
      </c>
      <c r="J1369" s="4" t="s">
        <v>123</v>
      </c>
      <c r="K1369" s="4" t="s">
        <v>124</v>
      </c>
      <c r="L1369" s="4" t="s">
        <v>125</v>
      </c>
      <c r="M1369" s="4" t="s">
        <v>95</v>
      </c>
      <c r="N1369" s="4" t="s">
        <v>62</v>
      </c>
      <c r="O1369" s="4" t="s">
        <v>399</v>
      </c>
      <c r="P1369" s="4">
        <v>410</v>
      </c>
      <c r="Q1369" s="4" t="s">
        <v>39</v>
      </c>
      <c r="R1369" s="4" t="s">
        <v>51</v>
      </c>
      <c r="S1369" s="4">
        <v>79128</v>
      </c>
      <c r="T1369" s="4">
        <v>46361</v>
      </c>
      <c r="U1369" s="4">
        <v>32767</v>
      </c>
      <c r="V1369" s="4">
        <v>52429</v>
      </c>
      <c r="W1369" s="4">
        <v>14887</v>
      </c>
      <c r="X1369" s="4">
        <v>7807</v>
      </c>
      <c r="Y1369" s="4" t="s">
        <v>41</v>
      </c>
      <c r="Z1369" s="4">
        <v>81</v>
      </c>
      <c r="AA1369" s="4">
        <v>3.9</v>
      </c>
      <c r="AB1369" s="4" t="s">
        <v>42</v>
      </c>
    </row>
    <row r="1370" spans="1:28" x14ac:dyDescent="0.25">
      <c r="A1370" s="2" t="s">
        <v>2129</v>
      </c>
      <c r="B1370" s="2" t="s">
        <v>86</v>
      </c>
      <c r="C1370" s="2">
        <v>64</v>
      </c>
      <c r="D1370" s="2" t="s">
        <v>30</v>
      </c>
      <c r="E1370" s="2" t="s">
        <v>45</v>
      </c>
      <c r="F1370" s="2" t="s">
        <v>46</v>
      </c>
      <c r="G1370" s="3">
        <v>45132</v>
      </c>
      <c r="H1370" s="3">
        <v>45143</v>
      </c>
      <c r="I1370" s="2">
        <v>11</v>
      </c>
      <c r="J1370" s="2" t="s">
        <v>202</v>
      </c>
      <c r="K1370" s="2" t="s">
        <v>225</v>
      </c>
      <c r="L1370" s="2" t="s">
        <v>226</v>
      </c>
      <c r="M1370" s="2" t="s">
        <v>83</v>
      </c>
      <c r="N1370" s="2" t="s">
        <v>118</v>
      </c>
      <c r="O1370" s="2" t="s">
        <v>199</v>
      </c>
      <c r="P1370" s="2">
        <v>143</v>
      </c>
      <c r="Q1370" s="2" t="s">
        <v>69</v>
      </c>
      <c r="R1370" s="2" t="s">
        <v>90</v>
      </c>
      <c r="S1370" s="2">
        <v>77629</v>
      </c>
      <c r="T1370" s="2">
        <v>56264</v>
      </c>
      <c r="U1370" s="2">
        <v>21365</v>
      </c>
      <c r="V1370" s="2">
        <v>40702</v>
      </c>
      <c r="W1370" s="2">
        <v>24659</v>
      </c>
      <c r="X1370" s="2">
        <v>10023</v>
      </c>
      <c r="Y1370" s="2" t="s">
        <v>41</v>
      </c>
      <c r="Z1370" s="2">
        <v>40</v>
      </c>
      <c r="AA1370" s="2">
        <v>4.0999999999999996</v>
      </c>
      <c r="AB1370" s="2" t="s">
        <v>42</v>
      </c>
    </row>
    <row r="1371" spans="1:28" x14ac:dyDescent="0.25">
      <c r="A1371" s="4" t="s">
        <v>2130</v>
      </c>
      <c r="B1371" s="4" t="s">
        <v>1228</v>
      </c>
      <c r="C1371" s="4">
        <v>63</v>
      </c>
      <c r="D1371" s="4" t="s">
        <v>30</v>
      </c>
      <c r="E1371" s="4" t="s">
        <v>56</v>
      </c>
      <c r="F1371" s="4" t="s">
        <v>72</v>
      </c>
      <c r="G1371" s="5">
        <v>44989</v>
      </c>
      <c r="H1371" s="5">
        <v>44998</v>
      </c>
      <c r="I1371" s="4">
        <v>9</v>
      </c>
      <c r="J1371" s="4" t="s">
        <v>115</v>
      </c>
      <c r="K1371" s="4" t="s">
        <v>116</v>
      </c>
      <c r="L1371" s="4" t="s">
        <v>117</v>
      </c>
      <c r="M1371" s="4" t="s">
        <v>75</v>
      </c>
      <c r="N1371" s="4" t="s">
        <v>62</v>
      </c>
      <c r="O1371" s="4" t="s">
        <v>241</v>
      </c>
      <c r="P1371" s="4">
        <v>431</v>
      </c>
      <c r="Q1371" s="4" t="s">
        <v>50</v>
      </c>
      <c r="R1371" s="4" t="s">
        <v>51</v>
      </c>
      <c r="S1371" s="4">
        <v>116617</v>
      </c>
      <c r="T1371" s="4">
        <v>67779</v>
      </c>
      <c r="U1371" s="4">
        <v>48838</v>
      </c>
      <c r="V1371" s="4">
        <v>80063</v>
      </c>
      <c r="W1371" s="4">
        <v>26808</v>
      </c>
      <c r="X1371" s="4">
        <v>5326</v>
      </c>
      <c r="Y1371" s="4" t="s">
        <v>41</v>
      </c>
      <c r="Z1371" s="4">
        <v>90</v>
      </c>
      <c r="AA1371" s="4">
        <v>4</v>
      </c>
      <c r="AB1371" s="4" t="s">
        <v>137</v>
      </c>
    </row>
    <row r="1372" spans="1:28" x14ac:dyDescent="0.25">
      <c r="A1372" s="2" t="s">
        <v>2131</v>
      </c>
      <c r="B1372" s="2" t="s">
        <v>2132</v>
      </c>
      <c r="C1372" s="2">
        <v>51</v>
      </c>
      <c r="D1372" s="2" t="s">
        <v>30</v>
      </c>
      <c r="E1372" s="2" t="s">
        <v>67</v>
      </c>
      <c r="F1372" s="2" t="s">
        <v>129</v>
      </c>
      <c r="G1372" s="3">
        <v>44832</v>
      </c>
      <c r="H1372" s="3">
        <v>44855</v>
      </c>
      <c r="I1372" s="2">
        <v>23</v>
      </c>
      <c r="J1372" s="2" t="s">
        <v>73</v>
      </c>
      <c r="K1372" s="2" t="s">
        <v>74</v>
      </c>
      <c r="L1372" s="2" t="s">
        <v>73</v>
      </c>
      <c r="M1372" s="2" t="s">
        <v>83</v>
      </c>
      <c r="N1372" s="2" t="s">
        <v>62</v>
      </c>
      <c r="O1372" s="2" t="s">
        <v>390</v>
      </c>
      <c r="P1372" s="2">
        <v>315</v>
      </c>
      <c r="Q1372" s="2" t="s">
        <v>50</v>
      </c>
      <c r="R1372" s="2" t="s">
        <v>51</v>
      </c>
      <c r="S1372" s="2">
        <v>50399</v>
      </c>
      <c r="T1372" s="2">
        <v>21704</v>
      </c>
      <c r="U1372" s="2">
        <v>28695</v>
      </c>
      <c r="V1372" s="2">
        <v>12931</v>
      </c>
      <c r="W1372" s="2">
        <v>29389</v>
      </c>
      <c r="X1372" s="2">
        <v>5678</v>
      </c>
      <c r="Y1372" s="2" t="s">
        <v>91</v>
      </c>
      <c r="Z1372" s="2">
        <v>85</v>
      </c>
      <c r="AA1372" s="2">
        <v>2.4</v>
      </c>
      <c r="AB1372" s="2" t="s">
        <v>52</v>
      </c>
    </row>
    <row r="1373" spans="1:28" x14ac:dyDescent="0.25">
      <c r="A1373" s="4" t="s">
        <v>2133</v>
      </c>
      <c r="B1373" s="4" t="s">
        <v>362</v>
      </c>
      <c r="C1373" s="4">
        <v>11</v>
      </c>
      <c r="D1373" s="4" t="s">
        <v>55</v>
      </c>
      <c r="E1373" s="4" t="s">
        <v>87</v>
      </c>
      <c r="F1373" s="4" t="s">
        <v>129</v>
      </c>
      <c r="G1373" s="5">
        <v>45569</v>
      </c>
      <c r="H1373" s="5">
        <v>45572</v>
      </c>
      <c r="I1373" s="4">
        <v>3</v>
      </c>
      <c r="J1373" s="4" t="s">
        <v>33</v>
      </c>
      <c r="K1373" s="4" t="s">
        <v>99</v>
      </c>
      <c r="L1373" s="4" t="s">
        <v>100</v>
      </c>
      <c r="M1373" s="4" t="s">
        <v>143</v>
      </c>
      <c r="N1373" s="4" t="s">
        <v>118</v>
      </c>
      <c r="O1373" s="4" t="s">
        <v>110</v>
      </c>
      <c r="P1373" s="4">
        <v>447</v>
      </c>
      <c r="Q1373" s="4" t="s">
        <v>50</v>
      </c>
      <c r="R1373" s="4" t="s">
        <v>111</v>
      </c>
      <c r="S1373" s="4">
        <v>86415</v>
      </c>
      <c r="T1373" s="4">
        <v>55221</v>
      </c>
      <c r="U1373" s="4">
        <v>31194</v>
      </c>
      <c r="V1373" s="4">
        <v>54296</v>
      </c>
      <c r="W1373" s="4">
        <v>29232</v>
      </c>
      <c r="X1373" s="4">
        <v>1526</v>
      </c>
      <c r="Y1373" s="4" t="s">
        <v>91</v>
      </c>
      <c r="Z1373" s="4">
        <v>74</v>
      </c>
      <c r="AA1373" s="4">
        <v>4.0999999999999996</v>
      </c>
      <c r="AB1373" s="4" t="s">
        <v>137</v>
      </c>
    </row>
    <row r="1374" spans="1:28" x14ac:dyDescent="0.25">
      <c r="A1374" s="2" t="s">
        <v>2134</v>
      </c>
      <c r="B1374" s="2" t="s">
        <v>1416</v>
      </c>
      <c r="C1374" s="2">
        <v>76</v>
      </c>
      <c r="D1374" s="2" t="s">
        <v>30</v>
      </c>
      <c r="E1374" s="2" t="s">
        <v>122</v>
      </c>
      <c r="F1374" s="2" t="s">
        <v>114</v>
      </c>
      <c r="G1374" s="3">
        <v>45414</v>
      </c>
      <c r="H1374" s="3">
        <v>45417</v>
      </c>
      <c r="I1374" s="2">
        <v>3</v>
      </c>
      <c r="J1374" s="2" t="s">
        <v>33</v>
      </c>
      <c r="K1374" s="2" t="s">
        <v>47</v>
      </c>
      <c r="L1374" s="2" t="s">
        <v>48</v>
      </c>
      <c r="M1374" s="2" t="s">
        <v>95</v>
      </c>
      <c r="N1374" s="2" t="s">
        <v>118</v>
      </c>
      <c r="O1374" s="2" t="s">
        <v>144</v>
      </c>
      <c r="P1374" s="2">
        <v>193</v>
      </c>
      <c r="Q1374" s="2" t="s">
        <v>39</v>
      </c>
      <c r="R1374" s="2" t="s">
        <v>136</v>
      </c>
      <c r="S1374" s="2">
        <v>145233</v>
      </c>
      <c r="T1374" s="2">
        <v>0</v>
      </c>
      <c r="U1374" s="2">
        <v>145233</v>
      </c>
      <c r="V1374" s="2">
        <v>118510</v>
      </c>
      <c r="W1374" s="2">
        <v>11685</v>
      </c>
      <c r="X1374" s="2">
        <v>12110</v>
      </c>
      <c r="Y1374" s="2" t="s">
        <v>91</v>
      </c>
      <c r="Z1374" s="2">
        <v>99</v>
      </c>
      <c r="AA1374" s="2">
        <v>2.1</v>
      </c>
      <c r="AB1374" s="2" t="s">
        <v>42</v>
      </c>
    </row>
    <row r="1375" spans="1:28" x14ac:dyDescent="0.25">
      <c r="A1375" s="4" t="s">
        <v>2135</v>
      </c>
      <c r="B1375" s="4" t="s">
        <v>1424</v>
      </c>
      <c r="C1375" s="4">
        <v>27</v>
      </c>
      <c r="D1375" s="4" t="s">
        <v>30</v>
      </c>
      <c r="E1375" s="4" t="s">
        <v>154</v>
      </c>
      <c r="F1375" s="4" t="s">
        <v>157</v>
      </c>
      <c r="G1375" s="5">
        <v>44912</v>
      </c>
      <c r="H1375" s="5">
        <v>44942</v>
      </c>
      <c r="I1375" s="4">
        <v>30</v>
      </c>
      <c r="J1375" s="4" t="s">
        <v>202</v>
      </c>
      <c r="K1375" s="4" t="s">
        <v>225</v>
      </c>
      <c r="L1375" s="4" t="s">
        <v>226</v>
      </c>
      <c r="M1375" s="4" t="s">
        <v>108</v>
      </c>
      <c r="N1375" s="4" t="s">
        <v>37</v>
      </c>
      <c r="O1375" s="4" t="s">
        <v>464</v>
      </c>
      <c r="P1375" s="4">
        <v>467</v>
      </c>
      <c r="Q1375" s="4" t="s">
        <v>50</v>
      </c>
      <c r="R1375" s="4" t="s">
        <v>51</v>
      </c>
      <c r="S1375" s="4">
        <v>105182</v>
      </c>
      <c r="T1375" s="4">
        <v>66092</v>
      </c>
      <c r="U1375" s="4">
        <v>39090</v>
      </c>
      <c r="V1375" s="4">
        <v>76436</v>
      </c>
      <c r="W1375" s="4">
        <v>13783</v>
      </c>
      <c r="X1375" s="4">
        <v>10155</v>
      </c>
      <c r="Y1375" s="4" t="s">
        <v>41</v>
      </c>
      <c r="Z1375" s="4">
        <v>72</v>
      </c>
      <c r="AA1375" s="4">
        <v>4.7</v>
      </c>
      <c r="AB1375" s="4" t="s">
        <v>42</v>
      </c>
    </row>
    <row r="1376" spans="1:28" x14ac:dyDescent="0.25">
      <c r="A1376" s="2" t="s">
        <v>2136</v>
      </c>
      <c r="B1376" s="2" t="s">
        <v>304</v>
      </c>
      <c r="C1376" s="2">
        <v>9</v>
      </c>
      <c r="D1376" s="2" t="s">
        <v>30</v>
      </c>
      <c r="E1376" s="2" t="s">
        <v>154</v>
      </c>
      <c r="F1376" s="2" t="s">
        <v>57</v>
      </c>
      <c r="G1376" s="3">
        <v>45058</v>
      </c>
      <c r="H1376" s="3">
        <v>45061</v>
      </c>
      <c r="I1376" s="2">
        <v>3</v>
      </c>
      <c r="J1376" s="2" t="s">
        <v>73</v>
      </c>
      <c r="K1376" s="2" t="s">
        <v>74</v>
      </c>
      <c r="L1376" s="2" t="s">
        <v>73</v>
      </c>
      <c r="M1376" s="2" t="s">
        <v>101</v>
      </c>
      <c r="N1376" s="2" t="s">
        <v>37</v>
      </c>
      <c r="O1376" s="2" t="s">
        <v>241</v>
      </c>
      <c r="P1376" s="2">
        <v>108</v>
      </c>
      <c r="Q1376" s="2" t="s">
        <v>39</v>
      </c>
      <c r="R1376" s="2" t="s">
        <v>90</v>
      </c>
      <c r="S1376" s="2">
        <v>100159</v>
      </c>
      <c r="T1376" s="2">
        <v>75809</v>
      </c>
      <c r="U1376" s="2">
        <v>24350</v>
      </c>
      <c r="V1376" s="2">
        <v>59522</v>
      </c>
      <c r="W1376" s="2">
        <v>29424</v>
      </c>
      <c r="X1376" s="2">
        <v>7587</v>
      </c>
      <c r="Y1376" s="2" t="s">
        <v>41</v>
      </c>
      <c r="Z1376" s="2">
        <v>48</v>
      </c>
      <c r="AA1376" s="2">
        <v>4.4000000000000004</v>
      </c>
      <c r="AB1376" s="2" t="s">
        <v>137</v>
      </c>
    </row>
    <row r="1377" spans="1:28" x14ac:dyDescent="0.25">
      <c r="A1377" s="4" t="s">
        <v>2137</v>
      </c>
      <c r="B1377" s="4" t="s">
        <v>479</v>
      </c>
      <c r="C1377" s="4">
        <v>22</v>
      </c>
      <c r="D1377" s="4" t="s">
        <v>30</v>
      </c>
      <c r="E1377" s="4" t="s">
        <v>45</v>
      </c>
      <c r="F1377" s="4" t="s">
        <v>129</v>
      </c>
      <c r="G1377" s="5">
        <v>45527</v>
      </c>
      <c r="H1377" s="5">
        <v>45532</v>
      </c>
      <c r="I1377" s="4">
        <v>5</v>
      </c>
      <c r="J1377" s="4" t="s">
        <v>202</v>
      </c>
      <c r="K1377" s="4" t="s">
        <v>225</v>
      </c>
      <c r="L1377" s="4" t="s">
        <v>226</v>
      </c>
      <c r="M1377" s="4" t="s">
        <v>108</v>
      </c>
      <c r="N1377" s="4" t="s">
        <v>62</v>
      </c>
      <c r="O1377" s="4" t="s">
        <v>678</v>
      </c>
      <c r="P1377" s="4">
        <v>4</v>
      </c>
      <c r="Q1377" s="4" t="s">
        <v>103</v>
      </c>
      <c r="R1377" s="4" t="s">
        <v>111</v>
      </c>
      <c r="S1377" s="4">
        <v>101595</v>
      </c>
      <c r="T1377" s="4">
        <v>90520</v>
      </c>
      <c r="U1377" s="4">
        <v>11075</v>
      </c>
      <c r="V1377" s="4">
        <v>64374</v>
      </c>
      <c r="W1377" s="4">
        <v>28235</v>
      </c>
      <c r="X1377" s="4">
        <v>4901</v>
      </c>
      <c r="Y1377" s="4" t="s">
        <v>41</v>
      </c>
      <c r="Z1377" s="4">
        <v>40</v>
      </c>
      <c r="AA1377" s="4">
        <v>3.2</v>
      </c>
      <c r="AB1377" s="4" t="s">
        <v>42</v>
      </c>
    </row>
    <row r="1378" spans="1:28" x14ac:dyDescent="0.25">
      <c r="A1378" s="2" t="s">
        <v>2138</v>
      </c>
      <c r="B1378" s="2" t="s">
        <v>362</v>
      </c>
      <c r="C1378" s="2">
        <v>39</v>
      </c>
      <c r="D1378" s="2" t="s">
        <v>30</v>
      </c>
      <c r="E1378" s="2" t="s">
        <v>45</v>
      </c>
      <c r="F1378" s="2" t="s">
        <v>150</v>
      </c>
      <c r="G1378" s="3">
        <v>45059</v>
      </c>
      <c r="H1378" s="3">
        <v>45070</v>
      </c>
      <c r="I1378" s="2">
        <v>11</v>
      </c>
      <c r="J1378" s="2" t="s">
        <v>33</v>
      </c>
      <c r="K1378" s="2" t="s">
        <v>81</v>
      </c>
      <c r="L1378" s="2" t="s">
        <v>82</v>
      </c>
      <c r="M1378" s="2" t="s">
        <v>61</v>
      </c>
      <c r="N1378" s="2" t="s">
        <v>109</v>
      </c>
      <c r="O1378" s="2" t="s">
        <v>189</v>
      </c>
      <c r="P1378" s="2">
        <v>330</v>
      </c>
      <c r="Q1378" s="2" t="s">
        <v>69</v>
      </c>
      <c r="R1378" s="2" t="s">
        <v>90</v>
      </c>
      <c r="S1378" s="2">
        <v>90868</v>
      </c>
      <c r="T1378" s="2">
        <v>68989</v>
      </c>
      <c r="U1378" s="2">
        <v>21879</v>
      </c>
      <c r="V1378" s="2">
        <v>71765</v>
      </c>
      <c r="W1378" s="2">
        <v>11832</v>
      </c>
      <c r="X1378" s="2">
        <v>3989</v>
      </c>
      <c r="Y1378" s="2" t="s">
        <v>41</v>
      </c>
      <c r="Z1378" s="2">
        <v>70</v>
      </c>
      <c r="AA1378" s="2">
        <v>2.7</v>
      </c>
      <c r="AB1378" s="2" t="s">
        <v>64</v>
      </c>
    </row>
    <row r="1379" spans="1:28" x14ac:dyDescent="0.25">
      <c r="A1379" s="4" t="s">
        <v>2139</v>
      </c>
      <c r="B1379" s="4" t="s">
        <v>906</v>
      </c>
      <c r="C1379" s="4">
        <v>33</v>
      </c>
      <c r="D1379" s="4" t="s">
        <v>55</v>
      </c>
      <c r="E1379" s="4" t="s">
        <v>154</v>
      </c>
      <c r="F1379" s="4" t="s">
        <v>94</v>
      </c>
      <c r="G1379" s="5">
        <v>45267</v>
      </c>
      <c r="H1379" s="5">
        <v>45294</v>
      </c>
      <c r="I1379" s="4">
        <v>27</v>
      </c>
      <c r="J1379" s="4" t="s">
        <v>33</v>
      </c>
      <c r="K1379" s="4" t="s">
        <v>107</v>
      </c>
      <c r="L1379" s="4" t="s">
        <v>48</v>
      </c>
      <c r="M1379" s="4" t="s">
        <v>134</v>
      </c>
      <c r="N1379" s="4" t="s">
        <v>109</v>
      </c>
      <c r="O1379" s="4" t="s">
        <v>246</v>
      </c>
      <c r="P1379" s="4">
        <v>391</v>
      </c>
      <c r="Q1379" s="4" t="s">
        <v>39</v>
      </c>
      <c r="R1379" s="4" t="s">
        <v>136</v>
      </c>
      <c r="S1379" s="4">
        <v>115888</v>
      </c>
      <c r="T1379" s="4">
        <v>0</v>
      </c>
      <c r="U1379" s="4">
        <v>115888</v>
      </c>
      <c r="V1379" s="4">
        <v>94701</v>
      </c>
      <c r="W1379" s="4">
        <v>12067</v>
      </c>
      <c r="X1379" s="4">
        <v>5257</v>
      </c>
      <c r="Y1379" s="4" t="s">
        <v>41</v>
      </c>
      <c r="Z1379" s="4">
        <v>86</v>
      </c>
      <c r="AA1379" s="4">
        <v>4.4000000000000004</v>
      </c>
      <c r="AB1379" s="4" t="s">
        <v>64</v>
      </c>
    </row>
    <row r="1380" spans="1:28" x14ac:dyDescent="0.25">
      <c r="A1380" s="2" t="s">
        <v>2140</v>
      </c>
      <c r="B1380" s="2" t="s">
        <v>1222</v>
      </c>
      <c r="C1380" s="2">
        <v>63</v>
      </c>
      <c r="D1380" s="2" t="s">
        <v>55</v>
      </c>
      <c r="E1380" s="2" t="s">
        <v>79</v>
      </c>
      <c r="F1380" s="2" t="s">
        <v>157</v>
      </c>
      <c r="G1380" s="3">
        <v>44774</v>
      </c>
      <c r="H1380" s="3">
        <v>44788</v>
      </c>
      <c r="I1380" s="2">
        <v>14</v>
      </c>
      <c r="J1380" s="2" t="s">
        <v>33</v>
      </c>
      <c r="K1380" s="2" t="s">
        <v>174</v>
      </c>
      <c r="L1380" s="2" t="s">
        <v>48</v>
      </c>
      <c r="M1380" s="2" t="s">
        <v>75</v>
      </c>
      <c r="N1380" s="2" t="s">
        <v>62</v>
      </c>
      <c r="O1380" s="2" t="s">
        <v>379</v>
      </c>
      <c r="P1380" s="2">
        <v>216</v>
      </c>
      <c r="Q1380" s="2" t="s">
        <v>50</v>
      </c>
      <c r="R1380" s="2" t="s">
        <v>111</v>
      </c>
      <c r="S1380" s="2">
        <v>147122</v>
      </c>
      <c r="T1380" s="2">
        <v>125410</v>
      </c>
      <c r="U1380" s="2">
        <v>21712</v>
      </c>
      <c r="V1380" s="2">
        <v>125647</v>
      </c>
      <c r="W1380" s="2">
        <v>8629</v>
      </c>
      <c r="X1380" s="2">
        <v>9144</v>
      </c>
      <c r="Y1380" s="2" t="s">
        <v>41</v>
      </c>
      <c r="Z1380" s="2">
        <v>61</v>
      </c>
      <c r="AA1380" s="2">
        <v>3.1</v>
      </c>
      <c r="AB1380" s="2" t="s">
        <v>104</v>
      </c>
    </row>
    <row r="1381" spans="1:28" x14ac:dyDescent="0.25">
      <c r="A1381" s="4" t="s">
        <v>2141</v>
      </c>
      <c r="B1381" s="4" t="s">
        <v>491</v>
      </c>
      <c r="C1381" s="4">
        <v>70</v>
      </c>
      <c r="D1381" s="4" t="s">
        <v>30</v>
      </c>
      <c r="E1381" s="4" t="s">
        <v>67</v>
      </c>
      <c r="F1381" s="4" t="s">
        <v>150</v>
      </c>
      <c r="G1381" s="5">
        <v>45029</v>
      </c>
      <c r="H1381" s="5">
        <v>45036</v>
      </c>
      <c r="I1381" s="4">
        <v>7</v>
      </c>
      <c r="J1381" s="4" t="s">
        <v>123</v>
      </c>
      <c r="K1381" s="4" t="s">
        <v>124</v>
      </c>
      <c r="L1381" s="4" t="s">
        <v>125</v>
      </c>
      <c r="M1381" s="4" t="s">
        <v>101</v>
      </c>
      <c r="N1381" s="4" t="s">
        <v>62</v>
      </c>
      <c r="O1381" s="4" t="s">
        <v>181</v>
      </c>
      <c r="P1381" s="4">
        <v>279</v>
      </c>
      <c r="Q1381" s="4" t="s">
        <v>50</v>
      </c>
      <c r="R1381" s="4" t="s">
        <v>136</v>
      </c>
      <c r="S1381" s="4">
        <v>177283</v>
      </c>
      <c r="T1381" s="4">
        <v>0</v>
      </c>
      <c r="U1381" s="4">
        <v>177283</v>
      </c>
      <c r="V1381" s="4">
        <v>145157</v>
      </c>
      <c r="W1381" s="4">
        <v>16245</v>
      </c>
      <c r="X1381" s="4">
        <v>11796</v>
      </c>
      <c r="Y1381" s="4" t="s">
        <v>91</v>
      </c>
      <c r="Z1381" s="4">
        <v>82</v>
      </c>
      <c r="AA1381" s="4">
        <v>4.5</v>
      </c>
      <c r="AB1381" s="4" t="s">
        <v>64</v>
      </c>
    </row>
    <row r="1382" spans="1:28" x14ac:dyDescent="0.25">
      <c r="A1382" s="2" t="s">
        <v>2142</v>
      </c>
      <c r="B1382" s="2" t="s">
        <v>1709</v>
      </c>
      <c r="C1382" s="2">
        <v>38</v>
      </c>
      <c r="D1382" s="2" t="s">
        <v>30</v>
      </c>
      <c r="E1382" s="2" t="s">
        <v>79</v>
      </c>
      <c r="F1382" s="2" t="s">
        <v>129</v>
      </c>
      <c r="G1382" s="3">
        <v>45425</v>
      </c>
      <c r="H1382" s="3">
        <v>45434</v>
      </c>
      <c r="I1382" s="2">
        <v>9</v>
      </c>
      <c r="J1382" s="2" t="s">
        <v>33</v>
      </c>
      <c r="K1382" s="2" t="s">
        <v>197</v>
      </c>
      <c r="L1382" s="2" t="s">
        <v>198</v>
      </c>
      <c r="M1382" s="2" t="s">
        <v>108</v>
      </c>
      <c r="N1382" s="2" t="s">
        <v>62</v>
      </c>
      <c r="O1382" s="2" t="s">
        <v>295</v>
      </c>
      <c r="P1382" s="2">
        <v>166</v>
      </c>
      <c r="Q1382" s="2" t="s">
        <v>39</v>
      </c>
      <c r="R1382" s="2" t="s">
        <v>90</v>
      </c>
      <c r="S1382" s="2">
        <v>45694</v>
      </c>
      <c r="T1382" s="2">
        <v>30506</v>
      </c>
      <c r="U1382" s="2">
        <v>15188</v>
      </c>
      <c r="V1382" s="2">
        <v>27319</v>
      </c>
      <c r="W1382" s="2">
        <v>5219</v>
      </c>
      <c r="X1382" s="2">
        <v>12270</v>
      </c>
      <c r="Y1382" s="2" t="s">
        <v>41</v>
      </c>
      <c r="Z1382" s="2">
        <v>76</v>
      </c>
      <c r="AA1382" s="2">
        <v>3.5</v>
      </c>
      <c r="AB1382" s="2" t="s">
        <v>104</v>
      </c>
    </row>
    <row r="1383" spans="1:28" x14ac:dyDescent="0.25">
      <c r="A1383" s="4" t="s">
        <v>2143</v>
      </c>
      <c r="B1383" s="4" t="s">
        <v>635</v>
      </c>
      <c r="C1383" s="4">
        <v>68</v>
      </c>
      <c r="D1383" s="4" t="s">
        <v>55</v>
      </c>
      <c r="E1383" s="4" t="s">
        <v>67</v>
      </c>
      <c r="F1383" s="4" t="s">
        <v>129</v>
      </c>
      <c r="G1383" s="5">
        <v>45020</v>
      </c>
      <c r="H1383" s="5">
        <v>45028</v>
      </c>
      <c r="I1383" s="4">
        <v>8</v>
      </c>
      <c r="J1383" s="4" t="s">
        <v>58</v>
      </c>
      <c r="K1383" s="4" t="s">
        <v>88</v>
      </c>
      <c r="L1383" s="4" t="s">
        <v>60</v>
      </c>
      <c r="M1383" s="4" t="s">
        <v>75</v>
      </c>
      <c r="N1383" s="4" t="s">
        <v>62</v>
      </c>
      <c r="O1383" s="4" t="s">
        <v>434</v>
      </c>
      <c r="P1383" s="4">
        <v>397</v>
      </c>
      <c r="Q1383" s="4" t="s">
        <v>69</v>
      </c>
      <c r="R1383" s="4" t="s">
        <v>90</v>
      </c>
      <c r="S1383" s="4">
        <v>172086</v>
      </c>
      <c r="T1383" s="4">
        <v>122145</v>
      </c>
      <c r="U1383" s="4">
        <v>49941</v>
      </c>
      <c r="V1383" s="4">
        <v>146777</v>
      </c>
      <c r="W1383" s="4">
        <v>23074</v>
      </c>
      <c r="X1383" s="4">
        <v>777</v>
      </c>
      <c r="Y1383" s="4" t="s">
        <v>41</v>
      </c>
      <c r="Z1383" s="4">
        <v>69</v>
      </c>
      <c r="AA1383" s="4">
        <v>2.8</v>
      </c>
      <c r="AB1383" s="4" t="s">
        <v>64</v>
      </c>
    </row>
    <row r="1384" spans="1:28" x14ac:dyDescent="0.25">
      <c r="A1384" s="2" t="s">
        <v>2144</v>
      </c>
      <c r="B1384" s="2" t="s">
        <v>1551</v>
      </c>
      <c r="C1384" s="2">
        <v>63</v>
      </c>
      <c r="D1384" s="2" t="s">
        <v>55</v>
      </c>
      <c r="E1384" s="2" t="s">
        <v>154</v>
      </c>
      <c r="F1384" s="2" t="s">
        <v>150</v>
      </c>
      <c r="G1384" s="3">
        <v>45567</v>
      </c>
      <c r="H1384" s="3">
        <v>45573</v>
      </c>
      <c r="I1384" s="2">
        <v>6</v>
      </c>
      <c r="J1384" s="2" t="s">
        <v>202</v>
      </c>
      <c r="K1384" s="2" t="s">
        <v>225</v>
      </c>
      <c r="L1384" s="2" t="s">
        <v>226</v>
      </c>
      <c r="M1384" s="2" t="s">
        <v>36</v>
      </c>
      <c r="N1384" s="2" t="s">
        <v>118</v>
      </c>
      <c r="O1384" s="2" t="s">
        <v>390</v>
      </c>
      <c r="P1384" s="2">
        <v>312</v>
      </c>
      <c r="Q1384" s="2" t="s">
        <v>103</v>
      </c>
      <c r="R1384" s="2" t="s">
        <v>51</v>
      </c>
      <c r="S1384" s="2">
        <v>132492</v>
      </c>
      <c r="T1384" s="2">
        <v>67046</v>
      </c>
      <c r="U1384" s="2">
        <v>65446</v>
      </c>
      <c r="V1384" s="2">
        <v>101492</v>
      </c>
      <c r="W1384" s="2">
        <v>16161</v>
      </c>
      <c r="X1384" s="2">
        <v>11916</v>
      </c>
      <c r="Y1384" s="2" t="s">
        <v>41</v>
      </c>
      <c r="Z1384" s="2">
        <v>76</v>
      </c>
      <c r="AA1384" s="2">
        <v>3</v>
      </c>
      <c r="AB1384" s="2" t="s">
        <v>42</v>
      </c>
    </row>
    <row r="1385" spans="1:28" x14ac:dyDescent="0.25">
      <c r="A1385" s="4" t="s">
        <v>2145</v>
      </c>
      <c r="B1385" s="4" t="s">
        <v>2146</v>
      </c>
      <c r="C1385" s="4">
        <v>8</v>
      </c>
      <c r="D1385" s="4" t="s">
        <v>30</v>
      </c>
      <c r="E1385" s="4" t="s">
        <v>45</v>
      </c>
      <c r="F1385" s="4" t="s">
        <v>32</v>
      </c>
      <c r="G1385" s="5">
        <v>45354</v>
      </c>
      <c r="H1385" s="5">
        <v>45359</v>
      </c>
      <c r="I1385" s="4">
        <v>5</v>
      </c>
      <c r="J1385" s="4" t="s">
        <v>33</v>
      </c>
      <c r="K1385" s="4" t="s">
        <v>278</v>
      </c>
      <c r="L1385" s="4" t="s">
        <v>279</v>
      </c>
      <c r="M1385" s="4" t="s">
        <v>83</v>
      </c>
      <c r="N1385" s="4" t="s">
        <v>62</v>
      </c>
      <c r="O1385" s="4" t="s">
        <v>84</v>
      </c>
      <c r="P1385" s="4">
        <v>187</v>
      </c>
      <c r="Q1385" s="4" t="s">
        <v>50</v>
      </c>
      <c r="R1385" s="4" t="s">
        <v>90</v>
      </c>
      <c r="S1385" s="4">
        <v>93208</v>
      </c>
      <c r="T1385" s="4">
        <v>75210</v>
      </c>
      <c r="U1385" s="4">
        <v>17998</v>
      </c>
      <c r="V1385" s="4">
        <v>63787</v>
      </c>
      <c r="W1385" s="4">
        <v>21455</v>
      </c>
      <c r="X1385" s="4">
        <v>6152</v>
      </c>
      <c r="Y1385" s="4" t="s">
        <v>91</v>
      </c>
      <c r="Z1385" s="4">
        <v>94</v>
      </c>
      <c r="AA1385" s="4">
        <v>4</v>
      </c>
      <c r="AB1385" s="4" t="s">
        <v>52</v>
      </c>
    </row>
    <row r="1386" spans="1:28" x14ac:dyDescent="0.25">
      <c r="A1386" s="2" t="s">
        <v>2147</v>
      </c>
      <c r="B1386" s="2" t="s">
        <v>146</v>
      </c>
      <c r="C1386" s="2">
        <v>63</v>
      </c>
      <c r="D1386" s="2" t="s">
        <v>55</v>
      </c>
      <c r="E1386" s="2" t="s">
        <v>56</v>
      </c>
      <c r="F1386" s="2" t="s">
        <v>114</v>
      </c>
      <c r="G1386" s="3">
        <v>45203</v>
      </c>
      <c r="H1386" s="3">
        <v>45207</v>
      </c>
      <c r="I1386" s="2">
        <v>4</v>
      </c>
      <c r="J1386" s="2" t="s">
        <v>202</v>
      </c>
      <c r="K1386" s="2" t="s">
        <v>203</v>
      </c>
      <c r="L1386" s="2" t="s">
        <v>204</v>
      </c>
      <c r="M1386" s="2" t="s">
        <v>143</v>
      </c>
      <c r="N1386" s="2" t="s">
        <v>62</v>
      </c>
      <c r="O1386" s="2" t="s">
        <v>399</v>
      </c>
      <c r="P1386" s="2">
        <v>252</v>
      </c>
      <c r="Q1386" s="2" t="s">
        <v>50</v>
      </c>
      <c r="R1386" s="2" t="s">
        <v>136</v>
      </c>
      <c r="S1386" s="2">
        <v>98337</v>
      </c>
      <c r="T1386" s="2">
        <v>0</v>
      </c>
      <c r="U1386" s="2">
        <v>98337</v>
      </c>
      <c r="V1386" s="2">
        <v>88799</v>
      </c>
      <c r="W1386" s="2">
        <v>5880</v>
      </c>
      <c r="X1386" s="2">
        <v>1483</v>
      </c>
      <c r="Y1386" s="2" t="s">
        <v>91</v>
      </c>
      <c r="Z1386" s="2">
        <v>91</v>
      </c>
      <c r="AA1386" s="2">
        <v>4</v>
      </c>
      <c r="AB1386" s="2" t="s">
        <v>137</v>
      </c>
    </row>
    <row r="1387" spans="1:28" x14ac:dyDescent="0.25">
      <c r="A1387" s="4" t="s">
        <v>2148</v>
      </c>
      <c r="B1387" s="4" t="s">
        <v>284</v>
      </c>
      <c r="C1387" s="4">
        <v>84</v>
      </c>
      <c r="D1387" s="4" t="s">
        <v>30</v>
      </c>
      <c r="E1387" s="4" t="s">
        <v>87</v>
      </c>
      <c r="F1387" s="4" t="s">
        <v>32</v>
      </c>
      <c r="G1387" s="5">
        <v>44614</v>
      </c>
      <c r="H1387" s="5">
        <v>44631</v>
      </c>
      <c r="I1387" s="4">
        <v>17</v>
      </c>
      <c r="J1387" s="4" t="s">
        <v>33</v>
      </c>
      <c r="K1387" s="4" t="s">
        <v>99</v>
      </c>
      <c r="L1387" s="4" t="s">
        <v>100</v>
      </c>
      <c r="M1387" s="4" t="s">
        <v>134</v>
      </c>
      <c r="N1387" s="4" t="s">
        <v>62</v>
      </c>
      <c r="O1387" s="4" t="s">
        <v>627</v>
      </c>
      <c r="P1387" s="4">
        <v>350</v>
      </c>
      <c r="Q1387" s="4" t="s">
        <v>39</v>
      </c>
      <c r="R1387" s="4" t="s">
        <v>40</v>
      </c>
      <c r="S1387" s="4">
        <v>61841</v>
      </c>
      <c r="T1387" s="4">
        <v>41026</v>
      </c>
      <c r="U1387" s="4">
        <v>20815</v>
      </c>
      <c r="V1387" s="4">
        <v>29002</v>
      </c>
      <c r="W1387" s="4">
        <v>26748</v>
      </c>
      <c r="X1387" s="4">
        <v>3261</v>
      </c>
      <c r="Y1387" s="4" t="s">
        <v>41</v>
      </c>
      <c r="Z1387" s="4">
        <v>87</v>
      </c>
      <c r="AA1387" s="4">
        <v>4.0999999999999996</v>
      </c>
      <c r="AB1387" s="4" t="s">
        <v>42</v>
      </c>
    </row>
    <row r="1388" spans="1:28" x14ac:dyDescent="0.25">
      <c r="A1388" s="2" t="s">
        <v>2149</v>
      </c>
      <c r="B1388" s="2" t="s">
        <v>1107</v>
      </c>
      <c r="C1388" s="2">
        <v>34</v>
      </c>
      <c r="D1388" s="2" t="s">
        <v>30</v>
      </c>
      <c r="E1388" s="2" t="s">
        <v>122</v>
      </c>
      <c r="F1388" s="2" t="s">
        <v>72</v>
      </c>
      <c r="G1388" s="3">
        <v>45075</v>
      </c>
      <c r="H1388" s="3">
        <v>45078</v>
      </c>
      <c r="I1388" s="2">
        <v>3</v>
      </c>
      <c r="J1388" s="2" t="s">
        <v>123</v>
      </c>
      <c r="K1388" s="2" t="s">
        <v>124</v>
      </c>
      <c r="L1388" s="2" t="s">
        <v>125</v>
      </c>
      <c r="M1388" s="2" t="s">
        <v>75</v>
      </c>
      <c r="N1388" s="2" t="s">
        <v>62</v>
      </c>
      <c r="O1388" s="2" t="s">
        <v>355</v>
      </c>
      <c r="P1388" s="2">
        <v>182</v>
      </c>
      <c r="Q1388" s="2" t="s">
        <v>103</v>
      </c>
      <c r="R1388" s="2" t="s">
        <v>51</v>
      </c>
      <c r="S1388" s="2">
        <v>119007</v>
      </c>
      <c r="T1388" s="2">
        <v>72859</v>
      </c>
      <c r="U1388" s="2">
        <v>46148</v>
      </c>
      <c r="V1388" s="2">
        <v>88095</v>
      </c>
      <c r="W1388" s="2">
        <v>20103</v>
      </c>
      <c r="X1388" s="2">
        <v>9809</v>
      </c>
      <c r="Y1388" s="2" t="s">
        <v>41</v>
      </c>
      <c r="Z1388" s="2">
        <v>92</v>
      </c>
      <c r="AA1388" s="2">
        <v>3.4</v>
      </c>
      <c r="AB1388" s="2" t="s">
        <v>52</v>
      </c>
    </row>
    <row r="1389" spans="1:28" x14ac:dyDescent="0.25">
      <c r="A1389" s="4" t="s">
        <v>2150</v>
      </c>
      <c r="B1389" s="4" t="s">
        <v>422</v>
      </c>
      <c r="C1389" s="4">
        <v>35</v>
      </c>
      <c r="D1389" s="4" t="s">
        <v>55</v>
      </c>
      <c r="E1389" s="4" t="s">
        <v>45</v>
      </c>
      <c r="F1389" s="4" t="s">
        <v>46</v>
      </c>
      <c r="G1389" s="5">
        <v>45394</v>
      </c>
      <c r="H1389" s="5">
        <v>45395</v>
      </c>
      <c r="I1389" s="4">
        <v>1</v>
      </c>
      <c r="J1389" s="4" t="s">
        <v>202</v>
      </c>
      <c r="K1389" s="4" t="s">
        <v>203</v>
      </c>
      <c r="L1389" s="4" t="s">
        <v>204</v>
      </c>
      <c r="M1389" s="4" t="s">
        <v>101</v>
      </c>
      <c r="N1389" s="4" t="s">
        <v>62</v>
      </c>
      <c r="O1389" s="4" t="s">
        <v>199</v>
      </c>
      <c r="P1389" s="4">
        <v>410</v>
      </c>
      <c r="Q1389" s="4" t="s">
        <v>50</v>
      </c>
      <c r="R1389" s="4" t="s">
        <v>40</v>
      </c>
      <c r="S1389" s="4">
        <v>113161</v>
      </c>
      <c r="T1389" s="4">
        <v>61322</v>
      </c>
      <c r="U1389" s="4">
        <v>51839</v>
      </c>
      <c r="V1389" s="4">
        <v>73678</v>
      </c>
      <c r="W1389" s="4">
        <v>27248</v>
      </c>
      <c r="X1389" s="4">
        <v>8730</v>
      </c>
      <c r="Y1389" s="4" t="s">
        <v>41</v>
      </c>
      <c r="Z1389" s="4">
        <v>78</v>
      </c>
      <c r="AA1389" s="4">
        <v>4.3</v>
      </c>
      <c r="AB1389" s="4" t="s">
        <v>42</v>
      </c>
    </row>
    <row r="1390" spans="1:28" x14ac:dyDescent="0.25">
      <c r="A1390" s="2" t="s">
        <v>2151</v>
      </c>
      <c r="B1390" s="2" t="s">
        <v>1228</v>
      </c>
      <c r="C1390" s="2">
        <v>64</v>
      </c>
      <c r="D1390" s="2" t="s">
        <v>30</v>
      </c>
      <c r="E1390" s="2" t="s">
        <v>67</v>
      </c>
      <c r="F1390" s="2" t="s">
        <v>157</v>
      </c>
      <c r="G1390" s="3">
        <v>44942</v>
      </c>
      <c r="H1390" s="3">
        <v>44958</v>
      </c>
      <c r="I1390" s="2">
        <v>16</v>
      </c>
      <c r="J1390" s="2" t="s">
        <v>73</v>
      </c>
      <c r="K1390" s="2" t="s">
        <v>74</v>
      </c>
      <c r="L1390" s="2" t="s">
        <v>73</v>
      </c>
      <c r="M1390" s="2" t="s">
        <v>143</v>
      </c>
      <c r="N1390" s="2" t="s">
        <v>62</v>
      </c>
      <c r="O1390" s="2" t="s">
        <v>241</v>
      </c>
      <c r="P1390" s="2">
        <v>14</v>
      </c>
      <c r="Q1390" s="2" t="s">
        <v>39</v>
      </c>
      <c r="R1390" s="2" t="s">
        <v>51</v>
      </c>
      <c r="S1390" s="2">
        <v>71624</v>
      </c>
      <c r="T1390" s="2">
        <v>39447</v>
      </c>
      <c r="U1390" s="2">
        <v>32177</v>
      </c>
      <c r="V1390" s="2">
        <v>27626</v>
      </c>
      <c r="W1390" s="2">
        <v>29929</v>
      </c>
      <c r="X1390" s="2">
        <v>11900</v>
      </c>
      <c r="Y1390" s="2" t="s">
        <v>41</v>
      </c>
      <c r="Z1390" s="2">
        <v>42</v>
      </c>
      <c r="AA1390" s="2">
        <v>2.2999999999999998</v>
      </c>
      <c r="AB1390" s="2" t="s">
        <v>42</v>
      </c>
    </row>
    <row r="1391" spans="1:28" x14ac:dyDescent="0.25">
      <c r="A1391" s="4" t="s">
        <v>2152</v>
      </c>
      <c r="B1391" s="4" t="s">
        <v>915</v>
      </c>
      <c r="C1391" s="4">
        <v>76</v>
      </c>
      <c r="D1391" s="4" t="s">
        <v>55</v>
      </c>
      <c r="E1391" s="4" t="s">
        <v>154</v>
      </c>
      <c r="F1391" s="4" t="s">
        <v>72</v>
      </c>
      <c r="G1391" s="5">
        <v>45638</v>
      </c>
      <c r="H1391" s="5">
        <v>45657</v>
      </c>
      <c r="I1391" s="4">
        <v>19</v>
      </c>
      <c r="J1391" s="4" t="s">
        <v>33</v>
      </c>
      <c r="K1391" s="4" t="s">
        <v>197</v>
      </c>
      <c r="L1391" s="4" t="s">
        <v>198</v>
      </c>
      <c r="M1391" s="4" t="s">
        <v>75</v>
      </c>
      <c r="N1391" s="4" t="s">
        <v>62</v>
      </c>
      <c r="O1391" s="4" t="s">
        <v>1000</v>
      </c>
      <c r="P1391" s="4">
        <v>347</v>
      </c>
      <c r="Q1391" s="4" t="s">
        <v>103</v>
      </c>
      <c r="R1391" s="4" t="s">
        <v>136</v>
      </c>
      <c r="S1391" s="4">
        <v>110705</v>
      </c>
      <c r="T1391" s="4">
        <v>0</v>
      </c>
      <c r="U1391" s="4">
        <v>110705</v>
      </c>
      <c r="V1391" s="4">
        <v>99493</v>
      </c>
      <c r="W1391" s="4">
        <v>6170</v>
      </c>
      <c r="X1391" s="4">
        <v>3584</v>
      </c>
      <c r="Y1391" s="4" t="s">
        <v>41</v>
      </c>
      <c r="Z1391" s="4">
        <v>46</v>
      </c>
      <c r="AA1391" s="4">
        <v>4</v>
      </c>
      <c r="AB1391" s="4" t="s">
        <v>42</v>
      </c>
    </row>
    <row r="1392" spans="1:28" x14ac:dyDescent="0.25">
      <c r="A1392" s="2" t="s">
        <v>2153</v>
      </c>
      <c r="B1392" s="2" t="s">
        <v>2154</v>
      </c>
      <c r="C1392" s="2">
        <v>24</v>
      </c>
      <c r="D1392" s="2" t="s">
        <v>55</v>
      </c>
      <c r="E1392" s="2" t="s">
        <v>31</v>
      </c>
      <c r="F1392" s="2" t="s">
        <v>32</v>
      </c>
      <c r="G1392" s="3">
        <v>45219</v>
      </c>
      <c r="H1392" s="3">
        <v>45232</v>
      </c>
      <c r="I1392" s="2">
        <v>13</v>
      </c>
      <c r="J1392" s="2" t="s">
        <v>33</v>
      </c>
      <c r="K1392" s="2" t="s">
        <v>99</v>
      </c>
      <c r="L1392" s="2" t="s">
        <v>100</v>
      </c>
      <c r="M1392" s="2" t="s">
        <v>36</v>
      </c>
      <c r="N1392" s="2" t="s">
        <v>37</v>
      </c>
      <c r="O1392" s="2" t="s">
        <v>647</v>
      </c>
      <c r="P1392" s="2">
        <v>390</v>
      </c>
      <c r="Q1392" s="2" t="s">
        <v>103</v>
      </c>
      <c r="R1392" s="2" t="s">
        <v>111</v>
      </c>
      <c r="S1392" s="2">
        <v>142454</v>
      </c>
      <c r="T1392" s="2">
        <v>124417</v>
      </c>
      <c r="U1392" s="2">
        <v>18037</v>
      </c>
      <c r="V1392" s="2">
        <v>133203</v>
      </c>
      <c r="W1392" s="2">
        <v>2764</v>
      </c>
      <c r="X1392" s="2">
        <v>5421</v>
      </c>
      <c r="Y1392" s="2" t="s">
        <v>91</v>
      </c>
      <c r="Z1392" s="2">
        <v>94</v>
      </c>
      <c r="AA1392" s="2">
        <v>4</v>
      </c>
      <c r="AB1392" s="2" t="s">
        <v>42</v>
      </c>
    </row>
    <row r="1393" spans="1:28" x14ac:dyDescent="0.25">
      <c r="A1393" s="4" t="s">
        <v>2155</v>
      </c>
      <c r="B1393" s="4" t="s">
        <v>582</v>
      </c>
      <c r="C1393" s="4">
        <v>16</v>
      </c>
      <c r="D1393" s="4" t="s">
        <v>55</v>
      </c>
      <c r="E1393" s="4" t="s">
        <v>87</v>
      </c>
      <c r="F1393" s="4" t="s">
        <v>46</v>
      </c>
      <c r="G1393" s="5">
        <v>44635</v>
      </c>
      <c r="H1393" s="5">
        <v>44646</v>
      </c>
      <c r="I1393" s="4">
        <v>11</v>
      </c>
      <c r="J1393" s="4" t="s">
        <v>123</v>
      </c>
      <c r="K1393" s="4" t="s">
        <v>251</v>
      </c>
      <c r="L1393" s="4" t="s">
        <v>125</v>
      </c>
      <c r="M1393" s="4" t="s">
        <v>61</v>
      </c>
      <c r="N1393" s="4" t="s">
        <v>109</v>
      </c>
      <c r="O1393" s="4" t="s">
        <v>548</v>
      </c>
      <c r="P1393" s="4">
        <v>391</v>
      </c>
      <c r="Q1393" s="4" t="s">
        <v>39</v>
      </c>
      <c r="R1393" s="4" t="s">
        <v>136</v>
      </c>
      <c r="S1393" s="4">
        <v>105034</v>
      </c>
      <c r="T1393" s="4">
        <v>0</v>
      </c>
      <c r="U1393" s="4">
        <v>105034</v>
      </c>
      <c r="V1393" s="4">
        <v>74074</v>
      </c>
      <c r="W1393" s="4">
        <v>20412</v>
      </c>
      <c r="X1393" s="4">
        <v>6527</v>
      </c>
      <c r="Y1393" s="4" t="s">
        <v>91</v>
      </c>
      <c r="Z1393" s="4">
        <v>71</v>
      </c>
      <c r="AA1393" s="4">
        <v>2.2000000000000002</v>
      </c>
      <c r="AB1393" s="4" t="s">
        <v>42</v>
      </c>
    </row>
    <row r="1394" spans="1:28" x14ac:dyDescent="0.25">
      <c r="A1394" s="2" t="s">
        <v>2156</v>
      </c>
      <c r="B1394" s="2" t="s">
        <v>1246</v>
      </c>
      <c r="C1394" s="2">
        <v>49</v>
      </c>
      <c r="D1394" s="2" t="s">
        <v>55</v>
      </c>
      <c r="E1394" s="2" t="s">
        <v>87</v>
      </c>
      <c r="F1394" s="2" t="s">
        <v>150</v>
      </c>
      <c r="G1394" s="3">
        <v>45272</v>
      </c>
      <c r="H1394" s="3">
        <v>45297</v>
      </c>
      <c r="I1394" s="2">
        <v>25</v>
      </c>
      <c r="J1394" s="2" t="s">
        <v>140</v>
      </c>
      <c r="K1394" s="2" t="s">
        <v>141</v>
      </c>
      <c r="L1394" s="2" t="s">
        <v>142</v>
      </c>
      <c r="M1394" s="2" t="s">
        <v>83</v>
      </c>
      <c r="N1394" s="2" t="s">
        <v>109</v>
      </c>
      <c r="O1394" s="2" t="s">
        <v>365</v>
      </c>
      <c r="P1394" s="2">
        <v>423</v>
      </c>
      <c r="Q1394" s="2" t="s">
        <v>103</v>
      </c>
      <c r="R1394" s="2" t="s">
        <v>40</v>
      </c>
      <c r="S1394" s="2">
        <v>52799</v>
      </c>
      <c r="T1394" s="2">
        <v>31608</v>
      </c>
      <c r="U1394" s="2">
        <v>21191</v>
      </c>
      <c r="V1394" s="2">
        <v>35846</v>
      </c>
      <c r="W1394" s="2">
        <v>13922</v>
      </c>
      <c r="X1394" s="2">
        <v>927</v>
      </c>
      <c r="Y1394" s="2" t="s">
        <v>41</v>
      </c>
      <c r="Z1394" s="2">
        <v>72</v>
      </c>
      <c r="AA1394" s="2">
        <v>4.2</v>
      </c>
      <c r="AB1394" s="2" t="s">
        <v>104</v>
      </c>
    </row>
    <row r="1395" spans="1:28" x14ac:dyDescent="0.25">
      <c r="A1395" s="4" t="s">
        <v>2157</v>
      </c>
      <c r="B1395" s="4" t="s">
        <v>670</v>
      </c>
      <c r="C1395" s="4">
        <v>45</v>
      </c>
      <c r="D1395" s="4" t="s">
        <v>30</v>
      </c>
      <c r="E1395" s="4" t="s">
        <v>122</v>
      </c>
      <c r="F1395" s="4" t="s">
        <v>32</v>
      </c>
      <c r="G1395" s="5">
        <v>45338</v>
      </c>
      <c r="H1395" s="5">
        <v>45366</v>
      </c>
      <c r="I1395" s="4">
        <v>28</v>
      </c>
      <c r="J1395" s="4" t="s">
        <v>115</v>
      </c>
      <c r="K1395" s="4" t="s">
        <v>160</v>
      </c>
      <c r="L1395" s="4" t="s">
        <v>117</v>
      </c>
      <c r="M1395" s="4" t="s">
        <v>108</v>
      </c>
      <c r="N1395" s="4" t="s">
        <v>37</v>
      </c>
      <c r="O1395" s="4" t="s">
        <v>373</v>
      </c>
      <c r="P1395" s="4">
        <v>7</v>
      </c>
      <c r="Q1395" s="4" t="s">
        <v>50</v>
      </c>
      <c r="R1395" s="4" t="s">
        <v>51</v>
      </c>
      <c r="S1395" s="4">
        <v>106872</v>
      </c>
      <c r="T1395" s="4">
        <v>55484</v>
      </c>
      <c r="U1395" s="4">
        <v>51388</v>
      </c>
      <c r="V1395" s="4">
        <v>78645</v>
      </c>
      <c r="W1395" s="4">
        <v>14192</v>
      </c>
      <c r="X1395" s="4">
        <v>10284</v>
      </c>
      <c r="Y1395" s="4" t="s">
        <v>41</v>
      </c>
      <c r="Z1395" s="4">
        <v>95</v>
      </c>
      <c r="AA1395" s="4">
        <v>4.0999999999999996</v>
      </c>
      <c r="AB1395" s="4" t="s">
        <v>64</v>
      </c>
    </row>
    <row r="1396" spans="1:28" x14ac:dyDescent="0.25">
      <c r="A1396" s="2" t="s">
        <v>2158</v>
      </c>
      <c r="B1396" s="2" t="s">
        <v>721</v>
      </c>
      <c r="C1396" s="2">
        <v>12</v>
      </c>
      <c r="D1396" s="2" t="s">
        <v>55</v>
      </c>
      <c r="E1396" s="2" t="s">
        <v>87</v>
      </c>
      <c r="F1396" s="2" t="s">
        <v>157</v>
      </c>
      <c r="G1396" s="3">
        <v>45213</v>
      </c>
      <c r="H1396" s="3">
        <v>45230</v>
      </c>
      <c r="I1396" s="2">
        <v>17</v>
      </c>
      <c r="J1396" s="2" t="s">
        <v>123</v>
      </c>
      <c r="K1396" s="2" t="s">
        <v>251</v>
      </c>
      <c r="L1396" s="2" t="s">
        <v>125</v>
      </c>
      <c r="M1396" s="2" t="s">
        <v>101</v>
      </c>
      <c r="N1396" s="2" t="s">
        <v>37</v>
      </c>
      <c r="O1396" s="2" t="s">
        <v>161</v>
      </c>
      <c r="P1396" s="2">
        <v>336</v>
      </c>
      <c r="Q1396" s="2" t="s">
        <v>69</v>
      </c>
      <c r="R1396" s="2" t="s">
        <v>51</v>
      </c>
      <c r="S1396" s="2">
        <v>129393</v>
      </c>
      <c r="T1396" s="2">
        <v>60150</v>
      </c>
      <c r="U1396" s="2">
        <v>69243</v>
      </c>
      <c r="V1396" s="2">
        <v>115324</v>
      </c>
      <c r="W1396" s="2">
        <v>7484</v>
      </c>
      <c r="X1396" s="2">
        <v>4590</v>
      </c>
      <c r="Y1396" s="2" t="s">
        <v>41</v>
      </c>
      <c r="Z1396" s="2">
        <v>41</v>
      </c>
      <c r="AA1396" s="2">
        <v>4.4000000000000004</v>
      </c>
      <c r="AB1396" s="2" t="s">
        <v>137</v>
      </c>
    </row>
    <row r="1397" spans="1:28" x14ac:dyDescent="0.25">
      <c r="A1397" s="4" t="s">
        <v>2159</v>
      </c>
      <c r="B1397" s="4" t="s">
        <v>517</v>
      </c>
      <c r="C1397" s="4">
        <v>67</v>
      </c>
      <c r="D1397" s="4" t="s">
        <v>30</v>
      </c>
      <c r="E1397" s="4" t="s">
        <v>79</v>
      </c>
      <c r="F1397" s="4" t="s">
        <v>94</v>
      </c>
      <c r="G1397" s="5">
        <v>45639</v>
      </c>
      <c r="H1397" s="5">
        <v>45657</v>
      </c>
      <c r="I1397" s="4">
        <v>18</v>
      </c>
      <c r="J1397" s="4" t="s">
        <v>115</v>
      </c>
      <c r="K1397" s="4" t="s">
        <v>160</v>
      </c>
      <c r="L1397" s="4" t="s">
        <v>117</v>
      </c>
      <c r="M1397" s="4" t="s">
        <v>143</v>
      </c>
      <c r="N1397" s="4" t="s">
        <v>109</v>
      </c>
      <c r="O1397" s="4" t="s">
        <v>343</v>
      </c>
      <c r="P1397" s="4">
        <v>308</v>
      </c>
      <c r="Q1397" s="4" t="s">
        <v>69</v>
      </c>
      <c r="R1397" s="4" t="s">
        <v>51</v>
      </c>
      <c r="S1397" s="4">
        <v>148943</v>
      </c>
      <c r="T1397" s="4">
        <v>97599</v>
      </c>
      <c r="U1397" s="4">
        <v>51344</v>
      </c>
      <c r="V1397" s="4">
        <v>134207</v>
      </c>
      <c r="W1397" s="4">
        <v>7111</v>
      </c>
      <c r="X1397" s="4">
        <v>2828</v>
      </c>
      <c r="Y1397" s="4" t="s">
        <v>41</v>
      </c>
      <c r="Z1397" s="4">
        <v>74</v>
      </c>
      <c r="AA1397" s="4">
        <v>4.5</v>
      </c>
      <c r="AB1397" s="4" t="s">
        <v>64</v>
      </c>
    </row>
    <row r="1398" spans="1:28" x14ac:dyDescent="0.25">
      <c r="A1398" s="2" t="s">
        <v>2160</v>
      </c>
      <c r="B1398" s="2" t="s">
        <v>1058</v>
      </c>
      <c r="C1398" s="2">
        <v>75</v>
      </c>
      <c r="D1398" s="2" t="s">
        <v>30</v>
      </c>
      <c r="E1398" s="2" t="s">
        <v>79</v>
      </c>
      <c r="F1398" s="2" t="s">
        <v>80</v>
      </c>
      <c r="G1398" s="3">
        <v>45209</v>
      </c>
      <c r="H1398" s="3">
        <v>45237</v>
      </c>
      <c r="I1398" s="2">
        <v>28</v>
      </c>
      <c r="J1398" s="2" t="s">
        <v>33</v>
      </c>
      <c r="K1398" s="2" t="s">
        <v>34</v>
      </c>
      <c r="L1398" s="2" t="s">
        <v>35</v>
      </c>
      <c r="M1398" s="2" t="s">
        <v>101</v>
      </c>
      <c r="N1398" s="2" t="s">
        <v>62</v>
      </c>
      <c r="O1398" s="2" t="s">
        <v>1000</v>
      </c>
      <c r="P1398" s="2">
        <v>401</v>
      </c>
      <c r="Q1398" s="2" t="s">
        <v>69</v>
      </c>
      <c r="R1398" s="2" t="s">
        <v>40</v>
      </c>
      <c r="S1398" s="2">
        <v>120970</v>
      </c>
      <c r="T1398" s="2">
        <v>76633</v>
      </c>
      <c r="U1398" s="2">
        <v>44337</v>
      </c>
      <c r="V1398" s="2">
        <v>86478</v>
      </c>
      <c r="W1398" s="2">
        <v>18019</v>
      </c>
      <c r="X1398" s="2">
        <v>14621</v>
      </c>
      <c r="Y1398" s="2" t="s">
        <v>41</v>
      </c>
      <c r="Z1398" s="2">
        <v>71</v>
      </c>
      <c r="AA1398" s="2">
        <v>3.6</v>
      </c>
      <c r="AB1398" s="2" t="s">
        <v>64</v>
      </c>
    </row>
    <row r="1399" spans="1:28" x14ac:dyDescent="0.25">
      <c r="A1399" s="4" t="s">
        <v>2161</v>
      </c>
      <c r="B1399" s="4" t="s">
        <v>1238</v>
      </c>
      <c r="C1399" s="4">
        <v>30</v>
      </c>
      <c r="D1399" s="4" t="s">
        <v>30</v>
      </c>
      <c r="E1399" s="4" t="s">
        <v>31</v>
      </c>
      <c r="F1399" s="4" t="s">
        <v>129</v>
      </c>
      <c r="G1399" s="5">
        <v>45054</v>
      </c>
      <c r="H1399" s="5">
        <v>45072</v>
      </c>
      <c r="I1399" s="4">
        <v>18</v>
      </c>
      <c r="J1399" s="4" t="s">
        <v>123</v>
      </c>
      <c r="K1399" s="4" t="s">
        <v>251</v>
      </c>
      <c r="L1399" s="4" t="s">
        <v>125</v>
      </c>
      <c r="M1399" s="4" t="s">
        <v>134</v>
      </c>
      <c r="N1399" s="4" t="s">
        <v>109</v>
      </c>
      <c r="O1399" s="4" t="s">
        <v>63</v>
      </c>
      <c r="P1399" s="4">
        <v>225</v>
      </c>
      <c r="Q1399" s="4" t="s">
        <v>50</v>
      </c>
      <c r="R1399" s="4" t="s">
        <v>51</v>
      </c>
      <c r="S1399" s="4">
        <v>111260</v>
      </c>
      <c r="T1399" s="4">
        <v>61769</v>
      </c>
      <c r="U1399" s="4">
        <v>49491</v>
      </c>
      <c r="V1399" s="4">
        <v>86579</v>
      </c>
      <c r="W1399" s="4">
        <v>14542</v>
      </c>
      <c r="X1399" s="4">
        <v>7399</v>
      </c>
      <c r="Y1399" s="4" t="s">
        <v>41</v>
      </c>
      <c r="Z1399" s="4">
        <v>100</v>
      </c>
      <c r="AA1399" s="4">
        <v>4.0999999999999996</v>
      </c>
      <c r="AB1399" s="4" t="s">
        <v>104</v>
      </c>
    </row>
    <row r="1400" spans="1:28" x14ac:dyDescent="0.25">
      <c r="A1400" s="2" t="s">
        <v>2162</v>
      </c>
      <c r="B1400" s="2" t="s">
        <v>578</v>
      </c>
      <c r="C1400" s="2">
        <v>67</v>
      </c>
      <c r="D1400" s="2" t="s">
        <v>55</v>
      </c>
      <c r="E1400" s="2" t="s">
        <v>154</v>
      </c>
      <c r="F1400" s="2" t="s">
        <v>57</v>
      </c>
      <c r="G1400" s="3">
        <v>45381</v>
      </c>
      <c r="H1400" s="3">
        <v>45389</v>
      </c>
      <c r="I1400" s="2">
        <v>8</v>
      </c>
      <c r="J1400" s="2" t="s">
        <v>33</v>
      </c>
      <c r="K1400" s="2" t="s">
        <v>34</v>
      </c>
      <c r="L1400" s="2" t="s">
        <v>35</v>
      </c>
      <c r="M1400" s="2" t="s">
        <v>95</v>
      </c>
      <c r="N1400" s="2" t="s">
        <v>118</v>
      </c>
      <c r="O1400" s="2" t="s">
        <v>530</v>
      </c>
      <c r="P1400" s="2">
        <v>227</v>
      </c>
      <c r="Q1400" s="2" t="s">
        <v>103</v>
      </c>
      <c r="R1400" s="2" t="s">
        <v>111</v>
      </c>
      <c r="S1400" s="2">
        <v>27971</v>
      </c>
      <c r="T1400" s="2">
        <v>21091</v>
      </c>
      <c r="U1400" s="2">
        <v>6880</v>
      </c>
      <c r="V1400" s="2">
        <v>14782</v>
      </c>
      <c r="W1400" s="2">
        <v>4992</v>
      </c>
      <c r="X1400" s="2">
        <v>4762</v>
      </c>
      <c r="Y1400" s="2" t="s">
        <v>91</v>
      </c>
      <c r="Z1400" s="2">
        <v>46</v>
      </c>
      <c r="AA1400" s="2">
        <v>2.2999999999999998</v>
      </c>
      <c r="AB1400" s="2" t="s">
        <v>52</v>
      </c>
    </row>
    <row r="1401" spans="1:28" x14ac:dyDescent="0.25">
      <c r="A1401" s="4" t="s">
        <v>2163</v>
      </c>
      <c r="B1401" s="4" t="s">
        <v>2164</v>
      </c>
      <c r="C1401" s="4">
        <v>52</v>
      </c>
      <c r="D1401" s="4" t="s">
        <v>30</v>
      </c>
      <c r="E1401" s="4" t="s">
        <v>154</v>
      </c>
      <c r="F1401" s="4" t="s">
        <v>94</v>
      </c>
      <c r="G1401" s="5">
        <v>44792</v>
      </c>
      <c r="H1401" s="5">
        <v>44815</v>
      </c>
      <c r="I1401" s="4">
        <v>23</v>
      </c>
      <c r="J1401" s="4" t="s">
        <v>58</v>
      </c>
      <c r="K1401" s="4" t="s">
        <v>59</v>
      </c>
      <c r="L1401" s="4" t="s">
        <v>60</v>
      </c>
      <c r="M1401" s="4" t="s">
        <v>108</v>
      </c>
      <c r="N1401" s="4" t="s">
        <v>62</v>
      </c>
      <c r="O1401" s="4" t="s">
        <v>230</v>
      </c>
      <c r="P1401" s="4">
        <v>276</v>
      </c>
      <c r="Q1401" s="4" t="s">
        <v>103</v>
      </c>
      <c r="R1401" s="4" t="s">
        <v>90</v>
      </c>
      <c r="S1401" s="4">
        <v>50378</v>
      </c>
      <c r="T1401" s="4">
        <v>43221</v>
      </c>
      <c r="U1401" s="4">
        <v>7157</v>
      </c>
      <c r="V1401" s="4">
        <v>31732</v>
      </c>
      <c r="W1401" s="4">
        <v>11057</v>
      </c>
      <c r="X1401" s="4">
        <v>6835</v>
      </c>
      <c r="Y1401" s="4" t="s">
        <v>41</v>
      </c>
      <c r="Z1401" s="4">
        <v>44</v>
      </c>
      <c r="AA1401" s="4">
        <v>2.2999999999999998</v>
      </c>
      <c r="AB1401" s="4" t="s">
        <v>42</v>
      </c>
    </row>
    <row r="1402" spans="1:28" x14ac:dyDescent="0.25">
      <c r="A1402" s="2" t="s">
        <v>2165</v>
      </c>
      <c r="B1402" s="2" t="s">
        <v>785</v>
      </c>
      <c r="C1402" s="2">
        <v>7</v>
      </c>
      <c r="D1402" s="2" t="s">
        <v>30</v>
      </c>
      <c r="E1402" s="2" t="s">
        <v>45</v>
      </c>
      <c r="F1402" s="2" t="s">
        <v>80</v>
      </c>
      <c r="G1402" s="3">
        <v>45114</v>
      </c>
      <c r="H1402" s="3">
        <v>45127</v>
      </c>
      <c r="I1402" s="2">
        <v>13</v>
      </c>
      <c r="J1402" s="2" t="s">
        <v>58</v>
      </c>
      <c r="K1402" s="2" t="s">
        <v>88</v>
      </c>
      <c r="L1402" s="2" t="s">
        <v>60</v>
      </c>
      <c r="M1402" s="2" t="s">
        <v>143</v>
      </c>
      <c r="N1402" s="2" t="s">
        <v>37</v>
      </c>
      <c r="O1402" s="2" t="s">
        <v>358</v>
      </c>
      <c r="P1402" s="2">
        <v>195</v>
      </c>
      <c r="Q1402" s="2" t="s">
        <v>50</v>
      </c>
      <c r="R1402" s="2" t="s">
        <v>40</v>
      </c>
      <c r="S1402" s="2">
        <v>156492</v>
      </c>
      <c r="T1402" s="2">
        <v>100481</v>
      </c>
      <c r="U1402" s="2">
        <v>56011</v>
      </c>
      <c r="V1402" s="2">
        <v>136027</v>
      </c>
      <c r="W1402" s="2">
        <v>15813</v>
      </c>
      <c r="X1402" s="2">
        <v>1966</v>
      </c>
      <c r="Y1402" s="2" t="s">
        <v>41</v>
      </c>
      <c r="Z1402" s="2">
        <v>96</v>
      </c>
      <c r="AA1402" s="2">
        <v>4.4000000000000004</v>
      </c>
      <c r="AB1402" s="2" t="s">
        <v>52</v>
      </c>
    </row>
    <row r="1403" spans="1:28" x14ac:dyDescent="0.25">
      <c r="A1403" s="4" t="s">
        <v>2166</v>
      </c>
      <c r="B1403" s="4" t="s">
        <v>1410</v>
      </c>
      <c r="C1403" s="4">
        <v>40</v>
      </c>
      <c r="D1403" s="4" t="s">
        <v>30</v>
      </c>
      <c r="E1403" s="4" t="s">
        <v>45</v>
      </c>
      <c r="F1403" s="4" t="s">
        <v>114</v>
      </c>
      <c r="G1403" s="5">
        <v>45430</v>
      </c>
      <c r="H1403" s="5">
        <v>45431</v>
      </c>
      <c r="I1403" s="4">
        <v>1</v>
      </c>
      <c r="J1403" s="4" t="s">
        <v>123</v>
      </c>
      <c r="K1403" s="4" t="s">
        <v>251</v>
      </c>
      <c r="L1403" s="4" t="s">
        <v>125</v>
      </c>
      <c r="M1403" s="4" t="s">
        <v>130</v>
      </c>
      <c r="N1403" s="4" t="s">
        <v>62</v>
      </c>
      <c r="O1403" s="4" t="s">
        <v>337</v>
      </c>
      <c r="P1403" s="4">
        <v>490</v>
      </c>
      <c r="Q1403" s="4" t="s">
        <v>103</v>
      </c>
      <c r="R1403" s="4" t="s">
        <v>40</v>
      </c>
      <c r="S1403" s="4">
        <v>77096</v>
      </c>
      <c r="T1403" s="4">
        <v>52960</v>
      </c>
      <c r="U1403" s="4">
        <v>24136</v>
      </c>
      <c r="V1403" s="4">
        <v>44895</v>
      </c>
      <c r="W1403" s="4">
        <v>17270</v>
      </c>
      <c r="X1403" s="4">
        <v>13204</v>
      </c>
      <c r="Y1403" s="4" t="s">
        <v>41</v>
      </c>
      <c r="Z1403" s="4">
        <v>64</v>
      </c>
      <c r="AA1403" s="4">
        <v>4.4000000000000004</v>
      </c>
      <c r="AB1403" s="4" t="s">
        <v>137</v>
      </c>
    </row>
    <row r="1404" spans="1:28" x14ac:dyDescent="0.25">
      <c r="A1404" s="2" t="s">
        <v>2167</v>
      </c>
      <c r="B1404" s="2" t="s">
        <v>767</v>
      </c>
      <c r="C1404" s="2">
        <v>21</v>
      </c>
      <c r="D1404" s="2" t="s">
        <v>55</v>
      </c>
      <c r="E1404" s="2" t="s">
        <v>87</v>
      </c>
      <c r="F1404" s="2" t="s">
        <v>32</v>
      </c>
      <c r="G1404" s="3">
        <v>45361</v>
      </c>
      <c r="H1404" s="3">
        <v>45387</v>
      </c>
      <c r="I1404" s="2">
        <v>26</v>
      </c>
      <c r="J1404" s="2" t="s">
        <v>202</v>
      </c>
      <c r="K1404" s="2" t="s">
        <v>225</v>
      </c>
      <c r="L1404" s="2" t="s">
        <v>226</v>
      </c>
      <c r="M1404" s="2" t="s">
        <v>75</v>
      </c>
      <c r="N1404" s="2" t="s">
        <v>118</v>
      </c>
      <c r="O1404" s="2" t="s">
        <v>321</v>
      </c>
      <c r="P1404" s="2">
        <v>167</v>
      </c>
      <c r="Q1404" s="2" t="s">
        <v>103</v>
      </c>
      <c r="R1404" s="2" t="s">
        <v>90</v>
      </c>
      <c r="S1404" s="2">
        <v>67423</v>
      </c>
      <c r="T1404" s="2">
        <v>48674</v>
      </c>
      <c r="U1404" s="2">
        <v>18749</v>
      </c>
      <c r="V1404" s="2">
        <v>55771</v>
      </c>
      <c r="W1404" s="2">
        <v>9475</v>
      </c>
      <c r="X1404" s="2">
        <v>981</v>
      </c>
      <c r="Y1404" s="2" t="s">
        <v>41</v>
      </c>
      <c r="Z1404" s="2">
        <v>63</v>
      </c>
      <c r="AA1404" s="2">
        <v>2.1</v>
      </c>
      <c r="AB1404" s="2" t="s">
        <v>104</v>
      </c>
    </row>
    <row r="1405" spans="1:28" x14ac:dyDescent="0.25">
      <c r="A1405" s="4" t="s">
        <v>2168</v>
      </c>
      <c r="B1405" s="4" t="s">
        <v>617</v>
      </c>
      <c r="C1405" s="4">
        <v>57</v>
      </c>
      <c r="D1405" s="4" t="s">
        <v>30</v>
      </c>
      <c r="E1405" s="4" t="s">
        <v>122</v>
      </c>
      <c r="F1405" s="4" t="s">
        <v>32</v>
      </c>
      <c r="G1405" s="5">
        <v>45125</v>
      </c>
      <c r="H1405" s="5">
        <v>45152</v>
      </c>
      <c r="I1405" s="4">
        <v>27</v>
      </c>
      <c r="J1405" s="4" t="s">
        <v>202</v>
      </c>
      <c r="K1405" s="4" t="s">
        <v>225</v>
      </c>
      <c r="L1405" s="4" t="s">
        <v>226</v>
      </c>
      <c r="M1405" s="4" t="s">
        <v>75</v>
      </c>
      <c r="N1405" s="4" t="s">
        <v>118</v>
      </c>
      <c r="O1405" s="4" t="s">
        <v>102</v>
      </c>
      <c r="P1405" s="4">
        <v>417</v>
      </c>
      <c r="Q1405" s="4" t="s">
        <v>103</v>
      </c>
      <c r="R1405" s="4" t="s">
        <v>90</v>
      </c>
      <c r="S1405" s="4">
        <v>42025</v>
      </c>
      <c r="T1405" s="4">
        <v>35433</v>
      </c>
      <c r="U1405" s="4">
        <v>6592</v>
      </c>
      <c r="V1405" s="4">
        <v>9088</v>
      </c>
      <c r="W1405" s="4">
        <v>23643</v>
      </c>
      <c r="X1405" s="4">
        <v>7380</v>
      </c>
      <c r="Y1405" s="4" t="s">
        <v>41</v>
      </c>
      <c r="Z1405" s="4">
        <v>61</v>
      </c>
      <c r="AA1405" s="4">
        <v>4.0999999999999996</v>
      </c>
      <c r="AB1405" s="4" t="s">
        <v>42</v>
      </c>
    </row>
    <row r="1406" spans="1:28" x14ac:dyDescent="0.25">
      <c r="A1406" s="2" t="s">
        <v>2169</v>
      </c>
      <c r="B1406" s="2" t="s">
        <v>1034</v>
      </c>
      <c r="C1406" s="2">
        <v>44</v>
      </c>
      <c r="D1406" s="2" t="s">
        <v>55</v>
      </c>
      <c r="E1406" s="2" t="s">
        <v>45</v>
      </c>
      <c r="F1406" s="2" t="s">
        <v>46</v>
      </c>
      <c r="G1406" s="3">
        <v>45145</v>
      </c>
      <c r="H1406" s="3">
        <v>45165</v>
      </c>
      <c r="I1406" s="2">
        <v>20</v>
      </c>
      <c r="J1406" s="2" t="s">
        <v>115</v>
      </c>
      <c r="K1406" s="2" t="s">
        <v>116</v>
      </c>
      <c r="L1406" s="2" t="s">
        <v>117</v>
      </c>
      <c r="M1406" s="2" t="s">
        <v>101</v>
      </c>
      <c r="N1406" s="2" t="s">
        <v>118</v>
      </c>
      <c r="O1406" s="2" t="s">
        <v>455</v>
      </c>
      <c r="P1406" s="2">
        <v>428</v>
      </c>
      <c r="Q1406" s="2" t="s">
        <v>69</v>
      </c>
      <c r="R1406" s="2" t="s">
        <v>111</v>
      </c>
      <c r="S1406" s="2">
        <v>135604</v>
      </c>
      <c r="T1406" s="2">
        <v>100672</v>
      </c>
      <c r="U1406" s="2">
        <v>34932</v>
      </c>
      <c r="V1406" s="2">
        <v>97727</v>
      </c>
      <c r="W1406" s="2">
        <v>28680</v>
      </c>
      <c r="X1406" s="2">
        <v>7629</v>
      </c>
      <c r="Y1406" s="2" t="s">
        <v>41</v>
      </c>
      <c r="Z1406" s="2">
        <v>40</v>
      </c>
      <c r="AA1406" s="2">
        <v>4.9000000000000004</v>
      </c>
      <c r="AB1406" s="2" t="s">
        <v>104</v>
      </c>
    </row>
    <row r="1407" spans="1:28" x14ac:dyDescent="0.25">
      <c r="A1407" s="4" t="s">
        <v>2170</v>
      </c>
      <c r="B1407" s="4" t="s">
        <v>1115</v>
      </c>
      <c r="C1407" s="4">
        <v>62</v>
      </c>
      <c r="D1407" s="4" t="s">
        <v>55</v>
      </c>
      <c r="E1407" s="4" t="s">
        <v>79</v>
      </c>
      <c r="F1407" s="4" t="s">
        <v>46</v>
      </c>
      <c r="G1407" s="5">
        <v>45506</v>
      </c>
      <c r="H1407" s="5">
        <v>45525</v>
      </c>
      <c r="I1407" s="4">
        <v>19</v>
      </c>
      <c r="J1407" s="4" t="s">
        <v>58</v>
      </c>
      <c r="K1407" s="4" t="s">
        <v>59</v>
      </c>
      <c r="L1407" s="4" t="s">
        <v>60</v>
      </c>
      <c r="M1407" s="4" t="s">
        <v>101</v>
      </c>
      <c r="N1407" s="4" t="s">
        <v>109</v>
      </c>
      <c r="O1407" s="4" t="s">
        <v>627</v>
      </c>
      <c r="P1407" s="4">
        <v>346</v>
      </c>
      <c r="Q1407" s="4" t="s">
        <v>69</v>
      </c>
      <c r="R1407" s="4" t="s">
        <v>111</v>
      </c>
      <c r="S1407" s="4">
        <v>85910</v>
      </c>
      <c r="T1407" s="4">
        <v>62437</v>
      </c>
      <c r="U1407" s="4">
        <v>23473</v>
      </c>
      <c r="V1407" s="4">
        <v>60799</v>
      </c>
      <c r="W1407" s="4">
        <v>19048</v>
      </c>
      <c r="X1407" s="4">
        <v>4234</v>
      </c>
      <c r="Y1407" s="4" t="s">
        <v>41</v>
      </c>
      <c r="Z1407" s="4">
        <v>72</v>
      </c>
      <c r="AA1407" s="4">
        <v>3.8</v>
      </c>
      <c r="AB1407" s="4" t="s">
        <v>104</v>
      </c>
    </row>
    <row r="1408" spans="1:28" x14ac:dyDescent="0.25">
      <c r="A1408" s="2" t="s">
        <v>2171</v>
      </c>
      <c r="B1408" s="2" t="s">
        <v>1660</v>
      </c>
      <c r="C1408" s="2">
        <v>11</v>
      </c>
      <c r="D1408" s="2" t="s">
        <v>55</v>
      </c>
      <c r="E1408" s="2" t="s">
        <v>87</v>
      </c>
      <c r="F1408" s="2" t="s">
        <v>57</v>
      </c>
      <c r="G1408" s="3">
        <v>45514</v>
      </c>
      <c r="H1408" s="3">
        <v>45532</v>
      </c>
      <c r="I1408" s="2">
        <v>18</v>
      </c>
      <c r="J1408" s="2" t="s">
        <v>33</v>
      </c>
      <c r="K1408" s="2" t="s">
        <v>34</v>
      </c>
      <c r="L1408" s="2" t="s">
        <v>35</v>
      </c>
      <c r="M1408" s="2" t="s">
        <v>101</v>
      </c>
      <c r="N1408" s="2" t="s">
        <v>118</v>
      </c>
      <c r="O1408" s="2" t="s">
        <v>416</v>
      </c>
      <c r="P1408" s="2">
        <v>208</v>
      </c>
      <c r="Q1408" s="2" t="s">
        <v>69</v>
      </c>
      <c r="R1408" s="2" t="s">
        <v>40</v>
      </c>
      <c r="S1408" s="2">
        <v>52702</v>
      </c>
      <c r="T1408" s="2">
        <v>29926</v>
      </c>
      <c r="U1408" s="2">
        <v>22776</v>
      </c>
      <c r="V1408" s="2">
        <v>15735</v>
      </c>
      <c r="W1408" s="2">
        <v>29063</v>
      </c>
      <c r="X1408" s="2">
        <v>4933</v>
      </c>
      <c r="Y1408" s="2" t="s">
        <v>91</v>
      </c>
      <c r="Z1408" s="2">
        <v>98</v>
      </c>
      <c r="AA1408" s="2">
        <v>4.5999999999999996</v>
      </c>
      <c r="AB1408" s="2" t="s">
        <v>64</v>
      </c>
    </row>
    <row r="1409" spans="1:28" x14ac:dyDescent="0.25">
      <c r="A1409" s="4" t="s">
        <v>2172</v>
      </c>
      <c r="B1409" s="4" t="s">
        <v>1809</v>
      </c>
      <c r="C1409" s="4">
        <v>45</v>
      </c>
      <c r="D1409" s="4" t="s">
        <v>30</v>
      </c>
      <c r="E1409" s="4" t="s">
        <v>154</v>
      </c>
      <c r="F1409" s="4" t="s">
        <v>94</v>
      </c>
      <c r="G1409" s="5">
        <v>44975</v>
      </c>
      <c r="H1409" s="5">
        <v>44996</v>
      </c>
      <c r="I1409" s="4">
        <v>21</v>
      </c>
      <c r="J1409" s="4" t="s">
        <v>115</v>
      </c>
      <c r="K1409" s="4" t="s">
        <v>160</v>
      </c>
      <c r="L1409" s="4" t="s">
        <v>117</v>
      </c>
      <c r="M1409" s="4" t="s">
        <v>143</v>
      </c>
      <c r="N1409" s="4" t="s">
        <v>37</v>
      </c>
      <c r="O1409" s="4" t="s">
        <v>68</v>
      </c>
      <c r="P1409" s="4">
        <v>338</v>
      </c>
      <c r="Q1409" s="4" t="s">
        <v>103</v>
      </c>
      <c r="R1409" s="4" t="s">
        <v>51</v>
      </c>
      <c r="S1409" s="4">
        <v>65102</v>
      </c>
      <c r="T1409" s="4">
        <v>43976</v>
      </c>
      <c r="U1409" s="4">
        <v>21126</v>
      </c>
      <c r="V1409" s="4">
        <v>37687</v>
      </c>
      <c r="W1409" s="4">
        <v>22611</v>
      </c>
      <c r="X1409" s="4">
        <v>3909</v>
      </c>
      <c r="Y1409" s="4" t="s">
        <v>41</v>
      </c>
      <c r="Z1409" s="4">
        <v>60</v>
      </c>
      <c r="AA1409" s="4">
        <v>3.1</v>
      </c>
      <c r="AB1409" s="4" t="s">
        <v>137</v>
      </c>
    </row>
    <row r="1410" spans="1:28" x14ac:dyDescent="0.25">
      <c r="A1410" s="2" t="s">
        <v>2173</v>
      </c>
      <c r="B1410" s="2" t="s">
        <v>299</v>
      </c>
      <c r="C1410" s="2">
        <v>17</v>
      </c>
      <c r="D1410" s="2" t="s">
        <v>55</v>
      </c>
      <c r="E1410" s="2" t="s">
        <v>45</v>
      </c>
      <c r="F1410" s="2" t="s">
        <v>94</v>
      </c>
      <c r="G1410" s="3">
        <v>44828</v>
      </c>
      <c r="H1410" s="3">
        <v>44857</v>
      </c>
      <c r="I1410" s="2">
        <v>29</v>
      </c>
      <c r="J1410" s="2" t="s">
        <v>202</v>
      </c>
      <c r="K1410" s="2" t="s">
        <v>203</v>
      </c>
      <c r="L1410" s="2" t="s">
        <v>204</v>
      </c>
      <c r="M1410" s="2" t="s">
        <v>83</v>
      </c>
      <c r="N1410" s="2" t="s">
        <v>62</v>
      </c>
      <c r="O1410" s="2" t="s">
        <v>295</v>
      </c>
      <c r="P1410" s="2">
        <v>143</v>
      </c>
      <c r="Q1410" s="2" t="s">
        <v>69</v>
      </c>
      <c r="R1410" s="2" t="s">
        <v>90</v>
      </c>
      <c r="S1410" s="2">
        <v>169117</v>
      </c>
      <c r="T1410" s="2">
        <v>107355</v>
      </c>
      <c r="U1410" s="2">
        <v>61762</v>
      </c>
      <c r="V1410" s="2">
        <v>132832</v>
      </c>
      <c r="W1410" s="2">
        <v>24845</v>
      </c>
      <c r="X1410" s="2">
        <v>9951</v>
      </c>
      <c r="Y1410" s="2" t="s">
        <v>41</v>
      </c>
      <c r="Z1410" s="2">
        <v>44</v>
      </c>
      <c r="AA1410" s="2">
        <v>2.9</v>
      </c>
      <c r="AB1410" s="2" t="s">
        <v>137</v>
      </c>
    </row>
    <row r="1411" spans="1:28" x14ac:dyDescent="0.25">
      <c r="A1411" s="4" t="s">
        <v>2174</v>
      </c>
      <c r="B1411" s="4" t="s">
        <v>1275</v>
      </c>
      <c r="C1411" s="4">
        <v>53</v>
      </c>
      <c r="D1411" s="4" t="s">
        <v>55</v>
      </c>
      <c r="E1411" s="4" t="s">
        <v>56</v>
      </c>
      <c r="F1411" s="4" t="s">
        <v>72</v>
      </c>
      <c r="G1411" s="5">
        <v>45595</v>
      </c>
      <c r="H1411" s="5">
        <v>45603</v>
      </c>
      <c r="I1411" s="4">
        <v>8</v>
      </c>
      <c r="J1411" s="4" t="s">
        <v>33</v>
      </c>
      <c r="K1411" s="4" t="s">
        <v>197</v>
      </c>
      <c r="L1411" s="4" t="s">
        <v>198</v>
      </c>
      <c r="M1411" s="4" t="s">
        <v>83</v>
      </c>
      <c r="N1411" s="4" t="s">
        <v>118</v>
      </c>
      <c r="O1411" s="4" t="s">
        <v>455</v>
      </c>
      <c r="P1411" s="4">
        <v>375</v>
      </c>
      <c r="Q1411" s="4" t="s">
        <v>50</v>
      </c>
      <c r="R1411" s="4" t="s">
        <v>111</v>
      </c>
      <c r="S1411" s="4">
        <v>104334</v>
      </c>
      <c r="T1411" s="4">
        <v>91310</v>
      </c>
      <c r="U1411" s="4">
        <v>13024</v>
      </c>
      <c r="V1411" s="4">
        <v>60806</v>
      </c>
      <c r="W1411" s="4">
        <v>24975</v>
      </c>
      <c r="X1411" s="4">
        <v>13825</v>
      </c>
      <c r="Y1411" s="4" t="s">
        <v>41</v>
      </c>
      <c r="Z1411" s="4">
        <v>88</v>
      </c>
      <c r="AA1411" s="4">
        <v>3</v>
      </c>
      <c r="AB1411" s="4" t="s">
        <v>64</v>
      </c>
    </row>
    <row r="1412" spans="1:28" x14ac:dyDescent="0.25">
      <c r="A1412" s="2" t="s">
        <v>2175</v>
      </c>
      <c r="B1412" s="2" t="s">
        <v>823</v>
      </c>
      <c r="C1412" s="2">
        <v>66</v>
      </c>
      <c r="D1412" s="2" t="s">
        <v>30</v>
      </c>
      <c r="E1412" s="2" t="s">
        <v>87</v>
      </c>
      <c r="F1412" s="2" t="s">
        <v>150</v>
      </c>
      <c r="G1412" s="3">
        <v>44571</v>
      </c>
      <c r="H1412" s="3">
        <v>44573</v>
      </c>
      <c r="I1412" s="2">
        <v>2</v>
      </c>
      <c r="J1412" s="2" t="s">
        <v>33</v>
      </c>
      <c r="K1412" s="2" t="s">
        <v>174</v>
      </c>
      <c r="L1412" s="2" t="s">
        <v>48</v>
      </c>
      <c r="M1412" s="2" t="s">
        <v>75</v>
      </c>
      <c r="N1412" s="2" t="s">
        <v>62</v>
      </c>
      <c r="O1412" s="2" t="s">
        <v>406</v>
      </c>
      <c r="P1412" s="2">
        <v>125</v>
      </c>
      <c r="Q1412" s="2" t="s">
        <v>39</v>
      </c>
      <c r="R1412" s="2" t="s">
        <v>136</v>
      </c>
      <c r="S1412" s="2">
        <v>38660</v>
      </c>
      <c r="T1412" s="2">
        <v>0</v>
      </c>
      <c r="U1412" s="2">
        <v>38660</v>
      </c>
      <c r="V1412" s="2">
        <v>29853</v>
      </c>
      <c r="W1412" s="2">
        <v>6138</v>
      </c>
      <c r="X1412" s="2">
        <v>1917</v>
      </c>
      <c r="Y1412" s="2" t="s">
        <v>41</v>
      </c>
      <c r="Z1412" s="2">
        <v>50</v>
      </c>
      <c r="AA1412" s="2">
        <v>4.3</v>
      </c>
      <c r="AB1412" s="2" t="s">
        <v>137</v>
      </c>
    </row>
    <row r="1413" spans="1:28" x14ac:dyDescent="0.25">
      <c r="A1413" s="4" t="s">
        <v>2176</v>
      </c>
      <c r="B1413" s="4" t="s">
        <v>817</v>
      </c>
      <c r="C1413" s="4">
        <v>79</v>
      </c>
      <c r="D1413" s="4" t="s">
        <v>55</v>
      </c>
      <c r="E1413" s="4" t="s">
        <v>67</v>
      </c>
      <c r="F1413" s="4" t="s">
        <v>114</v>
      </c>
      <c r="G1413" s="5">
        <v>45405</v>
      </c>
      <c r="H1413" s="5">
        <v>45429</v>
      </c>
      <c r="I1413" s="4">
        <v>24</v>
      </c>
      <c r="J1413" s="4" t="s">
        <v>123</v>
      </c>
      <c r="K1413" s="4" t="s">
        <v>251</v>
      </c>
      <c r="L1413" s="4" t="s">
        <v>125</v>
      </c>
      <c r="M1413" s="4" t="s">
        <v>75</v>
      </c>
      <c r="N1413" s="4" t="s">
        <v>37</v>
      </c>
      <c r="O1413" s="4" t="s">
        <v>248</v>
      </c>
      <c r="P1413" s="4">
        <v>282</v>
      </c>
      <c r="Q1413" s="4" t="s">
        <v>39</v>
      </c>
      <c r="R1413" s="4" t="s">
        <v>51</v>
      </c>
      <c r="S1413" s="4">
        <v>121079</v>
      </c>
      <c r="T1413" s="4">
        <v>59599</v>
      </c>
      <c r="U1413" s="4">
        <v>61480</v>
      </c>
      <c r="V1413" s="4">
        <v>99635</v>
      </c>
      <c r="W1413" s="4">
        <v>16052</v>
      </c>
      <c r="X1413" s="4">
        <v>1535</v>
      </c>
      <c r="Y1413" s="4" t="s">
        <v>41</v>
      </c>
      <c r="Z1413" s="4">
        <v>82</v>
      </c>
      <c r="AA1413" s="4">
        <v>3.6</v>
      </c>
      <c r="AB1413" s="4" t="s">
        <v>104</v>
      </c>
    </row>
    <row r="1414" spans="1:28" x14ac:dyDescent="0.25">
      <c r="A1414" s="2" t="s">
        <v>2177</v>
      </c>
      <c r="B1414" s="2" t="s">
        <v>2178</v>
      </c>
      <c r="C1414" s="2">
        <v>6</v>
      </c>
      <c r="D1414" s="2" t="s">
        <v>55</v>
      </c>
      <c r="E1414" s="2" t="s">
        <v>87</v>
      </c>
      <c r="F1414" s="2" t="s">
        <v>57</v>
      </c>
      <c r="G1414" s="3">
        <v>44605</v>
      </c>
      <c r="H1414" s="3">
        <v>44620</v>
      </c>
      <c r="I1414" s="2">
        <v>15</v>
      </c>
      <c r="J1414" s="2" t="s">
        <v>33</v>
      </c>
      <c r="K1414" s="2" t="s">
        <v>197</v>
      </c>
      <c r="L1414" s="2" t="s">
        <v>198</v>
      </c>
      <c r="M1414" s="2" t="s">
        <v>83</v>
      </c>
      <c r="N1414" s="2" t="s">
        <v>62</v>
      </c>
      <c r="O1414" s="2" t="s">
        <v>553</v>
      </c>
      <c r="P1414" s="2">
        <v>385</v>
      </c>
      <c r="Q1414" s="2" t="s">
        <v>103</v>
      </c>
      <c r="R1414" s="2" t="s">
        <v>111</v>
      </c>
      <c r="S1414" s="2">
        <v>75993</v>
      </c>
      <c r="T1414" s="2">
        <v>63847</v>
      </c>
      <c r="U1414" s="2">
        <v>12146</v>
      </c>
      <c r="V1414" s="2">
        <v>63928</v>
      </c>
      <c r="W1414" s="2">
        <v>6381</v>
      </c>
      <c r="X1414" s="2">
        <v>1099</v>
      </c>
      <c r="Y1414" s="2" t="s">
        <v>41</v>
      </c>
      <c r="Z1414" s="2">
        <v>85</v>
      </c>
      <c r="AA1414" s="2">
        <v>2.1</v>
      </c>
      <c r="AB1414" s="2" t="s">
        <v>42</v>
      </c>
    </row>
    <row r="1415" spans="1:28" x14ac:dyDescent="0.25">
      <c r="A1415" s="4" t="s">
        <v>2179</v>
      </c>
      <c r="B1415" s="4" t="s">
        <v>934</v>
      </c>
      <c r="C1415" s="4">
        <v>69</v>
      </c>
      <c r="D1415" s="4" t="s">
        <v>30</v>
      </c>
      <c r="E1415" s="4" t="s">
        <v>154</v>
      </c>
      <c r="F1415" s="4" t="s">
        <v>114</v>
      </c>
      <c r="G1415" s="5">
        <v>45569</v>
      </c>
      <c r="H1415" s="5">
        <v>45593</v>
      </c>
      <c r="I1415" s="4">
        <v>24</v>
      </c>
      <c r="J1415" s="4" t="s">
        <v>58</v>
      </c>
      <c r="K1415" s="4" t="s">
        <v>59</v>
      </c>
      <c r="L1415" s="4" t="s">
        <v>60</v>
      </c>
      <c r="M1415" s="4" t="s">
        <v>83</v>
      </c>
      <c r="N1415" s="4" t="s">
        <v>37</v>
      </c>
      <c r="O1415" s="4" t="s">
        <v>530</v>
      </c>
      <c r="P1415" s="4">
        <v>210</v>
      </c>
      <c r="Q1415" s="4" t="s">
        <v>50</v>
      </c>
      <c r="R1415" s="4" t="s">
        <v>90</v>
      </c>
      <c r="S1415" s="4">
        <v>164516</v>
      </c>
      <c r="T1415" s="4">
        <v>138789</v>
      </c>
      <c r="U1415" s="4">
        <v>25727</v>
      </c>
      <c r="V1415" s="4">
        <v>129458</v>
      </c>
      <c r="W1415" s="4">
        <v>27163</v>
      </c>
      <c r="X1415" s="4">
        <v>5192</v>
      </c>
      <c r="Y1415" s="4" t="s">
        <v>41</v>
      </c>
      <c r="Z1415" s="4">
        <v>68</v>
      </c>
      <c r="AA1415" s="4">
        <v>2.4</v>
      </c>
      <c r="AB1415" s="4" t="s">
        <v>137</v>
      </c>
    </row>
    <row r="1416" spans="1:28" x14ac:dyDescent="0.25">
      <c r="A1416" s="2" t="s">
        <v>2180</v>
      </c>
      <c r="B1416" s="2" t="s">
        <v>1825</v>
      </c>
      <c r="C1416" s="2">
        <v>40</v>
      </c>
      <c r="D1416" s="2" t="s">
        <v>55</v>
      </c>
      <c r="E1416" s="2" t="s">
        <v>154</v>
      </c>
      <c r="F1416" s="2" t="s">
        <v>94</v>
      </c>
      <c r="G1416" s="3">
        <v>44772</v>
      </c>
      <c r="H1416" s="3">
        <v>44787</v>
      </c>
      <c r="I1416" s="2">
        <v>15</v>
      </c>
      <c r="J1416" s="2" t="s">
        <v>33</v>
      </c>
      <c r="K1416" s="2" t="s">
        <v>278</v>
      </c>
      <c r="L1416" s="2" t="s">
        <v>279</v>
      </c>
      <c r="M1416" s="2" t="s">
        <v>83</v>
      </c>
      <c r="N1416" s="2" t="s">
        <v>37</v>
      </c>
      <c r="O1416" s="2" t="s">
        <v>950</v>
      </c>
      <c r="P1416" s="2">
        <v>2</v>
      </c>
      <c r="Q1416" s="2" t="s">
        <v>69</v>
      </c>
      <c r="R1416" s="2" t="s">
        <v>40</v>
      </c>
      <c r="S1416" s="2">
        <v>112117</v>
      </c>
      <c r="T1416" s="2">
        <v>70234</v>
      </c>
      <c r="U1416" s="2">
        <v>41883</v>
      </c>
      <c r="V1416" s="2">
        <v>85565</v>
      </c>
      <c r="W1416" s="2">
        <v>11939</v>
      </c>
      <c r="X1416" s="2">
        <v>13029</v>
      </c>
      <c r="Y1416" s="2" t="s">
        <v>91</v>
      </c>
      <c r="Z1416" s="2">
        <v>67</v>
      </c>
      <c r="AA1416" s="2">
        <v>4.9000000000000004</v>
      </c>
      <c r="AB1416" s="2" t="s">
        <v>137</v>
      </c>
    </row>
    <row r="1417" spans="1:28" x14ac:dyDescent="0.25">
      <c r="A1417" s="4" t="s">
        <v>2181</v>
      </c>
      <c r="B1417" s="4" t="s">
        <v>1778</v>
      </c>
      <c r="C1417" s="4">
        <v>12</v>
      </c>
      <c r="D1417" s="4" t="s">
        <v>55</v>
      </c>
      <c r="E1417" s="4" t="s">
        <v>154</v>
      </c>
      <c r="F1417" s="4" t="s">
        <v>114</v>
      </c>
      <c r="G1417" s="5">
        <v>45085</v>
      </c>
      <c r="H1417" s="5">
        <v>45097</v>
      </c>
      <c r="I1417" s="4">
        <v>12</v>
      </c>
      <c r="J1417" s="4" t="s">
        <v>123</v>
      </c>
      <c r="K1417" s="4" t="s">
        <v>124</v>
      </c>
      <c r="L1417" s="4" t="s">
        <v>125</v>
      </c>
      <c r="M1417" s="4" t="s">
        <v>83</v>
      </c>
      <c r="N1417" s="4" t="s">
        <v>109</v>
      </c>
      <c r="O1417" s="4" t="s">
        <v>151</v>
      </c>
      <c r="P1417" s="4">
        <v>314</v>
      </c>
      <c r="Q1417" s="4" t="s">
        <v>69</v>
      </c>
      <c r="R1417" s="4" t="s">
        <v>111</v>
      </c>
      <c r="S1417" s="4">
        <v>112804</v>
      </c>
      <c r="T1417" s="4">
        <v>92469</v>
      </c>
      <c r="U1417" s="4">
        <v>20335</v>
      </c>
      <c r="V1417" s="4">
        <v>72609</v>
      </c>
      <c r="W1417" s="4">
        <v>26413</v>
      </c>
      <c r="X1417" s="4">
        <v>12961</v>
      </c>
      <c r="Y1417" s="4" t="s">
        <v>41</v>
      </c>
      <c r="Z1417" s="4">
        <v>45</v>
      </c>
      <c r="AA1417" s="4">
        <v>3.3</v>
      </c>
      <c r="AB1417" s="4" t="s">
        <v>52</v>
      </c>
    </row>
    <row r="1418" spans="1:28" x14ac:dyDescent="0.25">
      <c r="A1418" s="2" t="s">
        <v>2182</v>
      </c>
      <c r="B1418" s="2" t="s">
        <v>1422</v>
      </c>
      <c r="C1418" s="2">
        <v>39</v>
      </c>
      <c r="D1418" s="2" t="s">
        <v>30</v>
      </c>
      <c r="E1418" s="2" t="s">
        <v>67</v>
      </c>
      <c r="F1418" s="2" t="s">
        <v>150</v>
      </c>
      <c r="G1418" s="3">
        <v>45315</v>
      </c>
      <c r="H1418" s="3">
        <v>45319</v>
      </c>
      <c r="I1418" s="2">
        <v>4</v>
      </c>
      <c r="J1418" s="2" t="s">
        <v>140</v>
      </c>
      <c r="K1418" s="2" t="s">
        <v>141</v>
      </c>
      <c r="L1418" s="2" t="s">
        <v>142</v>
      </c>
      <c r="M1418" s="2" t="s">
        <v>75</v>
      </c>
      <c r="N1418" s="2" t="s">
        <v>109</v>
      </c>
      <c r="O1418" s="2" t="s">
        <v>234</v>
      </c>
      <c r="P1418" s="2">
        <v>304</v>
      </c>
      <c r="Q1418" s="2" t="s">
        <v>69</v>
      </c>
      <c r="R1418" s="2" t="s">
        <v>90</v>
      </c>
      <c r="S1418" s="2">
        <v>143885</v>
      </c>
      <c r="T1418" s="2">
        <v>103573</v>
      </c>
      <c r="U1418" s="2">
        <v>40312</v>
      </c>
      <c r="V1418" s="2">
        <v>98889</v>
      </c>
      <c r="W1418" s="2">
        <v>28543</v>
      </c>
      <c r="X1418" s="2">
        <v>14234</v>
      </c>
      <c r="Y1418" s="2" t="s">
        <v>41</v>
      </c>
      <c r="Z1418" s="2">
        <v>66</v>
      </c>
      <c r="AA1418" s="2">
        <v>3.8</v>
      </c>
      <c r="AB1418" s="2" t="s">
        <v>64</v>
      </c>
    </row>
    <row r="1419" spans="1:28" x14ac:dyDescent="0.25">
      <c r="A1419" s="4" t="s">
        <v>2183</v>
      </c>
      <c r="B1419" s="4" t="s">
        <v>1638</v>
      </c>
      <c r="C1419" s="4">
        <v>68</v>
      </c>
      <c r="D1419" s="4" t="s">
        <v>30</v>
      </c>
      <c r="E1419" s="4" t="s">
        <v>31</v>
      </c>
      <c r="F1419" s="4" t="s">
        <v>32</v>
      </c>
      <c r="G1419" s="5">
        <v>45090</v>
      </c>
      <c r="H1419" s="5">
        <v>45095</v>
      </c>
      <c r="I1419" s="4">
        <v>5</v>
      </c>
      <c r="J1419" s="4" t="s">
        <v>140</v>
      </c>
      <c r="K1419" s="4" t="s">
        <v>141</v>
      </c>
      <c r="L1419" s="4" t="s">
        <v>142</v>
      </c>
      <c r="M1419" s="4" t="s">
        <v>95</v>
      </c>
      <c r="N1419" s="4" t="s">
        <v>37</v>
      </c>
      <c r="O1419" s="4" t="s">
        <v>340</v>
      </c>
      <c r="P1419" s="4">
        <v>119</v>
      </c>
      <c r="Q1419" s="4" t="s">
        <v>103</v>
      </c>
      <c r="R1419" s="4" t="s">
        <v>40</v>
      </c>
      <c r="S1419" s="4">
        <v>93226</v>
      </c>
      <c r="T1419" s="4">
        <v>42499</v>
      </c>
      <c r="U1419" s="4">
        <v>50727</v>
      </c>
      <c r="V1419" s="4">
        <v>62439</v>
      </c>
      <c r="W1419" s="4">
        <v>17295</v>
      </c>
      <c r="X1419" s="4">
        <v>11545</v>
      </c>
      <c r="Y1419" s="4" t="s">
        <v>41</v>
      </c>
      <c r="Z1419" s="4">
        <v>53</v>
      </c>
      <c r="AA1419" s="4">
        <v>2.2999999999999998</v>
      </c>
      <c r="AB1419" s="4" t="s">
        <v>64</v>
      </c>
    </row>
    <row r="1420" spans="1:28" x14ac:dyDescent="0.25">
      <c r="A1420" s="2" t="s">
        <v>2184</v>
      </c>
      <c r="B1420" s="2" t="s">
        <v>2185</v>
      </c>
      <c r="C1420" s="2">
        <v>65</v>
      </c>
      <c r="D1420" s="2" t="s">
        <v>55</v>
      </c>
      <c r="E1420" s="2" t="s">
        <v>122</v>
      </c>
      <c r="F1420" s="2" t="s">
        <v>94</v>
      </c>
      <c r="G1420" s="3">
        <v>45201</v>
      </c>
      <c r="H1420" s="3">
        <v>45206</v>
      </c>
      <c r="I1420" s="2">
        <v>5</v>
      </c>
      <c r="J1420" s="2" t="s">
        <v>115</v>
      </c>
      <c r="K1420" s="2" t="s">
        <v>160</v>
      </c>
      <c r="L1420" s="2" t="s">
        <v>117</v>
      </c>
      <c r="M1420" s="2" t="s">
        <v>130</v>
      </c>
      <c r="N1420" s="2" t="s">
        <v>109</v>
      </c>
      <c r="O1420" s="2" t="s">
        <v>373</v>
      </c>
      <c r="P1420" s="2">
        <v>137</v>
      </c>
      <c r="Q1420" s="2" t="s">
        <v>39</v>
      </c>
      <c r="R1420" s="2" t="s">
        <v>40</v>
      </c>
      <c r="S1420" s="2">
        <v>97330</v>
      </c>
      <c r="T1420" s="2">
        <v>57393</v>
      </c>
      <c r="U1420" s="2">
        <v>39937</v>
      </c>
      <c r="V1420" s="2">
        <v>66137</v>
      </c>
      <c r="W1420" s="2">
        <v>25958</v>
      </c>
      <c r="X1420" s="2">
        <v>3721</v>
      </c>
      <c r="Y1420" s="2" t="s">
        <v>41</v>
      </c>
      <c r="Z1420" s="2">
        <v>91</v>
      </c>
      <c r="AA1420" s="2">
        <v>3.5</v>
      </c>
      <c r="AB1420" s="2" t="s">
        <v>42</v>
      </c>
    </row>
    <row r="1421" spans="1:28" x14ac:dyDescent="0.25">
      <c r="A1421" s="4" t="s">
        <v>2186</v>
      </c>
      <c r="B1421" s="4" t="s">
        <v>367</v>
      </c>
      <c r="C1421" s="4">
        <v>56</v>
      </c>
      <c r="D1421" s="4" t="s">
        <v>55</v>
      </c>
      <c r="E1421" s="4" t="s">
        <v>154</v>
      </c>
      <c r="F1421" s="4" t="s">
        <v>80</v>
      </c>
      <c r="G1421" s="5">
        <v>45559</v>
      </c>
      <c r="H1421" s="5">
        <v>45588</v>
      </c>
      <c r="I1421" s="4">
        <v>29</v>
      </c>
      <c r="J1421" s="4" t="s">
        <v>33</v>
      </c>
      <c r="K1421" s="4" t="s">
        <v>99</v>
      </c>
      <c r="L1421" s="4" t="s">
        <v>100</v>
      </c>
      <c r="M1421" s="4" t="s">
        <v>134</v>
      </c>
      <c r="N1421" s="4" t="s">
        <v>37</v>
      </c>
      <c r="O1421" s="4" t="s">
        <v>102</v>
      </c>
      <c r="P1421" s="4">
        <v>52</v>
      </c>
      <c r="Q1421" s="4" t="s">
        <v>50</v>
      </c>
      <c r="R1421" s="4" t="s">
        <v>90</v>
      </c>
      <c r="S1421" s="4">
        <v>158492</v>
      </c>
      <c r="T1421" s="4">
        <v>120788</v>
      </c>
      <c r="U1421" s="4">
        <v>37704</v>
      </c>
      <c r="V1421" s="4">
        <v>130178</v>
      </c>
      <c r="W1421" s="4">
        <v>14794</v>
      </c>
      <c r="X1421" s="4">
        <v>9861</v>
      </c>
      <c r="Y1421" s="4" t="s">
        <v>41</v>
      </c>
      <c r="Z1421" s="4">
        <v>81</v>
      </c>
      <c r="AA1421" s="4">
        <v>3.9</v>
      </c>
      <c r="AB1421" s="4" t="s">
        <v>52</v>
      </c>
    </row>
    <row r="1422" spans="1:28" x14ac:dyDescent="0.25">
      <c r="A1422" s="2" t="s">
        <v>2187</v>
      </c>
      <c r="B1422" s="2" t="s">
        <v>2146</v>
      </c>
      <c r="C1422" s="2">
        <v>44</v>
      </c>
      <c r="D1422" s="2" t="s">
        <v>30</v>
      </c>
      <c r="E1422" s="2" t="s">
        <v>154</v>
      </c>
      <c r="F1422" s="2" t="s">
        <v>157</v>
      </c>
      <c r="G1422" s="3">
        <v>45314</v>
      </c>
      <c r="H1422" s="3">
        <v>45330</v>
      </c>
      <c r="I1422" s="2">
        <v>16</v>
      </c>
      <c r="J1422" s="2" t="s">
        <v>33</v>
      </c>
      <c r="K1422" s="2" t="s">
        <v>99</v>
      </c>
      <c r="L1422" s="2" t="s">
        <v>100</v>
      </c>
      <c r="M1422" s="2" t="s">
        <v>83</v>
      </c>
      <c r="N1422" s="2" t="s">
        <v>109</v>
      </c>
      <c r="O1422" s="2" t="s">
        <v>63</v>
      </c>
      <c r="P1422" s="2">
        <v>16</v>
      </c>
      <c r="Q1422" s="2" t="s">
        <v>50</v>
      </c>
      <c r="R1422" s="2" t="s">
        <v>40</v>
      </c>
      <c r="S1422" s="2">
        <v>82937</v>
      </c>
      <c r="T1422" s="2">
        <v>38107</v>
      </c>
      <c r="U1422" s="2">
        <v>44830</v>
      </c>
      <c r="V1422" s="2">
        <v>43133</v>
      </c>
      <c r="W1422" s="2">
        <v>21618</v>
      </c>
      <c r="X1422" s="2">
        <v>13998</v>
      </c>
      <c r="Y1422" s="2" t="s">
        <v>41</v>
      </c>
      <c r="Z1422" s="2">
        <v>78</v>
      </c>
      <c r="AA1422" s="2">
        <v>3.3</v>
      </c>
      <c r="AB1422" s="2" t="s">
        <v>42</v>
      </c>
    </row>
    <row r="1423" spans="1:28" x14ac:dyDescent="0.25">
      <c r="A1423" s="4" t="s">
        <v>2188</v>
      </c>
      <c r="B1423" s="4" t="s">
        <v>1093</v>
      </c>
      <c r="C1423" s="4">
        <v>31</v>
      </c>
      <c r="D1423" s="4" t="s">
        <v>30</v>
      </c>
      <c r="E1423" s="4" t="s">
        <v>154</v>
      </c>
      <c r="F1423" s="4" t="s">
        <v>94</v>
      </c>
      <c r="G1423" s="5">
        <v>44999</v>
      </c>
      <c r="H1423" s="5">
        <v>45020</v>
      </c>
      <c r="I1423" s="4">
        <v>21</v>
      </c>
      <c r="J1423" s="4" t="s">
        <v>33</v>
      </c>
      <c r="K1423" s="4" t="s">
        <v>278</v>
      </c>
      <c r="L1423" s="4" t="s">
        <v>279</v>
      </c>
      <c r="M1423" s="4" t="s">
        <v>61</v>
      </c>
      <c r="N1423" s="4" t="s">
        <v>37</v>
      </c>
      <c r="O1423" s="4" t="s">
        <v>131</v>
      </c>
      <c r="P1423" s="4">
        <v>240</v>
      </c>
      <c r="Q1423" s="4" t="s">
        <v>39</v>
      </c>
      <c r="R1423" s="4" t="s">
        <v>40</v>
      </c>
      <c r="S1423" s="4">
        <v>57056</v>
      </c>
      <c r="T1423" s="4">
        <v>26897</v>
      </c>
      <c r="U1423" s="4">
        <v>30159</v>
      </c>
      <c r="V1423" s="4">
        <v>26050</v>
      </c>
      <c r="W1423" s="4">
        <v>23720</v>
      </c>
      <c r="X1423" s="4">
        <v>6599</v>
      </c>
      <c r="Y1423" s="4" t="s">
        <v>91</v>
      </c>
      <c r="Z1423" s="4">
        <v>72</v>
      </c>
      <c r="AA1423" s="4">
        <v>3.1</v>
      </c>
      <c r="AB1423" s="4" t="s">
        <v>42</v>
      </c>
    </row>
    <row r="1424" spans="1:28" x14ac:dyDescent="0.25">
      <c r="A1424" s="2" t="s">
        <v>2189</v>
      </c>
      <c r="B1424" s="2" t="s">
        <v>1348</v>
      </c>
      <c r="C1424" s="2">
        <v>49</v>
      </c>
      <c r="D1424" s="2" t="s">
        <v>30</v>
      </c>
      <c r="E1424" s="2" t="s">
        <v>56</v>
      </c>
      <c r="F1424" s="2" t="s">
        <v>57</v>
      </c>
      <c r="G1424" s="3">
        <v>44823</v>
      </c>
      <c r="H1424" s="3">
        <v>44834</v>
      </c>
      <c r="I1424" s="2">
        <v>11</v>
      </c>
      <c r="J1424" s="2" t="s">
        <v>123</v>
      </c>
      <c r="K1424" s="2" t="s">
        <v>251</v>
      </c>
      <c r="L1424" s="2" t="s">
        <v>125</v>
      </c>
      <c r="M1424" s="2" t="s">
        <v>108</v>
      </c>
      <c r="N1424" s="2" t="s">
        <v>37</v>
      </c>
      <c r="O1424" s="2" t="s">
        <v>144</v>
      </c>
      <c r="P1424" s="2">
        <v>327</v>
      </c>
      <c r="Q1424" s="2" t="s">
        <v>69</v>
      </c>
      <c r="R1424" s="2" t="s">
        <v>111</v>
      </c>
      <c r="S1424" s="2">
        <v>143230</v>
      </c>
      <c r="T1424" s="2">
        <v>103880</v>
      </c>
      <c r="U1424" s="2">
        <v>39350</v>
      </c>
      <c r="V1424" s="2">
        <v>124994</v>
      </c>
      <c r="W1424" s="2">
        <v>8312</v>
      </c>
      <c r="X1424" s="2">
        <v>5376</v>
      </c>
      <c r="Y1424" s="2" t="s">
        <v>91</v>
      </c>
      <c r="Z1424" s="2">
        <v>59</v>
      </c>
      <c r="AA1424" s="2">
        <v>4.5</v>
      </c>
      <c r="AB1424" s="2" t="s">
        <v>42</v>
      </c>
    </row>
    <row r="1425" spans="1:28" x14ac:dyDescent="0.25">
      <c r="A1425" s="4" t="s">
        <v>2190</v>
      </c>
      <c r="B1425" s="4" t="s">
        <v>1254</v>
      </c>
      <c r="C1425" s="4">
        <v>59</v>
      </c>
      <c r="D1425" s="4" t="s">
        <v>55</v>
      </c>
      <c r="E1425" s="4" t="s">
        <v>154</v>
      </c>
      <c r="F1425" s="4" t="s">
        <v>94</v>
      </c>
      <c r="G1425" s="5">
        <v>45295</v>
      </c>
      <c r="H1425" s="5">
        <v>45319</v>
      </c>
      <c r="I1425" s="4">
        <v>24</v>
      </c>
      <c r="J1425" s="4" t="s">
        <v>33</v>
      </c>
      <c r="K1425" s="4" t="s">
        <v>233</v>
      </c>
      <c r="L1425" s="4" t="s">
        <v>35</v>
      </c>
      <c r="M1425" s="4" t="s">
        <v>130</v>
      </c>
      <c r="N1425" s="4" t="s">
        <v>109</v>
      </c>
      <c r="O1425" s="4" t="s">
        <v>673</v>
      </c>
      <c r="P1425" s="4">
        <v>95</v>
      </c>
      <c r="Q1425" s="4" t="s">
        <v>50</v>
      </c>
      <c r="R1425" s="4" t="s">
        <v>40</v>
      </c>
      <c r="S1425" s="4">
        <v>146634</v>
      </c>
      <c r="T1425" s="4">
        <v>63192</v>
      </c>
      <c r="U1425" s="4">
        <v>83442</v>
      </c>
      <c r="V1425" s="4">
        <v>128129</v>
      </c>
      <c r="W1425" s="4">
        <v>13488</v>
      </c>
      <c r="X1425" s="4">
        <v>3267</v>
      </c>
      <c r="Y1425" s="4" t="s">
        <v>41</v>
      </c>
      <c r="Z1425" s="4">
        <v>88</v>
      </c>
      <c r="AA1425" s="4">
        <v>3.2</v>
      </c>
      <c r="AB1425" s="4" t="s">
        <v>137</v>
      </c>
    </row>
    <row r="1426" spans="1:28" x14ac:dyDescent="0.25">
      <c r="A1426" s="2" t="s">
        <v>2191</v>
      </c>
      <c r="B1426" s="2" t="s">
        <v>159</v>
      </c>
      <c r="C1426" s="2">
        <v>78</v>
      </c>
      <c r="D1426" s="2" t="s">
        <v>30</v>
      </c>
      <c r="E1426" s="2" t="s">
        <v>31</v>
      </c>
      <c r="F1426" s="2" t="s">
        <v>72</v>
      </c>
      <c r="G1426" s="3">
        <v>45088</v>
      </c>
      <c r="H1426" s="3">
        <v>45108</v>
      </c>
      <c r="I1426" s="2">
        <v>20</v>
      </c>
      <c r="J1426" s="2" t="s">
        <v>33</v>
      </c>
      <c r="K1426" s="2" t="s">
        <v>47</v>
      </c>
      <c r="L1426" s="2" t="s">
        <v>48</v>
      </c>
      <c r="M1426" s="2" t="s">
        <v>134</v>
      </c>
      <c r="N1426" s="2" t="s">
        <v>62</v>
      </c>
      <c r="O1426" s="2" t="s">
        <v>266</v>
      </c>
      <c r="P1426" s="2">
        <v>289</v>
      </c>
      <c r="Q1426" s="2" t="s">
        <v>50</v>
      </c>
      <c r="R1426" s="2" t="s">
        <v>136</v>
      </c>
      <c r="S1426" s="2">
        <v>105064</v>
      </c>
      <c r="T1426" s="2">
        <v>0</v>
      </c>
      <c r="U1426" s="2">
        <v>105064</v>
      </c>
      <c r="V1426" s="2">
        <v>79972</v>
      </c>
      <c r="W1426" s="2">
        <v>14590</v>
      </c>
      <c r="X1426" s="2">
        <v>6435</v>
      </c>
      <c r="Y1426" s="2" t="s">
        <v>41</v>
      </c>
      <c r="Z1426" s="2">
        <v>81</v>
      </c>
      <c r="AA1426" s="2">
        <v>3.1</v>
      </c>
      <c r="AB1426" s="2" t="s">
        <v>104</v>
      </c>
    </row>
    <row r="1427" spans="1:28" x14ac:dyDescent="0.25">
      <c r="A1427" s="4" t="s">
        <v>2192</v>
      </c>
      <c r="B1427" s="4" t="s">
        <v>1050</v>
      </c>
      <c r="C1427" s="4">
        <v>70</v>
      </c>
      <c r="D1427" s="4" t="s">
        <v>30</v>
      </c>
      <c r="E1427" s="4" t="s">
        <v>31</v>
      </c>
      <c r="F1427" s="4" t="s">
        <v>57</v>
      </c>
      <c r="G1427" s="5">
        <v>44671</v>
      </c>
      <c r="H1427" s="5">
        <v>44676</v>
      </c>
      <c r="I1427" s="4">
        <v>5</v>
      </c>
      <c r="J1427" s="4" t="s">
        <v>202</v>
      </c>
      <c r="K1427" s="4" t="s">
        <v>203</v>
      </c>
      <c r="L1427" s="4" t="s">
        <v>204</v>
      </c>
      <c r="M1427" s="4" t="s">
        <v>143</v>
      </c>
      <c r="N1427" s="4" t="s">
        <v>37</v>
      </c>
      <c r="O1427" s="4" t="s">
        <v>126</v>
      </c>
      <c r="P1427" s="4">
        <v>344</v>
      </c>
      <c r="Q1427" s="4" t="s">
        <v>103</v>
      </c>
      <c r="R1427" s="4" t="s">
        <v>40</v>
      </c>
      <c r="S1427" s="4">
        <v>77726</v>
      </c>
      <c r="T1427" s="4">
        <v>46406</v>
      </c>
      <c r="U1427" s="4">
        <v>31320</v>
      </c>
      <c r="V1427" s="4">
        <v>48973</v>
      </c>
      <c r="W1427" s="4">
        <v>12499</v>
      </c>
      <c r="X1427" s="4">
        <v>12555</v>
      </c>
      <c r="Y1427" s="4" t="s">
        <v>41</v>
      </c>
      <c r="Z1427" s="4">
        <v>86</v>
      </c>
      <c r="AA1427" s="4">
        <v>4.0999999999999996</v>
      </c>
      <c r="AB1427" s="4" t="s">
        <v>64</v>
      </c>
    </row>
    <row r="1428" spans="1:28" x14ac:dyDescent="0.25">
      <c r="A1428" s="2" t="s">
        <v>2193</v>
      </c>
      <c r="B1428" s="2" t="s">
        <v>1495</v>
      </c>
      <c r="C1428" s="2">
        <v>41</v>
      </c>
      <c r="D1428" s="2" t="s">
        <v>30</v>
      </c>
      <c r="E1428" s="2" t="s">
        <v>79</v>
      </c>
      <c r="F1428" s="2" t="s">
        <v>72</v>
      </c>
      <c r="G1428" s="3">
        <v>44999</v>
      </c>
      <c r="H1428" s="3">
        <v>45019</v>
      </c>
      <c r="I1428" s="2">
        <v>20</v>
      </c>
      <c r="J1428" s="2" t="s">
        <v>202</v>
      </c>
      <c r="K1428" s="2" t="s">
        <v>203</v>
      </c>
      <c r="L1428" s="2" t="s">
        <v>204</v>
      </c>
      <c r="M1428" s="2" t="s">
        <v>108</v>
      </c>
      <c r="N1428" s="2" t="s">
        <v>62</v>
      </c>
      <c r="O1428" s="2" t="s">
        <v>337</v>
      </c>
      <c r="P1428" s="2">
        <v>64</v>
      </c>
      <c r="Q1428" s="2" t="s">
        <v>69</v>
      </c>
      <c r="R1428" s="2" t="s">
        <v>51</v>
      </c>
      <c r="S1428" s="2">
        <v>32871</v>
      </c>
      <c r="T1428" s="2">
        <v>17397</v>
      </c>
      <c r="U1428" s="2">
        <v>15474</v>
      </c>
      <c r="V1428" s="2">
        <v>7720</v>
      </c>
      <c r="W1428" s="2">
        <v>10907</v>
      </c>
      <c r="X1428" s="2">
        <v>9490</v>
      </c>
      <c r="Y1428" s="2" t="s">
        <v>41</v>
      </c>
      <c r="Z1428" s="2">
        <v>86</v>
      </c>
      <c r="AA1428" s="2">
        <v>2.1</v>
      </c>
      <c r="AB1428" s="2" t="s">
        <v>137</v>
      </c>
    </row>
    <row r="1429" spans="1:28" x14ac:dyDescent="0.25">
      <c r="A1429" s="4" t="s">
        <v>2194</v>
      </c>
      <c r="B1429" s="4" t="s">
        <v>1638</v>
      </c>
      <c r="C1429" s="4">
        <v>57</v>
      </c>
      <c r="D1429" s="4" t="s">
        <v>30</v>
      </c>
      <c r="E1429" s="4" t="s">
        <v>79</v>
      </c>
      <c r="F1429" s="4" t="s">
        <v>150</v>
      </c>
      <c r="G1429" s="5">
        <v>44966</v>
      </c>
      <c r="H1429" s="5">
        <v>44988</v>
      </c>
      <c r="I1429" s="4">
        <v>22</v>
      </c>
      <c r="J1429" s="4" t="s">
        <v>33</v>
      </c>
      <c r="K1429" s="4" t="s">
        <v>174</v>
      </c>
      <c r="L1429" s="4" t="s">
        <v>48</v>
      </c>
      <c r="M1429" s="4" t="s">
        <v>95</v>
      </c>
      <c r="N1429" s="4" t="s">
        <v>118</v>
      </c>
      <c r="O1429" s="4" t="s">
        <v>438</v>
      </c>
      <c r="P1429" s="4">
        <v>248</v>
      </c>
      <c r="Q1429" s="4" t="s">
        <v>103</v>
      </c>
      <c r="R1429" s="4" t="s">
        <v>90</v>
      </c>
      <c r="S1429" s="4">
        <v>40028</v>
      </c>
      <c r="T1429" s="4">
        <v>25178</v>
      </c>
      <c r="U1429" s="4">
        <v>14850</v>
      </c>
      <c r="V1429" s="4">
        <v>11084</v>
      </c>
      <c r="W1429" s="4">
        <v>20643</v>
      </c>
      <c r="X1429" s="4">
        <v>3741</v>
      </c>
      <c r="Y1429" s="4" t="s">
        <v>41</v>
      </c>
      <c r="Z1429" s="4">
        <v>98</v>
      </c>
      <c r="AA1429" s="4">
        <v>4.8</v>
      </c>
      <c r="AB1429" s="4" t="s">
        <v>52</v>
      </c>
    </row>
    <row r="1430" spans="1:28" x14ac:dyDescent="0.25">
      <c r="A1430" s="2" t="s">
        <v>2195</v>
      </c>
      <c r="B1430" s="2" t="s">
        <v>590</v>
      </c>
      <c r="C1430" s="2">
        <v>18</v>
      </c>
      <c r="D1430" s="2" t="s">
        <v>55</v>
      </c>
      <c r="E1430" s="2" t="s">
        <v>79</v>
      </c>
      <c r="F1430" s="2" t="s">
        <v>80</v>
      </c>
      <c r="G1430" s="3">
        <v>45567</v>
      </c>
      <c r="H1430" s="3">
        <v>45594</v>
      </c>
      <c r="I1430" s="2">
        <v>27</v>
      </c>
      <c r="J1430" s="2" t="s">
        <v>73</v>
      </c>
      <c r="K1430" s="2" t="s">
        <v>74</v>
      </c>
      <c r="L1430" s="2" t="s">
        <v>73</v>
      </c>
      <c r="M1430" s="2" t="s">
        <v>108</v>
      </c>
      <c r="N1430" s="2" t="s">
        <v>37</v>
      </c>
      <c r="O1430" s="2" t="s">
        <v>326</v>
      </c>
      <c r="P1430" s="2">
        <v>131</v>
      </c>
      <c r="Q1430" s="2" t="s">
        <v>103</v>
      </c>
      <c r="R1430" s="2" t="s">
        <v>40</v>
      </c>
      <c r="S1430" s="2">
        <v>97685</v>
      </c>
      <c r="T1430" s="2">
        <v>64927</v>
      </c>
      <c r="U1430" s="2">
        <v>32758</v>
      </c>
      <c r="V1430" s="2">
        <v>66291</v>
      </c>
      <c r="W1430" s="2">
        <v>18680</v>
      </c>
      <c r="X1430" s="2">
        <v>7716</v>
      </c>
      <c r="Y1430" s="2" t="s">
        <v>41</v>
      </c>
      <c r="Z1430" s="2">
        <v>90</v>
      </c>
      <c r="AA1430" s="2">
        <v>4.7</v>
      </c>
      <c r="AB1430" s="2" t="s">
        <v>52</v>
      </c>
    </row>
    <row r="1431" spans="1:28" x14ac:dyDescent="0.25">
      <c r="A1431" s="4" t="s">
        <v>2196</v>
      </c>
      <c r="B1431" s="4" t="s">
        <v>484</v>
      </c>
      <c r="C1431" s="4">
        <v>78</v>
      </c>
      <c r="D1431" s="4" t="s">
        <v>55</v>
      </c>
      <c r="E1431" s="4" t="s">
        <v>45</v>
      </c>
      <c r="F1431" s="4" t="s">
        <v>114</v>
      </c>
      <c r="G1431" s="5">
        <v>45456</v>
      </c>
      <c r="H1431" s="5">
        <v>45468</v>
      </c>
      <c r="I1431" s="4">
        <v>12</v>
      </c>
      <c r="J1431" s="4" t="s">
        <v>202</v>
      </c>
      <c r="K1431" s="4" t="s">
        <v>203</v>
      </c>
      <c r="L1431" s="4" t="s">
        <v>204</v>
      </c>
      <c r="M1431" s="4" t="s">
        <v>61</v>
      </c>
      <c r="N1431" s="4" t="s">
        <v>37</v>
      </c>
      <c r="O1431" s="4" t="s">
        <v>492</v>
      </c>
      <c r="P1431" s="4">
        <v>379</v>
      </c>
      <c r="Q1431" s="4" t="s">
        <v>103</v>
      </c>
      <c r="R1431" s="4" t="s">
        <v>111</v>
      </c>
      <c r="S1431" s="4">
        <v>63269</v>
      </c>
      <c r="T1431" s="4">
        <v>47498</v>
      </c>
      <c r="U1431" s="4">
        <v>15771</v>
      </c>
      <c r="V1431" s="4">
        <v>28742</v>
      </c>
      <c r="W1431" s="4">
        <v>20445</v>
      </c>
      <c r="X1431" s="4">
        <v>9161</v>
      </c>
      <c r="Y1431" s="4" t="s">
        <v>41</v>
      </c>
      <c r="Z1431" s="4">
        <v>57</v>
      </c>
      <c r="AA1431" s="4">
        <v>2.7</v>
      </c>
      <c r="AB1431" s="4" t="s">
        <v>52</v>
      </c>
    </row>
    <row r="1432" spans="1:28" x14ac:dyDescent="0.25">
      <c r="A1432" s="2" t="s">
        <v>2197</v>
      </c>
      <c r="B1432" s="2" t="s">
        <v>2198</v>
      </c>
      <c r="C1432" s="2">
        <v>82</v>
      </c>
      <c r="D1432" s="2" t="s">
        <v>30</v>
      </c>
      <c r="E1432" s="2" t="s">
        <v>45</v>
      </c>
      <c r="F1432" s="2" t="s">
        <v>72</v>
      </c>
      <c r="G1432" s="3">
        <v>45000</v>
      </c>
      <c r="H1432" s="3">
        <v>45017</v>
      </c>
      <c r="I1432" s="2">
        <v>17</v>
      </c>
      <c r="J1432" s="2" t="s">
        <v>33</v>
      </c>
      <c r="K1432" s="2" t="s">
        <v>197</v>
      </c>
      <c r="L1432" s="2" t="s">
        <v>198</v>
      </c>
      <c r="M1432" s="2" t="s">
        <v>143</v>
      </c>
      <c r="N1432" s="2" t="s">
        <v>118</v>
      </c>
      <c r="O1432" s="2" t="s">
        <v>208</v>
      </c>
      <c r="P1432" s="2">
        <v>123</v>
      </c>
      <c r="Q1432" s="2" t="s">
        <v>69</v>
      </c>
      <c r="R1432" s="2" t="s">
        <v>51</v>
      </c>
      <c r="S1432" s="2">
        <v>126203</v>
      </c>
      <c r="T1432" s="2">
        <v>60523</v>
      </c>
      <c r="U1432" s="2">
        <v>65680</v>
      </c>
      <c r="V1432" s="2">
        <v>107218</v>
      </c>
      <c r="W1432" s="2">
        <v>10188</v>
      </c>
      <c r="X1432" s="2">
        <v>6943</v>
      </c>
      <c r="Y1432" s="2" t="s">
        <v>41</v>
      </c>
      <c r="Z1432" s="2">
        <v>89</v>
      </c>
      <c r="AA1432" s="2">
        <v>4.5999999999999996</v>
      </c>
      <c r="AB1432" s="2" t="s">
        <v>52</v>
      </c>
    </row>
    <row r="1433" spans="1:28" x14ac:dyDescent="0.25">
      <c r="A1433" s="4" t="s">
        <v>2199</v>
      </c>
      <c r="B1433" s="4" t="s">
        <v>93</v>
      </c>
      <c r="C1433" s="4">
        <v>56</v>
      </c>
      <c r="D1433" s="4" t="s">
        <v>30</v>
      </c>
      <c r="E1433" s="4" t="s">
        <v>154</v>
      </c>
      <c r="F1433" s="4" t="s">
        <v>157</v>
      </c>
      <c r="G1433" s="5">
        <v>44944</v>
      </c>
      <c r="H1433" s="5">
        <v>44971</v>
      </c>
      <c r="I1433" s="4">
        <v>27</v>
      </c>
      <c r="J1433" s="4" t="s">
        <v>33</v>
      </c>
      <c r="K1433" s="4" t="s">
        <v>34</v>
      </c>
      <c r="L1433" s="4" t="s">
        <v>35</v>
      </c>
      <c r="M1433" s="4" t="s">
        <v>108</v>
      </c>
      <c r="N1433" s="4" t="s">
        <v>62</v>
      </c>
      <c r="O1433" s="4" t="s">
        <v>266</v>
      </c>
      <c r="P1433" s="4">
        <v>232</v>
      </c>
      <c r="Q1433" s="4" t="s">
        <v>69</v>
      </c>
      <c r="R1433" s="4" t="s">
        <v>90</v>
      </c>
      <c r="S1433" s="4">
        <v>163947</v>
      </c>
      <c r="T1433" s="4">
        <v>114605</v>
      </c>
      <c r="U1433" s="4">
        <v>49342</v>
      </c>
      <c r="V1433" s="4">
        <v>141606</v>
      </c>
      <c r="W1433" s="4">
        <v>18888</v>
      </c>
      <c r="X1433" s="4">
        <v>1237</v>
      </c>
      <c r="Y1433" s="4" t="s">
        <v>41</v>
      </c>
      <c r="Z1433" s="4">
        <v>79</v>
      </c>
      <c r="AA1433" s="4">
        <v>2.9</v>
      </c>
      <c r="AB1433" s="4" t="s">
        <v>137</v>
      </c>
    </row>
    <row r="1434" spans="1:28" x14ac:dyDescent="0.25">
      <c r="A1434" s="2" t="s">
        <v>2200</v>
      </c>
      <c r="B1434" s="2" t="s">
        <v>1218</v>
      </c>
      <c r="C1434" s="2">
        <v>80</v>
      </c>
      <c r="D1434" s="2" t="s">
        <v>55</v>
      </c>
      <c r="E1434" s="2" t="s">
        <v>31</v>
      </c>
      <c r="F1434" s="2" t="s">
        <v>150</v>
      </c>
      <c r="G1434" s="3">
        <v>45386</v>
      </c>
      <c r="H1434" s="3">
        <v>45395</v>
      </c>
      <c r="I1434" s="2">
        <v>9</v>
      </c>
      <c r="J1434" s="2" t="s">
        <v>33</v>
      </c>
      <c r="K1434" s="2" t="s">
        <v>107</v>
      </c>
      <c r="L1434" s="2" t="s">
        <v>48</v>
      </c>
      <c r="M1434" s="2" t="s">
        <v>83</v>
      </c>
      <c r="N1434" s="2" t="s">
        <v>37</v>
      </c>
      <c r="O1434" s="2" t="s">
        <v>520</v>
      </c>
      <c r="P1434" s="2">
        <v>337</v>
      </c>
      <c r="Q1434" s="2" t="s">
        <v>69</v>
      </c>
      <c r="R1434" s="2" t="s">
        <v>111</v>
      </c>
      <c r="S1434" s="2">
        <v>38207</v>
      </c>
      <c r="T1434" s="2">
        <v>32237</v>
      </c>
      <c r="U1434" s="2">
        <v>5970</v>
      </c>
      <c r="V1434" s="2">
        <v>26250</v>
      </c>
      <c r="W1434" s="2">
        <v>7103</v>
      </c>
      <c r="X1434" s="2">
        <v>3406</v>
      </c>
      <c r="Y1434" s="2" t="s">
        <v>91</v>
      </c>
      <c r="Z1434" s="2">
        <v>88</v>
      </c>
      <c r="AA1434" s="2">
        <v>2.7</v>
      </c>
      <c r="AB1434" s="2" t="s">
        <v>42</v>
      </c>
    </row>
    <row r="1435" spans="1:28" x14ac:dyDescent="0.25">
      <c r="A1435" s="4" t="s">
        <v>2201</v>
      </c>
      <c r="B1435" s="4" t="s">
        <v>601</v>
      </c>
      <c r="C1435" s="4">
        <v>45</v>
      </c>
      <c r="D1435" s="4" t="s">
        <v>30</v>
      </c>
      <c r="E1435" s="4" t="s">
        <v>67</v>
      </c>
      <c r="F1435" s="4" t="s">
        <v>94</v>
      </c>
      <c r="G1435" s="5">
        <v>44705</v>
      </c>
      <c r="H1435" s="5">
        <v>44726</v>
      </c>
      <c r="I1435" s="4">
        <v>21</v>
      </c>
      <c r="J1435" s="4" t="s">
        <v>33</v>
      </c>
      <c r="K1435" s="4" t="s">
        <v>278</v>
      </c>
      <c r="L1435" s="4" t="s">
        <v>279</v>
      </c>
      <c r="M1435" s="4" t="s">
        <v>130</v>
      </c>
      <c r="N1435" s="4" t="s">
        <v>118</v>
      </c>
      <c r="O1435" s="4" t="s">
        <v>49</v>
      </c>
      <c r="P1435" s="4">
        <v>267</v>
      </c>
      <c r="Q1435" s="4" t="s">
        <v>39</v>
      </c>
      <c r="R1435" s="4" t="s">
        <v>40</v>
      </c>
      <c r="S1435" s="4">
        <v>82616</v>
      </c>
      <c r="T1435" s="4">
        <v>43356</v>
      </c>
      <c r="U1435" s="4">
        <v>39260</v>
      </c>
      <c r="V1435" s="4">
        <v>61800</v>
      </c>
      <c r="W1435" s="4">
        <v>13216</v>
      </c>
      <c r="X1435" s="4">
        <v>2646</v>
      </c>
      <c r="Y1435" s="4" t="s">
        <v>41</v>
      </c>
      <c r="Z1435" s="4">
        <v>65</v>
      </c>
      <c r="AA1435" s="4">
        <v>2</v>
      </c>
      <c r="AB1435" s="4" t="s">
        <v>64</v>
      </c>
    </row>
    <row r="1436" spans="1:28" x14ac:dyDescent="0.25">
      <c r="A1436" s="2" t="s">
        <v>2202</v>
      </c>
      <c r="B1436" s="2" t="s">
        <v>1007</v>
      </c>
      <c r="C1436" s="2">
        <v>45</v>
      </c>
      <c r="D1436" s="2" t="s">
        <v>55</v>
      </c>
      <c r="E1436" s="2" t="s">
        <v>122</v>
      </c>
      <c r="F1436" s="2" t="s">
        <v>129</v>
      </c>
      <c r="G1436" s="3">
        <v>45255</v>
      </c>
      <c r="H1436" s="3">
        <v>45281</v>
      </c>
      <c r="I1436" s="2">
        <v>26</v>
      </c>
      <c r="J1436" s="2" t="s">
        <v>33</v>
      </c>
      <c r="K1436" s="2" t="s">
        <v>174</v>
      </c>
      <c r="L1436" s="2" t="s">
        <v>48</v>
      </c>
      <c r="M1436" s="2" t="s">
        <v>75</v>
      </c>
      <c r="N1436" s="2" t="s">
        <v>62</v>
      </c>
      <c r="O1436" s="2" t="s">
        <v>76</v>
      </c>
      <c r="P1436" s="2">
        <v>36</v>
      </c>
      <c r="Q1436" s="2" t="s">
        <v>39</v>
      </c>
      <c r="R1436" s="2" t="s">
        <v>136</v>
      </c>
      <c r="S1436" s="2">
        <v>136209</v>
      </c>
      <c r="T1436" s="2">
        <v>0</v>
      </c>
      <c r="U1436" s="2">
        <v>136209</v>
      </c>
      <c r="V1436" s="2">
        <v>97751</v>
      </c>
      <c r="W1436" s="2">
        <v>29054</v>
      </c>
      <c r="X1436" s="2">
        <v>8129</v>
      </c>
      <c r="Y1436" s="2" t="s">
        <v>41</v>
      </c>
      <c r="Z1436" s="2">
        <v>45</v>
      </c>
      <c r="AA1436" s="2">
        <v>4.7</v>
      </c>
      <c r="AB1436" s="2" t="s">
        <v>42</v>
      </c>
    </row>
    <row r="1437" spans="1:28" x14ac:dyDescent="0.25">
      <c r="A1437" s="4" t="s">
        <v>2203</v>
      </c>
      <c r="B1437" s="4" t="s">
        <v>106</v>
      </c>
      <c r="C1437" s="4">
        <v>16</v>
      </c>
      <c r="D1437" s="4" t="s">
        <v>30</v>
      </c>
      <c r="E1437" s="4" t="s">
        <v>56</v>
      </c>
      <c r="F1437" s="4" t="s">
        <v>32</v>
      </c>
      <c r="G1437" s="5">
        <v>45383</v>
      </c>
      <c r="H1437" s="5">
        <v>45404</v>
      </c>
      <c r="I1437" s="4">
        <v>21</v>
      </c>
      <c r="J1437" s="4" t="s">
        <v>58</v>
      </c>
      <c r="K1437" s="4" t="s">
        <v>88</v>
      </c>
      <c r="L1437" s="4" t="s">
        <v>60</v>
      </c>
      <c r="M1437" s="4" t="s">
        <v>95</v>
      </c>
      <c r="N1437" s="4" t="s">
        <v>118</v>
      </c>
      <c r="O1437" s="4" t="s">
        <v>337</v>
      </c>
      <c r="P1437" s="4">
        <v>49</v>
      </c>
      <c r="Q1437" s="4" t="s">
        <v>39</v>
      </c>
      <c r="R1437" s="4" t="s">
        <v>51</v>
      </c>
      <c r="S1437" s="4">
        <v>140229</v>
      </c>
      <c r="T1437" s="4">
        <v>77196</v>
      </c>
      <c r="U1437" s="4">
        <v>63033</v>
      </c>
      <c r="V1437" s="4">
        <v>112946</v>
      </c>
      <c r="W1437" s="4">
        <v>18440</v>
      </c>
      <c r="X1437" s="4">
        <v>7676</v>
      </c>
      <c r="Y1437" s="4" t="s">
        <v>41</v>
      </c>
      <c r="Z1437" s="4">
        <v>71</v>
      </c>
      <c r="AA1437" s="4">
        <v>2.2000000000000002</v>
      </c>
      <c r="AB1437" s="4" t="s">
        <v>104</v>
      </c>
    </row>
    <row r="1438" spans="1:28" x14ac:dyDescent="0.25">
      <c r="A1438" s="2" t="s">
        <v>2204</v>
      </c>
      <c r="B1438" s="2" t="s">
        <v>320</v>
      </c>
      <c r="C1438" s="2">
        <v>44</v>
      </c>
      <c r="D1438" s="2" t="s">
        <v>55</v>
      </c>
      <c r="E1438" s="2" t="s">
        <v>31</v>
      </c>
      <c r="F1438" s="2" t="s">
        <v>129</v>
      </c>
      <c r="G1438" s="3">
        <v>45310</v>
      </c>
      <c r="H1438" s="3">
        <v>45311</v>
      </c>
      <c r="I1438" s="2">
        <v>1</v>
      </c>
      <c r="J1438" s="2" t="s">
        <v>33</v>
      </c>
      <c r="K1438" s="2" t="s">
        <v>174</v>
      </c>
      <c r="L1438" s="2" t="s">
        <v>48</v>
      </c>
      <c r="M1438" s="2" t="s">
        <v>101</v>
      </c>
      <c r="N1438" s="2" t="s">
        <v>37</v>
      </c>
      <c r="O1438" s="2" t="s">
        <v>241</v>
      </c>
      <c r="P1438" s="2">
        <v>493</v>
      </c>
      <c r="Q1438" s="2" t="s">
        <v>39</v>
      </c>
      <c r="R1438" s="2" t="s">
        <v>40</v>
      </c>
      <c r="S1438" s="2">
        <v>60348</v>
      </c>
      <c r="T1438" s="2">
        <v>29198</v>
      </c>
      <c r="U1438" s="2">
        <v>31150</v>
      </c>
      <c r="V1438" s="2">
        <v>41830</v>
      </c>
      <c r="W1438" s="2">
        <v>3432</v>
      </c>
      <c r="X1438" s="2">
        <v>12991</v>
      </c>
      <c r="Y1438" s="2" t="s">
        <v>41</v>
      </c>
      <c r="Z1438" s="2">
        <v>48</v>
      </c>
      <c r="AA1438" s="2">
        <v>2.1</v>
      </c>
      <c r="AB1438" s="2" t="s">
        <v>52</v>
      </c>
    </row>
    <row r="1439" spans="1:28" x14ac:dyDescent="0.25">
      <c r="A1439" s="4" t="s">
        <v>2205</v>
      </c>
      <c r="B1439" s="4" t="s">
        <v>680</v>
      </c>
      <c r="C1439" s="4">
        <v>32</v>
      </c>
      <c r="D1439" s="4" t="s">
        <v>30</v>
      </c>
      <c r="E1439" s="4" t="s">
        <v>56</v>
      </c>
      <c r="F1439" s="4" t="s">
        <v>150</v>
      </c>
      <c r="G1439" s="5">
        <v>45577</v>
      </c>
      <c r="H1439" s="5">
        <v>45589</v>
      </c>
      <c r="I1439" s="4">
        <v>12</v>
      </c>
      <c r="J1439" s="4" t="s">
        <v>202</v>
      </c>
      <c r="K1439" s="4" t="s">
        <v>225</v>
      </c>
      <c r="L1439" s="4" t="s">
        <v>226</v>
      </c>
      <c r="M1439" s="4" t="s">
        <v>95</v>
      </c>
      <c r="N1439" s="4" t="s">
        <v>37</v>
      </c>
      <c r="O1439" s="4" t="s">
        <v>331</v>
      </c>
      <c r="P1439" s="4">
        <v>131</v>
      </c>
      <c r="Q1439" s="4" t="s">
        <v>69</v>
      </c>
      <c r="R1439" s="4" t="s">
        <v>111</v>
      </c>
      <c r="S1439" s="4">
        <v>117790</v>
      </c>
      <c r="T1439" s="4">
        <v>102658</v>
      </c>
      <c r="U1439" s="4">
        <v>15132</v>
      </c>
      <c r="V1439" s="4">
        <v>109707</v>
      </c>
      <c r="W1439" s="4">
        <v>4480</v>
      </c>
      <c r="X1439" s="4">
        <v>1618</v>
      </c>
      <c r="Y1439" s="4" t="s">
        <v>41</v>
      </c>
      <c r="Z1439" s="4">
        <v>87</v>
      </c>
      <c r="AA1439" s="4">
        <v>2.4</v>
      </c>
      <c r="AB1439" s="4" t="s">
        <v>104</v>
      </c>
    </row>
    <row r="1440" spans="1:28" x14ac:dyDescent="0.25">
      <c r="A1440" s="2" t="s">
        <v>2206</v>
      </c>
      <c r="B1440" s="2" t="s">
        <v>1809</v>
      </c>
      <c r="C1440" s="2">
        <v>12</v>
      </c>
      <c r="D1440" s="2" t="s">
        <v>30</v>
      </c>
      <c r="E1440" s="2" t="s">
        <v>45</v>
      </c>
      <c r="F1440" s="2" t="s">
        <v>157</v>
      </c>
      <c r="G1440" s="3">
        <v>45441</v>
      </c>
      <c r="H1440" s="3">
        <v>45452</v>
      </c>
      <c r="I1440" s="2">
        <v>11</v>
      </c>
      <c r="J1440" s="2" t="s">
        <v>33</v>
      </c>
      <c r="K1440" s="2" t="s">
        <v>174</v>
      </c>
      <c r="L1440" s="2" t="s">
        <v>48</v>
      </c>
      <c r="M1440" s="2" t="s">
        <v>143</v>
      </c>
      <c r="N1440" s="2" t="s">
        <v>62</v>
      </c>
      <c r="O1440" s="2" t="s">
        <v>135</v>
      </c>
      <c r="P1440" s="2">
        <v>221</v>
      </c>
      <c r="Q1440" s="2" t="s">
        <v>69</v>
      </c>
      <c r="R1440" s="2" t="s">
        <v>90</v>
      </c>
      <c r="S1440" s="2">
        <v>154843</v>
      </c>
      <c r="T1440" s="2">
        <v>133017</v>
      </c>
      <c r="U1440" s="2">
        <v>21826</v>
      </c>
      <c r="V1440" s="2">
        <v>147093</v>
      </c>
      <c r="W1440" s="2">
        <v>3682</v>
      </c>
      <c r="X1440" s="2">
        <v>2489</v>
      </c>
      <c r="Y1440" s="2" t="s">
        <v>41</v>
      </c>
      <c r="Z1440" s="2">
        <v>89</v>
      </c>
      <c r="AA1440" s="2">
        <v>2.7</v>
      </c>
      <c r="AB1440" s="2" t="s">
        <v>42</v>
      </c>
    </row>
    <row r="1441" spans="1:28" x14ac:dyDescent="0.25">
      <c r="A1441" s="4" t="s">
        <v>2207</v>
      </c>
      <c r="B1441" s="4" t="s">
        <v>771</v>
      </c>
      <c r="C1441" s="4">
        <v>33</v>
      </c>
      <c r="D1441" s="4" t="s">
        <v>55</v>
      </c>
      <c r="E1441" s="4" t="s">
        <v>122</v>
      </c>
      <c r="F1441" s="4" t="s">
        <v>129</v>
      </c>
      <c r="G1441" s="5">
        <v>45226</v>
      </c>
      <c r="H1441" s="5">
        <v>45238</v>
      </c>
      <c r="I1441" s="4">
        <v>12</v>
      </c>
      <c r="J1441" s="4" t="s">
        <v>33</v>
      </c>
      <c r="K1441" s="4" t="s">
        <v>278</v>
      </c>
      <c r="L1441" s="4" t="s">
        <v>279</v>
      </c>
      <c r="M1441" s="4" t="s">
        <v>83</v>
      </c>
      <c r="N1441" s="4" t="s">
        <v>109</v>
      </c>
      <c r="O1441" s="4" t="s">
        <v>184</v>
      </c>
      <c r="P1441" s="4">
        <v>404</v>
      </c>
      <c r="Q1441" s="4" t="s">
        <v>39</v>
      </c>
      <c r="R1441" s="4" t="s">
        <v>40</v>
      </c>
      <c r="S1441" s="4">
        <v>70515</v>
      </c>
      <c r="T1441" s="4">
        <v>40899</v>
      </c>
      <c r="U1441" s="4">
        <v>29616</v>
      </c>
      <c r="V1441" s="4">
        <v>35152</v>
      </c>
      <c r="W1441" s="4">
        <v>26910</v>
      </c>
      <c r="X1441" s="4">
        <v>5161</v>
      </c>
      <c r="Y1441" s="4" t="s">
        <v>41</v>
      </c>
      <c r="Z1441" s="4">
        <v>84</v>
      </c>
      <c r="AA1441" s="4">
        <v>3.5</v>
      </c>
      <c r="AB1441" s="4" t="s">
        <v>42</v>
      </c>
    </row>
    <row r="1442" spans="1:28" x14ac:dyDescent="0.25">
      <c r="A1442" s="2" t="s">
        <v>2208</v>
      </c>
      <c r="B1442" s="2" t="s">
        <v>985</v>
      </c>
      <c r="C1442" s="2">
        <v>7</v>
      </c>
      <c r="D1442" s="2" t="s">
        <v>30</v>
      </c>
      <c r="E1442" s="2" t="s">
        <v>56</v>
      </c>
      <c r="F1442" s="2" t="s">
        <v>72</v>
      </c>
      <c r="G1442" s="3">
        <v>45390</v>
      </c>
      <c r="H1442" s="3">
        <v>45418</v>
      </c>
      <c r="I1442" s="2">
        <v>28</v>
      </c>
      <c r="J1442" s="2" t="s">
        <v>33</v>
      </c>
      <c r="K1442" s="2" t="s">
        <v>99</v>
      </c>
      <c r="L1442" s="2" t="s">
        <v>100</v>
      </c>
      <c r="M1442" s="2" t="s">
        <v>134</v>
      </c>
      <c r="N1442" s="2" t="s">
        <v>118</v>
      </c>
      <c r="O1442" s="2" t="s">
        <v>300</v>
      </c>
      <c r="P1442" s="2">
        <v>84</v>
      </c>
      <c r="Q1442" s="2" t="s">
        <v>69</v>
      </c>
      <c r="R1442" s="2" t="s">
        <v>90</v>
      </c>
      <c r="S1442" s="2">
        <v>71261</v>
      </c>
      <c r="T1442" s="2">
        <v>59701</v>
      </c>
      <c r="U1442" s="2">
        <v>11560</v>
      </c>
      <c r="V1442" s="2">
        <v>41957</v>
      </c>
      <c r="W1442" s="2">
        <v>25724</v>
      </c>
      <c r="X1442" s="2">
        <v>1302</v>
      </c>
      <c r="Y1442" s="2" t="s">
        <v>91</v>
      </c>
      <c r="Z1442" s="2">
        <v>47</v>
      </c>
      <c r="AA1442" s="2">
        <v>3.2</v>
      </c>
      <c r="AB1442" s="2" t="s">
        <v>52</v>
      </c>
    </row>
    <row r="1443" spans="1:28" x14ac:dyDescent="0.25">
      <c r="A1443" s="4" t="s">
        <v>2209</v>
      </c>
      <c r="B1443" s="4" t="s">
        <v>1148</v>
      </c>
      <c r="C1443" s="4">
        <v>76</v>
      </c>
      <c r="D1443" s="4" t="s">
        <v>55</v>
      </c>
      <c r="E1443" s="4" t="s">
        <v>79</v>
      </c>
      <c r="F1443" s="4" t="s">
        <v>46</v>
      </c>
      <c r="G1443" s="5">
        <v>45395</v>
      </c>
      <c r="H1443" s="5">
        <v>45422</v>
      </c>
      <c r="I1443" s="4">
        <v>27</v>
      </c>
      <c r="J1443" s="4" t="s">
        <v>33</v>
      </c>
      <c r="K1443" s="4" t="s">
        <v>197</v>
      </c>
      <c r="L1443" s="4" t="s">
        <v>198</v>
      </c>
      <c r="M1443" s="4" t="s">
        <v>36</v>
      </c>
      <c r="N1443" s="4" t="s">
        <v>37</v>
      </c>
      <c r="O1443" s="4" t="s">
        <v>161</v>
      </c>
      <c r="P1443" s="4">
        <v>20</v>
      </c>
      <c r="Q1443" s="4" t="s">
        <v>39</v>
      </c>
      <c r="R1443" s="4" t="s">
        <v>136</v>
      </c>
      <c r="S1443" s="4">
        <v>144344</v>
      </c>
      <c r="T1443" s="4">
        <v>0</v>
      </c>
      <c r="U1443" s="4">
        <v>144344</v>
      </c>
      <c r="V1443" s="4">
        <v>116372</v>
      </c>
      <c r="W1443" s="4">
        <v>19478</v>
      </c>
      <c r="X1443" s="4">
        <v>5835</v>
      </c>
      <c r="Y1443" s="4" t="s">
        <v>41</v>
      </c>
      <c r="Z1443" s="4">
        <v>96</v>
      </c>
      <c r="AA1443" s="4">
        <v>3.1</v>
      </c>
      <c r="AB1443" s="4" t="s">
        <v>137</v>
      </c>
    </row>
    <row r="1444" spans="1:28" x14ac:dyDescent="0.25">
      <c r="A1444" s="2" t="s">
        <v>2210</v>
      </c>
      <c r="B1444" s="2" t="s">
        <v>2211</v>
      </c>
      <c r="C1444" s="2">
        <v>47</v>
      </c>
      <c r="D1444" s="2" t="s">
        <v>55</v>
      </c>
      <c r="E1444" s="2" t="s">
        <v>67</v>
      </c>
      <c r="F1444" s="2" t="s">
        <v>129</v>
      </c>
      <c r="G1444" s="3">
        <v>45497</v>
      </c>
      <c r="H1444" s="3">
        <v>45506</v>
      </c>
      <c r="I1444" s="2">
        <v>9</v>
      </c>
      <c r="J1444" s="2" t="s">
        <v>33</v>
      </c>
      <c r="K1444" s="2" t="s">
        <v>47</v>
      </c>
      <c r="L1444" s="2" t="s">
        <v>48</v>
      </c>
      <c r="M1444" s="2" t="s">
        <v>108</v>
      </c>
      <c r="N1444" s="2" t="s">
        <v>109</v>
      </c>
      <c r="O1444" s="2" t="s">
        <v>259</v>
      </c>
      <c r="P1444" s="2">
        <v>469</v>
      </c>
      <c r="Q1444" s="2" t="s">
        <v>50</v>
      </c>
      <c r="R1444" s="2" t="s">
        <v>51</v>
      </c>
      <c r="S1444" s="2">
        <v>38994</v>
      </c>
      <c r="T1444" s="2">
        <v>22715</v>
      </c>
      <c r="U1444" s="2">
        <v>16279</v>
      </c>
      <c r="V1444" s="2">
        <v>15648</v>
      </c>
      <c r="W1444" s="2">
        <v>16961</v>
      </c>
      <c r="X1444" s="2">
        <v>4725</v>
      </c>
      <c r="Y1444" s="2" t="s">
        <v>41</v>
      </c>
      <c r="Z1444" s="2">
        <v>59</v>
      </c>
      <c r="AA1444" s="2">
        <v>2.4</v>
      </c>
      <c r="AB1444" s="2" t="s">
        <v>42</v>
      </c>
    </row>
    <row r="1445" spans="1:28" x14ac:dyDescent="0.25">
      <c r="A1445" s="4" t="s">
        <v>2212</v>
      </c>
      <c r="B1445" s="4" t="s">
        <v>868</v>
      </c>
      <c r="C1445" s="4">
        <v>42</v>
      </c>
      <c r="D1445" s="4" t="s">
        <v>30</v>
      </c>
      <c r="E1445" s="4" t="s">
        <v>87</v>
      </c>
      <c r="F1445" s="4" t="s">
        <v>150</v>
      </c>
      <c r="G1445" s="5">
        <v>45444</v>
      </c>
      <c r="H1445" s="5">
        <v>45450</v>
      </c>
      <c r="I1445" s="4">
        <v>6</v>
      </c>
      <c r="J1445" s="4" t="s">
        <v>33</v>
      </c>
      <c r="K1445" s="4" t="s">
        <v>47</v>
      </c>
      <c r="L1445" s="4" t="s">
        <v>48</v>
      </c>
      <c r="M1445" s="4" t="s">
        <v>75</v>
      </c>
      <c r="N1445" s="4" t="s">
        <v>118</v>
      </c>
      <c r="O1445" s="4" t="s">
        <v>352</v>
      </c>
      <c r="P1445" s="4">
        <v>386</v>
      </c>
      <c r="Q1445" s="4" t="s">
        <v>103</v>
      </c>
      <c r="R1445" s="4" t="s">
        <v>51</v>
      </c>
      <c r="S1445" s="4">
        <v>70875</v>
      </c>
      <c r="T1445" s="4">
        <v>32502</v>
      </c>
      <c r="U1445" s="4">
        <v>38373</v>
      </c>
      <c r="V1445" s="4">
        <v>27433</v>
      </c>
      <c r="W1445" s="4">
        <v>29774</v>
      </c>
      <c r="X1445" s="4">
        <v>10339</v>
      </c>
      <c r="Y1445" s="4" t="s">
        <v>91</v>
      </c>
      <c r="Z1445" s="4">
        <v>100</v>
      </c>
      <c r="AA1445" s="4">
        <v>4.5999999999999996</v>
      </c>
      <c r="AB1445" s="4" t="s">
        <v>52</v>
      </c>
    </row>
    <row r="1446" spans="1:28" x14ac:dyDescent="0.25">
      <c r="A1446" s="2" t="s">
        <v>2213</v>
      </c>
      <c r="B1446" s="2" t="s">
        <v>488</v>
      </c>
      <c r="C1446" s="2">
        <v>72</v>
      </c>
      <c r="D1446" s="2" t="s">
        <v>30</v>
      </c>
      <c r="E1446" s="2" t="s">
        <v>56</v>
      </c>
      <c r="F1446" s="2" t="s">
        <v>150</v>
      </c>
      <c r="G1446" s="3">
        <v>45163</v>
      </c>
      <c r="H1446" s="3">
        <v>45185</v>
      </c>
      <c r="I1446" s="2">
        <v>22</v>
      </c>
      <c r="J1446" s="2" t="s">
        <v>115</v>
      </c>
      <c r="K1446" s="2" t="s">
        <v>116</v>
      </c>
      <c r="L1446" s="2" t="s">
        <v>117</v>
      </c>
      <c r="M1446" s="2" t="s">
        <v>95</v>
      </c>
      <c r="N1446" s="2" t="s">
        <v>62</v>
      </c>
      <c r="O1446" s="2" t="s">
        <v>571</v>
      </c>
      <c r="P1446" s="2">
        <v>67</v>
      </c>
      <c r="Q1446" s="2" t="s">
        <v>103</v>
      </c>
      <c r="R1446" s="2" t="s">
        <v>111</v>
      </c>
      <c r="S1446" s="2">
        <v>48817</v>
      </c>
      <c r="T1446" s="2">
        <v>34957</v>
      </c>
      <c r="U1446" s="2">
        <v>13860</v>
      </c>
      <c r="V1446" s="2">
        <v>27230</v>
      </c>
      <c r="W1446" s="2">
        <v>4963</v>
      </c>
      <c r="X1446" s="2">
        <v>12928</v>
      </c>
      <c r="Y1446" s="2" t="s">
        <v>41</v>
      </c>
      <c r="Z1446" s="2">
        <v>74</v>
      </c>
      <c r="AA1446" s="2">
        <v>3.2</v>
      </c>
      <c r="AB1446" s="2" t="s">
        <v>104</v>
      </c>
    </row>
    <row r="1447" spans="1:28" x14ac:dyDescent="0.25">
      <c r="A1447" s="4" t="s">
        <v>2214</v>
      </c>
      <c r="B1447" s="4" t="s">
        <v>657</v>
      </c>
      <c r="C1447" s="4">
        <v>44</v>
      </c>
      <c r="D1447" s="4" t="s">
        <v>55</v>
      </c>
      <c r="E1447" s="4" t="s">
        <v>79</v>
      </c>
      <c r="F1447" s="4" t="s">
        <v>114</v>
      </c>
      <c r="G1447" s="5">
        <v>45407</v>
      </c>
      <c r="H1447" s="5">
        <v>45423</v>
      </c>
      <c r="I1447" s="4">
        <v>16</v>
      </c>
      <c r="J1447" s="4" t="s">
        <v>33</v>
      </c>
      <c r="K1447" s="4" t="s">
        <v>197</v>
      </c>
      <c r="L1447" s="4" t="s">
        <v>198</v>
      </c>
      <c r="M1447" s="4" t="s">
        <v>108</v>
      </c>
      <c r="N1447" s="4" t="s">
        <v>118</v>
      </c>
      <c r="O1447" s="4" t="s">
        <v>175</v>
      </c>
      <c r="P1447" s="4">
        <v>430</v>
      </c>
      <c r="Q1447" s="4" t="s">
        <v>103</v>
      </c>
      <c r="R1447" s="4" t="s">
        <v>111</v>
      </c>
      <c r="S1447" s="4">
        <v>88997</v>
      </c>
      <c r="T1447" s="4">
        <v>77343</v>
      </c>
      <c r="U1447" s="4">
        <v>11654</v>
      </c>
      <c r="V1447" s="4">
        <v>82424</v>
      </c>
      <c r="W1447" s="4">
        <v>2468</v>
      </c>
      <c r="X1447" s="4">
        <v>3090</v>
      </c>
      <c r="Y1447" s="4" t="s">
        <v>41</v>
      </c>
      <c r="Z1447" s="4">
        <v>71</v>
      </c>
      <c r="AA1447" s="4">
        <v>4.9000000000000004</v>
      </c>
      <c r="AB1447" s="4" t="s">
        <v>64</v>
      </c>
    </row>
    <row r="1448" spans="1:28" x14ac:dyDescent="0.25">
      <c r="A1448" s="2" t="s">
        <v>2215</v>
      </c>
      <c r="B1448" s="2" t="s">
        <v>422</v>
      </c>
      <c r="C1448" s="2">
        <v>46</v>
      </c>
      <c r="D1448" s="2" t="s">
        <v>55</v>
      </c>
      <c r="E1448" s="2" t="s">
        <v>79</v>
      </c>
      <c r="F1448" s="2" t="s">
        <v>129</v>
      </c>
      <c r="G1448" s="3">
        <v>44977</v>
      </c>
      <c r="H1448" s="3">
        <v>44988</v>
      </c>
      <c r="I1448" s="2">
        <v>11</v>
      </c>
      <c r="J1448" s="2" t="s">
        <v>140</v>
      </c>
      <c r="K1448" s="2" t="s">
        <v>141</v>
      </c>
      <c r="L1448" s="2" t="s">
        <v>142</v>
      </c>
      <c r="M1448" s="2" t="s">
        <v>108</v>
      </c>
      <c r="N1448" s="2" t="s">
        <v>62</v>
      </c>
      <c r="O1448" s="2" t="s">
        <v>194</v>
      </c>
      <c r="P1448" s="2">
        <v>165</v>
      </c>
      <c r="Q1448" s="2" t="s">
        <v>50</v>
      </c>
      <c r="R1448" s="2" t="s">
        <v>51</v>
      </c>
      <c r="S1448" s="2">
        <v>142880</v>
      </c>
      <c r="T1448" s="2">
        <v>64857</v>
      </c>
      <c r="U1448" s="2">
        <v>78023</v>
      </c>
      <c r="V1448" s="2">
        <v>107361</v>
      </c>
      <c r="W1448" s="2">
        <v>29788</v>
      </c>
      <c r="X1448" s="2">
        <v>1524</v>
      </c>
      <c r="Y1448" s="2" t="s">
        <v>41</v>
      </c>
      <c r="Z1448" s="2">
        <v>94</v>
      </c>
      <c r="AA1448" s="2">
        <v>2.2000000000000002</v>
      </c>
      <c r="AB1448" s="2" t="s">
        <v>64</v>
      </c>
    </row>
    <row r="1449" spans="1:28" x14ac:dyDescent="0.25">
      <c r="A1449" s="4" t="s">
        <v>2216</v>
      </c>
      <c r="B1449" s="4" t="s">
        <v>1269</v>
      </c>
      <c r="C1449" s="4">
        <v>34</v>
      </c>
      <c r="D1449" s="4" t="s">
        <v>30</v>
      </c>
      <c r="E1449" s="4" t="s">
        <v>31</v>
      </c>
      <c r="F1449" s="4" t="s">
        <v>157</v>
      </c>
      <c r="G1449" s="5">
        <v>44947</v>
      </c>
      <c r="H1449" s="5">
        <v>44971</v>
      </c>
      <c r="I1449" s="4">
        <v>24</v>
      </c>
      <c r="J1449" s="4" t="s">
        <v>33</v>
      </c>
      <c r="K1449" s="4" t="s">
        <v>34</v>
      </c>
      <c r="L1449" s="4" t="s">
        <v>35</v>
      </c>
      <c r="M1449" s="4" t="s">
        <v>134</v>
      </c>
      <c r="N1449" s="4" t="s">
        <v>118</v>
      </c>
      <c r="O1449" s="4" t="s">
        <v>368</v>
      </c>
      <c r="P1449" s="4">
        <v>169</v>
      </c>
      <c r="Q1449" s="4" t="s">
        <v>39</v>
      </c>
      <c r="R1449" s="4" t="s">
        <v>136</v>
      </c>
      <c r="S1449" s="4">
        <v>57590</v>
      </c>
      <c r="T1449" s="4">
        <v>0</v>
      </c>
      <c r="U1449" s="4">
        <v>57590</v>
      </c>
      <c r="V1449" s="4">
        <v>44167</v>
      </c>
      <c r="W1449" s="4">
        <v>8936</v>
      </c>
      <c r="X1449" s="4">
        <v>2948</v>
      </c>
      <c r="Y1449" s="4" t="s">
        <v>41</v>
      </c>
      <c r="Z1449" s="4">
        <v>85</v>
      </c>
      <c r="AA1449" s="4">
        <v>2.4</v>
      </c>
      <c r="AB1449" s="4" t="s">
        <v>42</v>
      </c>
    </row>
    <row r="1450" spans="1:28" x14ac:dyDescent="0.25">
      <c r="A1450" s="2" t="s">
        <v>2217</v>
      </c>
      <c r="B1450" s="2" t="s">
        <v>422</v>
      </c>
      <c r="C1450" s="2">
        <v>79</v>
      </c>
      <c r="D1450" s="2" t="s">
        <v>30</v>
      </c>
      <c r="E1450" s="2" t="s">
        <v>79</v>
      </c>
      <c r="F1450" s="2" t="s">
        <v>32</v>
      </c>
      <c r="G1450" s="3">
        <v>44785</v>
      </c>
      <c r="H1450" s="3">
        <v>44811</v>
      </c>
      <c r="I1450" s="2">
        <v>26</v>
      </c>
      <c r="J1450" s="2" t="s">
        <v>140</v>
      </c>
      <c r="K1450" s="2" t="s">
        <v>167</v>
      </c>
      <c r="L1450" s="2" t="s">
        <v>142</v>
      </c>
      <c r="M1450" s="2" t="s">
        <v>134</v>
      </c>
      <c r="N1450" s="2" t="s">
        <v>62</v>
      </c>
      <c r="O1450" s="2" t="s">
        <v>96</v>
      </c>
      <c r="P1450" s="2">
        <v>263</v>
      </c>
      <c r="Q1450" s="2" t="s">
        <v>39</v>
      </c>
      <c r="R1450" s="2" t="s">
        <v>136</v>
      </c>
      <c r="S1450" s="2">
        <v>98532</v>
      </c>
      <c r="T1450" s="2">
        <v>0</v>
      </c>
      <c r="U1450" s="2">
        <v>98532</v>
      </c>
      <c r="V1450" s="2">
        <v>56598</v>
      </c>
      <c r="W1450" s="2">
        <v>23312</v>
      </c>
      <c r="X1450" s="2">
        <v>14308</v>
      </c>
      <c r="Y1450" s="2" t="s">
        <v>41</v>
      </c>
      <c r="Z1450" s="2">
        <v>70</v>
      </c>
      <c r="AA1450" s="2">
        <v>3.8</v>
      </c>
      <c r="AB1450" s="2" t="s">
        <v>42</v>
      </c>
    </row>
    <row r="1451" spans="1:28" x14ac:dyDescent="0.25">
      <c r="A1451" s="4" t="s">
        <v>2218</v>
      </c>
      <c r="B1451" s="4" t="s">
        <v>821</v>
      </c>
      <c r="C1451" s="4">
        <v>10</v>
      </c>
      <c r="D1451" s="4" t="s">
        <v>55</v>
      </c>
      <c r="E1451" s="4" t="s">
        <v>56</v>
      </c>
      <c r="F1451" s="4" t="s">
        <v>157</v>
      </c>
      <c r="G1451" s="5">
        <v>45436</v>
      </c>
      <c r="H1451" s="5">
        <v>45466</v>
      </c>
      <c r="I1451" s="4">
        <v>30</v>
      </c>
      <c r="J1451" s="4" t="s">
        <v>202</v>
      </c>
      <c r="K1451" s="4" t="s">
        <v>225</v>
      </c>
      <c r="L1451" s="4" t="s">
        <v>226</v>
      </c>
      <c r="M1451" s="4" t="s">
        <v>61</v>
      </c>
      <c r="N1451" s="4" t="s">
        <v>62</v>
      </c>
      <c r="O1451" s="4" t="s">
        <v>102</v>
      </c>
      <c r="P1451" s="4">
        <v>319</v>
      </c>
      <c r="Q1451" s="4" t="s">
        <v>69</v>
      </c>
      <c r="R1451" s="4" t="s">
        <v>51</v>
      </c>
      <c r="S1451" s="4">
        <v>57590</v>
      </c>
      <c r="T1451" s="4">
        <v>36927</v>
      </c>
      <c r="U1451" s="4">
        <v>20663</v>
      </c>
      <c r="V1451" s="4">
        <v>33586</v>
      </c>
      <c r="W1451" s="4">
        <v>22402</v>
      </c>
      <c r="X1451" s="4">
        <v>753</v>
      </c>
      <c r="Y1451" s="4" t="s">
        <v>41</v>
      </c>
      <c r="Z1451" s="4">
        <v>49</v>
      </c>
      <c r="AA1451" s="4">
        <v>4.5999999999999996</v>
      </c>
      <c r="AB1451" s="4" t="s">
        <v>64</v>
      </c>
    </row>
    <row r="1452" spans="1:28" x14ac:dyDescent="0.25">
      <c r="A1452" s="2" t="s">
        <v>2219</v>
      </c>
      <c r="B1452" s="2" t="s">
        <v>2220</v>
      </c>
      <c r="C1452" s="2">
        <v>64</v>
      </c>
      <c r="D1452" s="2" t="s">
        <v>30</v>
      </c>
      <c r="E1452" s="2" t="s">
        <v>31</v>
      </c>
      <c r="F1452" s="2" t="s">
        <v>80</v>
      </c>
      <c r="G1452" s="3">
        <v>45302</v>
      </c>
      <c r="H1452" s="3">
        <v>45319</v>
      </c>
      <c r="I1452" s="2">
        <v>17</v>
      </c>
      <c r="J1452" s="2" t="s">
        <v>33</v>
      </c>
      <c r="K1452" s="2" t="s">
        <v>174</v>
      </c>
      <c r="L1452" s="2" t="s">
        <v>48</v>
      </c>
      <c r="M1452" s="2" t="s">
        <v>134</v>
      </c>
      <c r="N1452" s="2" t="s">
        <v>118</v>
      </c>
      <c r="O1452" s="2" t="s">
        <v>571</v>
      </c>
      <c r="P1452" s="2">
        <v>110</v>
      </c>
      <c r="Q1452" s="2" t="s">
        <v>50</v>
      </c>
      <c r="R1452" s="2" t="s">
        <v>51</v>
      </c>
      <c r="S1452" s="2">
        <v>165442</v>
      </c>
      <c r="T1452" s="2">
        <v>103351</v>
      </c>
      <c r="U1452" s="2">
        <v>62091</v>
      </c>
      <c r="V1452" s="2">
        <v>142017</v>
      </c>
      <c r="W1452" s="2">
        <v>18471</v>
      </c>
      <c r="X1452" s="2">
        <v>2854</v>
      </c>
      <c r="Y1452" s="2" t="s">
        <v>41</v>
      </c>
      <c r="Z1452" s="2">
        <v>92</v>
      </c>
      <c r="AA1452" s="2">
        <v>3.9</v>
      </c>
      <c r="AB1452" s="2" t="s">
        <v>52</v>
      </c>
    </row>
    <row r="1453" spans="1:28" x14ac:dyDescent="0.25">
      <c r="A1453" s="4" t="s">
        <v>2221</v>
      </c>
      <c r="B1453" s="4" t="s">
        <v>2222</v>
      </c>
      <c r="C1453" s="4">
        <v>28</v>
      </c>
      <c r="D1453" s="4" t="s">
        <v>55</v>
      </c>
      <c r="E1453" s="4" t="s">
        <v>45</v>
      </c>
      <c r="F1453" s="4" t="s">
        <v>32</v>
      </c>
      <c r="G1453" s="5">
        <v>45231</v>
      </c>
      <c r="H1453" s="5">
        <v>45235</v>
      </c>
      <c r="I1453" s="4">
        <v>4</v>
      </c>
      <c r="J1453" s="4" t="s">
        <v>202</v>
      </c>
      <c r="K1453" s="4" t="s">
        <v>203</v>
      </c>
      <c r="L1453" s="4" t="s">
        <v>204</v>
      </c>
      <c r="M1453" s="4" t="s">
        <v>75</v>
      </c>
      <c r="N1453" s="4" t="s">
        <v>109</v>
      </c>
      <c r="O1453" s="4" t="s">
        <v>214</v>
      </c>
      <c r="P1453" s="4">
        <v>170</v>
      </c>
      <c r="Q1453" s="4" t="s">
        <v>69</v>
      </c>
      <c r="R1453" s="4" t="s">
        <v>40</v>
      </c>
      <c r="S1453" s="4">
        <v>91896</v>
      </c>
      <c r="T1453" s="4">
        <v>52032</v>
      </c>
      <c r="U1453" s="4">
        <v>39864</v>
      </c>
      <c r="V1453" s="4">
        <v>70998</v>
      </c>
      <c r="W1453" s="4">
        <v>12023</v>
      </c>
      <c r="X1453" s="4">
        <v>6488</v>
      </c>
      <c r="Y1453" s="4" t="s">
        <v>41</v>
      </c>
      <c r="Z1453" s="4">
        <v>72</v>
      </c>
      <c r="AA1453" s="4">
        <v>4.9000000000000004</v>
      </c>
      <c r="AB1453" s="4" t="s">
        <v>64</v>
      </c>
    </row>
    <row r="1454" spans="1:28" x14ac:dyDescent="0.25">
      <c r="A1454" s="2" t="s">
        <v>2223</v>
      </c>
      <c r="B1454" s="2" t="s">
        <v>345</v>
      </c>
      <c r="C1454" s="2">
        <v>61</v>
      </c>
      <c r="D1454" s="2" t="s">
        <v>30</v>
      </c>
      <c r="E1454" s="2" t="s">
        <v>87</v>
      </c>
      <c r="F1454" s="2" t="s">
        <v>114</v>
      </c>
      <c r="G1454" s="3">
        <v>45339</v>
      </c>
      <c r="H1454" s="3">
        <v>45369</v>
      </c>
      <c r="I1454" s="2">
        <v>30</v>
      </c>
      <c r="J1454" s="2" t="s">
        <v>115</v>
      </c>
      <c r="K1454" s="2" t="s">
        <v>116</v>
      </c>
      <c r="L1454" s="2" t="s">
        <v>117</v>
      </c>
      <c r="M1454" s="2" t="s">
        <v>75</v>
      </c>
      <c r="N1454" s="2" t="s">
        <v>109</v>
      </c>
      <c r="O1454" s="2" t="s">
        <v>553</v>
      </c>
      <c r="P1454" s="2">
        <v>497</v>
      </c>
      <c r="Q1454" s="2" t="s">
        <v>103</v>
      </c>
      <c r="R1454" s="2" t="s">
        <v>136</v>
      </c>
      <c r="S1454" s="2">
        <v>129802</v>
      </c>
      <c r="T1454" s="2">
        <v>0</v>
      </c>
      <c r="U1454" s="2">
        <v>129802</v>
      </c>
      <c r="V1454" s="2">
        <v>89135</v>
      </c>
      <c r="W1454" s="2">
        <v>24159</v>
      </c>
      <c r="X1454" s="2">
        <v>11908</v>
      </c>
      <c r="Y1454" s="2" t="s">
        <v>41</v>
      </c>
      <c r="Z1454" s="2">
        <v>86</v>
      </c>
      <c r="AA1454" s="2">
        <v>4</v>
      </c>
      <c r="AB1454" s="2" t="s">
        <v>104</v>
      </c>
    </row>
    <row r="1455" spans="1:28" x14ac:dyDescent="0.25">
      <c r="A1455" s="4" t="s">
        <v>2224</v>
      </c>
      <c r="B1455" s="4" t="s">
        <v>790</v>
      </c>
      <c r="C1455" s="4">
        <v>45</v>
      </c>
      <c r="D1455" s="4" t="s">
        <v>55</v>
      </c>
      <c r="E1455" s="4" t="s">
        <v>56</v>
      </c>
      <c r="F1455" s="4" t="s">
        <v>32</v>
      </c>
      <c r="G1455" s="5">
        <v>45360</v>
      </c>
      <c r="H1455" s="5">
        <v>45378</v>
      </c>
      <c r="I1455" s="4">
        <v>18</v>
      </c>
      <c r="J1455" s="4" t="s">
        <v>58</v>
      </c>
      <c r="K1455" s="4" t="s">
        <v>88</v>
      </c>
      <c r="L1455" s="4" t="s">
        <v>60</v>
      </c>
      <c r="M1455" s="4" t="s">
        <v>61</v>
      </c>
      <c r="N1455" s="4" t="s">
        <v>62</v>
      </c>
      <c r="O1455" s="4" t="s">
        <v>355</v>
      </c>
      <c r="P1455" s="4">
        <v>203</v>
      </c>
      <c r="Q1455" s="4" t="s">
        <v>39</v>
      </c>
      <c r="R1455" s="4" t="s">
        <v>90</v>
      </c>
      <c r="S1455" s="4">
        <v>47994</v>
      </c>
      <c r="T1455" s="4">
        <v>39046</v>
      </c>
      <c r="U1455" s="4">
        <v>8948</v>
      </c>
      <c r="V1455" s="4">
        <v>14035</v>
      </c>
      <c r="W1455" s="4">
        <v>16753</v>
      </c>
      <c r="X1455" s="4">
        <v>14285</v>
      </c>
      <c r="Y1455" s="4" t="s">
        <v>41</v>
      </c>
      <c r="Z1455" s="4">
        <v>56</v>
      </c>
      <c r="AA1455" s="4">
        <v>4.4000000000000004</v>
      </c>
      <c r="AB1455" s="4" t="s">
        <v>52</v>
      </c>
    </row>
    <row r="1456" spans="1:28" x14ac:dyDescent="0.25">
      <c r="A1456" s="2" t="s">
        <v>2225</v>
      </c>
      <c r="B1456" s="2" t="s">
        <v>874</v>
      </c>
      <c r="C1456" s="2">
        <v>20</v>
      </c>
      <c r="D1456" s="2" t="s">
        <v>55</v>
      </c>
      <c r="E1456" s="2" t="s">
        <v>67</v>
      </c>
      <c r="F1456" s="2" t="s">
        <v>157</v>
      </c>
      <c r="G1456" s="3">
        <v>45130</v>
      </c>
      <c r="H1456" s="3">
        <v>45160</v>
      </c>
      <c r="I1456" s="2">
        <v>30</v>
      </c>
      <c r="J1456" s="2" t="s">
        <v>58</v>
      </c>
      <c r="K1456" s="2" t="s">
        <v>59</v>
      </c>
      <c r="L1456" s="2" t="s">
        <v>60</v>
      </c>
      <c r="M1456" s="2" t="s">
        <v>143</v>
      </c>
      <c r="N1456" s="2" t="s">
        <v>37</v>
      </c>
      <c r="O1456" s="2" t="s">
        <v>399</v>
      </c>
      <c r="P1456" s="2">
        <v>363</v>
      </c>
      <c r="Q1456" s="2" t="s">
        <v>103</v>
      </c>
      <c r="R1456" s="2" t="s">
        <v>136</v>
      </c>
      <c r="S1456" s="2">
        <v>88870</v>
      </c>
      <c r="T1456" s="2">
        <v>0</v>
      </c>
      <c r="U1456" s="2">
        <v>88870</v>
      </c>
      <c r="V1456" s="2">
        <v>76098</v>
      </c>
      <c r="W1456" s="2">
        <v>7708</v>
      </c>
      <c r="X1456" s="2">
        <v>3998</v>
      </c>
      <c r="Y1456" s="2" t="s">
        <v>41</v>
      </c>
      <c r="Z1456" s="2">
        <v>79</v>
      </c>
      <c r="AA1456" s="2">
        <v>4.5999999999999996</v>
      </c>
      <c r="AB1456" s="2" t="s">
        <v>104</v>
      </c>
    </row>
    <row r="1457" spans="1:28" x14ac:dyDescent="0.25">
      <c r="A1457" s="4" t="s">
        <v>2226</v>
      </c>
      <c r="B1457" s="4" t="s">
        <v>401</v>
      </c>
      <c r="C1457" s="4">
        <v>51</v>
      </c>
      <c r="D1457" s="4" t="s">
        <v>55</v>
      </c>
      <c r="E1457" s="4" t="s">
        <v>31</v>
      </c>
      <c r="F1457" s="4" t="s">
        <v>32</v>
      </c>
      <c r="G1457" s="5">
        <v>45128</v>
      </c>
      <c r="H1457" s="5">
        <v>45154</v>
      </c>
      <c r="I1457" s="4">
        <v>26</v>
      </c>
      <c r="J1457" s="4" t="s">
        <v>33</v>
      </c>
      <c r="K1457" s="4" t="s">
        <v>278</v>
      </c>
      <c r="L1457" s="4" t="s">
        <v>279</v>
      </c>
      <c r="M1457" s="4" t="s">
        <v>143</v>
      </c>
      <c r="N1457" s="4" t="s">
        <v>37</v>
      </c>
      <c r="O1457" s="4" t="s">
        <v>271</v>
      </c>
      <c r="P1457" s="4">
        <v>15</v>
      </c>
      <c r="Q1457" s="4" t="s">
        <v>69</v>
      </c>
      <c r="R1457" s="4" t="s">
        <v>90</v>
      </c>
      <c r="S1457" s="4">
        <v>49290</v>
      </c>
      <c r="T1457" s="4">
        <v>32920</v>
      </c>
      <c r="U1457" s="4">
        <v>16370</v>
      </c>
      <c r="V1457" s="4">
        <v>16982</v>
      </c>
      <c r="W1457" s="4">
        <v>25455</v>
      </c>
      <c r="X1457" s="4">
        <v>3875</v>
      </c>
      <c r="Y1457" s="4" t="s">
        <v>41</v>
      </c>
      <c r="Z1457" s="4">
        <v>78</v>
      </c>
      <c r="AA1457" s="4">
        <v>3.5</v>
      </c>
      <c r="AB1457" s="4" t="s">
        <v>42</v>
      </c>
    </row>
    <row r="1458" spans="1:28" x14ac:dyDescent="0.25">
      <c r="A1458" s="2" t="s">
        <v>2227</v>
      </c>
      <c r="B1458" s="2" t="s">
        <v>672</v>
      </c>
      <c r="C1458" s="2">
        <v>75</v>
      </c>
      <c r="D1458" s="2" t="s">
        <v>30</v>
      </c>
      <c r="E1458" s="2" t="s">
        <v>56</v>
      </c>
      <c r="F1458" s="2" t="s">
        <v>94</v>
      </c>
      <c r="G1458" s="3">
        <v>45634</v>
      </c>
      <c r="H1458" s="3">
        <v>45651</v>
      </c>
      <c r="I1458" s="2">
        <v>17</v>
      </c>
      <c r="J1458" s="2" t="s">
        <v>202</v>
      </c>
      <c r="K1458" s="2" t="s">
        <v>203</v>
      </c>
      <c r="L1458" s="2" t="s">
        <v>204</v>
      </c>
      <c r="M1458" s="2" t="s">
        <v>75</v>
      </c>
      <c r="N1458" s="2" t="s">
        <v>37</v>
      </c>
      <c r="O1458" s="2" t="s">
        <v>208</v>
      </c>
      <c r="P1458" s="2">
        <v>60</v>
      </c>
      <c r="Q1458" s="2" t="s">
        <v>50</v>
      </c>
      <c r="R1458" s="2" t="s">
        <v>51</v>
      </c>
      <c r="S1458" s="2">
        <v>75615</v>
      </c>
      <c r="T1458" s="2">
        <v>35176</v>
      </c>
      <c r="U1458" s="2">
        <v>40439</v>
      </c>
      <c r="V1458" s="2">
        <v>45225</v>
      </c>
      <c r="W1458" s="2">
        <v>17355</v>
      </c>
      <c r="X1458" s="2">
        <v>10445</v>
      </c>
      <c r="Y1458" s="2" t="s">
        <v>41</v>
      </c>
      <c r="Z1458" s="2">
        <v>98</v>
      </c>
      <c r="AA1458" s="2">
        <v>2.7</v>
      </c>
      <c r="AB1458" s="2" t="s">
        <v>64</v>
      </c>
    </row>
    <row r="1459" spans="1:28" x14ac:dyDescent="0.25">
      <c r="A1459" s="4" t="s">
        <v>2228</v>
      </c>
      <c r="B1459" s="4" t="s">
        <v>727</v>
      </c>
      <c r="C1459" s="4">
        <v>79</v>
      </c>
      <c r="D1459" s="4" t="s">
        <v>55</v>
      </c>
      <c r="E1459" s="4" t="s">
        <v>31</v>
      </c>
      <c r="F1459" s="4" t="s">
        <v>32</v>
      </c>
      <c r="G1459" s="5">
        <v>44802</v>
      </c>
      <c r="H1459" s="5">
        <v>44808</v>
      </c>
      <c r="I1459" s="4">
        <v>6</v>
      </c>
      <c r="J1459" s="4" t="s">
        <v>123</v>
      </c>
      <c r="K1459" s="4" t="s">
        <v>124</v>
      </c>
      <c r="L1459" s="4" t="s">
        <v>125</v>
      </c>
      <c r="M1459" s="4" t="s">
        <v>61</v>
      </c>
      <c r="N1459" s="4" t="s">
        <v>118</v>
      </c>
      <c r="O1459" s="4" t="s">
        <v>84</v>
      </c>
      <c r="P1459" s="4">
        <v>21</v>
      </c>
      <c r="Q1459" s="4" t="s">
        <v>103</v>
      </c>
      <c r="R1459" s="4" t="s">
        <v>90</v>
      </c>
      <c r="S1459" s="4">
        <v>102089</v>
      </c>
      <c r="T1459" s="4">
        <v>91285</v>
      </c>
      <c r="U1459" s="4">
        <v>10804</v>
      </c>
      <c r="V1459" s="4">
        <v>80979</v>
      </c>
      <c r="W1459" s="4">
        <v>15760</v>
      </c>
      <c r="X1459" s="4">
        <v>3887</v>
      </c>
      <c r="Y1459" s="4" t="s">
        <v>41</v>
      </c>
      <c r="Z1459" s="4">
        <v>96</v>
      </c>
      <c r="AA1459" s="4">
        <v>4.2</v>
      </c>
      <c r="AB1459" s="4" t="s">
        <v>42</v>
      </c>
    </row>
    <row r="1460" spans="1:28" x14ac:dyDescent="0.25">
      <c r="A1460" s="2" t="s">
        <v>2229</v>
      </c>
      <c r="B1460" s="2" t="s">
        <v>450</v>
      </c>
      <c r="C1460" s="2">
        <v>76</v>
      </c>
      <c r="D1460" s="2" t="s">
        <v>30</v>
      </c>
      <c r="E1460" s="2" t="s">
        <v>79</v>
      </c>
      <c r="F1460" s="2" t="s">
        <v>150</v>
      </c>
      <c r="G1460" s="3">
        <v>45527</v>
      </c>
      <c r="H1460" s="3">
        <v>45551</v>
      </c>
      <c r="I1460" s="2">
        <v>24</v>
      </c>
      <c r="J1460" s="2" t="s">
        <v>33</v>
      </c>
      <c r="K1460" s="2" t="s">
        <v>174</v>
      </c>
      <c r="L1460" s="2" t="s">
        <v>48</v>
      </c>
      <c r="M1460" s="2" t="s">
        <v>130</v>
      </c>
      <c r="N1460" s="2" t="s">
        <v>37</v>
      </c>
      <c r="O1460" s="2" t="s">
        <v>1038</v>
      </c>
      <c r="P1460" s="2">
        <v>207</v>
      </c>
      <c r="Q1460" s="2" t="s">
        <v>103</v>
      </c>
      <c r="R1460" s="2" t="s">
        <v>111</v>
      </c>
      <c r="S1460" s="2">
        <v>113016</v>
      </c>
      <c r="T1460" s="2">
        <v>90601</v>
      </c>
      <c r="U1460" s="2">
        <v>22415</v>
      </c>
      <c r="V1460" s="2">
        <v>97602</v>
      </c>
      <c r="W1460" s="2">
        <v>14179</v>
      </c>
      <c r="X1460" s="2">
        <v>705</v>
      </c>
      <c r="Y1460" s="2" t="s">
        <v>41</v>
      </c>
      <c r="Z1460" s="2">
        <v>85</v>
      </c>
      <c r="AA1460" s="2">
        <v>2.4</v>
      </c>
      <c r="AB1460" s="2" t="s">
        <v>42</v>
      </c>
    </row>
    <row r="1461" spans="1:28" x14ac:dyDescent="0.25">
      <c r="A1461" s="4" t="s">
        <v>2230</v>
      </c>
      <c r="B1461" s="4" t="s">
        <v>250</v>
      </c>
      <c r="C1461" s="4">
        <v>20</v>
      </c>
      <c r="D1461" s="4" t="s">
        <v>55</v>
      </c>
      <c r="E1461" s="4" t="s">
        <v>154</v>
      </c>
      <c r="F1461" s="4" t="s">
        <v>157</v>
      </c>
      <c r="G1461" s="5">
        <v>44997</v>
      </c>
      <c r="H1461" s="5">
        <v>45025</v>
      </c>
      <c r="I1461" s="4">
        <v>28</v>
      </c>
      <c r="J1461" s="4" t="s">
        <v>202</v>
      </c>
      <c r="K1461" s="4" t="s">
        <v>225</v>
      </c>
      <c r="L1461" s="4" t="s">
        <v>226</v>
      </c>
      <c r="M1461" s="4" t="s">
        <v>75</v>
      </c>
      <c r="N1461" s="4" t="s">
        <v>109</v>
      </c>
      <c r="O1461" s="4" t="s">
        <v>681</v>
      </c>
      <c r="P1461" s="4">
        <v>405</v>
      </c>
      <c r="Q1461" s="4" t="s">
        <v>50</v>
      </c>
      <c r="R1461" s="4" t="s">
        <v>111</v>
      </c>
      <c r="S1461" s="4">
        <v>62067</v>
      </c>
      <c r="T1461" s="4">
        <v>48388</v>
      </c>
      <c r="U1461" s="4">
        <v>13679</v>
      </c>
      <c r="V1461" s="4">
        <v>40039</v>
      </c>
      <c r="W1461" s="4">
        <v>14980</v>
      </c>
      <c r="X1461" s="4">
        <v>4783</v>
      </c>
      <c r="Y1461" s="4" t="s">
        <v>41</v>
      </c>
      <c r="Z1461" s="4">
        <v>40</v>
      </c>
      <c r="AA1461" s="4">
        <v>4.7</v>
      </c>
      <c r="AB1461" s="4" t="s">
        <v>52</v>
      </c>
    </row>
    <row r="1462" spans="1:28" x14ac:dyDescent="0.25">
      <c r="A1462" s="2" t="s">
        <v>2231</v>
      </c>
      <c r="B1462" s="2" t="s">
        <v>1346</v>
      </c>
      <c r="C1462" s="2">
        <v>60</v>
      </c>
      <c r="D1462" s="2" t="s">
        <v>55</v>
      </c>
      <c r="E1462" s="2" t="s">
        <v>122</v>
      </c>
      <c r="F1462" s="2" t="s">
        <v>114</v>
      </c>
      <c r="G1462" s="3">
        <v>45383</v>
      </c>
      <c r="H1462" s="3">
        <v>45405</v>
      </c>
      <c r="I1462" s="2">
        <v>22</v>
      </c>
      <c r="J1462" s="2" t="s">
        <v>115</v>
      </c>
      <c r="K1462" s="2" t="s">
        <v>116</v>
      </c>
      <c r="L1462" s="2" t="s">
        <v>117</v>
      </c>
      <c r="M1462" s="2" t="s">
        <v>134</v>
      </c>
      <c r="N1462" s="2" t="s">
        <v>118</v>
      </c>
      <c r="O1462" s="2" t="s">
        <v>365</v>
      </c>
      <c r="P1462" s="2">
        <v>94</v>
      </c>
      <c r="Q1462" s="2" t="s">
        <v>39</v>
      </c>
      <c r="R1462" s="2" t="s">
        <v>136</v>
      </c>
      <c r="S1462" s="2">
        <v>92944</v>
      </c>
      <c r="T1462" s="2">
        <v>0</v>
      </c>
      <c r="U1462" s="2">
        <v>92944</v>
      </c>
      <c r="V1462" s="2">
        <v>74369</v>
      </c>
      <c r="W1462" s="2">
        <v>7736</v>
      </c>
      <c r="X1462" s="2">
        <v>6071</v>
      </c>
      <c r="Y1462" s="2" t="s">
        <v>41</v>
      </c>
      <c r="Z1462" s="2">
        <v>57</v>
      </c>
      <c r="AA1462" s="2">
        <v>3.7</v>
      </c>
      <c r="AB1462" s="2" t="s">
        <v>42</v>
      </c>
    </row>
    <row r="1463" spans="1:28" x14ac:dyDescent="0.25">
      <c r="A1463" s="4" t="s">
        <v>2232</v>
      </c>
      <c r="B1463" s="4" t="s">
        <v>357</v>
      </c>
      <c r="C1463" s="4">
        <v>71</v>
      </c>
      <c r="D1463" s="4" t="s">
        <v>30</v>
      </c>
      <c r="E1463" s="4" t="s">
        <v>67</v>
      </c>
      <c r="F1463" s="4" t="s">
        <v>80</v>
      </c>
      <c r="G1463" s="5">
        <v>44762</v>
      </c>
      <c r="H1463" s="5">
        <v>44767</v>
      </c>
      <c r="I1463" s="4">
        <v>5</v>
      </c>
      <c r="J1463" s="4" t="s">
        <v>140</v>
      </c>
      <c r="K1463" s="4" t="s">
        <v>167</v>
      </c>
      <c r="L1463" s="4" t="s">
        <v>142</v>
      </c>
      <c r="M1463" s="4" t="s">
        <v>36</v>
      </c>
      <c r="N1463" s="4" t="s">
        <v>62</v>
      </c>
      <c r="O1463" s="4" t="s">
        <v>164</v>
      </c>
      <c r="P1463" s="4">
        <v>240</v>
      </c>
      <c r="Q1463" s="4" t="s">
        <v>69</v>
      </c>
      <c r="R1463" s="4" t="s">
        <v>111</v>
      </c>
      <c r="S1463" s="4">
        <v>33038</v>
      </c>
      <c r="T1463" s="4">
        <v>27646</v>
      </c>
      <c r="U1463" s="4">
        <v>5392</v>
      </c>
      <c r="V1463" s="4">
        <v>9974</v>
      </c>
      <c r="W1463" s="4">
        <v>11057</v>
      </c>
      <c r="X1463" s="4">
        <v>9660</v>
      </c>
      <c r="Y1463" s="4" t="s">
        <v>41</v>
      </c>
      <c r="Z1463" s="4">
        <v>100</v>
      </c>
      <c r="AA1463" s="4">
        <v>3.6</v>
      </c>
      <c r="AB1463" s="4" t="s">
        <v>104</v>
      </c>
    </row>
    <row r="1464" spans="1:28" x14ac:dyDescent="0.25">
      <c r="A1464" s="2" t="s">
        <v>2233</v>
      </c>
      <c r="B1464" s="2" t="s">
        <v>2234</v>
      </c>
      <c r="C1464" s="2">
        <v>48</v>
      </c>
      <c r="D1464" s="2" t="s">
        <v>30</v>
      </c>
      <c r="E1464" s="2" t="s">
        <v>45</v>
      </c>
      <c r="F1464" s="2" t="s">
        <v>94</v>
      </c>
      <c r="G1464" s="3">
        <v>45324</v>
      </c>
      <c r="H1464" s="3">
        <v>45343</v>
      </c>
      <c r="I1464" s="2">
        <v>19</v>
      </c>
      <c r="J1464" s="2" t="s">
        <v>140</v>
      </c>
      <c r="K1464" s="2" t="s">
        <v>167</v>
      </c>
      <c r="L1464" s="2" t="s">
        <v>142</v>
      </c>
      <c r="M1464" s="2" t="s">
        <v>36</v>
      </c>
      <c r="N1464" s="2" t="s">
        <v>109</v>
      </c>
      <c r="O1464" s="2" t="s">
        <v>234</v>
      </c>
      <c r="P1464" s="2">
        <v>387</v>
      </c>
      <c r="Q1464" s="2" t="s">
        <v>39</v>
      </c>
      <c r="R1464" s="2" t="s">
        <v>90</v>
      </c>
      <c r="S1464" s="2">
        <v>104017</v>
      </c>
      <c r="T1464" s="2">
        <v>68446</v>
      </c>
      <c r="U1464" s="2">
        <v>35571</v>
      </c>
      <c r="V1464" s="2">
        <v>59676</v>
      </c>
      <c r="W1464" s="2">
        <v>26004</v>
      </c>
      <c r="X1464" s="2">
        <v>14478</v>
      </c>
      <c r="Y1464" s="2" t="s">
        <v>41</v>
      </c>
      <c r="Z1464" s="2">
        <v>61</v>
      </c>
      <c r="AA1464" s="2">
        <v>3.7</v>
      </c>
      <c r="AB1464" s="2" t="s">
        <v>64</v>
      </c>
    </row>
    <row r="1465" spans="1:28" x14ac:dyDescent="0.25">
      <c r="A1465" s="4" t="s">
        <v>2235</v>
      </c>
      <c r="B1465" s="4" t="s">
        <v>1246</v>
      </c>
      <c r="C1465" s="4">
        <v>64</v>
      </c>
      <c r="D1465" s="4" t="s">
        <v>30</v>
      </c>
      <c r="E1465" s="4" t="s">
        <v>87</v>
      </c>
      <c r="F1465" s="4" t="s">
        <v>150</v>
      </c>
      <c r="G1465" s="5">
        <v>45561</v>
      </c>
      <c r="H1465" s="5">
        <v>45573</v>
      </c>
      <c r="I1465" s="4">
        <v>12</v>
      </c>
      <c r="J1465" s="4" t="s">
        <v>33</v>
      </c>
      <c r="K1465" s="4" t="s">
        <v>278</v>
      </c>
      <c r="L1465" s="4" t="s">
        <v>279</v>
      </c>
      <c r="M1465" s="4" t="s">
        <v>95</v>
      </c>
      <c r="N1465" s="4" t="s">
        <v>37</v>
      </c>
      <c r="O1465" s="4" t="s">
        <v>199</v>
      </c>
      <c r="P1465" s="4">
        <v>427</v>
      </c>
      <c r="Q1465" s="4" t="s">
        <v>50</v>
      </c>
      <c r="R1465" s="4" t="s">
        <v>90</v>
      </c>
      <c r="S1465" s="4">
        <v>153048</v>
      </c>
      <c r="T1465" s="4">
        <v>118681</v>
      </c>
      <c r="U1465" s="4">
        <v>34367</v>
      </c>
      <c r="V1465" s="4">
        <v>132277</v>
      </c>
      <c r="W1465" s="4">
        <v>9416</v>
      </c>
      <c r="X1465" s="4">
        <v>10258</v>
      </c>
      <c r="Y1465" s="4" t="s">
        <v>41</v>
      </c>
      <c r="Z1465" s="4">
        <v>92</v>
      </c>
      <c r="AA1465" s="4">
        <v>5</v>
      </c>
      <c r="AB1465" s="4" t="s">
        <v>104</v>
      </c>
    </row>
    <row r="1466" spans="1:28" x14ac:dyDescent="0.25">
      <c r="A1466" s="2" t="s">
        <v>2236</v>
      </c>
      <c r="B1466" s="2" t="s">
        <v>173</v>
      </c>
      <c r="C1466" s="2">
        <v>43</v>
      </c>
      <c r="D1466" s="2" t="s">
        <v>55</v>
      </c>
      <c r="E1466" s="2" t="s">
        <v>67</v>
      </c>
      <c r="F1466" s="2" t="s">
        <v>150</v>
      </c>
      <c r="G1466" s="3">
        <v>44828</v>
      </c>
      <c r="H1466" s="3">
        <v>44835</v>
      </c>
      <c r="I1466" s="2">
        <v>7</v>
      </c>
      <c r="J1466" s="2" t="s">
        <v>115</v>
      </c>
      <c r="K1466" s="2" t="s">
        <v>160</v>
      </c>
      <c r="L1466" s="2" t="s">
        <v>117</v>
      </c>
      <c r="M1466" s="2" t="s">
        <v>101</v>
      </c>
      <c r="N1466" s="2" t="s">
        <v>62</v>
      </c>
      <c r="O1466" s="2" t="s">
        <v>352</v>
      </c>
      <c r="P1466" s="2">
        <v>59</v>
      </c>
      <c r="Q1466" s="2" t="s">
        <v>50</v>
      </c>
      <c r="R1466" s="2" t="s">
        <v>90</v>
      </c>
      <c r="S1466" s="2">
        <v>20670</v>
      </c>
      <c r="T1466" s="2">
        <v>13791</v>
      </c>
      <c r="U1466" s="2">
        <v>6879</v>
      </c>
      <c r="V1466" s="2">
        <v>13692</v>
      </c>
      <c r="W1466" s="2">
        <v>4079</v>
      </c>
      <c r="X1466" s="2">
        <v>1728</v>
      </c>
      <c r="Y1466" s="2" t="s">
        <v>91</v>
      </c>
      <c r="Z1466" s="2">
        <v>59</v>
      </c>
      <c r="AA1466" s="2">
        <v>3.6</v>
      </c>
      <c r="AB1466" s="2" t="s">
        <v>104</v>
      </c>
    </row>
    <row r="1467" spans="1:28" x14ac:dyDescent="0.25">
      <c r="A1467" s="4" t="s">
        <v>2237</v>
      </c>
      <c r="B1467" s="4" t="s">
        <v>2222</v>
      </c>
      <c r="C1467" s="4">
        <v>28</v>
      </c>
      <c r="D1467" s="4" t="s">
        <v>55</v>
      </c>
      <c r="E1467" s="4" t="s">
        <v>67</v>
      </c>
      <c r="F1467" s="4" t="s">
        <v>46</v>
      </c>
      <c r="G1467" s="5">
        <v>45584</v>
      </c>
      <c r="H1467" s="5">
        <v>45604</v>
      </c>
      <c r="I1467" s="4">
        <v>20</v>
      </c>
      <c r="J1467" s="4" t="s">
        <v>123</v>
      </c>
      <c r="K1467" s="4" t="s">
        <v>124</v>
      </c>
      <c r="L1467" s="4" t="s">
        <v>125</v>
      </c>
      <c r="M1467" s="4" t="s">
        <v>134</v>
      </c>
      <c r="N1467" s="4" t="s">
        <v>62</v>
      </c>
      <c r="O1467" s="4" t="s">
        <v>76</v>
      </c>
      <c r="P1467" s="4">
        <v>443</v>
      </c>
      <c r="Q1467" s="4" t="s">
        <v>103</v>
      </c>
      <c r="R1467" s="4" t="s">
        <v>90</v>
      </c>
      <c r="S1467" s="4">
        <v>148728</v>
      </c>
      <c r="T1467" s="4">
        <v>126070</v>
      </c>
      <c r="U1467" s="4">
        <v>22658</v>
      </c>
      <c r="V1467" s="4">
        <v>105787</v>
      </c>
      <c r="W1467" s="4">
        <v>26471</v>
      </c>
      <c r="X1467" s="4">
        <v>13922</v>
      </c>
      <c r="Y1467" s="4" t="s">
        <v>41</v>
      </c>
      <c r="Z1467" s="4">
        <v>41</v>
      </c>
      <c r="AA1467" s="4">
        <v>2.9</v>
      </c>
      <c r="AB1467" s="4" t="s">
        <v>42</v>
      </c>
    </row>
    <row r="1468" spans="1:28" x14ac:dyDescent="0.25">
      <c r="A1468" s="2" t="s">
        <v>2238</v>
      </c>
      <c r="B1468" s="2" t="s">
        <v>1037</v>
      </c>
      <c r="C1468" s="2">
        <v>48</v>
      </c>
      <c r="D1468" s="2" t="s">
        <v>30</v>
      </c>
      <c r="E1468" s="2" t="s">
        <v>31</v>
      </c>
      <c r="F1468" s="2" t="s">
        <v>94</v>
      </c>
      <c r="G1468" s="3">
        <v>44616</v>
      </c>
      <c r="H1468" s="3">
        <v>44629</v>
      </c>
      <c r="I1468" s="2">
        <v>13</v>
      </c>
      <c r="J1468" s="2" t="s">
        <v>33</v>
      </c>
      <c r="K1468" s="2" t="s">
        <v>107</v>
      </c>
      <c r="L1468" s="2" t="s">
        <v>48</v>
      </c>
      <c r="M1468" s="2" t="s">
        <v>101</v>
      </c>
      <c r="N1468" s="2" t="s">
        <v>37</v>
      </c>
      <c r="O1468" s="2" t="s">
        <v>256</v>
      </c>
      <c r="P1468" s="2">
        <v>199</v>
      </c>
      <c r="Q1468" s="2" t="s">
        <v>103</v>
      </c>
      <c r="R1468" s="2" t="s">
        <v>40</v>
      </c>
      <c r="S1468" s="2">
        <v>50021</v>
      </c>
      <c r="T1468" s="2">
        <v>21782</v>
      </c>
      <c r="U1468" s="2">
        <v>28239</v>
      </c>
      <c r="V1468" s="2">
        <v>14586</v>
      </c>
      <c r="W1468" s="2">
        <v>20137</v>
      </c>
      <c r="X1468" s="2">
        <v>11568</v>
      </c>
      <c r="Y1468" s="2" t="s">
        <v>41</v>
      </c>
      <c r="Z1468" s="2">
        <v>88</v>
      </c>
      <c r="AA1468" s="2">
        <v>2.6</v>
      </c>
      <c r="AB1468" s="2" t="s">
        <v>64</v>
      </c>
    </row>
    <row r="1469" spans="1:28" x14ac:dyDescent="0.25">
      <c r="A1469" s="4" t="s">
        <v>2239</v>
      </c>
      <c r="B1469" s="4" t="s">
        <v>625</v>
      </c>
      <c r="C1469" s="4">
        <v>33</v>
      </c>
      <c r="D1469" s="4" t="s">
        <v>55</v>
      </c>
      <c r="E1469" s="4" t="s">
        <v>122</v>
      </c>
      <c r="F1469" s="4" t="s">
        <v>80</v>
      </c>
      <c r="G1469" s="5">
        <v>45604</v>
      </c>
      <c r="H1469" s="5">
        <v>45630</v>
      </c>
      <c r="I1469" s="4">
        <v>26</v>
      </c>
      <c r="J1469" s="4" t="s">
        <v>115</v>
      </c>
      <c r="K1469" s="4" t="s">
        <v>116</v>
      </c>
      <c r="L1469" s="4" t="s">
        <v>117</v>
      </c>
      <c r="M1469" s="4" t="s">
        <v>101</v>
      </c>
      <c r="N1469" s="4" t="s">
        <v>37</v>
      </c>
      <c r="O1469" s="4" t="s">
        <v>181</v>
      </c>
      <c r="P1469" s="4">
        <v>467</v>
      </c>
      <c r="Q1469" s="4" t="s">
        <v>50</v>
      </c>
      <c r="R1469" s="4" t="s">
        <v>51</v>
      </c>
      <c r="S1469" s="4">
        <v>147201</v>
      </c>
      <c r="T1469" s="4">
        <v>74863</v>
      </c>
      <c r="U1469" s="4">
        <v>72338</v>
      </c>
      <c r="V1469" s="4">
        <v>127938</v>
      </c>
      <c r="W1469" s="4">
        <v>4393</v>
      </c>
      <c r="X1469" s="4">
        <v>11388</v>
      </c>
      <c r="Y1469" s="4" t="s">
        <v>41</v>
      </c>
      <c r="Z1469" s="4">
        <v>79</v>
      </c>
      <c r="AA1469" s="4">
        <v>2.6</v>
      </c>
      <c r="AB1469" s="4" t="s">
        <v>137</v>
      </c>
    </row>
    <row r="1470" spans="1:28" x14ac:dyDescent="0.25">
      <c r="A1470" s="2" t="s">
        <v>2240</v>
      </c>
      <c r="B1470" s="2" t="s">
        <v>420</v>
      </c>
      <c r="C1470" s="2">
        <v>20</v>
      </c>
      <c r="D1470" s="2" t="s">
        <v>55</v>
      </c>
      <c r="E1470" s="2" t="s">
        <v>45</v>
      </c>
      <c r="F1470" s="2" t="s">
        <v>46</v>
      </c>
      <c r="G1470" s="3">
        <v>44758</v>
      </c>
      <c r="H1470" s="3">
        <v>44785</v>
      </c>
      <c r="I1470" s="2">
        <v>27</v>
      </c>
      <c r="J1470" s="2" t="s">
        <v>33</v>
      </c>
      <c r="K1470" s="2" t="s">
        <v>107</v>
      </c>
      <c r="L1470" s="2" t="s">
        <v>48</v>
      </c>
      <c r="M1470" s="2" t="s">
        <v>61</v>
      </c>
      <c r="N1470" s="2" t="s">
        <v>109</v>
      </c>
      <c r="O1470" s="2" t="s">
        <v>368</v>
      </c>
      <c r="P1470" s="2">
        <v>419</v>
      </c>
      <c r="Q1470" s="2" t="s">
        <v>103</v>
      </c>
      <c r="R1470" s="2" t="s">
        <v>51</v>
      </c>
      <c r="S1470" s="2">
        <v>122248</v>
      </c>
      <c r="T1470" s="2">
        <v>80714</v>
      </c>
      <c r="U1470" s="2">
        <v>41534</v>
      </c>
      <c r="V1470" s="2">
        <v>94215</v>
      </c>
      <c r="W1470" s="2">
        <v>14313</v>
      </c>
      <c r="X1470" s="2">
        <v>8829</v>
      </c>
      <c r="Y1470" s="2" t="s">
        <v>41</v>
      </c>
      <c r="Z1470" s="2">
        <v>66</v>
      </c>
      <c r="AA1470" s="2">
        <v>4.3</v>
      </c>
      <c r="AB1470" s="2" t="s">
        <v>104</v>
      </c>
    </row>
    <row r="1471" spans="1:28" x14ac:dyDescent="0.25">
      <c r="A1471" s="4" t="s">
        <v>2241</v>
      </c>
      <c r="B1471" s="4" t="s">
        <v>221</v>
      </c>
      <c r="C1471" s="4">
        <v>48</v>
      </c>
      <c r="D1471" s="4" t="s">
        <v>30</v>
      </c>
      <c r="E1471" s="4" t="s">
        <v>31</v>
      </c>
      <c r="F1471" s="4" t="s">
        <v>80</v>
      </c>
      <c r="G1471" s="5">
        <v>45587</v>
      </c>
      <c r="H1471" s="5">
        <v>45600</v>
      </c>
      <c r="I1471" s="4">
        <v>13</v>
      </c>
      <c r="J1471" s="4" t="s">
        <v>33</v>
      </c>
      <c r="K1471" s="4" t="s">
        <v>174</v>
      </c>
      <c r="L1471" s="4" t="s">
        <v>48</v>
      </c>
      <c r="M1471" s="4" t="s">
        <v>134</v>
      </c>
      <c r="N1471" s="4" t="s">
        <v>109</v>
      </c>
      <c r="O1471" s="4" t="s">
        <v>126</v>
      </c>
      <c r="P1471" s="4">
        <v>141</v>
      </c>
      <c r="Q1471" s="4" t="s">
        <v>50</v>
      </c>
      <c r="R1471" s="4" t="s">
        <v>111</v>
      </c>
      <c r="S1471" s="4">
        <v>33810</v>
      </c>
      <c r="T1471" s="4">
        <v>21811</v>
      </c>
      <c r="U1471" s="4">
        <v>11999</v>
      </c>
      <c r="V1471" s="4">
        <v>18385</v>
      </c>
      <c r="W1471" s="4">
        <v>6512</v>
      </c>
      <c r="X1471" s="4">
        <v>6769</v>
      </c>
      <c r="Y1471" s="4" t="s">
        <v>41</v>
      </c>
      <c r="Z1471" s="4">
        <v>71</v>
      </c>
      <c r="AA1471" s="4">
        <v>4</v>
      </c>
      <c r="AB1471" s="4" t="s">
        <v>52</v>
      </c>
    </row>
    <row r="1472" spans="1:28" x14ac:dyDescent="0.25">
      <c r="A1472" s="2" t="s">
        <v>2242</v>
      </c>
      <c r="B1472" s="2" t="s">
        <v>2243</v>
      </c>
      <c r="C1472" s="2">
        <v>38</v>
      </c>
      <c r="D1472" s="2" t="s">
        <v>30</v>
      </c>
      <c r="E1472" s="2" t="s">
        <v>87</v>
      </c>
      <c r="F1472" s="2" t="s">
        <v>114</v>
      </c>
      <c r="G1472" s="3">
        <v>45350</v>
      </c>
      <c r="H1472" s="3">
        <v>45370</v>
      </c>
      <c r="I1472" s="2">
        <v>20</v>
      </c>
      <c r="J1472" s="2" t="s">
        <v>140</v>
      </c>
      <c r="K1472" s="2" t="s">
        <v>167</v>
      </c>
      <c r="L1472" s="2" t="s">
        <v>142</v>
      </c>
      <c r="M1472" s="2" t="s">
        <v>134</v>
      </c>
      <c r="N1472" s="2" t="s">
        <v>37</v>
      </c>
      <c r="O1472" s="2" t="s">
        <v>49</v>
      </c>
      <c r="P1472" s="2">
        <v>182</v>
      </c>
      <c r="Q1472" s="2" t="s">
        <v>39</v>
      </c>
      <c r="R1472" s="2" t="s">
        <v>136</v>
      </c>
      <c r="S1472" s="2">
        <v>148270</v>
      </c>
      <c r="T1472" s="2">
        <v>0</v>
      </c>
      <c r="U1472" s="2">
        <v>148270</v>
      </c>
      <c r="V1472" s="2">
        <v>121222</v>
      </c>
      <c r="W1472" s="2">
        <v>9281</v>
      </c>
      <c r="X1472" s="2">
        <v>14648</v>
      </c>
      <c r="Y1472" s="2" t="s">
        <v>41</v>
      </c>
      <c r="Z1472" s="2">
        <v>85</v>
      </c>
      <c r="AA1472" s="2">
        <v>3.9</v>
      </c>
      <c r="AB1472" s="2" t="s">
        <v>52</v>
      </c>
    </row>
    <row r="1473" spans="1:28" x14ac:dyDescent="0.25">
      <c r="A1473" s="4" t="s">
        <v>2244</v>
      </c>
      <c r="B1473" s="4" t="s">
        <v>1269</v>
      </c>
      <c r="C1473" s="4">
        <v>35</v>
      </c>
      <c r="D1473" s="4" t="s">
        <v>30</v>
      </c>
      <c r="E1473" s="4" t="s">
        <v>87</v>
      </c>
      <c r="F1473" s="4" t="s">
        <v>129</v>
      </c>
      <c r="G1473" s="5">
        <v>44573</v>
      </c>
      <c r="H1473" s="5">
        <v>44591</v>
      </c>
      <c r="I1473" s="4">
        <v>18</v>
      </c>
      <c r="J1473" s="4" t="s">
        <v>140</v>
      </c>
      <c r="K1473" s="4" t="s">
        <v>167</v>
      </c>
      <c r="L1473" s="4" t="s">
        <v>142</v>
      </c>
      <c r="M1473" s="4" t="s">
        <v>101</v>
      </c>
      <c r="N1473" s="4" t="s">
        <v>37</v>
      </c>
      <c r="O1473" s="4" t="s">
        <v>248</v>
      </c>
      <c r="P1473" s="4">
        <v>329</v>
      </c>
      <c r="Q1473" s="4" t="s">
        <v>50</v>
      </c>
      <c r="R1473" s="4" t="s">
        <v>136</v>
      </c>
      <c r="S1473" s="4">
        <v>31926</v>
      </c>
      <c r="T1473" s="4">
        <v>0</v>
      </c>
      <c r="U1473" s="4">
        <v>31926</v>
      </c>
      <c r="V1473" s="4">
        <v>12074</v>
      </c>
      <c r="W1473" s="4">
        <v>8766</v>
      </c>
      <c r="X1473" s="4">
        <v>7724</v>
      </c>
      <c r="Y1473" s="4" t="s">
        <v>41</v>
      </c>
      <c r="Z1473" s="4">
        <v>95</v>
      </c>
      <c r="AA1473" s="4">
        <v>4.8</v>
      </c>
      <c r="AB1473" s="4" t="s">
        <v>137</v>
      </c>
    </row>
    <row r="1474" spans="1:28" x14ac:dyDescent="0.25">
      <c r="A1474" s="2" t="s">
        <v>2245</v>
      </c>
      <c r="B1474" s="2" t="s">
        <v>2246</v>
      </c>
      <c r="C1474" s="2">
        <v>52</v>
      </c>
      <c r="D1474" s="2" t="s">
        <v>55</v>
      </c>
      <c r="E1474" s="2" t="s">
        <v>31</v>
      </c>
      <c r="F1474" s="2" t="s">
        <v>32</v>
      </c>
      <c r="G1474" s="3">
        <v>45654</v>
      </c>
      <c r="H1474" s="3">
        <v>45657</v>
      </c>
      <c r="I1474" s="2">
        <v>3</v>
      </c>
      <c r="J1474" s="2" t="s">
        <v>115</v>
      </c>
      <c r="K1474" s="2" t="s">
        <v>116</v>
      </c>
      <c r="L1474" s="2" t="s">
        <v>117</v>
      </c>
      <c r="M1474" s="2" t="s">
        <v>61</v>
      </c>
      <c r="N1474" s="2" t="s">
        <v>109</v>
      </c>
      <c r="O1474" s="2" t="s">
        <v>520</v>
      </c>
      <c r="P1474" s="2">
        <v>127</v>
      </c>
      <c r="Q1474" s="2" t="s">
        <v>103</v>
      </c>
      <c r="R1474" s="2" t="s">
        <v>51</v>
      </c>
      <c r="S1474" s="2">
        <v>132909</v>
      </c>
      <c r="T1474" s="2">
        <v>54874</v>
      </c>
      <c r="U1474" s="2">
        <v>78035</v>
      </c>
      <c r="V1474" s="2">
        <v>104555</v>
      </c>
      <c r="W1474" s="2">
        <v>10926</v>
      </c>
      <c r="X1474" s="2">
        <v>12629</v>
      </c>
      <c r="Y1474" s="2" t="s">
        <v>41</v>
      </c>
      <c r="Z1474" s="2">
        <v>91</v>
      </c>
      <c r="AA1474" s="2">
        <v>4.3</v>
      </c>
      <c r="AB1474" s="2" t="s">
        <v>137</v>
      </c>
    </row>
    <row r="1475" spans="1:28" x14ac:dyDescent="0.25">
      <c r="A1475" s="4" t="s">
        <v>2247</v>
      </c>
      <c r="B1475" s="4" t="s">
        <v>1064</v>
      </c>
      <c r="C1475" s="4">
        <v>31</v>
      </c>
      <c r="D1475" s="4" t="s">
        <v>55</v>
      </c>
      <c r="E1475" s="4" t="s">
        <v>79</v>
      </c>
      <c r="F1475" s="4" t="s">
        <v>157</v>
      </c>
      <c r="G1475" s="5">
        <v>45282</v>
      </c>
      <c r="H1475" s="5">
        <v>45283</v>
      </c>
      <c r="I1475" s="4">
        <v>1</v>
      </c>
      <c r="J1475" s="4" t="s">
        <v>115</v>
      </c>
      <c r="K1475" s="4" t="s">
        <v>116</v>
      </c>
      <c r="L1475" s="4" t="s">
        <v>117</v>
      </c>
      <c r="M1475" s="4" t="s">
        <v>143</v>
      </c>
      <c r="N1475" s="4" t="s">
        <v>118</v>
      </c>
      <c r="O1475" s="4" t="s">
        <v>300</v>
      </c>
      <c r="P1475" s="4">
        <v>53</v>
      </c>
      <c r="Q1475" s="4" t="s">
        <v>69</v>
      </c>
      <c r="R1475" s="4" t="s">
        <v>40</v>
      </c>
      <c r="S1475" s="4">
        <v>136029</v>
      </c>
      <c r="T1475" s="4">
        <v>89889</v>
      </c>
      <c r="U1475" s="4">
        <v>46140</v>
      </c>
      <c r="V1475" s="4">
        <v>111852</v>
      </c>
      <c r="W1475" s="4">
        <v>12828</v>
      </c>
      <c r="X1475" s="4">
        <v>8962</v>
      </c>
      <c r="Y1475" s="4" t="s">
        <v>41</v>
      </c>
      <c r="Z1475" s="4">
        <v>77</v>
      </c>
      <c r="AA1475" s="4">
        <v>3.3</v>
      </c>
      <c r="AB1475" s="4" t="s">
        <v>64</v>
      </c>
    </row>
    <row r="1476" spans="1:28" x14ac:dyDescent="0.25">
      <c r="A1476" s="2" t="s">
        <v>2248</v>
      </c>
      <c r="B1476" s="2" t="s">
        <v>1117</v>
      </c>
      <c r="C1476" s="2">
        <v>55</v>
      </c>
      <c r="D1476" s="2" t="s">
        <v>30</v>
      </c>
      <c r="E1476" s="2" t="s">
        <v>79</v>
      </c>
      <c r="F1476" s="2" t="s">
        <v>114</v>
      </c>
      <c r="G1476" s="3">
        <v>45107</v>
      </c>
      <c r="H1476" s="3">
        <v>45130</v>
      </c>
      <c r="I1476" s="2">
        <v>23</v>
      </c>
      <c r="J1476" s="2" t="s">
        <v>115</v>
      </c>
      <c r="K1476" s="2" t="s">
        <v>116</v>
      </c>
      <c r="L1476" s="2" t="s">
        <v>117</v>
      </c>
      <c r="M1476" s="2" t="s">
        <v>130</v>
      </c>
      <c r="N1476" s="2" t="s">
        <v>109</v>
      </c>
      <c r="O1476" s="2" t="s">
        <v>678</v>
      </c>
      <c r="P1476" s="2">
        <v>463</v>
      </c>
      <c r="Q1476" s="2" t="s">
        <v>103</v>
      </c>
      <c r="R1476" s="2" t="s">
        <v>40</v>
      </c>
      <c r="S1476" s="2">
        <v>144637</v>
      </c>
      <c r="T1476" s="2">
        <v>83657</v>
      </c>
      <c r="U1476" s="2">
        <v>60980</v>
      </c>
      <c r="V1476" s="2">
        <v>129397</v>
      </c>
      <c r="W1476" s="2">
        <v>9665</v>
      </c>
      <c r="X1476" s="2">
        <v>2326</v>
      </c>
      <c r="Y1476" s="2" t="s">
        <v>41</v>
      </c>
      <c r="Z1476" s="2">
        <v>85</v>
      </c>
      <c r="AA1476" s="2">
        <v>4.9000000000000004</v>
      </c>
      <c r="AB1476" s="2" t="s">
        <v>42</v>
      </c>
    </row>
    <row r="1477" spans="1:28" x14ac:dyDescent="0.25">
      <c r="A1477" s="4" t="s">
        <v>2249</v>
      </c>
      <c r="B1477" s="4" t="s">
        <v>890</v>
      </c>
      <c r="C1477" s="4">
        <v>11</v>
      </c>
      <c r="D1477" s="4" t="s">
        <v>55</v>
      </c>
      <c r="E1477" s="4" t="s">
        <v>122</v>
      </c>
      <c r="F1477" s="4" t="s">
        <v>129</v>
      </c>
      <c r="G1477" s="5">
        <v>45563</v>
      </c>
      <c r="H1477" s="5">
        <v>45577</v>
      </c>
      <c r="I1477" s="4">
        <v>14</v>
      </c>
      <c r="J1477" s="4" t="s">
        <v>33</v>
      </c>
      <c r="K1477" s="4" t="s">
        <v>197</v>
      </c>
      <c r="L1477" s="4" t="s">
        <v>198</v>
      </c>
      <c r="M1477" s="4" t="s">
        <v>75</v>
      </c>
      <c r="N1477" s="4" t="s">
        <v>62</v>
      </c>
      <c r="O1477" s="4" t="s">
        <v>950</v>
      </c>
      <c r="P1477" s="4">
        <v>59</v>
      </c>
      <c r="Q1477" s="4" t="s">
        <v>103</v>
      </c>
      <c r="R1477" s="4" t="s">
        <v>136</v>
      </c>
      <c r="S1477" s="4">
        <v>164798</v>
      </c>
      <c r="T1477" s="4">
        <v>0</v>
      </c>
      <c r="U1477" s="4">
        <v>164798</v>
      </c>
      <c r="V1477" s="4">
        <v>140724</v>
      </c>
      <c r="W1477" s="4">
        <v>9597</v>
      </c>
      <c r="X1477" s="4">
        <v>10197</v>
      </c>
      <c r="Y1477" s="4" t="s">
        <v>41</v>
      </c>
      <c r="Z1477" s="4">
        <v>80</v>
      </c>
      <c r="AA1477" s="4">
        <v>3.4</v>
      </c>
      <c r="AB1477" s="4" t="s">
        <v>42</v>
      </c>
    </row>
    <row r="1478" spans="1:28" x14ac:dyDescent="0.25">
      <c r="A1478" s="2" t="s">
        <v>2250</v>
      </c>
      <c r="B1478" s="2" t="s">
        <v>2251</v>
      </c>
      <c r="C1478" s="2">
        <v>7</v>
      </c>
      <c r="D1478" s="2" t="s">
        <v>30</v>
      </c>
      <c r="E1478" s="2" t="s">
        <v>56</v>
      </c>
      <c r="F1478" s="2" t="s">
        <v>46</v>
      </c>
      <c r="G1478" s="3">
        <v>45077</v>
      </c>
      <c r="H1478" s="3">
        <v>45084</v>
      </c>
      <c r="I1478" s="2">
        <v>7</v>
      </c>
      <c r="J1478" s="2" t="s">
        <v>33</v>
      </c>
      <c r="K1478" s="2" t="s">
        <v>47</v>
      </c>
      <c r="L1478" s="2" t="s">
        <v>48</v>
      </c>
      <c r="M1478" s="2" t="s">
        <v>95</v>
      </c>
      <c r="N1478" s="2" t="s">
        <v>118</v>
      </c>
      <c r="O1478" s="2" t="s">
        <v>681</v>
      </c>
      <c r="P1478" s="2">
        <v>303</v>
      </c>
      <c r="Q1478" s="2" t="s">
        <v>39</v>
      </c>
      <c r="R1478" s="2" t="s">
        <v>136</v>
      </c>
      <c r="S1478" s="2">
        <v>46641</v>
      </c>
      <c r="T1478" s="2">
        <v>0</v>
      </c>
      <c r="U1478" s="2">
        <v>46641</v>
      </c>
      <c r="V1478" s="2">
        <v>11010</v>
      </c>
      <c r="W1478" s="2">
        <v>27494</v>
      </c>
      <c r="X1478" s="2">
        <v>6135</v>
      </c>
      <c r="Y1478" s="2" t="s">
        <v>41</v>
      </c>
      <c r="Z1478" s="2">
        <v>51</v>
      </c>
      <c r="AA1478" s="2">
        <v>4.3</v>
      </c>
      <c r="AB1478" s="2" t="s">
        <v>104</v>
      </c>
    </row>
    <row r="1479" spans="1:28" x14ac:dyDescent="0.25">
      <c r="A1479" s="4" t="s">
        <v>2252</v>
      </c>
      <c r="B1479" s="4" t="s">
        <v>573</v>
      </c>
      <c r="C1479" s="4">
        <v>72</v>
      </c>
      <c r="D1479" s="4" t="s">
        <v>30</v>
      </c>
      <c r="E1479" s="4" t="s">
        <v>45</v>
      </c>
      <c r="F1479" s="4" t="s">
        <v>114</v>
      </c>
      <c r="G1479" s="5">
        <v>45525</v>
      </c>
      <c r="H1479" s="5">
        <v>45527</v>
      </c>
      <c r="I1479" s="4">
        <v>2</v>
      </c>
      <c r="J1479" s="4" t="s">
        <v>33</v>
      </c>
      <c r="K1479" s="4" t="s">
        <v>174</v>
      </c>
      <c r="L1479" s="4" t="s">
        <v>48</v>
      </c>
      <c r="M1479" s="4" t="s">
        <v>75</v>
      </c>
      <c r="N1479" s="4" t="s">
        <v>62</v>
      </c>
      <c r="O1479" s="4" t="s">
        <v>530</v>
      </c>
      <c r="P1479" s="4">
        <v>94</v>
      </c>
      <c r="Q1479" s="4" t="s">
        <v>39</v>
      </c>
      <c r="R1479" s="4" t="s">
        <v>111</v>
      </c>
      <c r="S1479" s="4">
        <v>64610</v>
      </c>
      <c r="T1479" s="4">
        <v>41235</v>
      </c>
      <c r="U1479" s="4">
        <v>23375</v>
      </c>
      <c r="V1479" s="4">
        <v>29865</v>
      </c>
      <c r="W1479" s="4">
        <v>29268</v>
      </c>
      <c r="X1479" s="4">
        <v>4078</v>
      </c>
      <c r="Y1479" s="4" t="s">
        <v>41</v>
      </c>
      <c r="Z1479" s="4">
        <v>56</v>
      </c>
      <c r="AA1479" s="4">
        <v>3.1</v>
      </c>
      <c r="AB1479" s="4" t="s">
        <v>42</v>
      </c>
    </row>
    <row r="1480" spans="1:28" x14ac:dyDescent="0.25">
      <c r="A1480" s="2" t="s">
        <v>2253</v>
      </c>
      <c r="B1480" s="2" t="s">
        <v>758</v>
      </c>
      <c r="C1480" s="2">
        <v>18</v>
      </c>
      <c r="D1480" s="2" t="s">
        <v>55</v>
      </c>
      <c r="E1480" s="2" t="s">
        <v>31</v>
      </c>
      <c r="F1480" s="2" t="s">
        <v>150</v>
      </c>
      <c r="G1480" s="3">
        <v>45404</v>
      </c>
      <c r="H1480" s="3">
        <v>45434</v>
      </c>
      <c r="I1480" s="2">
        <v>30</v>
      </c>
      <c r="J1480" s="2" t="s">
        <v>202</v>
      </c>
      <c r="K1480" s="2" t="s">
        <v>225</v>
      </c>
      <c r="L1480" s="2" t="s">
        <v>226</v>
      </c>
      <c r="M1480" s="2" t="s">
        <v>130</v>
      </c>
      <c r="N1480" s="2" t="s">
        <v>118</v>
      </c>
      <c r="O1480" s="2" t="s">
        <v>214</v>
      </c>
      <c r="P1480" s="2">
        <v>251</v>
      </c>
      <c r="Q1480" s="2" t="s">
        <v>69</v>
      </c>
      <c r="R1480" s="2" t="s">
        <v>90</v>
      </c>
      <c r="S1480" s="2">
        <v>154197</v>
      </c>
      <c r="T1480" s="2">
        <v>98028</v>
      </c>
      <c r="U1480" s="2">
        <v>56169</v>
      </c>
      <c r="V1480" s="2">
        <v>111027</v>
      </c>
      <c r="W1480" s="2">
        <v>28689</v>
      </c>
      <c r="X1480" s="2">
        <v>11005</v>
      </c>
      <c r="Y1480" s="2" t="s">
        <v>91</v>
      </c>
      <c r="Z1480" s="2">
        <v>67</v>
      </c>
      <c r="AA1480" s="2">
        <v>2.8</v>
      </c>
      <c r="AB1480" s="2" t="s">
        <v>137</v>
      </c>
    </row>
    <row r="1481" spans="1:28" x14ac:dyDescent="0.25">
      <c r="A1481" s="4" t="s">
        <v>2254</v>
      </c>
      <c r="B1481" s="4" t="s">
        <v>2065</v>
      </c>
      <c r="C1481" s="4">
        <v>72</v>
      </c>
      <c r="D1481" s="4" t="s">
        <v>55</v>
      </c>
      <c r="E1481" s="4" t="s">
        <v>79</v>
      </c>
      <c r="F1481" s="4" t="s">
        <v>150</v>
      </c>
      <c r="G1481" s="5">
        <v>45649</v>
      </c>
      <c r="H1481" s="5">
        <v>45657</v>
      </c>
      <c r="I1481" s="4">
        <v>8</v>
      </c>
      <c r="J1481" s="4" t="s">
        <v>140</v>
      </c>
      <c r="K1481" s="4" t="s">
        <v>167</v>
      </c>
      <c r="L1481" s="4" t="s">
        <v>142</v>
      </c>
      <c r="M1481" s="4" t="s">
        <v>61</v>
      </c>
      <c r="N1481" s="4" t="s">
        <v>62</v>
      </c>
      <c r="O1481" s="4" t="s">
        <v>168</v>
      </c>
      <c r="P1481" s="4">
        <v>265</v>
      </c>
      <c r="Q1481" s="4" t="s">
        <v>50</v>
      </c>
      <c r="R1481" s="4" t="s">
        <v>111</v>
      </c>
      <c r="S1481" s="4">
        <v>93917</v>
      </c>
      <c r="T1481" s="4">
        <v>74944</v>
      </c>
      <c r="U1481" s="4">
        <v>18973</v>
      </c>
      <c r="V1481" s="4">
        <v>60854</v>
      </c>
      <c r="W1481" s="4">
        <v>15183</v>
      </c>
      <c r="X1481" s="4">
        <v>14689</v>
      </c>
      <c r="Y1481" s="4" t="s">
        <v>41</v>
      </c>
      <c r="Z1481" s="4">
        <v>40</v>
      </c>
      <c r="AA1481" s="4">
        <v>4.5999999999999996</v>
      </c>
      <c r="AB1481" s="4" t="s">
        <v>52</v>
      </c>
    </row>
    <row r="1482" spans="1:28" x14ac:dyDescent="0.25">
      <c r="A1482" s="2" t="s">
        <v>2255</v>
      </c>
      <c r="B1482" s="2" t="s">
        <v>180</v>
      </c>
      <c r="C1482" s="2">
        <v>66</v>
      </c>
      <c r="D1482" s="2" t="s">
        <v>55</v>
      </c>
      <c r="E1482" s="2" t="s">
        <v>122</v>
      </c>
      <c r="F1482" s="2" t="s">
        <v>72</v>
      </c>
      <c r="G1482" s="3">
        <v>44582</v>
      </c>
      <c r="H1482" s="3">
        <v>44589</v>
      </c>
      <c r="I1482" s="2">
        <v>7</v>
      </c>
      <c r="J1482" s="2" t="s">
        <v>33</v>
      </c>
      <c r="K1482" s="2" t="s">
        <v>34</v>
      </c>
      <c r="L1482" s="2" t="s">
        <v>35</v>
      </c>
      <c r="M1482" s="2" t="s">
        <v>75</v>
      </c>
      <c r="N1482" s="2" t="s">
        <v>109</v>
      </c>
      <c r="O1482" s="2" t="s">
        <v>63</v>
      </c>
      <c r="P1482" s="2">
        <v>126</v>
      </c>
      <c r="Q1482" s="2" t="s">
        <v>69</v>
      </c>
      <c r="R1482" s="2" t="s">
        <v>111</v>
      </c>
      <c r="S1482" s="2">
        <v>171652</v>
      </c>
      <c r="T1482" s="2">
        <v>141413</v>
      </c>
      <c r="U1482" s="2">
        <v>30239</v>
      </c>
      <c r="V1482" s="2">
        <v>134092</v>
      </c>
      <c r="W1482" s="2">
        <v>25386</v>
      </c>
      <c r="X1482" s="2">
        <v>9007</v>
      </c>
      <c r="Y1482" s="2" t="s">
        <v>41</v>
      </c>
      <c r="Z1482" s="2">
        <v>57</v>
      </c>
      <c r="AA1482" s="2">
        <v>4.8</v>
      </c>
      <c r="AB1482" s="2" t="s">
        <v>52</v>
      </c>
    </row>
    <row r="1483" spans="1:28" x14ac:dyDescent="0.25">
      <c r="A1483" s="4" t="s">
        <v>2256</v>
      </c>
      <c r="B1483" s="4" t="s">
        <v>1009</v>
      </c>
      <c r="C1483" s="4">
        <v>75</v>
      </c>
      <c r="D1483" s="4" t="s">
        <v>30</v>
      </c>
      <c r="E1483" s="4" t="s">
        <v>31</v>
      </c>
      <c r="F1483" s="4" t="s">
        <v>57</v>
      </c>
      <c r="G1483" s="5">
        <v>44971</v>
      </c>
      <c r="H1483" s="5">
        <v>44977</v>
      </c>
      <c r="I1483" s="4">
        <v>6</v>
      </c>
      <c r="J1483" s="4" t="s">
        <v>33</v>
      </c>
      <c r="K1483" s="4" t="s">
        <v>197</v>
      </c>
      <c r="L1483" s="4" t="s">
        <v>198</v>
      </c>
      <c r="M1483" s="4" t="s">
        <v>95</v>
      </c>
      <c r="N1483" s="4" t="s">
        <v>37</v>
      </c>
      <c r="O1483" s="4" t="s">
        <v>300</v>
      </c>
      <c r="P1483" s="4">
        <v>80</v>
      </c>
      <c r="Q1483" s="4" t="s">
        <v>103</v>
      </c>
      <c r="R1483" s="4" t="s">
        <v>51</v>
      </c>
      <c r="S1483" s="4">
        <v>40385</v>
      </c>
      <c r="T1483" s="4">
        <v>18080</v>
      </c>
      <c r="U1483" s="4">
        <v>22305</v>
      </c>
      <c r="V1483" s="4">
        <v>19178</v>
      </c>
      <c r="W1483" s="4">
        <v>5069</v>
      </c>
      <c r="X1483" s="4">
        <v>12676</v>
      </c>
      <c r="Y1483" s="4" t="s">
        <v>41</v>
      </c>
      <c r="Z1483" s="4">
        <v>81</v>
      </c>
      <c r="AA1483" s="4">
        <v>2.1</v>
      </c>
      <c r="AB1483" s="4" t="s">
        <v>64</v>
      </c>
    </row>
    <row r="1484" spans="1:28" x14ac:dyDescent="0.25">
      <c r="A1484" s="2" t="s">
        <v>2257</v>
      </c>
      <c r="B1484" s="2" t="s">
        <v>277</v>
      </c>
      <c r="C1484" s="2">
        <v>84</v>
      </c>
      <c r="D1484" s="2" t="s">
        <v>30</v>
      </c>
      <c r="E1484" s="2" t="s">
        <v>67</v>
      </c>
      <c r="F1484" s="2" t="s">
        <v>32</v>
      </c>
      <c r="G1484" s="3">
        <v>45010</v>
      </c>
      <c r="H1484" s="3">
        <v>45011</v>
      </c>
      <c r="I1484" s="2">
        <v>1</v>
      </c>
      <c r="J1484" s="2" t="s">
        <v>33</v>
      </c>
      <c r="K1484" s="2" t="s">
        <v>233</v>
      </c>
      <c r="L1484" s="2" t="s">
        <v>35</v>
      </c>
      <c r="M1484" s="2" t="s">
        <v>61</v>
      </c>
      <c r="N1484" s="2" t="s">
        <v>118</v>
      </c>
      <c r="O1484" s="2" t="s">
        <v>390</v>
      </c>
      <c r="P1484" s="2">
        <v>136</v>
      </c>
      <c r="Q1484" s="2" t="s">
        <v>69</v>
      </c>
      <c r="R1484" s="2" t="s">
        <v>40</v>
      </c>
      <c r="S1484" s="2">
        <v>39863</v>
      </c>
      <c r="T1484" s="2">
        <v>25551</v>
      </c>
      <c r="U1484" s="2">
        <v>14312</v>
      </c>
      <c r="V1484" s="2">
        <v>12694</v>
      </c>
      <c r="W1484" s="2">
        <v>15423</v>
      </c>
      <c r="X1484" s="2">
        <v>10285</v>
      </c>
      <c r="Y1484" s="2" t="s">
        <v>41</v>
      </c>
      <c r="Z1484" s="2">
        <v>90</v>
      </c>
      <c r="AA1484" s="2">
        <v>4.5</v>
      </c>
      <c r="AB1484" s="2" t="s">
        <v>64</v>
      </c>
    </row>
    <row r="1485" spans="1:28" x14ac:dyDescent="0.25">
      <c r="A1485" s="4" t="s">
        <v>2258</v>
      </c>
      <c r="B1485" s="4" t="s">
        <v>900</v>
      </c>
      <c r="C1485" s="4">
        <v>31</v>
      </c>
      <c r="D1485" s="4" t="s">
        <v>55</v>
      </c>
      <c r="E1485" s="4" t="s">
        <v>122</v>
      </c>
      <c r="F1485" s="4" t="s">
        <v>157</v>
      </c>
      <c r="G1485" s="5">
        <v>44860</v>
      </c>
      <c r="H1485" s="5">
        <v>44888</v>
      </c>
      <c r="I1485" s="4">
        <v>28</v>
      </c>
      <c r="J1485" s="4" t="s">
        <v>33</v>
      </c>
      <c r="K1485" s="4" t="s">
        <v>233</v>
      </c>
      <c r="L1485" s="4" t="s">
        <v>35</v>
      </c>
      <c r="M1485" s="4" t="s">
        <v>61</v>
      </c>
      <c r="N1485" s="4" t="s">
        <v>62</v>
      </c>
      <c r="O1485" s="4" t="s">
        <v>673</v>
      </c>
      <c r="P1485" s="4">
        <v>3</v>
      </c>
      <c r="Q1485" s="4" t="s">
        <v>69</v>
      </c>
      <c r="R1485" s="4" t="s">
        <v>136</v>
      </c>
      <c r="S1485" s="4">
        <v>52768</v>
      </c>
      <c r="T1485" s="4">
        <v>0</v>
      </c>
      <c r="U1485" s="4">
        <v>52768</v>
      </c>
      <c r="V1485" s="4">
        <v>38560</v>
      </c>
      <c r="W1485" s="4">
        <v>7569</v>
      </c>
      <c r="X1485" s="4">
        <v>1784</v>
      </c>
      <c r="Y1485" s="4" t="s">
        <v>91</v>
      </c>
      <c r="Z1485" s="4">
        <v>42</v>
      </c>
      <c r="AA1485" s="4">
        <v>4.3</v>
      </c>
      <c r="AB1485" s="4" t="s">
        <v>137</v>
      </c>
    </row>
    <row r="1486" spans="1:28" x14ac:dyDescent="0.25">
      <c r="A1486" s="2" t="s">
        <v>2259</v>
      </c>
      <c r="B1486" s="2" t="s">
        <v>221</v>
      </c>
      <c r="C1486" s="2">
        <v>21</v>
      </c>
      <c r="D1486" s="2" t="s">
        <v>55</v>
      </c>
      <c r="E1486" s="2" t="s">
        <v>79</v>
      </c>
      <c r="F1486" s="2" t="s">
        <v>94</v>
      </c>
      <c r="G1486" s="3">
        <v>44816</v>
      </c>
      <c r="H1486" s="3">
        <v>44842</v>
      </c>
      <c r="I1486" s="2">
        <v>26</v>
      </c>
      <c r="J1486" s="2" t="s">
        <v>33</v>
      </c>
      <c r="K1486" s="2" t="s">
        <v>197</v>
      </c>
      <c r="L1486" s="2" t="s">
        <v>198</v>
      </c>
      <c r="M1486" s="2" t="s">
        <v>61</v>
      </c>
      <c r="N1486" s="2" t="s">
        <v>62</v>
      </c>
      <c r="O1486" s="2" t="s">
        <v>461</v>
      </c>
      <c r="P1486" s="2">
        <v>272</v>
      </c>
      <c r="Q1486" s="2" t="s">
        <v>50</v>
      </c>
      <c r="R1486" s="2" t="s">
        <v>111</v>
      </c>
      <c r="S1486" s="2">
        <v>90447</v>
      </c>
      <c r="T1486" s="2">
        <v>74795</v>
      </c>
      <c r="U1486" s="2">
        <v>15652</v>
      </c>
      <c r="V1486" s="2">
        <v>62020</v>
      </c>
      <c r="W1486" s="2">
        <v>17915</v>
      </c>
      <c r="X1486" s="2">
        <v>6380</v>
      </c>
      <c r="Y1486" s="2" t="s">
        <v>41</v>
      </c>
      <c r="Z1486" s="2">
        <v>68</v>
      </c>
      <c r="AA1486" s="2">
        <v>4.7</v>
      </c>
      <c r="AB1486" s="2" t="s">
        <v>42</v>
      </c>
    </row>
    <row r="1487" spans="1:28" x14ac:dyDescent="0.25">
      <c r="A1487" s="4" t="s">
        <v>2260</v>
      </c>
      <c r="B1487" s="4" t="s">
        <v>1191</v>
      </c>
      <c r="C1487" s="4">
        <v>24</v>
      </c>
      <c r="D1487" s="4" t="s">
        <v>30</v>
      </c>
      <c r="E1487" s="4" t="s">
        <v>45</v>
      </c>
      <c r="F1487" s="4" t="s">
        <v>80</v>
      </c>
      <c r="G1487" s="5">
        <v>45046</v>
      </c>
      <c r="H1487" s="5">
        <v>45063</v>
      </c>
      <c r="I1487" s="4">
        <v>17</v>
      </c>
      <c r="J1487" s="4" t="s">
        <v>33</v>
      </c>
      <c r="K1487" s="4" t="s">
        <v>34</v>
      </c>
      <c r="L1487" s="4" t="s">
        <v>35</v>
      </c>
      <c r="M1487" s="4" t="s">
        <v>36</v>
      </c>
      <c r="N1487" s="4" t="s">
        <v>109</v>
      </c>
      <c r="O1487" s="4" t="s">
        <v>591</v>
      </c>
      <c r="P1487" s="4">
        <v>441</v>
      </c>
      <c r="Q1487" s="4" t="s">
        <v>39</v>
      </c>
      <c r="R1487" s="4" t="s">
        <v>51</v>
      </c>
      <c r="S1487" s="4">
        <v>63077</v>
      </c>
      <c r="T1487" s="4">
        <v>36336</v>
      </c>
      <c r="U1487" s="4">
        <v>26741</v>
      </c>
      <c r="V1487" s="4">
        <v>41197</v>
      </c>
      <c r="W1487" s="4">
        <v>15306</v>
      </c>
      <c r="X1487" s="4">
        <v>4997</v>
      </c>
      <c r="Y1487" s="4" t="s">
        <v>41</v>
      </c>
      <c r="Z1487" s="4">
        <v>46</v>
      </c>
      <c r="AA1487" s="4">
        <v>3.5</v>
      </c>
      <c r="AB1487" s="4" t="s">
        <v>64</v>
      </c>
    </row>
    <row r="1488" spans="1:28" x14ac:dyDescent="0.25">
      <c r="A1488" s="2" t="s">
        <v>2261</v>
      </c>
      <c r="B1488" s="2" t="s">
        <v>1155</v>
      </c>
      <c r="C1488" s="2">
        <v>51</v>
      </c>
      <c r="D1488" s="2" t="s">
        <v>30</v>
      </c>
      <c r="E1488" s="2" t="s">
        <v>67</v>
      </c>
      <c r="F1488" s="2" t="s">
        <v>94</v>
      </c>
      <c r="G1488" s="3">
        <v>45639</v>
      </c>
      <c r="H1488" s="3">
        <v>45657</v>
      </c>
      <c r="I1488" s="2">
        <v>18</v>
      </c>
      <c r="J1488" s="2" t="s">
        <v>202</v>
      </c>
      <c r="K1488" s="2" t="s">
        <v>203</v>
      </c>
      <c r="L1488" s="2" t="s">
        <v>204</v>
      </c>
      <c r="M1488" s="2" t="s">
        <v>95</v>
      </c>
      <c r="N1488" s="2" t="s">
        <v>62</v>
      </c>
      <c r="O1488" s="2" t="s">
        <v>151</v>
      </c>
      <c r="P1488" s="2">
        <v>480</v>
      </c>
      <c r="Q1488" s="2" t="s">
        <v>69</v>
      </c>
      <c r="R1488" s="2" t="s">
        <v>51</v>
      </c>
      <c r="S1488" s="2">
        <v>156392</v>
      </c>
      <c r="T1488" s="2">
        <v>102201</v>
      </c>
      <c r="U1488" s="2">
        <v>54191</v>
      </c>
      <c r="V1488" s="2">
        <v>115945</v>
      </c>
      <c r="W1488" s="2">
        <v>24852</v>
      </c>
      <c r="X1488" s="2">
        <v>12406</v>
      </c>
      <c r="Y1488" s="2" t="s">
        <v>41</v>
      </c>
      <c r="Z1488" s="2">
        <v>72</v>
      </c>
      <c r="AA1488" s="2">
        <v>3.4</v>
      </c>
      <c r="AB1488" s="2" t="s">
        <v>104</v>
      </c>
    </row>
    <row r="1489" spans="1:28" x14ac:dyDescent="0.25">
      <c r="A1489" s="4" t="s">
        <v>2262</v>
      </c>
      <c r="B1489" s="4" t="s">
        <v>128</v>
      </c>
      <c r="C1489" s="4">
        <v>6</v>
      </c>
      <c r="D1489" s="4" t="s">
        <v>30</v>
      </c>
      <c r="E1489" s="4" t="s">
        <v>79</v>
      </c>
      <c r="F1489" s="4" t="s">
        <v>72</v>
      </c>
      <c r="G1489" s="5">
        <v>44797</v>
      </c>
      <c r="H1489" s="5">
        <v>44826</v>
      </c>
      <c r="I1489" s="4">
        <v>29</v>
      </c>
      <c r="J1489" s="4" t="s">
        <v>33</v>
      </c>
      <c r="K1489" s="4" t="s">
        <v>47</v>
      </c>
      <c r="L1489" s="4" t="s">
        <v>48</v>
      </c>
      <c r="M1489" s="4" t="s">
        <v>75</v>
      </c>
      <c r="N1489" s="4" t="s">
        <v>109</v>
      </c>
      <c r="O1489" s="4" t="s">
        <v>471</v>
      </c>
      <c r="P1489" s="4">
        <v>209</v>
      </c>
      <c r="Q1489" s="4" t="s">
        <v>50</v>
      </c>
      <c r="R1489" s="4" t="s">
        <v>90</v>
      </c>
      <c r="S1489" s="4">
        <v>84178</v>
      </c>
      <c r="T1489" s="4">
        <v>74063</v>
      </c>
      <c r="U1489" s="4">
        <v>10115</v>
      </c>
      <c r="V1489" s="4">
        <v>67213</v>
      </c>
      <c r="W1489" s="4">
        <v>11893</v>
      </c>
      <c r="X1489" s="4">
        <v>938</v>
      </c>
      <c r="Y1489" s="4" t="s">
        <v>41</v>
      </c>
      <c r="Z1489" s="4">
        <v>99</v>
      </c>
      <c r="AA1489" s="4">
        <v>3.1</v>
      </c>
      <c r="AB1489" s="4" t="s">
        <v>52</v>
      </c>
    </row>
    <row r="1490" spans="1:28" x14ac:dyDescent="0.25">
      <c r="A1490" s="2" t="s">
        <v>2263</v>
      </c>
      <c r="B1490" s="2" t="s">
        <v>1285</v>
      </c>
      <c r="C1490" s="2">
        <v>52</v>
      </c>
      <c r="D1490" s="2" t="s">
        <v>30</v>
      </c>
      <c r="E1490" s="2" t="s">
        <v>56</v>
      </c>
      <c r="F1490" s="2" t="s">
        <v>57</v>
      </c>
      <c r="G1490" s="3">
        <v>45601</v>
      </c>
      <c r="H1490" s="3">
        <v>45626</v>
      </c>
      <c r="I1490" s="2">
        <v>25</v>
      </c>
      <c r="J1490" s="2" t="s">
        <v>140</v>
      </c>
      <c r="K1490" s="2" t="s">
        <v>141</v>
      </c>
      <c r="L1490" s="2" t="s">
        <v>142</v>
      </c>
      <c r="M1490" s="2" t="s">
        <v>83</v>
      </c>
      <c r="N1490" s="2" t="s">
        <v>37</v>
      </c>
      <c r="O1490" s="2" t="s">
        <v>461</v>
      </c>
      <c r="P1490" s="2">
        <v>229</v>
      </c>
      <c r="Q1490" s="2" t="s">
        <v>103</v>
      </c>
      <c r="R1490" s="2" t="s">
        <v>111</v>
      </c>
      <c r="S1490" s="2">
        <v>152743</v>
      </c>
      <c r="T1490" s="2">
        <v>108597</v>
      </c>
      <c r="U1490" s="2">
        <v>44146</v>
      </c>
      <c r="V1490" s="2">
        <v>134278</v>
      </c>
      <c r="W1490" s="2">
        <v>9896</v>
      </c>
      <c r="X1490" s="2">
        <v>6596</v>
      </c>
      <c r="Y1490" s="2" t="s">
        <v>41</v>
      </c>
      <c r="Z1490" s="2">
        <v>47</v>
      </c>
      <c r="AA1490" s="2">
        <v>2.4</v>
      </c>
      <c r="AB1490" s="2" t="s">
        <v>42</v>
      </c>
    </row>
    <row r="1491" spans="1:28" x14ac:dyDescent="0.25">
      <c r="A1491" s="4" t="s">
        <v>2264</v>
      </c>
      <c r="B1491" s="4" t="s">
        <v>716</v>
      </c>
      <c r="C1491" s="4">
        <v>41</v>
      </c>
      <c r="D1491" s="4" t="s">
        <v>55</v>
      </c>
      <c r="E1491" s="4" t="s">
        <v>87</v>
      </c>
      <c r="F1491" s="4" t="s">
        <v>72</v>
      </c>
      <c r="G1491" s="5">
        <v>45524</v>
      </c>
      <c r="H1491" s="5">
        <v>45544</v>
      </c>
      <c r="I1491" s="4">
        <v>20</v>
      </c>
      <c r="J1491" s="4" t="s">
        <v>33</v>
      </c>
      <c r="K1491" s="4" t="s">
        <v>197</v>
      </c>
      <c r="L1491" s="4" t="s">
        <v>198</v>
      </c>
      <c r="M1491" s="4" t="s">
        <v>83</v>
      </c>
      <c r="N1491" s="4" t="s">
        <v>62</v>
      </c>
      <c r="O1491" s="4" t="s">
        <v>399</v>
      </c>
      <c r="P1491" s="4">
        <v>458</v>
      </c>
      <c r="Q1491" s="4" t="s">
        <v>50</v>
      </c>
      <c r="R1491" s="4" t="s">
        <v>51</v>
      </c>
      <c r="S1491" s="4">
        <v>115616</v>
      </c>
      <c r="T1491" s="4">
        <v>65989</v>
      </c>
      <c r="U1491" s="4">
        <v>49627</v>
      </c>
      <c r="V1491" s="4">
        <v>79503</v>
      </c>
      <c r="W1491" s="4">
        <v>18937</v>
      </c>
      <c r="X1491" s="4">
        <v>14133</v>
      </c>
      <c r="Y1491" s="4" t="s">
        <v>41</v>
      </c>
      <c r="Z1491" s="4">
        <v>69</v>
      </c>
      <c r="AA1491" s="4">
        <v>4.7</v>
      </c>
      <c r="AB1491" s="4" t="s">
        <v>104</v>
      </c>
    </row>
    <row r="1492" spans="1:28" x14ac:dyDescent="0.25">
      <c r="A1492" s="2" t="s">
        <v>2265</v>
      </c>
      <c r="B1492" s="2" t="s">
        <v>1309</v>
      </c>
      <c r="C1492" s="2">
        <v>21</v>
      </c>
      <c r="D1492" s="2" t="s">
        <v>55</v>
      </c>
      <c r="E1492" s="2" t="s">
        <v>45</v>
      </c>
      <c r="F1492" s="2" t="s">
        <v>114</v>
      </c>
      <c r="G1492" s="3">
        <v>45562</v>
      </c>
      <c r="H1492" s="3">
        <v>45566</v>
      </c>
      <c r="I1492" s="2">
        <v>4</v>
      </c>
      <c r="J1492" s="2" t="s">
        <v>140</v>
      </c>
      <c r="K1492" s="2" t="s">
        <v>141</v>
      </c>
      <c r="L1492" s="2" t="s">
        <v>142</v>
      </c>
      <c r="M1492" s="2" t="s">
        <v>95</v>
      </c>
      <c r="N1492" s="2" t="s">
        <v>109</v>
      </c>
      <c r="O1492" s="2" t="s">
        <v>497</v>
      </c>
      <c r="P1492" s="2">
        <v>477</v>
      </c>
      <c r="Q1492" s="2" t="s">
        <v>39</v>
      </c>
      <c r="R1492" s="2" t="s">
        <v>111</v>
      </c>
      <c r="S1492" s="2">
        <v>139090</v>
      </c>
      <c r="T1492" s="2">
        <v>99127</v>
      </c>
      <c r="U1492" s="2">
        <v>39963</v>
      </c>
      <c r="V1492" s="2">
        <v>117964</v>
      </c>
      <c r="W1492" s="2">
        <v>15639</v>
      </c>
      <c r="X1492" s="2">
        <v>4817</v>
      </c>
      <c r="Y1492" s="2" t="s">
        <v>91</v>
      </c>
      <c r="Z1492" s="2">
        <v>49</v>
      </c>
      <c r="AA1492" s="2">
        <v>4.7</v>
      </c>
      <c r="AB1492" s="2" t="s">
        <v>64</v>
      </c>
    </row>
    <row r="1493" spans="1:28" x14ac:dyDescent="0.25">
      <c r="A1493" s="4" t="s">
        <v>2266</v>
      </c>
      <c r="B1493" s="4" t="s">
        <v>488</v>
      </c>
      <c r="C1493" s="4">
        <v>66</v>
      </c>
      <c r="D1493" s="4" t="s">
        <v>30</v>
      </c>
      <c r="E1493" s="4" t="s">
        <v>45</v>
      </c>
      <c r="F1493" s="4" t="s">
        <v>32</v>
      </c>
      <c r="G1493" s="5">
        <v>44690</v>
      </c>
      <c r="H1493" s="5">
        <v>44700</v>
      </c>
      <c r="I1493" s="4">
        <v>10</v>
      </c>
      <c r="J1493" s="4" t="s">
        <v>58</v>
      </c>
      <c r="K1493" s="4" t="s">
        <v>88</v>
      </c>
      <c r="L1493" s="4" t="s">
        <v>60</v>
      </c>
      <c r="M1493" s="4" t="s">
        <v>61</v>
      </c>
      <c r="N1493" s="4" t="s">
        <v>118</v>
      </c>
      <c r="O1493" s="4" t="s">
        <v>178</v>
      </c>
      <c r="P1493" s="4">
        <v>465</v>
      </c>
      <c r="Q1493" s="4" t="s">
        <v>69</v>
      </c>
      <c r="R1493" s="4" t="s">
        <v>90</v>
      </c>
      <c r="S1493" s="4">
        <v>113859</v>
      </c>
      <c r="T1493" s="4">
        <v>87296</v>
      </c>
      <c r="U1493" s="4">
        <v>26563</v>
      </c>
      <c r="V1493" s="4">
        <v>93862</v>
      </c>
      <c r="W1493" s="4">
        <v>10270</v>
      </c>
      <c r="X1493" s="4">
        <v>6472</v>
      </c>
      <c r="Y1493" s="4" t="s">
        <v>41</v>
      </c>
      <c r="Z1493" s="4">
        <v>62</v>
      </c>
      <c r="AA1493" s="4">
        <v>3.1</v>
      </c>
      <c r="AB1493" s="4" t="s">
        <v>52</v>
      </c>
    </row>
    <row r="1494" spans="1:28" x14ac:dyDescent="0.25">
      <c r="A1494" s="2" t="s">
        <v>2267</v>
      </c>
      <c r="B1494" s="2" t="s">
        <v>1060</v>
      </c>
      <c r="C1494" s="2">
        <v>60</v>
      </c>
      <c r="D1494" s="2" t="s">
        <v>55</v>
      </c>
      <c r="E1494" s="2" t="s">
        <v>56</v>
      </c>
      <c r="F1494" s="2" t="s">
        <v>114</v>
      </c>
      <c r="G1494" s="3">
        <v>45001</v>
      </c>
      <c r="H1494" s="3">
        <v>45008</v>
      </c>
      <c r="I1494" s="2">
        <v>7</v>
      </c>
      <c r="J1494" s="2" t="s">
        <v>58</v>
      </c>
      <c r="K1494" s="2" t="s">
        <v>88</v>
      </c>
      <c r="L1494" s="2" t="s">
        <v>60</v>
      </c>
      <c r="M1494" s="2" t="s">
        <v>108</v>
      </c>
      <c r="N1494" s="2" t="s">
        <v>37</v>
      </c>
      <c r="O1494" s="2" t="s">
        <v>214</v>
      </c>
      <c r="P1494" s="2">
        <v>287</v>
      </c>
      <c r="Q1494" s="2" t="s">
        <v>50</v>
      </c>
      <c r="R1494" s="2" t="s">
        <v>90</v>
      </c>
      <c r="S1494" s="2">
        <v>125308</v>
      </c>
      <c r="T1494" s="2">
        <v>76311</v>
      </c>
      <c r="U1494" s="2">
        <v>48997</v>
      </c>
      <c r="V1494" s="2">
        <v>84042</v>
      </c>
      <c r="W1494" s="2">
        <v>27330</v>
      </c>
      <c r="X1494" s="2">
        <v>12686</v>
      </c>
      <c r="Y1494" s="2" t="s">
        <v>41</v>
      </c>
      <c r="Z1494" s="2">
        <v>85</v>
      </c>
      <c r="AA1494" s="2">
        <v>2.2000000000000002</v>
      </c>
      <c r="AB1494" s="2" t="s">
        <v>64</v>
      </c>
    </row>
    <row r="1495" spans="1:28" x14ac:dyDescent="0.25">
      <c r="A1495" s="4" t="s">
        <v>2268</v>
      </c>
      <c r="B1495" s="4" t="s">
        <v>1503</v>
      </c>
      <c r="C1495" s="4">
        <v>16</v>
      </c>
      <c r="D1495" s="4" t="s">
        <v>30</v>
      </c>
      <c r="E1495" s="4" t="s">
        <v>45</v>
      </c>
      <c r="F1495" s="4" t="s">
        <v>150</v>
      </c>
      <c r="G1495" s="5">
        <v>45219</v>
      </c>
      <c r="H1495" s="5">
        <v>45244</v>
      </c>
      <c r="I1495" s="4">
        <v>25</v>
      </c>
      <c r="J1495" s="4" t="s">
        <v>123</v>
      </c>
      <c r="K1495" s="4" t="s">
        <v>124</v>
      </c>
      <c r="L1495" s="4" t="s">
        <v>125</v>
      </c>
      <c r="M1495" s="4" t="s">
        <v>101</v>
      </c>
      <c r="N1495" s="4" t="s">
        <v>37</v>
      </c>
      <c r="O1495" s="4" t="s">
        <v>382</v>
      </c>
      <c r="P1495" s="4">
        <v>115</v>
      </c>
      <c r="Q1495" s="4" t="s">
        <v>103</v>
      </c>
      <c r="R1495" s="4" t="s">
        <v>51</v>
      </c>
      <c r="S1495" s="4">
        <v>123842</v>
      </c>
      <c r="T1495" s="4">
        <v>81872</v>
      </c>
      <c r="U1495" s="4">
        <v>41970</v>
      </c>
      <c r="V1495" s="4">
        <v>105588</v>
      </c>
      <c r="W1495" s="4">
        <v>2514</v>
      </c>
      <c r="X1495" s="4">
        <v>13253</v>
      </c>
      <c r="Y1495" s="4" t="s">
        <v>41</v>
      </c>
      <c r="Z1495" s="4">
        <v>66</v>
      </c>
      <c r="AA1495" s="4">
        <v>2.1</v>
      </c>
      <c r="AB1495" s="4" t="s">
        <v>42</v>
      </c>
    </row>
    <row r="1496" spans="1:28" x14ac:dyDescent="0.25">
      <c r="A1496" s="2" t="s">
        <v>2269</v>
      </c>
      <c r="B1496" s="2" t="s">
        <v>325</v>
      </c>
      <c r="C1496" s="2">
        <v>69</v>
      </c>
      <c r="D1496" s="2" t="s">
        <v>30</v>
      </c>
      <c r="E1496" s="2" t="s">
        <v>122</v>
      </c>
      <c r="F1496" s="2" t="s">
        <v>157</v>
      </c>
      <c r="G1496" s="3">
        <v>44630</v>
      </c>
      <c r="H1496" s="3">
        <v>44642</v>
      </c>
      <c r="I1496" s="2">
        <v>12</v>
      </c>
      <c r="J1496" s="2" t="s">
        <v>58</v>
      </c>
      <c r="K1496" s="2" t="s">
        <v>88</v>
      </c>
      <c r="L1496" s="2" t="s">
        <v>60</v>
      </c>
      <c r="M1496" s="2" t="s">
        <v>61</v>
      </c>
      <c r="N1496" s="2" t="s">
        <v>62</v>
      </c>
      <c r="O1496" s="2" t="s">
        <v>580</v>
      </c>
      <c r="P1496" s="2">
        <v>190</v>
      </c>
      <c r="Q1496" s="2" t="s">
        <v>39</v>
      </c>
      <c r="R1496" s="2" t="s">
        <v>40</v>
      </c>
      <c r="S1496" s="2">
        <v>32743</v>
      </c>
      <c r="T1496" s="2">
        <v>13573</v>
      </c>
      <c r="U1496" s="2">
        <v>19170</v>
      </c>
      <c r="V1496" s="2">
        <v>16458</v>
      </c>
      <c r="W1496" s="2">
        <v>6300</v>
      </c>
      <c r="X1496" s="2">
        <v>7150</v>
      </c>
      <c r="Y1496" s="2" t="s">
        <v>41</v>
      </c>
      <c r="Z1496" s="2">
        <v>52</v>
      </c>
      <c r="AA1496" s="2">
        <v>4.0999999999999996</v>
      </c>
      <c r="AB1496" s="2" t="s">
        <v>64</v>
      </c>
    </row>
    <row r="1497" spans="1:28" x14ac:dyDescent="0.25">
      <c r="A1497" s="4" t="s">
        <v>2270</v>
      </c>
      <c r="B1497" s="4" t="s">
        <v>2271</v>
      </c>
      <c r="C1497" s="4">
        <v>78</v>
      </c>
      <c r="D1497" s="4" t="s">
        <v>30</v>
      </c>
      <c r="E1497" s="4" t="s">
        <v>31</v>
      </c>
      <c r="F1497" s="4" t="s">
        <v>150</v>
      </c>
      <c r="G1497" s="5">
        <v>44649</v>
      </c>
      <c r="H1497" s="5">
        <v>44655</v>
      </c>
      <c r="I1497" s="4">
        <v>6</v>
      </c>
      <c r="J1497" s="4" t="s">
        <v>123</v>
      </c>
      <c r="K1497" s="4" t="s">
        <v>251</v>
      </c>
      <c r="L1497" s="4" t="s">
        <v>125</v>
      </c>
      <c r="M1497" s="4" t="s">
        <v>75</v>
      </c>
      <c r="N1497" s="4" t="s">
        <v>37</v>
      </c>
      <c r="O1497" s="4" t="s">
        <v>217</v>
      </c>
      <c r="P1497" s="4">
        <v>484</v>
      </c>
      <c r="Q1497" s="4" t="s">
        <v>69</v>
      </c>
      <c r="R1497" s="4" t="s">
        <v>51</v>
      </c>
      <c r="S1497" s="4">
        <v>174476</v>
      </c>
      <c r="T1497" s="4">
        <v>85344</v>
      </c>
      <c r="U1497" s="4">
        <v>89132</v>
      </c>
      <c r="V1497" s="4">
        <v>144538</v>
      </c>
      <c r="W1497" s="4">
        <v>21150</v>
      </c>
      <c r="X1497" s="4">
        <v>3961</v>
      </c>
      <c r="Y1497" s="4" t="s">
        <v>41</v>
      </c>
      <c r="Z1497" s="4">
        <v>68</v>
      </c>
      <c r="AA1497" s="4">
        <v>3.6</v>
      </c>
      <c r="AB1497" s="4" t="s">
        <v>137</v>
      </c>
    </row>
    <row r="1498" spans="1:28" x14ac:dyDescent="0.25">
      <c r="A1498" s="2" t="s">
        <v>2272</v>
      </c>
      <c r="B1498" s="2" t="s">
        <v>906</v>
      </c>
      <c r="C1498" s="2">
        <v>60</v>
      </c>
      <c r="D1498" s="2" t="s">
        <v>30</v>
      </c>
      <c r="E1498" s="2" t="s">
        <v>31</v>
      </c>
      <c r="F1498" s="2" t="s">
        <v>46</v>
      </c>
      <c r="G1498" s="3">
        <v>44838</v>
      </c>
      <c r="H1498" s="3">
        <v>44862</v>
      </c>
      <c r="I1498" s="2">
        <v>24</v>
      </c>
      <c r="J1498" s="2" t="s">
        <v>123</v>
      </c>
      <c r="K1498" s="2" t="s">
        <v>251</v>
      </c>
      <c r="L1498" s="2" t="s">
        <v>125</v>
      </c>
      <c r="M1498" s="2" t="s">
        <v>61</v>
      </c>
      <c r="N1498" s="2" t="s">
        <v>118</v>
      </c>
      <c r="O1498" s="2" t="s">
        <v>205</v>
      </c>
      <c r="P1498" s="2">
        <v>96</v>
      </c>
      <c r="Q1498" s="2" t="s">
        <v>50</v>
      </c>
      <c r="R1498" s="2" t="s">
        <v>40</v>
      </c>
      <c r="S1498" s="2">
        <v>136079</v>
      </c>
      <c r="T1498" s="2">
        <v>65784</v>
      </c>
      <c r="U1498" s="2">
        <v>70295</v>
      </c>
      <c r="V1498" s="2">
        <v>111104</v>
      </c>
      <c r="W1498" s="2">
        <v>15252</v>
      </c>
      <c r="X1498" s="2">
        <v>5285</v>
      </c>
      <c r="Y1498" s="2" t="s">
        <v>41</v>
      </c>
      <c r="Z1498" s="2">
        <v>66</v>
      </c>
      <c r="AA1498" s="2">
        <v>2.9</v>
      </c>
      <c r="AB1498" s="2" t="s">
        <v>104</v>
      </c>
    </row>
    <row r="1499" spans="1:28" x14ac:dyDescent="0.25">
      <c r="A1499" s="4" t="s">
        <v>2273</v>
      </c>
      <c r="B1499" s="4" t="s">
        <v>506</v>
      </c>
      <c r="C1499" s="4">
        <v>76</v>
      </c>
      <c r="D1499" s="4" t="s">
        <v>55</v>
      </c>
      <c r="E1499" s="4" t="s">
        <v>154</v>
      </c>
      <c r="F1499" s="4" t="s">
        <v>150</v>
      </c>
      <c r="G1499" s="5">
        <v>45451</v>
      </c>
      <c r="H1499" s="5">
        <v>45465</v>
      </c>
      <c r="I1499" s="4">
        <v>14</v>
      </c>
      <c r="J1499" s="4" t="s">
        <v>73</v>
      </c>
      <c r="K1499" s="4" t="s">
        <v>74</v>
      </c>
      <c r="L1499" s="4" t="s">
        <v>73</v>
      </c>
      <c r="M1499" s="4" t="s">
        <v>101</v>
      </c>
      <c r="N1499" s="4" t="s">
        <v>118</v>
      </c>
      <c r="O1499" s="4" t="s">
        <v>205</v>
      </c>
      <c r="P1499" s="4">
        <v>350</v>
      </c>
      <c r="Q1499" s="4" t="s">
        <v>103</v>
      </c>
      <c r="R1499" s="4" t="s">
        <v>111</v>
      </c>
      <c r="S1499" s="4">
        <v>106558</v>
      </c>
      <c r="T1499" s="4">
        <v>73880</v>
      </c>
      <c r="U1499" s="4">
        <v>32678</v>
      </c>
      <c r="V1499" s="4">
        <v>84259</v>
      </c>
      <c r="W1499" s="4">
        <v>9933</v>
      </c>
      <c r="X1499" s="4">
        <v>10484</v>
      </c>
      <c r="Y1499" s="4" t="s">
        <v>41</v>
      </c>
      <c r="Z1499" s="4">
        <v>82</v>
      </c>
      <c r="AA1499" s="4">
        <v>2.2999999999999998</v>
      </c>
      <c r="AB1499" s="4" t="s">
        <v>52</v>
      </c>
    </row>
    <row r="1500" spans="1:28" x14ac:dyDescent="0.25">
      <c r="A1500" s="2" t="s">
        <v>2274</v>
      </c>
      <c r="B1500" s="2" t="s">
        <v>255</v>
      </c>
      <c r="C1500" s="2">
        <v>32</v>
      </c>
      <c r="D1500" s="2" t="s">
        <v>30</v>
      </c>
      <c r="E1500" s="2" t="s">
        <v>31</v>
      </c>
      <c r="F1500" s="2" t="s">
        <v>157</v>
      </c>
      <c r="G1500" s="3">
        <v>45231</v>
      </c>
      <c r="H1500" s="3">
        <v>45242</v>
      </c>
      <c r="I1500" s="2">
        <v>11</v>
      </c>
      <c r="J1500" s="2" t="s">
        <v>33</v>
      </c>
      <c r="K1500" s="2" t="s">
        <v>81</v>
      </c>
      <c r="L1500" s="2" t="s">
        <v>82</v>
      </c>
      <c r="M1500" s="2" t="s">
        <v>134</v>
      </c>
      <c r="N1500" s="2" t="s">
        <v>109</v>
      </c>
      <c r="O1500" s="2" t="s">
        <v>89</v>
      </c>
      <c r="P1500" s="2">
        <v>143</v>
      </c>
      <c r="Q1500" s="2" t="s">
        <v>69</v>
      </c>
      <c r="R1500" s="2" t="s">
        <v>40</v>
      </c>
      <c r="S1500" s="2">
        <v>145372</v>
      </c>
      <c r="T1500" s="2">
        <v>95083</v>
      </c>
      <c r="U1500" s="2">
        <v>50289</v>
      </c>
      <c r="V1500" s="2">
        <v>104314</v>
      </c>
      <c r="W1500" s="2">
        <v>26960</v>
      </c>
      <c r="X1500" s="2">
        <v>13507</v>
      </c>
      <c r="Y1500" s="2" t="s">
        <v>41</v>
      </c>
      <c r="Z1500" s="2">
        <v>91</v>
      </c>
      <c r="AA1500" s="2">
        <v>3.1</v>
      </c>
      <c r="AB1500" s="2" t="s">
        <v>42</v>
      </c>
    </row>
    <row r="1501" spans="1:28" x14ac:dyDescent="0.25">
      <c r="A1501" s="4" t="s">
        <v>2275</v>
      </c>
      <c r="B1501" s="4" t="s">
        <v>508</v>
      </c>
      <c r="C1501" s="4">
        <v>58</v>
      </c>
      <c r="D1501" s="4" t="s">
        <v>55</v>
      </c>
      <c r="E1501" s="4" t="s">
        <v>56</v>
      </c>
      <c r="F1501" s="4" t="s">
        <v>94</v>
      </c>
      <c r="G1501" s="5">
        <v>44934</v>
      </c>
      <c r="H1501" s="5">
        <v>44961</v>
      </c>
      <c r="I1501" s="4">
        <v>27</v>
      </c>
      <c r="J1501" s="4" t="s">
        <v>140</v>
      </c>
      <c r="K1501" s="4" t="s">
        <v>141</v>
      </c>
      <c r="L1501" s="4" t="s">
        <v>142</v>
      </c>
      <c r="M1501" s="4" t="s">
        <v>143</v>
      </c>
      <c r="N1501" s="4" t="s">
        <v>109</v>
      </c>
      <c r="O1501" s="4" t="s">
        <v>181</v>
      </c>
      <c r="P1501" s="4">
        <v>197</v>
      </c>
      <c r="Q1501" s="4" t="s">
        <v>103</v>
      </c>
      <c r="R1501" s="4" t="s">
        <v>40</v>
      </c>
      <c r="S1501" s="4">
        <v>64950</v>
      </c>
      <c r="T1501" s="4">
        <v>30029</v>
      </c>
      <c r="U1501" s="4">
        <v>34921</v>
      </c>
      <c r="V1501" s="4">
        <v>53690</v>
      </c>
      <c r="W1501" s="4">
        <v>2718</v>
      </c>
      <c r="X1501" s="4">
        <v>4211</v>
      </c>
      <c r="Y1501" s="4" t="s">
        <v>41</v>
      </c>
      <c r="Z1501" s="4">
        <v>75</v>
      </c>
      <c r="AA1501" s="4">
        <v>4.3</v>
      </c>
      <c r="AB1501" s="4" t="s">
        <v>104</v>
      </c>
    </row>
    <row r="1502" spans="1:28" x14ac:dyDescent="0.25">
      <c r="A1502" s="2" t="s">
        <v>2276</v>
      </c>
      <c r="B1502" s="2" t="s">
        <v>1062</v>
      </c>
      <c r="C1502" s="2">
        <v>31</v>
      </c>
      <c r="D1502" s="2" t="s">
        <v>30</v>
      </c>
      <c r="E1502" s="2" t="s">
        <v>87</v>
      </c>
      <c r="F1502" s="2" t="s">
        <v>46</v>
      </c>
      <c r="G1502" s="3">
        <v>45628</v>
      </c>
      <c r="H1502" s="3">
        <v>45639</v>
      </c>
      <c r="I1502" s="2">
        <v>11</v>
      </c>
      <c r="J1502" s="2" t="s">
        <v>33</v>
      </c>
      <c r="K1502" s="2" t="s">
        <v>174</v>
      </c>
      <c r="L1502" s="2" t="s">
        <v>48</v>
      </c>
      <c r="M1502" s="2" t="s">
        <v>61</v>
      </c>
      <c r="N1502" s="2" t="s">
        <v>62</v>
      </c>
      <c r="O1502" s="2" t="s">
        <v>399</v>
      </c>
      <c r="P1502" s="2">
        <v>168</v>
      </c>
      <c r="Q1502" s="2" t="s">
        <v>103</v>
      </c>
      <c r="R1502" s="2" t="s">
        <v>136</v>
      </c>
      <c r="S1502" s="2">
        <v>156095</v>
      </c>
      <c r="T1502" s="2">
        <v>0</v>
      </c>
      <c r="U1502" s="2">
        <v>156095</v>
      </c>
      <c r="V1502" s="2">
        <v>122795</v>
      </c>
      <c r="W1502" s="2">
        <v>22711</v>
      </c>
      <c r="X1502" s="2">
        <v>7043</v>
      </c>
      <c r="Y1502" s="2" t="s">
        <v>41</v>
      </c>
      <c r="Z1502" s="2">
        <v>69</v>
      </c>
      <c r="AA1502" s="2">
        <v>3.5</v>
      </c>
      <c r="AB1502" s="2" t="s">
        <v>42</v>
      </c>
    </row>
    <row r="1503" spans="1:28" x14ac:dyDescent="0.25">
      <c r="A1503" s="4" t="s">
        <v>2277</v>
      </c>
      <c r="B1503" s="4" t="s">
        <v>868</v>
      </c>
      <c r="C1503" s="4">
        <v>11</v>
      </c>
      <c r="D1503" s="4" t="s">
        <v>30</v>
      </c>
      <c r="E1503" s="4" t="s">
        <v>45</v>
      </c>
      <c r="F1503" s="4" t="s">
        <v>157</v>
      </c>
      <c r="G1503" s="5">
        <v>44831</v>
      </c>
      <c r="H1503" s="5">
        <v>44861</v>
      </c>
      <c r="I1503" s="4">
        <v>30</v>
      </c>
      <c r="J1503" s="4" t="s">
        <v>115</v>
      </c>
      <c r="K1503" s="4" t="s">
        <v>116</v>
      </c>
      <c r="L1503" s="4" t="s">
        <v>117</v>
      </c>
      <c r="M1503" s="4" t="s">
        <v>108</v>
      </c>
      <c r="N1503" s="4" t="s">
        <v>118</v>
      </c>
      <c r="O1503" s="4" t="s">
        <v>211</v>
      </c>
      <c r="P1503" s="4">
        <v>136</v>
      </c>
      <c r="Q1503" s="4" t="s">
        <v>39</v>
      </c>
      <c r="R1503" s="4" t="s">
        <v>111</v>
      </c>
      <c r="S1503" s="4">
        <v>79143</v>
      </c>
      <c r="T1503" s="4">
        <v>56215</v>
      </c>
      <c r="U1503" s="4">
        <v>22928</v>
      </c>
      <c r="V1503" s="4">
        <v>63770</v>
      </c>
      <c r="W1503" s="4">
        <v>6426</v>
      </c>
      <c r="X1503" s="4">
        <v>8149</v>
      </c>
      <c r="Y1503" s="4" t="s">
        <v>91</v>
      </c>
      <c r="Z1503" s="4">
        <v>67</v>
      </c>
      <c r="AA1503" s="4">
        <v>3.1</v>
      </c>
      <c r="AB1503" s="4" t="s">
        <v>52</v>
      </c>
    </row>
    <row r="1504" spans="1:28" x14ac:dyDescent="0.25">
      <c r="A1504" s="2" t="s">
        <v>2278</v>
      </c>
      <c r="B1504" s="2" t="s">
        <v>1233</v>
      </c>
      <c r="C1504" s="2">
        <v>27</v>
      </c>
      <c r="D1504" s="2" t="s">
        <v>55</v>
      </c>
      <c r="E1504" s="2" t="s">
        <v>122</v>
      </c>
      <c r="F1504" s="2" t="s">
        <v>46</v>
      </c>
      <c r="G1504" s="3">
        <v>44871</v>
      </c>
      <c r="H1504" s="3">
        <v>44874</v>
      </c>
      <c r="I1504" s="2">
        <v>3</v>
      </c>
      <c r="J1504" s="2" t="s">
        <v>202</v>
      </c>
      <c r="K1504" s="2" t="s">
        <v>225</v>
      </c>
      <c r="L1504" s="2" t="s">
        <v>226</v>
      </c>
      <c r="M1504" s="2" t="s">
        <v>83</v>
      </c>
      <c r="N1504" s="2" t="s">
        <v>118</v>
      </c>
      <c r="O1504" s="2" t="s">
        <v>227</v>
      </c>
      <c r="P1504" s="2">
        <v>444</v>
      </c>
      <c r="Q1504" s="2" t="s">
        <v>50</v>
      </c>
      <c r="R1504" s="2" t="s">
        <v>40</v>
      </c>
      <c r="S1504" s="2">
        <v>34485</v>
      </c>
      <c r="T1504" s="2">
        <v>20328</v>
      </c>
      <c r="U1504" s="2">
        <v>14157</v>
      </c>
      <c r="V1504" s="2">
        <v>18293</v>
      </c>
      <c r="W1504" s="2">
        <v>9177</v>
      </c>
      <c r="X1504" s="2">
        <v>5837</v>
      </c>
      <c r="Y1504" s="2" t="s">
        <v>91</v>
      </c>
      <c r="Z1504" s="2">
        <v>73</v>
      </c>
      <c r="AA1504" s="2">
        <v>3</v>
      </c>
      <c r="AB1504" s="2" t="s">
        <v>104</v>
      </c>
    </row>
    <row r="1505" spans="1:28" x14ac:dyDescent="0.25">
      <c r="A1505" s="4" t="s">
        <v>2279</v>
      </c>
      <c r="B1505" s="4" t="s">
        <v>1220</v>
      </c>
      <c r="C1505" s="4">
        <v>57</v>
      </c>
      <c r="D1505" s="4" t="s">
        <v>30</v>
      </c>
      <c r="E1505" s="4" t="s">
        <v>56</v>
      </c>
      <c r="F1505" s="4" t="s">
        <v>32</v>
      </c>
      <c r="G1505" s="5">
        <v>45020</v>
      </c>
      <c r="H1505" s="5">
        <v>45031</v>
      </c>
      <c r="I1505" s="4">
        <v>11</v>
      </c>
      <c r="J1505" s="4" t="s">
        <v>33</v>
      </c>
      <c r="K1505" s="4" t="s">
        <v>99</v>
      </c>
      <c r="L1505" s="4" t="s">
        <v>100</v>
      </c>
      <c r="M1505" s="4" t="s">
        <v>130</v>
      </c>
      <c r="N1505" s="4" t="s">
        <v>62</v>
      </c>
      <c r="O1505" s="4" t="s">
        <v>543</v>
      </c>
      <c r="P1505" s="4">
        <v>468</v>
      </c>
      <c r="Q1505" s="4" t="s">
        <v>39</v>
      </c>
      <c r="R1505" s="4" t="s">
        <v>40</v>
      </c>
      <c r="S1505" s="4">
        <v>177961</v>
      </c>
      <c r="T1505" s="4">
        <v>93114</v>
      </c>
      <c r="U1505" s="4">
        <v>84847</v>
      </c>
      <c r="V1505" s="4">
        <v>136256</v>
      </c>
      <c r="W1505" s="4">
        <v>29443</v>
      </c>
      <c r="X1505" s="4">
        <v>8295</v>
      </c>
      <c r="Y1505" s="4" t="s">
        <v>41</v>
      </c>
      <c r="Z1505" s="4">
        <v>51</v>
      </c>
      <c r="AA1505" s="4">
        <v>4.5999999999999996</v>
      </c>
      <c r="AB1505" s="4" t="s">
        <v>42</v>
      </c>
    </row>
    <row r="1506" spans="1:28" x14ac:dyDescent="0.25">
      <c r="A1506" s="2" t="s">
        <v>2280</v>
      </c>
      <c r="B1506" s="2" t="s">
        <v>2103</v>
      </c>
      <c r="C1506" s="2">
        <v>40</v>
      </c>
      <c r="D1506" s="2" t="s">
        <v>55</v>
      </c>
      <c r="E1506" s="2" t="s">
        <v>31</v>
      </c>
      <c r="F1506" s="2" t="s">
        <v>32</v>
      </c>
      <c r="G1506" s="3">
        <v>44758</v>
      </c>
      <c r="H1506" s="3">
        <v>44759</v>
      </c>
      <c r="I1506" s="2">
        <v>1</v>
      </c>
      <c r="J1506" s="2" t="s">
        <v>115</v>
      </c>
      <c r="K1506" s="2" t="s">
        <v>116</v>
      </c>
      <c r="L1506" s="2" t="s">
        <v>117</v>
      </c>
      <c r="M1506" s="2" t="s">
        <v>75</v>
      </c>
      <c r="N1506" s="2" t="s">
        <v>62</v>
      </c>
      <c r="O1506" s="2" t="s">
        <v>373</v>
      </c>
      <c r="P1506" s="2">
        <v>20</v>
      </c>
      <c r="Q1506" s="2" t="s">
        <v>50</v>
      </c>
      <c r="R1506" s="2" t="s">
        <v>40</v>
      </c>
      <c r="S1506" s="2">
        <v>65697</v>
      </c>
      <c r="T1506" s="2">
        <v>31546</v>
      </c>
      <c r="U1506" s="2">
        <v>34151</v>
      </c>
      <c r="V1506" s="2">
        <v>38268</v>
      </c>
      <c r="W1506" s="2">
        <v>20763</v>
      </c>
      <c r="X1506" s="2">
        <v>1835</v>
      </c>
      <c r="Y1506" s="2" t="s">
        <v>41</v>
      </c>
      <c r="Z1506" s="2">
        <v>93</v>
      </c>
      <c r="AA1506" s="2">
        <v>4</v>
      </c>
      <c r="AB1506" s="2" t="s">
        <v>52</v>
      </c>
    </row>
    <row r="1507" spans="1:28" x14ac:dyDescent="0.25">
      <c r="A1507" s="4" t="s">
        <v>2281</v>
      </c>
      <c r="B1507" s="4" t="s">
        <v>952</v>
      </c>
      <c r="C1507" s="4">
        <v>51</v>
      </c>
      <c r="D1507" s="4" t="s">
        <v>55</v>
      </c>
      <c r="E1507" s="4" t="s">
        <v>45</v>
      </c>
      <c r="F1507" s="4" t="s">
        <v>129</v>
      </c>
      <c r="G1507" s="5">
        <v>45530</v>
      </c>
      <c r="H1507" s="5">
        <v>45531</v>
      </c>
      <c r="I1507" s="4">
        <v>1</v>
      </c>
      <c r="J1507" s="4" t="s">
        <v>123</v>
      </c>
      <c r="K1507" s="4" t="s">
        <v>124</v>
      </c>
      <c r="L1507" s="4" t="s">
        <v>125</v>
      </c>
      <c r="M1507" s="4" t="s">
        <v>101</v>
      </c>
      <c r="N1507" s="4" t="s">
        <v>37</v>
      </c>
      <c r="O1507" s="4" t="s">
        <v>580</v>
      </c>
      <c r="P1507" s="4">
        <v>411</v>
      </c>
      <c r="Q1507" s="4" t="s">
        <v>50</v>
      </c>
      <c r="R1507" s="4" t="s">
        <v>40</v>
      </c>
      <c r="S1507" s="4">
        <v>121532</v>
      </c>
      <c r="T1507" s="4">
        <v>50244</v>
      </c>
      <c r="U1507" s="4">
        <v>71288</v>
      </c>
      <c r="V1507" s="4">
        <v>87976</v>
      </c>
      <c r="W1507" s="4">
        <v>17508</v>
      </c>
      <c r="X1507" s="4">
        <v>13961</v>
      </c>
      <c r="Y1507" s="4" t="s">
        <v>41</v>
      </c>
      <c r="Z1507" s="4">
        <v>40</v>
      </c>
      <c r="AA1507" s="4">
        <v>3.9</v>
      </c>
      <c r="AB1507" s="4" t="s">
        <v>137</v>
      </c>
    </row>
    <row r="1508" spans="1:28" x14ac:dyDescent="0.25">
      <c r="A1508" s="2" t="s">
        <v>2282</v>
      </c>
      <c r="B1508" s="2" t="s">
        <v>317</v>
      </c>
      <c r="C1508" s="2">
        <v>20</v>
      </c>
      <c r="D1508" s="2" t="s">
        <v>55</v>
      </c>
      <c r="E1508" s="2" t="s">
        <v>122</v>
      </c>
      <c r="F1508" s="2" t="s">
        <v>114</v>
      </c>
      <c r="G1508" s="3">
        <v>44719</v>
      </c>
      <c r="H1508" s="3">
        <v>44720</v>
      </c>
      <c r="I1508" s="2">
        <v>1</v>
      </c>
      <c r="J1508" s="2" t="s">
        <v>33</v>
      </c>
      <c r="K1508" s="2" t="s">
        <v>233</v>
      </c>
      <c r="L1508" s="2" t="s">
        <v>35</v>
      </c>
      <c r="M1508" s="2" t="s">
        <v>143</v>
      </c>
      <c r="N1508" s="2" t="s">
        <v>62</v>
      </c>
      <c r="O1508" s="2" t="s">
        <v>285</v>
      </c>
      <c r="P1508" s="2">
        <v>301</v>
      </c>
      <c r="Q1508" s="2" t="s">
        <v>103</v>
      </c>
      <c r="R1508" s="2" t="s">
        <v>136</v>
      </c>
      <c r="S1508" s="2">
        <v>129299</v>
      </c>
      <c r="T1508" s="2">
        <v>0</v>
      </c>
      <c r="U1508" s="2">
        <v>129299</v>
      </c>
      <c r="V1508" s="2">
        <v>93906</v>
      </c>
      <c r="W1508" s="2">
        <v>27331</v>
      </c>
      <c r="X1508" s="2">
        <v>3795</v>
      </c>
      <c r="Y1508" s="2" t="s">
        <v>91</v>
      </c>
      <c r="Z1508" s="2">
        <v>68</v>
      </c>
      <c r="AA1508" s="2">
        <v>2.7</v>
      </c>
      <c r="AB1508" s="2" t="s">
        <v>64</v>
      </c>
    </row>
    <row r="1509" spans="1:28" x14ac:dyDescent="0.25">
      <c r="A1509" s="4" t="s">
        <v>2283</v>
      </c>
      <c r="B1509" s="4" t="s">
        <v>1314</v>
      </c>
      <c r="C1509" s="4">
        <v>36</v>
      </c>
      <c r="D1509" s="4" t="s">
        <v>55</v>
      </c>
      <c r="E1509" s="4" t="s">
        <v>154</v>
      </c>
      <c r="F1509" s="4" t="s">
        <v>150</v>
      </c>
      <c r="G1509" s="5">
        <v>45139</v>
      </c>
      <c r="H1509" s="5">
        <v>45147</v>
      </c>
      <c r="I1509" s="4">
        <v>8</v>
      </c>
      <c r="J1509" s="4" t="s">
        <v>202</v>
      </c>
      <c r="K1509" s="4" t="s">
        <v>203</v>
      </c>
      <c r="L1509" s="4" t="s">
        <v>204</v>
      </c>
      <c r="M1509" s="4" t="s">
        <v>108</v>
      </c>
      <c r="N1509" s="4" t="s">
        <v>37</v>
      </c>
      <c r="O1509" s="4" t="s">
        <v>390</v>
      </c>
      <c r="P1509" s="4">
        <v>204</v>
      </c>
      <c r="Q1509" s="4" t="s">
        <v>69</v>
      </c>
      <c r="R1509" s="4" t="s">
        <v>40</v>
      </c>
      <c r="S1509" s="4">
        <v>78990</v>
      </c>
      <c r="T1509" s="4">
        <v>53026</v>
      </c>
      <c r="U1509" s="4">
        <v>25964</v>
      </c>
      <c r="V1509" s="4">
        <v>63107</v>
      </c>
      <c r="W1509" s="4">
        <v>7594</v>
      </c>
      <c r="X1509" s="4">
        <v>7081</v>
      </c>
      <c r="Y1509" s="4" t="s">
        <v>41</v>
      </c>
      <c r="Z1509" s="4">
        <v>61</v>
      </c>
      <c r="AA1509" s="4">
        <v>3.5</v>
      </c>
      <c r="AB1509" s="4" t="s">
        <v>137</v>
      </c>
    </row>
    <row r="1510" spans="1:28" x14ac:dyDescent="0.25">
      <c r="A1510" s="2" t="s">
        <v>2284</v>
      </c>
      <c r="B1510" s="2" t="s">
        <v>1888</v>
      </c>
      <c r="C1510" s="2">
        <v>37</v>
      </c>
      <c r="D1510" s="2" t="s">
        <v>30</v>
      </c>
      <c r="E1510" s="2" t="s">
        <v>45</v>
      </c>
      <c r="F1510" s="2" t="s">
        <v>80</v>
      </c>
      <c r="G1510" s="3">
        <v>45254</v>
      </c>
      <c r="H1510" s="3">
        <v>45259</v>
      </c>
      <c r="I1510" s="2">
        <v>5</v>
      </c>
      <c r="J1510" s="2" t="s">
        <v>33</v>
      </c>
      <c r="K1510" s="2" t="s">
        <v>81</v>
      </c>
      <c r="L1510" s="2" t="s">
        <v>82</v>
      </c>
      <c r="M1510" s="2" t="s">
        <v>143</v>
      </c>
      <c r="N1510" s="2" t="s">
        <v>62</v>
      </c>
      <c r="O1510" s="2" t="s">
        <v>126</v>
      </c>
      <c r="P1510" s="2">
        <v>323</v>
      </c>
      <c r="Q1510" s="2" t="s">
        <v>103</v>
      </c>
      <c r="R1510" s="2" t="s">
        <v>90</v>
      </c>
      <c r="S1510" s="2">
        <v>74074</v>
      </c>
      <c r="T1510" s="2">
        <v>46950</v>
      </c>
      <c r="U1510" s="2">
        <v>27124</v>
      </c>
      <c r="V1510" s="2">
        <v>42741</v>
      </c>
      <c r="W1510" s="2">
        <v>15899</v>
      </c>
      <c r="X1510" s="2">
        <v>12362</v>
      </c>
      <c r="Y1510" s="2" t="s">
        <v>91</v>
      </c>
      <c r="Z1510" s="2">
        <v>62</v>
      </c>
      <c r="AA1510" s="2">
        <v>4.7</v>
      </c>
      <c r="AB1510" s="2" t="s">
        <v>137</v>
      </c>
    </row>
    <row r="1511" spans="1:28" x14ac:dyDescent="0.25">
      <c r="A1511" s="4" t="s">
        <v>2285</v>
      </c>
      <c r="B1511" s="4" t="s">
        <v>1238</v>
      </c>
      <c r="C1511" s="4">
        <v>10</v>
      </c>
      <c r="D1511" s="4" t="s">
        <v>30</v>
      </c>
      <c r="E1511" s="4" t="s">
        <v>122</v>
      </c>
      <c r="F1511" s="4" t="s">
        <v>80</v>
      </c>
      <c r="G1511" s="5">
        <v>45508</v>
      </c>
      <c r="H1511" s="5">
        <v>45511</v>
      </c>
      <c r="I1511" s="4">
        <v>3</v>
      </c>
      <c r="J1511" s="4" t="s">
        <v>202</v>
      </c>
      <c r="K1511" s="4" t="s">
        <v>203</v>
      </c>
      <c r="L1511" s="4" t="s">
        <v>204</v>
      </c>
      <c r="M1511" s="4" t="s">
        <v>36</v>
      </c>
      <c r="N1511" s="4" t="s">
        <v>62</v>
      </c>
      <c r="O1511" s="4" t="s">
        <v>448</v>
      </c>
      <c r="P1511" s="4">
        <v>446</v>
      </c>
      <c r="Q1511" s="4" t="s">
        <v>39</v>
      </c>
      <c r="R1511" s="4" t="s">
        <v>40</v>
      </c>
      <c r="S1511" s="4">
        <v>96750</v>
      </c>
      <c r="T1511" s="4">
        <v>55370</v>
      </c>
      <c r="U1511" s="4">
        <v>41380</v>
      </c>
      <c r="V1511" s="4">
        <v>68157</v>
      </c>
      <c r="W1511" s="4">
        <v>12959</v>
      </c>
      <c r="X1511" s="4">
        <v>13597</v>
      </c>
      <c r="Y1511" s="4" t="s">
        <v>41</v>
      </c>
      <c r="Z1511" s="4">
        <v>84</v>
      </c>
      <c r="AA1511" s="4">
        <v>4.8</v>
      </c>
      <c r="AB1511" s="4" t="s">
        <v>104</v>
      </c>
    </row>
    <row r="1512" spans="1:28" x14ac:dyDescent="0.25">
      <c r="A1512" s="2" t="s">
        <v>2286</v>
      </c>
      <c r="B1512" s="2" t="s">
        <v>796</v>
      </c>
      <c r="C1512" s="2">
        <v>39</v>
      </c>
      <c r="D1512" s="2" t="s">
        <v>30</v>
      </c>
      <c r="E1512" s="2" t="s">
        <v>45</v>
      </c>
      <c r="F1512" s="2" t="s">
        <v>157</v>
      </c>
      <c r="G1512" s="3">
        <v>45419</v>
      </c>
      <c r="H1512" s="3">
        <v>45430</v>
      </c>
      <c r="I1512" s="2">
        <v>11</v>
      </c>
      <c r="J1512" s="2" t="s">
        <v>33</v>
      </c>
      <c r="K1512" s="2" t="s">
        <v>174</v>
      </c>
      <c r="L1512" s="2" t="s">
        <v>48</v>
      </c>
      <c r="M1512" s="2" t="s">
        <v>83</v>
      </c>
      <c r="N1512" s="2" t="s">
        <v>118</v>
      </c>
      <c r="O1512" s="2" t="s">
        <v>678</v>
      </c>
      <c r="P1512" s="2">
        <v>441</v>
      </c>
      <c r="Q1512" s="2" t="s">
        <v>69</v>
      </c>
      <c r="R1512" s="2" t="s">
        <v>51</v>
      </c>
      <c r="S1512" s="2">
        <v>72255</v>
      </c>
      <c r="T1512" s="2">
        <v>32731</v>
      </c>
      <c r="U1512" s="2">
        <v>39524</v>
      </c>
      <c r="V1512" s="2">
        <v>64559</v>
      </c>
      <c r="W1512" s="2">
        <v>2050</v>
      </c>
      <c r="X1512" s="2">
        <v>2923</v>
      </c>
      <c r="Y1512" s="2" t="s">
        <v>41</v>
      </c>
      <c r="Z1512" s="2">
        <v>66</v>
      </c>
      <c r="AA1512" s="2">
        <v>4.2</v>
      </c>
      <c r="AB1512" s="2" t="s">
        <v>52</v>
      </c>
    </row>
    <row r="1513" spans="1:28" x14ac:dyDescent="0.25">
      <c r="A1513" s="4" t="s">
        <v>2287</v>
      </c>
      <c r="B1513" s="4" t="s">
        <v>1410</v>
      </c>
      <c r="C1513" s="4">
        <v>19</v>
      </c>
      <c r="D1513" s="4" t="s">
        <v>55</v>
      </c>
      <c r="E1513" s="4" t="s">
        <v>154</v>
      </c>
      <c r="F1513" s="4" t="s">
        <v>57</v>
      </c>
      <c r="G1513" s="5">
        <v>45185</v>
      </c>
      <c r="H1513" s="5">
        <v>45188</v>
      </c>
      <c r="I1513" s="4">
        <v>3</v>
      </c>
      <c r="J1513" s="4" t="s">
        <v>202</v>
      </c>
      <c r="K1513" s="4" t="s">
        <v>203</v>
      </c>
      <c r="L1513" s="4" t="s">
        <v>204</v>
      </c>
      <c r="M1513" s="4" t="s">
        <v>134</v>
      </c>
      <c r="N1513" s="4" t="s">
        <v>62</v>
      </c>
      <c r="O1513" s="4" t="s">
        <v>282</v>
      </c>
      <c r="P1513" s="4">
        <v>26</v>
      </c>
      <c r="Q1513" s="4" t="s">
        <v>39</v>
      </c>
      <c r="R1513" s="4" t="s">
        <v>40</v>
      </c>
      <c r="S1513" s="4">
        <v>110067</v>
      </c>
      <c r="T1513" s="4">
        <v>67914</v>
      </c>
      <c r="U1513" s="4">
        <v>42153</v>
      </c>
      <c r="V1513" s="4">
        <v>79562</v>
      </c>
      <c r="W1513" s="4">
        <v>13823</v>
      </c>
      <c r="X1513" s="4">
        <v>13192</v>
      </c>
      <c r="Y1513" s="4" t="s">
        <v>41</v>
      </c>
      <c r="Z1513" s="4">
        <v>66</v>
      </c>
      <c r="AA1513" s="4">
        <v>2.6</v>
      </c>
      <c r="AB1513" s="4" t="s">
        <v>64</v>
      </c>
    </row>
    <row r="1514" spans="1:28" x14ac:dyDescent="0.25">
      <c r="A1514" s="2" t="s">
        <v>2288</v>
      </c>
      <c r="B1514" s="2" t="s">
        <v>1321</v>
      </c>
      <c r="C1514" s="2">
        <v>66</v>
      </c>
      <c r="D1514" s="2" t="s">
        <v>30</v>
      </c>
      <c r="E1514" s="2" t="s">
        <v>79</v>
      </c>
      <c r="F1514" s="2" t="s">
        <v>32</v>
      </c>
      <c r="G1514" s="3">
        <v>45515</v>
      </c>
      <c r="H1514" s="3">
        <v>45538</v>
      </c>
      <c r="I1514" s="2">
        <v>23</v>
      </c>
      <c r="J1514" s="2" t="s">
        <v>33</v>
      </c>
      <c r="K1514" s="2" t="s">
        <v>197</v>
      </c>
      <c r="L1514" s="2" t="s">
        <v>198</v>
      </c>
      <c r="M1514" s="2" t="s">
        <v>101</v>
      </c>
      <c r="N1514" s="2" t="s">
        <v>118</v>
      </c>
      <c r="O1514" s="2" t="s">
        <v>230</v>
      </c>
      <c r="P1514" s="2">
        <v>395</v>
      </c>
      <c r="Q1514" s="2" t="s">
        <v>50</v>
      </c>
      <c r="R1514" s="2" t="s">
        <v>40</v>
      </c>
      <c r="S1514" s="2">
        <v>141636</v>
      </c>
      <c r="T1514" s="2">
        <v>60729</v>
      </c>
      <c r="U1514" s="2">
        <v>80907</v>
      </c>
      <c r="V1514" s="2">
        <v>123184</v>
      </c>
      <c r="W1514" s="2">
        <v>15711</v>
      </c>
      <c r="X1514" s="2">
        <v>1040</v>
      </c>
      <c r="Y1514" s="2" t="s">
        <v>41</v>
      </c>
      <c r="Z1514" s="2">
        <v>93</v>
      </c>
      <c r="AA1514" s="2">
        <v>4.9000000000000004</v>
      </c>
      <c r="AB1514" s="2" t="s">
        <v>52</v>
      </c>
    </row>
    <row r="1515" spans="1:28" x14ac:dyDescent="0.25">
      <c r="A1515" s="4" t="s">
        <v>2289</v>
      </c>
      <c r="B1515" s="4" t="s">
        <v>1485</v>
      </c>
      <c r="C1515" s="4">
        <v>19</v>
      </c>
      <c r="D1515" s="4" t="s">
        <v>55</v>
      </c>
      <c r="E1515" s="4" t="s">
        <v>45</v>
      </c>
      <c r="F1515" s="4" t="s">
        <v>72</v>
      </c>
      <c r="G1515" s="5">
        <v>44909</v>
      </c>
      <c r="H1515" s="5">
        <v>44927</v>
      </c>
      <c r="I1515" s="4">
        <v>18</v>
      </c>
      <c r="J1515" s="4" t="s">
        <v>73</v>
      </c>
      <c r="K1515" s="4" t="s">
        <v>74</v>
      </c>
      <c r="L1515" s="4" t="s">
        <v>73</v>
      </c>
      <c r="M1515" s="4" t="s">
        <v>101</v>
      </c>
      <c r="N1515" s="4" t="s">
        <v>37</v>
      </c>
      <c r="O1515" s="4" t="s">
        <v>178</v>
      </c>
      <c r="P1515" s="4">
        <v>329</v>
      </c>
      <c r="Q1515" s="4" t="s">
        <v>50</v>
      </c>
      <c r="R1515" s="4" t="s">
        <v>111</v>
      </c>
      <c r="S1515" s="4">
        <v>159814</v>
      </c>
      <c r="T1515" s="4">
        <v>124901</v>
      </c>
      <c r="U1515" s="4">
        <v>34913</v>
      </c>
      <c r="V1515" s="4">
        <v>143722</v>
      </c>
      <c r="W1515" s="4">
        <v>4553</v>
      </c>
      <c r="X1515" s="4">
        <v>7938</v>
      </c>
      <c r="Y1515" s="4" t="s">
        <v>41</v>
      </c>
      <c r="Z1515" s="4">
        <v>62</v>
      </c>
      <c r="AA1515" s="4">
        <v>3.8</v>
      </c>
      <c r="AB1515" s="4" t="s">
        <v>137</v>
      </c>
    </row>
    <row r="1516" spans="1:28" x14ac:dyDescent="0.25">
      <c r="A1516" s="2" t="s">
        <v>2290</v>
      </c>
      <c r="B1516" s="2" t="s">
        <v>1184</v>
      </c>
      <c r="C1516" s="2">
        <v>77</v>
      </c>
      <c r="D1516" s="2" t="s">
        <v>55</v>
      </c>
      <c r="E1516" s="2" t="s">
        <v>122</v>
      </c>
      <c r="F1516" s="2" t="s">
        <v>157</v>
      </c>
      <c r="G1516" s="3">
        <v>44679</v>
      </c>
      <c r="H1516" s="3">
        <v>44701</v>
      </c>
      <c r="I1516" s="2">
        <v>22</v>
      </c>
      <c r="J1516" s="2" t="s">
        <v>58</v>
      </c>
      <c r="K1516" s="2" t="s">
        <v>88</v>
      </c>
      <c r="L1516" s="2" t="s">
        <v>60</v>
      </c>
      <c r="M1516" s="2" t="s">
        <v>101</v>
      </c>
      <c r="N1516" s="2" t="s">
        <v>62</v>
      </c>
      <c r="O1516" s="2" t="s">
        <v>431</v>
      </c>
      <c r="P1516" s="2">
        <v>394</v>
      </c>
      <c r="Q1516" s="2" t="s">
        <v>39</v>
      </c>
      <c r="R1516" s="2" t="s">
        <v>40</v>
      </c>
      <c r="S1516" s="2">
        <v>53679</v>
      </c>
      <c r="T1516" s="2">
        <v>37495</v>
      </c>
      <c r="U1516" s="2">
        <v>16184</v>
      </c>
      <c r="V1516" s="2">
        <v>24303</v>
      </c>
      <c r="W1516" s="2">
        <v>16994</v>
      </c>
      <c r="X1516" s="2">
        <v>10147</v>
      </c>
      <c r="Y1516" s="2" t="s">
        <v>41</v>
      </c>
      <c r="Z1516" s="2">
        <v>81</v>
      </c>
      <c r="AA1516" s="2">
        <v>3.5</v>
      </c>
      <c r="AB1516" s="2" t="s">
        <v>42</v>
      </c>
    </row>
    <row r="1517" spans="1:28" x14ac:dyDescent="0.25">
      <c r="A1517" s="4" t="s">
        <v>2291</v>
      </c>
      <c r="B1517" s="4" t="s">
        <v>1915</v>
      </c>
      <c r="C1517" s="4">
        <v>43</v>
      </c>
      <c r="D1517" s="4" t="s">
        <v>55</v>
      </c>
      <c r="E1517" s="4" t="s">
        <v>67</v>
      </c>
      <c r="F1517" s="4" t="s">
        <v>80</v>
      </c>
      <c r="G1517" s="5">
        <v>45168</v>
      </c>
      <c r="H1517" s="5">
        <v>45198</v>
      </c>
      <c r="I1517" s="4">
        <v>30</v>
      </c>
      <c r="J1517" s="4" t="s">
        <v>58</v>
      </c>
      <c r="K1517" s="4" t="s">
        <v>88</v>
      </c>
      <c r="L1517" s="4" t="s">
        <v>60</v>
      </c>
      <c r="M1517" s="4" t="s">
        <v>95</v>
      </c>
      <c r="N1517" s="4" t="s">
        <v>109</v>
      </c>
      <c r="O1517" s="4" t="s">
        <v>416</v>
      </c>
      <c r="P1517" s="4">
        <v>11</v>
      </c>
      <c r="Q1517" s="4" t="s">
        <v>103</v>
      </c>
      <c r="R1517" s="4" t="s">
        <v>111</v>
      </c>
      <c r="S1517" s="4">
        <v>115446</v>
      </c>
      <c r="T1517" s="4">
        <v>82843</v>
      </c>
      <c r="U1517" s="4">
        <v>32603</v>
      </c>
      <c r="V1517" s="4">
        <v>101644</v>
      </c>
      <c r="W1517" s="4">
        <v>1219</v>
      </c>
      <c r="X1517" s="4">
        <v>9946</v>
      </c>
      <c r="Y1517" s="4" t="s">
        <v>41</v>
      </c>
      <c r="Z1517" s="4">
        <v>70</v>
      </c>
      <c r="AA1517" s="4">
        <v>3.6</v>
      </c>
      <c r="AB1517" s="4" t="s">
        <v>52</v>
      </c>
    </row>
    <row r="1518" spans="1:28" x14ac:dyDescent="0.25">
      <c r="A1518" s="2" t="s">
        <v>2292</v>
      </c>
      <c r="B1518" s="2" t="s">
        <v>1159</v>
      </c>
      <c r="C1518" s="2">
        <v>28</v>
      </c>
      <c r="D1518" s="2" t="s">
        <v>30</v>
      </c>
      <c r="E1518" s="2" t="s">
        <v>56</v>
      </c>
      <c r="F1518" s="2" t="s">
        <v>72</v>
      </c>
      <c r="G1518" s="3">
        <v>44889</v>
      </c>
      <c r="H1518" s="3">
        <v>44903</v>
      </c>
      <c r="I1518" s="2">
        <v>14</v>
      </c>
      <c r="J1518" s="2" t="s">
        <v>123</v>
      </c>
      <c r="K1518" s="2" t="s">
        <v>251</v>
      </c>
      <c r="L1518" s="2" t="s">
        <v>125</v>
      </c>
      <c r="M1518" s="2" t="s">
        <v>108</v>
      </c>
      <c r="N1518" s="2" t="s">
        <v>62</v>
      </c>
      <c r="O1518" s="2" t="s">
        <v>135</v>
      </c>
      <c r="P1518" s="2">
        <v>224</v>
      </c>
      <c r="Q1518" s="2" t="s">
        <v>69</v>
      </c>
      <c r="R1518" s="2" t="s">
        <v>90</v>
      </c>
      <c r="S1518" s="2">
        <v>48499</v>
      </c>
      <c r="T1518" s="2">
        <v>35443</v>
      </c>
      <c r="U1518" s="2">
        <v>13056</v>
      </c>
      <c r="V1518" s="2">
        <v>11917</v>
      </c>
      <c r="W1518" s="2">
        <v>20869</v>
      </c>
      <c r="X1518" s="2">
        <v>13409</v>
      </c>
      <c r="Y1518" s="2" t="s">
        <v>91</v>
      </c>
      <c r="Z1518" s="2">
        <v>81</v>
      </c>
      <c r="AA1518" s="2">
        <v>2.2000000000000002</v>
      </c>
      <c r="AB1518" s="2" t="s">
        <v>52</v>
      </c>
    </row>
    <row r="1519" spans="1:28" x14ac:dyDescent="0.25">
      <c r="A1519" s="4" t="s">
        <v>2293</v>
      </c>
      <c r="B1519" s="4" t="s">
        <v>588</v>
      </c>
      <c r="C1519" s="4">
        <v>5</v>
      </c>
      <c r="D1519" s="4" t="s">
        <v>55</v>
      </c>
      <c r="E1519" s="4" t="s">
        <v>87</v>
      </c>
      <c r="F1519" s="4" t="s">
        <v>57</v>
      </c>
      <c r="G1519" s="5">
        <v>44662</v>
      </c>
      <c r="H1519" s="5">
        <v>44690</v>
      </c>
      <c r="I1519" s="4">
        <v>28</v>
      </c>
      <c r="J1519" s="4" t="s">
        <v>115</v>
      </c>
      <c r="K1519" s="4" t="s">
        <v>160</v>
      </c>
      <c r="L1519" s="4" t="s">
        <v>117</v>
      </c>
      <c r="M1519" s="4" t="s">
        <v>83</v>
      </c>
      <c r="N1519" s="4" t="s">
        <v>37</v>
      </c>
      <c r="O1519" s="4" t="s">
        <v>340</v>
      </c>
      <c r="P1519" s="4">
        <v>13</v>
      </c>
      <c r="Q1519" s="4" t="s">
        <v>50</v>
      </c>
      <c r="R1519" s="4" t="s">
        <v>51</v>
      </c>
      <c r="S1519" s="4">
        <v>160810</v>
      </c>
      <c r="T1519" s="4">
        <v>105385</v>
      </c>
      <c r="U1519" s="4">
        <v>55425</v>
      </c>
      <c r="V1519" s="4">
        <v>126066</v>
      </c>
      <c r="W1519" s="4">
        <v>16235</v>
      </c>
      <c r="X1519" s="4">
        <v>13988</v>
      </c>
      <c r="Y1519" s="4" t="s">
        <v>41</v>
      </c>
      <c r="Z1519" s="4">
        <v>45</v>
      </c>
      <c r="AA1519" s="4">
        <v>2.8</v>
      </c>
      <c r="AB1519" s="4" t="s">
        <v>42</v>
      </c>
    </row>
    <row r="1520" spans="1:28" x14ac:dyDescent="0.25">
      <c r="A1520" s="2" t="s">
        <v>2294</v>
      </c>
      <c r="B1520" s="2" t="s">
        <v>716</v>
      </c>
      <c r="C1520" s="2">
        <v>54</v>
      </c>
      <c r="D1520" s="2" t="s">
        <v>55</v>
      </c>
      <c r="E1520" s="2" t="s">
        <v>56</v>
      </c>
      <c r="F1520" s="2" t="s">
        <v>157</v>
      </c>
      <c r="G1520" s="3">
        <v>45249</v>
      </c>
      <c r="H1520" s="3">
        <v>45263</v>
      </c>
      <c r="I1520" s="2">
        <v>14</v>
      </c>
      <c r="J1520" s="2" t="s">
        <v>33</v>
      </c>
      <c r="K1520" s="2" t="s">
        <v>233</v>
      </c>
      <c r="L1520" s="2" t="s">
        <v>35</v>
      </c>
      <c r="M1520" s="2" t="s">
        <v>134</v>
      </c>
      <c r="N1520" s="2" t="s">
        <v>37</v>
      </c>
      <c r="O1520" s="2" t="s">
        <v>631</v>
      </c>
      <c r="P1520" s="2">
        <v>231</v>
      </c>
      <c r="Q1520" s="2" t="s">
        <v>39</v>
      </c>
      <c r="R1520" s="2" t="s">
        <v>136</v>
      </c>
      <c r="S1520" s="2">
        <v>127000</v>
      </c>
      <c r="T1520" s="2">
        <v>0</v>
      </c>
      <c r="U1520" s="2">
        <v>127000</v>
      </c>
      <c r="V1520" s="2">
        <v>99900</v>
      </c>
      <c r="W1520" s="2">
        <v>13790</v>
      </c>
      <c r="X1520" s="2">
        <v>11892</v>
      </c>
      <c r="Y1520" s="2" t="s">
        <v>41</v>
      </c>
      <c r="Z1520" s="2">
        <v>92</v>
      </c>
      <c r="AA1520" s="2">
        <v>2.5</v>
      </c>
      <c r="AB1520" s="2" t="s">
        <v>104</v>
      </c>
    </row>
    <row r="1521" spans="1:28" x14ac:dyDescent="0.25">
      <c r="A1521" s="4" t="s">
        <v>2295</v>
      </c>
      <c r="B1521" s="4" t="s">
        <v>810</v>
      </c>
      <c r="C1521" s="4">
        <v>31</v>
      </c>
      <c r="D1521" s="4" t="s">
        <v>30</v>
      </c>
      <c r="E1521" s="4" t="s">
        <v>67</v>
      </c>
      <c r="F1521" s="4" t="s">
        <v>32</v>
      </c>
      <c r="G1521" s="5">
        <v>45503</v>
      </c>
      <c r="H1521" s="5">
        <v>45529</v>
      </c>
      <c r="I1521" s="4">
        <v>26</v>
      </c>
      <c r="J1521" s="4" t="s">
        <v>58</v>
      </c>
      <c r="K1521" s="4" t="s">
        <v>59</v>
      </c>
      <c r="L1521" s="4" t="s">
        <v>60</v>
      </c>
      <c r="M1521" s="4" t="s">
        <v>101</v>
      </c>
      <c r="N1521" s="4" t="s">
        <v>109</v>
      </c>
      <c r="O1521" s="4" t="s">
        <v>497</v>
      </c>
      <c r="P1521" s="4">
        <v>25</v>
      </c>
      <c r="Q1521" s="4" t="s">
        <v>103</v>
      </c>
      <c r="R1521" s="4" t="s">
        <v>136</v>
      </c>
      <c r="S1521" s="4">
        <v>58478</v>
      </c>
      <c r="T1521" s="4">
        <v>0</v>
      </c>
      <c r="U1521" s="4">
        <v>58478</v>
      </c>
      <c r="V1521" s="4">
        <v>32745</v>
      </c>
      <c r="W1521" s="4">
        <v>14907</v>
      </c>
      <c r="X1521" s="4">
        <v>8150</v>
      </c>
      <c r="Y1521" s="4" t="s">
        <v>41</v>
      </c>
      <c r="Z1521" s="4">
        <v>86</v>
      </c>
      <c r="AA1521" s="4">
        <v>3.6</v>
      </c>
      <c r="AB1521" s="4" t="s">
        <v>137</v>
      </c>
    </row>
    <row r="1522" spans="1:28" x14ac:dyDescent="0.25">
      <c r="A1522" s="2" t="s">
        <v>2296</v>
      </c>
      <c r="B1522" s="2" t="s">
        <v>629</v>
      </c>
      <c r="C1522" s="2">
        <v>74</v>
      </c>
      <c r="D1522" s="2" t="s">
        <v>55</v>
      </c>
      <c r="E1522" s="2" t="s">
        <v>154</v>
      </c>
      <c r="F1522" s="2" t="s">
        <v>157</v>
      </c>
      <c r="G1522" s="3">
        <v>45565</v>
      </c>
      <c r="H1522" s="3">
        <v>45589</v>
      </c>
      <c r="I1522" s="2">
        <v>24</v>
      </c>
      <c r="J1522" s="2" t="s">
        <v>33</v>
      </c>
      <c r="K1522" s="2" t="s">
        <v>174</v>
      </c>
      <c r="L1522" s="2" t="s">
        <v>48</v>
      </c>
      <c r="M1522" s="2" t="s">
        <v>75</v>
      </c>
      <c r="N1522" s="2" t="s">
        <v>37</v>
      </c>
      <c r="O1522" s="2" t="s">
        <v>110</v>
      </c>
      <c r="P1522" s="2">
        <v>231</v>
      </c>
      <c r="Q1522" s="2" t="s">
        <v>39</v>
      </c>
      <c r="R1522" s="2" t="s">
        <v>136</v>
      </c>
      <c r="S1522" s="2">
        <v>127294</v>
      </c>
      <c r="T1522" s="2">
        <v>0</v>
      </c>
      <c r="U1522" s="2">
        <v>127294</v>
      </c>
      <c r="V1522" s="2">
        <v>92318</v>
      </c>
      <c r="W1522" s="2">
        <v>22450</v>
      </c>
      <c r="X1522" s="2">
        <v>9512</v>
      </c>
      <c r="Y1522" s="2" t="s">
        <v>41</v>
      </c>
      <c r="Z1522" s="2">
        <v>55</v>
      </c>
      <c r="AA1522" s="2">
        <v>3.1</v>
      </c>
      <c r="AB1522" s="2" t="s">
        <v>42</v>
      </c>
    </row>
    <row r="1523" spans="1:28" x14ac:dyDescent="0.25">
      <c r="A1523" s="4" t="s">
        <v>2297</v>
      </c>
      <c r="B1523" s="4" t="s">
        <v>1111</v>
      </c>
      <c r="C1523" s="4">
        <v>65</v>
      </c>
      <c r="D1523" s="4" t="s">
        <v>55</v>
      </c>
      <c r="E1523" s="4" t="s">
        <v>154</v>
      </c>
      <c r="F1523" s="4" t="s">
        <v>80</v>
      </c>
      <c r="G1523" s="5">
        <v>44858</v>
      </c>
      <c r="H1523" s="5">
        <v>44883</v>
      </c>
      <c r="I1523" s="4">
        <v>25</v>
      </c>
      <c r="J1523" s="4" t="s">
        <v>33</v>
      </c>
      <c r="K1523" s="4" t="s">
        <v>197</v>
      </c>
      <c r="L1523" s="4" t="s">
        <v>198</v>
      </c>
      <c r="M1523" s="4" t="s">
        <v>101</v>
      </c>
      <c r="N1523" s="4" t="s">
        <v>109</v>
      </c>
      <c r="O1523" s="4" t="s">
        <v>184</v>
      </c>
      <c r="P1523" s="4">
        <v>457</v>
      </c>
      <c r="Q1523" s="4" t="s">
        <v>50</v>
      </c>
      <c r="R1523" s="4" t="s">
        <v>111</v>
      </c>
      <c r="S1523" s="4">
        <v>54409</v>
      </c>
      <c r="T1523" s="4">
        <v>34472</v>
      </c>
      <c r="U1523" s="4">
        <v>19937</v>
      </c>
      <c r="V1523" s="4">
        <v>37266</v>
      </c>
      <c r="W1523" s="4">
        <v>5872</v>
      </c>
      <c r="X1523" s="4">
        <v>6750</v>
      </c>
      <c r="Y1523" s="4" t="s">
        <v>91</v>
      </c>
      <c r="Z1523" s="4">
        <v>66</v>
      </c>
      <c r="AA1523" s="4">
        <v>4.9000000000000004</v>
      </c>
      <c r="AB1523" s="4" t="s">
        <v>42</v>
      </c>
    </row>
    <row r="1524" spans="1:28" x14ac:dyDescent="0.25">
      <c r="A1524" s="2" t="s">
        <v>2298</v>
      </c>
      <c r="B1524" s="2" t="s">
        <v>519</v>
      </c>
      <c r="C1524" s="2">
        <v>52</v>
      </c>
      <c r="D1524" s="2" t="s">
        <v>55</v>
      </c>
      <c r="E1524" s="2" t="s">
        <v>122</v>
      </c>
      <c r="F1524" s="2" t="s">
        <v>32</v>
      </c>
      <c r="G1524" s="3">
        <v>44718</v>
      </c>
      <c r="H1524" s="3">
        <v>44726</v>
      </c>
      <c r="I1524" s="2">
        <v>8</v>
      </c>
      <c r="J1524" s="2" t="s">
        <v>33</v>
      </c>
      <c r="K1524" s="2" t="s">
        <v>99</v>
      </c>
      <c r="L1524" s="2" t="s">
        <v>100</v>
      </c>
      <c r="M1524" s="2" t="s">
        <v>75</v>
      </c>
      <c r="N1524" s="2" t="s">
        <v>109</v>
      </c>
      <c r="O1524" s="2" t="s">
        <v>300</v>
      </c>
      <c r="P1524" s="2">
        <v>329</v>
      </c>
      <c r="Q1524" s="2" t="s">
        <v>103</v>
      </c>
      <c r="R1524" s="2" t="s">
        <v>51</v>
      </c>
      <c r="S1524" s="2">
        <v>75638</v>
      </c>
      <c r="T1524" s="2">
        <v>38740</v>
      </c>
      <c r="U1524" s="2">
        <v>36898</v>
      </c>
      <c r="V1524" s="2">
        <v>39761</v>
      </c>
      <c r="W1524" s="2">
        <v>17895</v>
      </c>
      <c r="X1524" s="2">
        <v>13571</v>
      </c>
      <c r="Y1524" s="2" t="s">
        <v>41</v>
      </c>
      <c r="Z1524" s="2">
        <v>93</v>
      </c>
      <c r="AA1524" s="2">
        <v>3</v>
      </c>
      <c r="AB1524" s="2" t="s">
        <v>137</v>
      </c>
    </row>
    <row r="1525" spans="1:28" x14ac:dyDescent="0.25">
      <c r="A1525" s="4" t="s">
        <v>2299</v>
      </c>
      <c r="B1525" s="4" t="s">
        <v>1666</v>
      </c>
      <c r="C1525" s="4">
        <v>11</v>
      </c>
      <c r="D1525" s="4" t="s">
        <v>55</v>
      </c>
      <c r="E1525" s="4" t="s">
        <v>79</v>
      </c>
      <c r="F1525" s="4" t="s">
        <v>94</v>
      </c>
      <c r="G1525" s="5">
        <v>45567</v>
      </c>
      <c r="H1525" s="5">
        <v>45576</v>
      </c>
      <c r="I1525" s="4">
        <v>9</v>
      </c>
      <c r="J1525" s="4" t="s">
        <v>33</v>
      </c>
      <c r="K1525" s="4" t="s">
        <v>174</v>
      </c>
      <c r="L1525" s="4" t="s">
        <v>48</v>
      </c>
      <c r="M1525" s="4" t="s">
        <v>36</v>
      </c>
      <c r="N1525" s="4" t="s">
        <v>62</v>
      </c>
      <c r="O1525" s="4" t="s">
        <v>340</v>
      </c>
      <c r="P1525" s="4">
        <v>81</v>
      </c>
      <c r="Q1525" s="4" t="s">
        <v>103</v>
      </c>
      <c r="R1525" s="4" t="s">
        <v>51</v>
      </c>
      <c r="S1525" s="4">
        <v>83387</v>
      </c>
      <c r="T1525" s="4">
        <v>36412</v>
      </c>
      <c r="U1525" s="4">
        <v>46975</v>
      </c>
      <c r="V1525" s="4">
        <v>56633</v>
      </c>
      <c r="W1525" s="4">
        <v>10515</v>
      </c>
      <c r="X1525" s="4">
        <v>12722</v>
      </c>
      <c r="Y1525" s="4" t="s">
        <v>41</v>
      </c>
      <c r="Z1525" s="4">
        <v>50</v>
      </c>
      <c r="AA1525" s="4">
        <v>4.4000000000000004</v>
      </c>
      <c r="AB1525" s="4" t="s">
        <v>64</v>
      </c>
    </row>
    <row r="1526" spans="1:28" x14ac:dyDescent="0.25">
      <c r="A1526" s="2" t="s">
        <v>2300</v>
      </c>
      <c r="B1526" s="2" t="s">
        <v>2301</v>
      </c>
      <c r="C1526" s="2">
        <v>15</v>
      </c>
      <c r="D1526" s="2" t="s">
        <v>30</v>
      </c>
      <c r="E1526" s="2" t="s">
        <v>87</v>
      </c>
      <c r="F1526" s="2" t="s">
        <v>94</v>
      </c>
      <c r="G1526" s="3">
        <v>45445</v>
      </c>
      <c r="H1526" s="3">
        <v>45456</v>
      </c>
      <c r="I1526" s="2">
        <v>11</v>
      </c>
      <c r="J1526" s="2" t="s">
        <v>123</v>
      </c>
      <c r="K1526" s="2" t="s">
        <v>251</v>
      </c>
      <c r="L1526" s="2" t="s">
        <v>125</v>
      </c>
      <c r="M1526" s="2" t="s">
        <v>101</v>
      </c>
      <c r="N1526" s="2" t="s">
        <v>118</v>
      </c>
      <c r="O1526" s="2" t="s">
        <v>343</v>
      </c>
      <c r="P1526" s="2">
        <v>429</v>
      </c>
      <c r="Q1526" s="2" t="s">
        <v>69</v>
      </c>
      <c r="R1526" s="2" t="s">
        <v>136</v>
      </c>
      <c r="S1526" s="2">
        <v>123576</v>
      </c>
      <c r="T1526" s="2">
        <v>0</v>
      </c>
      <c r="U1526" s="2">
        <v>123576</v>
      </c>
      <c r="V1526" s="2">
        <v>90368</v>
      </c>
      <c r="W1526" s="2">
        <v>16805</v>
      </c>
      <c r="X1526" s="2">
        <v>11849</v>
      </c>
      <c r="Y1526" s="2" t="s">
        <v>41</v>
      </c>
      <c r="Z1526" s="2">
        <v>89</v>
      </c>
      <c r="AA1526" s="2">
        <v>4.5</v>
      </c>
      <c r="AB1526" s="2" t="s">
        <v>104</v>
      </c>
    </row>
    <row r="1527" spans="1:28" x14ac:dyDescent="0.25">
      <c r="A1527" s="4" t="s">
        <v>2302</v>
      </c>
      <c r="B1527" s="4" t="s">
        <v>881</v>
      </c>
      <c r="C1527" s="4">
        <v>31</v>
      </c>
      <c r="D1527" s="4" t="s">
        <v>55</v>
      </c>
      <c r="E1527" s="4" t="s">
        <v>154</v>
      </c>
      <c r="F1527" s="4" t="s">
        <v>46</v>
      </c>
      <c r="G1527" s="5">
        <v>44995</v>
      </c>
      <c r="H1527" s="5">
        <v>45005</v>
      </c>
      <c r="I1527" s="4">
        <v>10</v>
      </c>
      <c r="J1527" s="4" t="s">
        <v>33</v>
      </c>
      <c r="K1527" s="4" t="s">
        <v>47</v>
      </c>
      <c r="L1527" s="4" t="s">
        <v>48</v>
      </c>
      <c r="M1527" s="4" t="s">
        <v>95</v>
      </c>
      <c r="N1527" s="4" t="s">
        <v>109</v>
      </c>
      <c r="O1527" s="4" t="s">
        <v>205</v>
      </c>
      <c r="P1527" s="4">
        <v>36</v>
      </c>
      <c r="Q1527" s="4" t="s">
        <v>50</v>
      </c>
      <c r="R1527" s="4" t="s">
        <v>111</v>
      </c>
      <c r="S1527" s="4">
        <v>115430</v>
      </c>
      <c r="T1527" s="4">
        <v>100422</v>
      </c>
      <c r="U1527" s="4">
        <v>15008</v>
      </c>
      <c r="V1527" s="4">
        <v>97200</v>
      </c>
      <c r="W1527" s="4">
        <v>2037</v>
      </c>
      <c r="X1527" s="4">
        <v>14541</v>
      </c>
      <c r="Y1527" s="4" t="s">
        <v>41</v>
      </c>
      <c r="Z1527" s="4">
        <v>43</v>
      </c>
      <c r="AA1527" s="4">
        <v>3.9</v>
      </c>
      <c r="AB1527" s="4" t="s">
        <v>42</v>
      </c>
    </row>
    <row r="1528" spans="1:28" x14ac:dyDescent="0.25">
      <c r="A1528" s="2" t="s">
        <v>2303</v>
      </c>
      <c r="B1528" s="2" t="s">
        <v>2304</v>
      </c>
      <c r="C1528" s="2">
        <v>53</v>
      </c>
      <c r="D1528" s="2" t="s">
        <v>30</v>
      </c>
      <c r="E1528" s="2" t="s">
        <v>87</v>
      </c>
      <c r="F1528" s="2" t="s">
        <v>80</v>
      </c>
      <c r="G1528" s="3">
        <v>45417</v>
      </c>
      <c r="H1528" s="3">
        <v>45423</v>
      </c>
      <c r="I1528" s="2">
        <v>6</v>
      </c>
      <c r="J1528" s="2" t="s">
        <v>33</v>
      </c>
      <c r="K1528" s="2" t="s">
        <v>233</v>
      </c>
      <c r="L1528" s="2" t="s">
        <v>35</v>
      </c>
      <c r="M1528" s="2" t="s">
        <v>61</v>
      </c>
      <c r="N1528" s="2" t="s">
        <v>109</v>
      </c>
      <c r="O1528" s="2" t="s">
        <v>520</v>
      </c>
      <c r="P1528" s="2">
        <v>209</v>
      </c>
      <c r="Q1528" s="2" t="s">
        <v>103</v>
      </c>
      <c r="R1528" s="2" t="s">
        <v>111</v>
      </c>
      <c r="S1528" s="2">
        <v>47610</v>
      </c>
      <c r="T1528" s="2">
        <v>33071</v>
      </c>
      <c r="U1528" s="2">
        <v>14539</v>
      </c>
      <c r="V1528" s="2">
        <v>6248</v>
      </c>
      <c r="W1528" s="2">
        <v>27430</v>
      </c>
      <c r="X1528" s="2">
        <v>9033</v>
      </c>
      <c r="Y1528" s="2" t="s">
        <v>91</v>
      </c>
      <c r="Z1528" s="2">
        <v>76</v>
      </c>
      <c r="AA1528" s="2">
        <v>4.3</v>
      </c>
      <c r="AB1528" s="2" t="s">
        <v>64</v>
      </c>
    </row>
    <row r="1529" spans="1:28" x14ac:dyDescent="0.25">
      <c r="A1529" s="4" t="s">
        <v>2305</v>
      </c>
      <c r="B1529" s="4" t="s">
        <v>540</v>
      </c>
      <c r="C1529" s="4">
        <v>39</v>
      </c>
      <c r="D1529" s="4" t="s">
        <v>30</v>
      </c>
      <c r="E1529" s="4" t="s">
        <v>56</v>
      </c>
      <c r="F1529" s="4" t="s">
        <v>57</v>
      </c>
      <c r="G1529" s="5">
        <v>44700</v>
      </c>
      <c r="H1529" s="5">
        <v>44701</v>
      </c>
      <c r="I1529" s="4">
        <v>1</v>
      </c>
      <c r="J1529" s="4" t="s">
        <v>58</v>
      </c>
      <c r="K1529" s="4" t="s">
        <v>59</v>
      </c>
      <c r="L1529" s="4" t="s">
        <v>60</v>
      </c>
      <c r="M1529" s="4" t="s">
        <v>83</v>
      </c>
      <c r="N1529" s="4" t="s">
        <v>37</v>
      </c>
      <c r="O1529" s="4" t="s">
        <v>211</v>
      </c>
      <c r="P1529" s="4">
        <v>99</v>
      </c>
      <c r="Q1529" s="4" t="s">
        <v>50</v>
      </c>
      <c r="R1529" s="4" t="s">
        <v>136</v>
      </c>
      <c r="S1529" s="4">
        <v>51043</v>
      </c>
      <c r="T1529" s="4">
        <v>0</v>
      </c>
      <c r="U1529" s="4">
        <v>51043</v>
      </c>
      <c r="V1529" s="4">
        <v>44388</v>
      </c>
      <c r="W1529" s="4">
        <v>4759</v>
      </c>
      <c r="X1529" s="4">
        <v>522</v>
      </c>
      <c r="Y1529" s="4" t="s">
        <v>41</v>
      </c>
      <c r="Z1529" s="4">
        <v>91</v>
      </c>
      <c r="AA1529" s="4">
        <v>2.2000000000000002</v>
      </c>
      <c r="AB1529" s="4" t="s">
        <v>42</v>
      </c>
    </row>
    <row r="1530" spans="1:28" x14ac:dyDescent="0.25">
      <c r="A1530" s="2" t="s">
        <v>2306</v>
      </c>
      <c r="B1530" s="2" t="s">
        <v>559</v>
      </c>
      <c r="C1530" s="2">
        <v>58</v>
      </c>
      <c r="D1530" s="2" t="s">
        <v>55</v>
      </c>
      <c r="E1530" s="2" t="s">
        <v>31</v>
      </c>
      <c r="F1530" s="2" t="s">
        <v>129</v>
      </c>
      <c r="G1530" s="3">
        <v>45064</v>
      </c>
      <c r="H1530" s="3">
        <v>45076</v>
      </c>
      <c r="I1530" s="2">
        <v>12</v>
      </c>
      <c r="J1530" s="2" t="s">
        <v>33</v>
      </c>
      <c r="K1530" s="2" t="s">
        <v>107</v>
      </c>
      <c r="L1530" s="2" t="s">
        <v>48</v>
      </c>
      <c r="M1530" s="2" t="s">
        <v>61</v>
      </c>
      <c r="N1530" s="2" t="s">
        <v>118</v>
      </c>
      <c r="O1530" s="2" t="s">
        <v>205</v>
      </c>
      <c r="P1530" s="2">
        <v>52</v>
      </c>
      <c r="Q1530" s="2" t="s">
        <v>69</v>
      </c>
      <c r="R1530" s="2" t="s">
        <v>136</v>
      </c>
      <c r="S1530" s="2">
        <v>154721</v>
      </c>
      <c r="T1530" s="2">
        <v>0</v>
      </c>
      <c r="U1530" s="2">
        <v>154721</v>
      </c>
      <c r="V1530" s="2">
        <v>135936</v>
      </c>
      <c r="W1530" s="2">
        <v>2231</v>
      </c>
      <c r="X1530" s="2">
        <v>14509</v>
      </c>
      <c r="Y1530" s="2" t="s">
        <v>41</v>
      </c>
      <c r="Z1530" s="2">
        <v>63</v>
      </c>
      <c r="AA1530" s="2">
        <v>3.2</v>
      </c>
      <c r="AB1530" s="2" t="s">
        <v>104</v>
      </c>
    </row>
    <row r="1531" spans="1:28" x14ac:dyDescent="0.25">
      <c r="A1531" s="4" t="s">
        <v>2307</v>
      </c>
      <c r="B1531" s="4" t="s">
        <v>978</v>
      </c>
      <c r="C1531" s="4">
        <v>41</v>
      </c>
      <c r="D1531" s="4" t="s">
        <v>55</v>
      </c>
      <c r="E1531" s="4" t="s">
        <v>67</v>
      </c>
      <c r="F1531" s="4" t="s">
        <v>129</v>
      </c>
      <c r="G1531" s="5">
        <v>45180</v>
      </c>
      <c r="H1531" s="5">
        <v>45207</v>
      </c>
      <c r="I1531" s="4">
        <v>27</v>
      </c>
      <c r="J1531" s="4" t="s">
        <v>33</v>
      </c>
      <c r="K1531" s="4" t="s">
        <v>47</v>
      </c>
      <c r="L1531" s="4" t="s">
        <v>48</v>
      </c>
      <c r="M1531" s="4" t="s">
        <v>134</v>
      </c>
      <c r="N1531" s="4" t="s">
        <v>37</v>
      </c>
      <c r="O1531" s="4" t="s">
        <v>548</v>
      </c>
      <c r="P1531" s="4">
        <v>467</v>
      </c>
      <c r="Q1531" s="4" t="s">
        <v>39</v>
      </c>
      <c r="R1531" s="4" t="s">
        <v>90</v>
      </c>
      <c r="S1531" s="4">
        <v>92294</v>
      </c>
      <c r="T1531" s="4">
        <v>77334</v>
      </c>
      <c r="U1531" s="4">
        <v>14960</v>
      </c>
      <c r="V1531" s="4">
        <v>65428</v>
      </c>
      <c r="W1531" s="4">
        <v>12196</v>
      </c>
      <c r="X1531" s="4">
        <v>12117</v>
      </c>
      <c r="Y1531" s="4" t="s">
        <v>41</v>
      </c>
      <c r="Z1531" s="4">
        <v>84</v>
      </c>
      <c r="AA1531" s="4">
        <v>2.5</v>
      </c>
      <c r="AB1531" s="4" t="s">
        <v>64</v>
      </c>
    </row>
    <row r="1532" spans="1:28" x14ac:dyDescent="0.25">
      <c r="A1532" s="2" t="s">
        <v>2308</v>
      </c>
      <c r="B1532" s="2" t="s">
        <v>886</v>
      </c>
      <c r="C1532" s="2">
        <v>5</v>
      </c>
      <c r="D1532" s="2" t="s">
        <v>30</v>
      </c>
      <c r="E1532" s="2" t="s">
        <v>56</v>
      </c>
      <c r="F1532" s="2" t="s">
        <v>150</v>
      </c>
      <c r="G1532" s="3">
        <v>45066</v>
      </c>
      <c r="H1532" s="3">
        <v>45088</v>
      </c>
      <c r="I1532" s="2">
        <v>22</v>
      </c>
      <c r="J1532" s="2" t="s">
        <v>58</v>
      </c>
      <c r="K1532" s="2" t="s">
        <v>59</v>
      </c>
      <c r="L1532" s="2" t="s">
        <v>60</v>
      </c>
      <c r="M1532" s="2" t="s">
        <v>134</v>
      </c>
      <c r="N1532" s="2" t="s">
        <v>37</v>
      </c>
      <c r="O1532" s="2" t="s">
        <v>368</v>
      </c>
      <c r="P1532" s="2">
        <v>471</v>
      </c>
      <c r="Q1532" s="2" t="s">
        <v>50</v>
      </c>
      <c r="R1532" s="2" t="s">
        <v>136</v>
      </c>
      <c r="S1532" s="2">
        <v>154483</v>
      </c>
      <c r="T1532" s="2">
        <v>0</v>
      </c>
      <c r="U1532" s="2">
        <v>154483</v>
      </c>
      <c r="V1532" s="2">
        <v>128806</v>
      </c>
      <c r="W1532" s="2">
        <v>23451</v>
      </c>
      <c r="X1532" s="2">
        <v>1312</v>
      </c>
      <c r="Y1532" s="2" t="s">
        <v>41</v>
      </c>
      <c r="Z1532" s="2">
        <v>90</v>
      </c>
      <c r="AA1532" s="2">
        <v>4.4000000000000004</v>
      </c>
      <c r="AB1532" s="2" t="s">
        <v>42</v>
      </c>
    </row>
    <row r="1533" spans="1:28" x14ac:dyDescent="0.25">
      <c r="A1533" s="4" t="s">
        <v>2309</v>
      </c>
      <c r="B1533" s="4" t="s">
        <v>1125</v>
      </c>
      <c r="C1533" s="4">
        <v>11</v>
      </c>
      <c r="D1533" s="4" t="s">
        <v>30</v>
      </c>
      <c r="E1533" s="4" t="s">
        <v>45</v>
      </c>
      <c r="F1533" s="4" t="s">
        <v>157</v>
      </c>
      <c r="G1533" s="5">
        <v>45363</v>
      </c>
      <c r="H1533" s="5">
        <v>45370</v>
      </c>
      <c r="I1533" s="4">
        <v>7</v>
      </c>
      <c r="J1533" s="4" t="s">
        <v>33</v>
      </c>
      <c r="K1533" s="4" t="s">
        <v>47</v>
      </c>
      <c r="L1533" s="4" t="s">
        <v>48</v>
      </c>
      <c r="M1533" s="4" t="s">
        <v>36</v>
      </c>
      <c r="N1533" s="4" t="s">
        <v>118</v>
      </c>
      <c r="O1533" s="4" t="s">
        <v>241</v>
      </c>
      <c r="P1533" s="4">
        <v>1</v>
      </c>
      <c r="Q1533" s="4" t="s">
        <v>39</v>
      </c>
      <c r="R1533" s="4" t="s">
        <v>40</v>
      </c>
      <c r="S1533" s="4">
        <v>109787</v>
      </c>
      <c r="T1533" s="4">
        <v>55046</v>
      </c>
      <c r="U1533" s="4">
        <v>54741</v>
      </c>
      <c r="V1533" s="4">
        <v>81300</v>
      </c>
      <c r="W1533" s="4">
        <v>21745</v>
      </c>
      <c r="X1533" s="4">
        <v>2248</v>
      </c>
      <c r="Y1533" s="4" t="s">
        <v>91</v>
      </c>
      <c r="Z1533" s="4">
        <v>72</v>
      </c>
      <c r="AA1533" s="4">
        <v>2.1</v>
      </c>
      <c r="AB1533" s="4" t="s">
        <v>42</v>
      </c>
    </row>
    <row r="1534" spans="1:28" x14ac:dyDescent="0.25">
      <c r="A1534" s="2" t="s">
        <v>2310</v>
      </c>
      <c r="B1534" s="2" t="s">
        <v>1153</v>
      </c>
      <c r="C1534" s="2">
        <v>37</v>
      </c>
      <c r="D1534" s="2" t="s">
        <v>55</v>
      </c>
      <c r="E1534" s="2" t="s">
        <v>45</v>
      </c>
      <c r="F1534" s="2" t="s">
        <v>46</v>
      </c>
      <c r="G1534" s="3">
        <v>44811</v>
      </c>
      <c r="H1534" s="3">
        <v>44818</v>
      </c>
      <c r="I1534" s="2">
        <v>7</v>
      </c>
      <c r="J1534" s="2" t="s">
        <v>115</v>
      </c>
      <c r="K1534" s="2" t="s">
        <v>160</v>
      </c>
      <c r="L1534" s="2" t="s">
        <v>117</v>
      </c>
      <c r="M1534" s="2" t="s">
        <v>108</v>
      </c>
      <c r="N1534" s="2" t="s">
        <v>37</v>
      </c>
      <c r="O1534" s="2" t="s">
        <v>497</v>
      </c>
      <c r="P1534" s="2">
        <v>72</v>
      </c>
      <c r="Q1534" s="2" t="s">
        <v>50</v>
      </c>
      <c r="R1534" s="2" t="s">
        <v>51</v>
      </c>
      <c r="S1534" s="2">
        <v>45104</v>
      </c>
      <c r="T1534" s="2">
        <v>25510</v>
      </c>
      <c r="U1534" s="2">
        <v>19594</v>
      </c>
      <c r="V1534" s="2">
        <v>22652</v>
      </c>
      <c r="W1534" s="2">
        <v>11772</v>
      </c>
      <c r="X1534" s="2">
        <v>7563</v>
      </c>
      <c r="Y1534" s="2" t="s">
        <v>41</v>
      </c>
      <c r="Z1534" s="2">
        <v>79</v>
      </c>
      <c r="AA1534" s="2">
        <v>2.2999999999999998</v>
      </c>
      <c r="AB1534" s="2" t="s">
        <v>52</v>
      </c>
    </row>
    <row r="1535" spans="1:28" x14ac:dyDescent="0.25">
      <c r="A1535" s="4" t="s">
        <v>2311</v>
      </c>
      <c r="B1535" s="4" t="s">
        <v>224</v>
      </c>
      <c r="C1535" s="4">
        <v>75</v>
      </c>
      <c r="D1535" s="4" t="s">
        <v>55</v>
      </c>
      <c r="E1535" s="4" t="s">
        <v>122</v>
      </c>
      <c r="F1535" s="4" t="s">
        <v>80</v>
      </c>
      <c r="G1535" s="5">
        <v>44925</v>
      </c>
      <c r="H1535" s="5">
        <v>44949</v>
      </c>
      <c r="I1535" s="4">
        <v>24</v>
      </c>
      <c r="J1535" s="4" t="s">
        <v>58</v>
      </c>
      <c r="K1535" s="4" t="s">
        <v>59</v>
      </c>
      <c r="L1535" s="4" t="s">
        <v>60</v>
      </c>
      <c r="M1535" s="4" t="s">
        <v>143</v>
      </c>
      <c r="N1535" s="4" t="s">
        <v>109</v>
      </c>
      <c r="O1535" s="4" t="s">
        <v>337</v>
      </c>
      <c r="P1535" s="4">
        <v>442</v>
      </c>
      <c r="Q1535" s="4" t="s">
        <v>69</v>
      </c>
      <c r="R1535" s="4" t="s">
        <v>90</v>
      </c>
      <c r="S1535" s="4">
        <v>98025</v>
      </c>
      <c r="T1535" s="4">
        <v>73630</v>
      </c>
      <c r="U1535" s="4">
        <v>24395</v>
      </c>
      <c r="V1535" s="4">
        <v>79223</v>
      </c>
      <c r="W1535" s="4">
        <v>6243</v>
      </c>
      <c r="X1535" s="4">
        <v>9845</v>
      </c>
      <c r="Y1535" s="4" t="s">
        <v>41</v>
      </c>
      <c r="Z1535" s="4">
        <v>58</v>
      </c>
      <c r="AA1535" s="4">
        <v>2</v>
      </c>
      <c r="AB1535" s="4" t="s">
        <v>104</v>
      </c>
    </row>
    <row r="1536" spans="1:28" x14ac:dyDescent="0.25">
      <c r="A1536" s="2" t="s">
        <v>2312</v>
      </c>
      <c r="B1536" s="2" t="s">
        <v>863</v>
      </c>
      <c r="C1536" s="2">
        <v>51</v>
      </c>
      <c r="D1536" s="2" t="s">
        <v>30</v>
      </c>
      <c r="E1536" s="2" t="s">
        <v>31</v>
      </c>
      <c r="F1536" s="2" t="s">
        <v>72</v>
      </c>
      <c r="G1536" s="3">
        <v>44809</v>
      </c>
      <c r="H1536" s="3">
        <v>44819</v>
      </c>
      <c r="I1536" s="2">
        <v>10</v>
      </c>
      <c r="J1536" s="2" t="s">
        <v>123</v>
      </c>
      <c r="K1536" s="2" t="s">
        <v>124</v>
      </c>
      <c r="L1536" s="2" t="s">
        <v>125</v>
      </c>
      <c r="M1536" s="2" t="s">
        <v>95</v>
      </c>
      <c r="N1536" s="2" t="s">
        <v>109</v>
      </c>
      <c r="O1536" s="2" t="s">
        <v>396</v>
      </c>
      <c r="P1536" s="2">
        <v>425</v>
      </c>
      <c r="Q1536" s="2" t="s">
        <v>39</v>
      </c>
      <c r="R1536" s="2" t="s">
        <v>90</v>
      </c>
      <c r="S1536" s="2">
        <v>55380</v>
      </c>
      <c r="T1536" s="2">
        <v>35756</v>
      </c>
      <c r="U1536" s="2">
        <v>19624</v>
      </c>
      <c r="V1536" s="2">
        <v>33330</v>
      </c>
      <c r="W1536" s="2">
        <v>15752</v>
      </c>
      <c r="X1536" s="2">
        <v>5447</v>
      </c>
      <c r="Y1536" s="2" t="s">
        <v>41</v>
      </c>
      <c r="Z1536" s="2">
        <v>72</v>
      </c>
      <c r="AA1536" s="2">
        <v>3.9</v>
      </c>
      <c r="AB1536" s="2" t="s">
        <v>52</v>
      </c>
    </row>
    <row r="1537" spans="1:28" x14ac:dyDescent="0.25">
      <c r="A1537" s="4" t="s">
        <v>2313</v>
      </c>
      <c r="B1537" s="4" t="s">
        <v>1747</v>
      </c>
      <c r="C1537" s="4">
        <v>69</v>
      </c>
      <c r="D1537" s="4" t="s">
        <v>30</v>
      </c>
      <c r="E1537" s="4" t="s">
        <v>67</v>
      </c>
      <c r="F1537" s="4" t="s">
        <v>80</v>
      </c>
      <c r="G1537" s="5">
        <v>45170</v>
      </c>
      <c r="H1537" s="5">
        <v>45188</v>
      </c>
      <c r="I1537" s="4">
        <v>18</v>
      </c>
      <c r="J1537" s="4" t="s">
        <v>202</v>
      </c>
      <c r="K1537" s="4" t="s">
        <v>203</v>
      </c>
      <c r="L1537" s="4" t="s">
        <v>204</v>
      </c>
      <c r="M1537" s="4" t="s">
        <v>143</v>
      </c>
      <c r="N1537" s="4" t="s">
        <v>37</v>
      </c>
      <c r="O1537" s="4" t="s">
        <v>530</v>
      </c>
      <c r="P1537" s="4">
        <v>64</v>
      </c>
      <c r="Q1537" s="4" t="s">
        <v>39</v>
      </c>
      <c r="R1537" s="4" t="s">
        <v>111</v>
      </c>
      <c r="S1537" s="4">
        <v>154894</v>
      </c>
      <c r="T1537" s="4">
        <v>135368</v>
      </c>
      <c r="U1537" s="4">
        <v>19526</v>
      </c>
      <c r="V1537" s="4">
        <v>124816</v>
      </c>
      <c r="W1537" s="4">
        <v>22889</v>
      </c>
      <c r="X1537" s="4">
        <v>5856</v>
      </c>
      <c r="Y1537" s="4" t="s">
        <v>41</v>
      </c>
      <c r="Z1537" s="4">
        <v>57</v>
      </c>
      <c r="AA1537" s="4">
        <v>4.0999999999999996</v>
      </c>
      <c r="AB1537" s="4" t="s">
        <v>42</v>
      </c>
    </row>
    <row r="1538" spans="1:28" x14ac:dyDescent="0.25">
      <c r="A1538" s="2" t="s">
        <v>2314</v>
      </c>
      <c r="B1538" s="2" t="s">
        <v>840</v>
      </c>
      <c r="C1538" s="2">
        <v>29</v>
      </c>
      <c r="D1538" s="2" t="s">
        <v>55</v>
      </c>
      <c r="E1538" s="2" t="s">
        <v>56</v>
      </c>
      <c r="F1538" s="2" t="s">
        <v>94</v>
      </c>
      <c r="G1538" s="3">
        <v>44614</v>
      </c>
      <c r="H1538" s="3">
        <v>44643</v>
      </c>
      <c r="I1538" s="2">
        <v>29</v>
      </c>
      <c r="J1538" s="2" t="s">
        <v>33</v>
      </c>
      <c r="K1538" s="2" t="s">
        <v>34</v>
      </c>
      <c r="L1538" s="2" t="s">
        <v>35</v>
      </c>
      <c r="M1538" s="2" t="s">
        <v>61</v>
      </c>
      <c r="N1538" s="2" t="s">
        <v>62</v>
      </c>
      <c r="O1538" s="2" t="s">
        <v>673</v>
      </c>
      <c r="P1538" s="2">
        <v>452</v>
      </c>
      <c r="Q1538" s="2" t="s">
        <v>39</v>
      </c>
      <c r="R1538" s="2" t="s">
        <v>40</v>
      </c>
      <c r="S1538" s="2">
        <v>56568</v>
      </c>
      <c r="T1538" s="2">
        <v>35652</v>
      </c>
      <c r="U1538" s="2">
        <v>20916</v>
      </c>
      <c r="V1538" s="2">
        <v>31828</v>
      </c>
      <c r="W1538" s="2">
        <v>12773</v>
      </c>
      <c r="X1538" s="2">
        <v>7096</v>
      </c>
      <c r="Y1538" s="2" t="s">
        <v>41</v>
      </c>
      <c r="Z1538" s="2">
        <v>55</v>
      </c>
      <c r="AA1538" s="2">
        <v>2.9</v>
      </c>
      <c r="AB1538" s="2" t="s">
        <v>42</v>
      </c>
    </row>
    <row r="1539" spans="1:28" x14ac:dyDescent="0.25">
      <c r="A1539" s="4" t="s">
        <v>2315</v>
      </c>
      <c r="B1539" s="4" t="s">
        <v>44</v>
      </c>
      <c r="C1539" s="4">
        <v>21</v>
      </c>
      <c r="D1539" s="4" t="s">
        <v>55</v>
      </c>
      <c r="E1539" s="4" t="s">
        <v>79</v>
      </c>
      <c r="F1539" s="4" t="s">
        <v>114</v>
      </c>
      <c r="G1539" s="5">
        <v>44918</v>
      </c>
      <c r="H1539" s="5">
        <v>44931</v>
      </c>
      <c r="I1539" s="4">
        <v>13</v>
      </c>
      <c r="J1539" s="4" t="s">
        <v>33</v>
      </c>
      <c r="K1539" s="4" t="s">
        <v>174</v>
      </c>
      <c r="L1539" s="4" t="s">
        <v>48</v>
      </c>
      <c r="M1539" s="4" t="s">
        <v>61</v>
      </c>
      <c r="N1539" s="4" t="s">
        <v>109</v>
      </c>
      <c r="O1539" s="4" t="s">
        <v>208</v>
      </c>
      <c r="P1539" s="4">
        <v>161</v>
      </c>
      <c r="Q1539" s="4" t="s">
        <v>39</v>
      </c>
      <c r="R1539" s="4" t="s">
        <v>136</v>
      </c>
      <c r="S1539" s="4">
        <v>68850</v>
      </c>
      <c r="T1539" s="4">
        <v>0</v>
      </c>
      <c r="U1539" s="4">
        <v>68850</v>
      </c>
      <c r="V1539" s="4">
        <v>46661</v>
      </c>
      <c r="W1539" s="4">
        <v>8921</v>
      </c>
      <c r="X1539" s="4">
        <v>9296</v>
      </c>
      <c r="Y1539" s="4" t="s">
        <v>41</v>
      </c>
      <c r="Z1539" s="4">
        <v>42</v>
      </c>
      <c r="AA1539" s="4">
        <v>4.4000000000000004</v>
      </c>
      <c r="AB1539" s="4" t="s">
        <v>137</v>
      </c>
    </row>
    <row r="1540" spans="1:28" x14ac:dyDescent="0.25">
      <c r="A1540" s="2" t="s">
        <v>2316</v>
      </c>
      <c r="B1540" s="2" t="s">
        <v>1698</v>
      </c>
      <c r="C1540" s="2">
        <v>44</v>
      </c>
      <c r="D1540" s="2" t="s">
        <v>55</v>
      </c>
      <c r="E1540" s="2" t="s">
        <v>31</v>
      </c>
      <c r="F1540" s="2" t="s">
        <v>72</v>
      </c>
      <c r="G1540" s="3">
        <v>45572</v>
      </c>
      <c r="H1540" s="3">
        <v>45593</v>
      </c>
      <c r="I1540" s="2">
        <v>21</v>
      </c>
      <c r="J1540" s="2" t="s">
        <v>33</v>
      </c>
      <c r="K1540" s="2" t="s">
        <v>81</v>
      </c>
      <c r="L1540" s="2" t="s">
        <v>82</v>
      </c>
      <c r="M1540" s="2" t="s">
        <v>83</v>
      </c>
      <c r="N1540" s="2" t="s">
        <v>118</v>
      </c>
      <c r="O1540" s="2" t="s">
        <v>194</v>
      </c>
      <c r="P1540" s="2">
        <v>359</v>
      </c>
      <c r="Q1540" s="2" t="s">
        <v>103</v>
      </c>
      <c r="R1540" s="2" t="s">
        <v>111</v>
      </c>
      <c r="S1540" s="2">
        <v>48935</v>
      </c>
      <c r="T1540" s="2">
        <v>38908</v>
      </c>
      <c r="U1540" s="2">
        <v>10027</v>
      </c>
      <c r="V1540" s="2">
        <v>40151</v>
      </c>
      <c r="W1540" s="2">
        <v>3458</v>
      </c>
      <c r="X1540" s="2">
        <v>1150</v>
      </c>
      <c r="Y1540" s="2" t="s">
        <v>41</v>
      </c>
      <c r="Z1540" s="2">
        <v>58</v>
      </c>
      <c r="AA1540" s="2">
        <v>4.5</v>
      </c>
      <c r="AB1540" s="2" t="s">
        <v>104</v>
      </c>
    </row>
    <row r="1541" spans="1:28" x14ac:dyDescent="0.25">
      <c r="A1541" s="4" t="s">
        <v>2317</v>
      </c>
      <c r="B1541" s="4" t="s">
        <v>562</v>
      </c>
      <c r="C1541" s="4">
        <v>32</v>
      </c>
      <c r="D1541" s="4" t="s">
        <v>55</v>
      </c>
      <c r="E1541" s="4" t="s">
        <v>45</v>
      </c>
      <c r="F1541" s="4" t="s">
        <v>157</v>
      </c>
      <c r="G1541" s="5">
        <v>44600</v>
      </c>
      <c r="H1541" s="5">
        <v>44623</v>
      </c>
      <c r="I1541" s="4">
        <v>23</v>
      </c>
      <c r="J1541" s="4" t="s">
        <v>33</v>
      </c>
      <c r="K1541" s="4" t="s">
        <v>233</v>
      </c>
      <c r="L1541" s="4" t="s">
        <v>35</v>
      </c>
      <c r="M1541" s="4" t="s">
        <v>143</v>
      </c>
      <c r="N1541" s="4" t="s">
        <v>118</v>
      </c>
      <c r="O1541" s="4" t="s">
        <v>591</v>
      </c>
      <c r="P1541" s="4">
        <v>177</v>
      </c>
      <c r="Q1541" s="4" t="s">
        <v>50</v>
      </c>
      <c r="R1541" s="4" t="s">
        <v>40</v>
      </c>
      <c r="S1541" s="4">
        <v>136933</v>
      </c>
      <c r="T1541" s="4">
        <v>72720</v>
      </c>
      <c r="U1541" s="4">
        <v>64213</v>
      </c>
      <c r="V1541" s="4">
        <v>118314</v>
      </c>
      <c r="W1541" s="4">
        <v>12349</v>
      </c>
      <c r="X1541" s="4">
        <v>5240</v>
      </c>
      <c r="Y1541" s="4" t="s">
        <v>41</v>
      </c>
      <c r="Z1541" s="4">
        <v>74</v>
      </c>
      <c r="AA1541" s="4">
        <v>3.8</v>
      </c>
      <c r="AB1541" s="4" t="s">
        <v>64</v>
      </c>
    </row>
    <row r="1542" spans="1:28" x14ac:dyDescent="0.25">
      <c r="A1542" s="2" t="s">
        <v>2318</v>
      </c>
      <c r="B1542" s="2" t="s">
        <v>1744</v>
      </c>
      <c r="C1542" s="2">
        <v>67</v>
      </c>
      <c r="D1542" s="2" t="s">
        <v>30</v>
      </c>
      <c r="E1542" s="2" t="s">
        <v>31</v>
      </c>
      <c r="F1542" s="2" t="s">
        <v>72</v>
      </c>
      <c r="G1542" s="3">
        <v>45215</v>
      </c>
      <c r="H1542" s="3">
        <v>45238</v>
      </c>
      <c r="I1542" s="2">
        <v>23</v>
      </c>
      <c r="J1542" s="2" t="s">
        <v>123</v>
      </c>
      <c r="K1542" s="2" t="s">
        <v>124</v>
      </c>
      <c r="L1542" s="2" t="s">
        <v>125</v>
      </c>
      <c r="M1542" s="2" t="s">
        <v>75</v>
      </c>
      <c r="N1542" s="2" t="s">
        <v>62</v>
      </c>
      <c r="O1542" s="2" t="s">
        <v>217</v>
      </c>
      <c r="P1542" s="2">
        <v>408</v>
      </c>
      <c r="Q1542" s="2" t="s">
        <v>39</v>
      </c>
      <c r="R1542" s="2" t="s">
        <v>111</v>
      </c>
      <c r="S1542" s="2">
        <v>90856</v>
      </c>
      <c r="T1542" s="2">
        <v>75694</v>
      </c>
      <c r="U1542" s="2">
        <v>15162</v>
      </c>
      <c r="V1542" s="2">
        <v>55254</v>
      </c>
      <c r="W1542" s="2">
        <v>22974</v>
      </c>
      <c r="X1542" s="2">
        <v>10765</v>
      </c>
      <c r="Y1542" s="2" t="s">
        <v>41</v>
      </c>
      <c r="Z1542" s="2">
        <v>81</v>
      </c>
      <c r="AA1542" s="2">
        <v>3.3</v>
      </c>
      <c r="AB1542" s="2" t="s">
        <v>104</v>
      </c>
    </row>
    <row r="1543" spans="1:28" x14ac:dyDescent="0.25">
      <c r="A1543" s="4" t="s">
        <v>2319</v>
      </c>
      <c r="B1543" s="4" t="s">
        <v>1050</v>
      </c>
      <c r="C1543" s="4">
        <v>40</v>
      </c>
      <c r="D1543" s="4" t="s">
        <v>55</v>
      </c>
      <c r="E1543" s="4" t="s">
        <v>31</v>
      </c>
      <c r="F1543" s="4" t="s">
        <v>80</v>
      </c>
      <c r="G1543" s="5">
        <v>45497</v>
      </c>
      <c r="H1543" s="5">
        <v>45522</v>
      </c>
      <c r="I1543" s="4">
        <v>25</v>
      </c>
      <c r="J1543" s="4" t="s">
        <v>73</v>
      </c>
      <c r="K1543" s="4" t="s">
        <v>74</v>
      </c>
      <c r="L1543" s="4" t="s">
        <v>73</v>
      </c>
      <c r="M1543" s="4" t="s">
        <v>75</v>
      </c>
      <c r="N1543" s="4" t="s">
        <v>118</v>
      </c>
      <c r="O1543" s="4" t="s">
        <v>382</v>
      </c>
      <c r="P1543" s="4">
        <v>37</v>
      </c>
      <c r="Q1543" s="4" t="s">
        <v>69</v>
      </c>
      <c r="R1543" s="4" t="s">
        <v>111</v>
      </c>
      <c r="S1543" s="4">
        <v>81034</v>
      </c>
      <c r="T1543" s="4">
        <v>56369</v>
      </c>
      <c r="U1543" s="4">
        <v>24665</v>
      </c>
      <c r="V1543" s="4">
        <v>54043</v>
      </c>
      <c r="W1543" s="4">
        <v>23100</v>
      </c>
      <c r="X1543" s="4">
        <v>1825</v>
      </c>
      <c r="Y1543" s="4" t="s">
        <v>41</v>
      </c>
      <c r="Z1543" s="4">
        <v>69</v>
      </c>
      <c r="AA1543" s="4">
        <v>4.2</v>
      </c>
      <c r="AB1543" s="4" t="s">
        <v>52</v>
      </c>
    </row>
    <row r="1544" spans="1:28" x14ac:dyDescent="0.25">
      <c r="A1544" s="2" t="s">
        <v>2320</v>
      </c>
      <c r="B1544" s="2" t="s">
        <v>1198</v>
      </c>
      <c r="C1544" s="2">
        <v>5</v>
      </c>
      <c r="D1544" s="2" t="s">
        <v>30</v>
      </c>
      <c r="E1544" s="2" t="s">
        <v>87</v>
      </c>
      <c r="F1544" s="2" t="s">
        <v>80</v>
      </c>
      <c r="G1544" s="3">
        <v>44574</v>
      </c>
      <c r="H1544" s="3">
        <v>44598</v>
      </c>
      <c r="I1544" s="2">
        <v>24</v>
      </c>
      <c r="J1544" s="2" t="s">
        <v>33</v>
      </c>
      <c r="K1544" s="2" t="s">
        <v>99</v>
      </c>
      <c r="L1544" s="2" t="s">
        <v>100</v>
      </c>
      <c r="M1544" s="2" t="s">
        <v>134</v>
      </c>
      <c r="N1544" s="2" t="s">
        <v>118</v>
      </c>
      <c r="O1544" s="2" t="s">
        <v>131</v>
      </c>
      <c r="P1544" s="2">
        <v>314</v>
      </c>
      <c r="Q1544" s="2" t="s">
        <v>103</v>
      </c>
      <c r="R1544" s="2" t="s">
        <v>40</v>
      </c>
      <c r="S1544" s="2">
        <v>123101</v>
      </c>
      <c r="T1544" s="2">
        <v>64609</v>
      </c>
      <c r="U1544" s="2">
        <v>58492</v>
      </c>
      <c r="V1544" s="2">
        <v>95833</v>
      </c>
      <c r="W1544" s="2">
        <v>15944</v>
      </c>
      <c r="X1544" s="2">
        <v>6691</v>
      </c>
      <c r="Y1544" s="2" t="s">
        <v>41</v>
      </c>
      <c r="Z1544" s="2">
        <v>48</v>
      </c>
      <c r="AA1544" s="2">
        <v>4.3</v>
      </c>
      <c r="AB1544" s="2" t="s">
        <v>64</v>
      </c>
    </row>
    <row r="1545" spans="1:28" x14ac:dyDescent="0.25">
      <c r="A1545" s="4" t="s">
        <v>2321</v>
      </c>
      <c r="B1545" s="4" t="s">
        <v>320</v>
      </c>
      <c r="C1545" s="4">
        <v>46</v>
      </c>
      <c r="D1545" s="4" t="s">
        <v>30</v>
      </c>
      <c r="E1545" s="4" t="s">
        <v>56</v>
      </c>
      <c r="F1545" s="4" t="s">
        <v>72</v>
      </c>
      <c r="G1545" s="5">
        <v>45088</v>
      </c>
      <c r="H1545" s="5">
        <v>45106</v>
      </c>
      <c r="I1545" s="4">
        <v>18</v>
      </c>
      <c r="J1545" s="4" t="s">
        <v>140</v>
      </c>
      <c r="K1545" s="4" t="s">
        <v>167</v>
      </c>
      <c r="L1545" s="4" t="s">
        <v>142</v>
      </c>
      <c r="M1545" s="4" t="s">
        <v>134</v>
      </c>
      <c r="N1545" s="4" t="s">
        <v>109</v>
      </c>
      <c r="O1545" s="4" t="s">
        <v>406</v>
      </c>
      <c r="P1545" s="4">
        <v>299</v>
      </c>
      <c r="Q1545" s="4" t="s">
        <v>50</v>
      </c>
      <c r="R1545" s="4" t="s">
        <v>136</v>
      </c>
      <c r="S1545" s="4">
        <v>54790</v>
      </c>
      <c r="T1545" s="4">
        <v>0</v>
      </c>
      <c r="U1545" s="4">
        <v>54790</v>
      </c>
      <c r="V1545" s="4">
        <v>31429</v>
      </c>
      <c r="W1545" s="4">
        <v>7427</v>
      </c>
      <c r="X1545" s="4">
        <v>13887</v>
      </c>
      <c r="Y1545" s="4" t="s">
        <v>41</v>
      </c>
      <c r="Z1545" s="4">
        <v>87</v>
      </c>
      <c r="AA1545" s="4">
        <v>3</v>
      </c>
      <c r="AB1545" s="4" t="s">
        <v>104</v>
      </c>
    </row>
    <row r="1546" spans="1:28" x14ac:dyDescent="0.25">
      <c r="A1546" s="2" t="s">
        <v>2322</v>
      </c>
      <c r="B1546" s="2" t="s">
        <v>550</v>
      </c>
      <c r="C1546" s="2">
        <v>17</v>
      </c>
      <c r="D1546" s="2" t="s">
        <v>30</v>
      </c>
      <c r="E1546" s="2" t="s">
        <v>31</v>
      </c>
      <c r="F1546" s="2" t="s">
        <v>80</v>
      </c>
      <c r="G1546" s="3">
        <v>44786</v>
      </c>
      <c r="H1546" s="3">
        <v>44816</v>
      </c>
      <c r="I1546" s="2">
        <v>30</v>
      </c>
      <c r="J1546" s="2" t="s">
        <v>33</v>
      </c>
      <c r="K1546" s="2" t="s">
        <v>34</v>
      </c>
      <c r="L1546" s="2" t="s">
        <v>35</v>
      </c>
      <c r="M1546" s="2" t="s">
        <v>101</v>
      </c>
      <c r="N1546" s="2" t="s">
        <v>37</v>
      </c>
      <c r="O1546" s="2" t="s">
        <v>119</v>
      </c>
      <c r="P1546" s="2">
        <v>176</v>
      </c>
      <c r="Q1546" s="2" t="s">
        <v>69</v>
      </c>
      <c r="R1546" s="2" t="s">
        <v>40</v>
      </c>
      <c r="S1546" s="2">
        <v>136442</v>
      </c>
      <c r="T1546" s="2">
        <v>84627</v>
      </c>
      <c r="U1546" s="2">
        <v>51815</v>
      </c>
      <c r="V1546" s="2">
        <v>117430</v>
      </c>
      <c r="W1546" s="2">
        <v>8516</v>
      </c>
      <c r="X1546" s="2">
        <v>7084</v>
      </c>
      <c r="Y1546" s="2" t="s">
        <v>91</v>
      </c>
      <c r="Z1546" s="2">
        <v>94</v>
      </c>
      <c r="AA1546" s="2">
        <v>3</v>
      </c>
      <c r="AB1546" s="2" t="s">
        <v>104</v>
      </c>
    </row>
    <row r="1547" spans="1:28" x14ac:dyDescent="0.25">
      <c r="A1547" s="4" t="s">
        <v>2323</v>
      </c>
      <c r="B1547" s="4" t="s">
        <v>2164</v>
      </c>
      <c r="C1547" s="4">
        <v>67</v>
      </c>
      <c r="D1547" s="4" t="s">
        <v>55</v>
      </c>
      <c r="E1547" s="4" t="s">
        <v>87</v>
      </c>
      <c r="F1547" s="4" t="s">
        <v>129</v>
      </c>
      <c r="G1547" s="5">
        <v>44850</v>
      </c>
      <c r="H1547" s="5">
        <v>44858</v>
      </c>
      <c r="I1547" s="4">
        <v>8</v>
      </c>
      <c r="J1547" s="4" t="s">
        <v>140</v>
      </c>
      <c r="K1547" s="4" t="s">
        <v>167</v>
      </c>
      <c r="L1547" s="4" t="s">
        <v>142</v>
      </c>
      <c r="M1547" s="4" t="s">
        <v>108</v>
      </c>
      <c r="N1547" s="4" t="s">
        <v>37</v>
      </c>
      <c r="O1547" s="4" t="s">
        <v>96</v>
      </c>
      <c r="P1547" s="4">
        <v>445</v>
      </c>
      <c r="Q1547" s="4" t="s">
        <v>69</v>
      </c>
      <c r="R1547" s="4" t="s">
        <v>40</v>
      </c>
      <c r="S1547" s="4">
        <v>74149</v>
      </c>
      <c r="T1547" s="4">
        <v>32152</v>
      </c>
      <c r="U1547" s="4">
        <v>41997</v>
      </c>
      <c r="V1547" s="4">
        <v>50216</v>
      </c>
      <c r="W1547" s="4">
        <v>8093</v>
      </c>
      <c r="X1547" s="4">
        <v>10876</v>
      </c>
      <c r="Y1547" s="4" t="s">
        <v>41</v>
      </c>
      <c r="Z1547" s="4">
        <v>68</v>
      </c>
      <c r="AA1547" s="4">
        <v>2.2000000000000002</v>
      </c>
      <c r="AB1547" s="4" t="s">
        <v>42</v>
      </c>
    </row>
    <row r="1548" spans="1:28" x14ac:dyDescent="0.25">
      <c r="A1548" s="2" t="s">
        <v>2324</v>
      </c>
      <c r="B1548" s="2" t="s">
        <v>54</v>
      </c>
      <c r="C1548" s="2">
        <v>77</v>
      </c>
      <c r="D1548" s="2" t="s">
        <v>55</v>
      </c>
      <c r="E1548" s="2" t="s">
        <v>45</v>
      </c>
      <c r="F1548" s="2" t="s">
        <v>46</v>
      </c>
      <c r="G1548" s="3">
        <v>45469</v>
      </c>
      <c r="H1548" s="3">
        <v>45493</v>
      </c>
      <c r="I1548" s="2">
        <v>24</v>
      </c>
      <c r="J1548" s="2" t="s">
        <v>33</v>
      </c>
      <c r="K1548" s="2" t="s">
        <v>47</v>
      </c>
      <c r="L1548" s="2" t="s">
        <v>48</v>
      </c>
      <c r="M1548" s="2" t="s">
        <v>36</v>
      </c>
      <c r="N1548" s="2" t="s">
        <v>62</v>
      </c>
      <c r="O1548" s="2" t="s">
        <v>331</v>
      </c>
      <c r="P1548" s="2">
        <v>384</v>
      </c>
      <c r="Q1548" s="2" t="s">
        <v>50</v>
      </c>
      <c r="R1548" s="2" t="s">
        <v>51</v>
      </c>
      <c r="S1548" s="2">
        <v>142404</v>
      </c>
      <c r="T1548" s="2">
        <v>95033</v>
      </c>
      <c r="U1548" s="2">
        <v>47371</v>
      </c>
      <c r="V1548" s="2">
        <v>115916</v>
      </c>
      <c r="W1548" s="2">
        <v>9000</v>
      </c>
      <c r="X1548" s="2">
        <v>12909</v>
      </c>
      <c r="Y1548" s="2" t="s">
        <v>41</v>
      </c>
      <c r="Z1548" s="2">
        <v>45</v>
      </c>
      <c r="AA1548" s="2">
        <v>2.9</v>
      </c>
      <c r="AB1548" s="2" t="s">
        <v>64</v>
      </c>
    </row>
    <row r="1549" spans="1:28" x14ac:dyDescent="0.25">
      <c r="A1549" s="4" t="s">
        <v>2325</v>
      </c>
      <c r="B1549" s="4" t="s">
        <v>219</v>
      </c>
      <c r="C1549" s="4">
        <v>7</v>
      </c>
      <c r="D1549" s="4" t="s">
        <v>30</v>
      </c>
      <c r="E1549" s="4" t="s">
        <v>154</v>
      </c>
      <c r="F1549" s="4" t="s">
        <v>32</v>
      </c>
      <c r="G1549" s="5">
        <v>44672</v>
      </c>
      <c r="H1549" s="5">
        <v>44699</v>
      </c>
      <c r="I1549" s="4">
        <v>27</v>
      </c>
      <c r="J1549" s="4" t="s">
        <v>33</v>
      </c>
      <c r="K1549" s="4" t="s">
        <v>81</v>
      </c>
      <c r="L1549" s="4" t="s">
        <v>82</v>
      </c>
      <c r="M1549" s="4" t="s">
        <v>101</v>
      </c>
      <c r="N1549" s="4" t="s">
        <v>118</v>
      </c>
      <c r="O1549" s="4" t="s">
        <v>38</v>
      </c>
      <c r="P1549" s="4">
        <v>121</v>
      </c>
      <c r="Q1549" s="4" t="s">
        <v>69</v>
      </c>
      <c r="R1549" s="4" t="s">
        <v>51</v>
      </c>
      <c r="S1549" s="4">
        <v>34852</v>
      </c>
      <c r="T1549" s="4">
        <v>17055</v>
      </c>
      <c r="U1549" s="4">
        <v>17797</v>
      </c>
      <c r="V1549" s="4">
        <v>9905</v>
      </c>
      <c r="W1549" s="4">
        <v>8977</v>
      </c>
      <c r="X1549" s="4">
        <v>12050</v>
      </c>
      <c r="Y1549" s="4" t="s">
        <v>41</v>
      </c>
      <c r="Z1549" s="4">
        <v>85</v>
      </c>
      <c r="AA1549" s="4">
        <v>2.2999999999999998</v>
      </c>
      <c r="AB1549" s="4" t="s">
        <v>104</v>
      </c>
    </row>
    <row r="1550" spans="1:28" x14ac:dyDescent="0.25">
      <c r="A1550" s="2" t="s">
        <v>2326</v>
      </c>
      <c r="B1550" s="2" t="s">
        <v>659</v>
      </c>
      <c r="C1550" s="2">
        <v>21</v>
      </c>
      <c r="D1550" s="2" t="s">
        <v>55</v>
      </c>
      <c r="E1550" s="2" t="s">
        <v>154</v>
      </c>
      <c r="F1550" s="2" t="s">
        <v>46</v>
      </c>
      <c r="G1550" s="3">
        <v>44717</v>
      </c>
      <c r="H1550" s="3">
        <v>44740</v>
      </c>
      <c r="I1550" s="2">
        <v>23</v>
      </c>
      <c r="J1550" s="2" t="s">
        <v>140</v>
      </c>
      <c r="K1550" s="2" t="s">
        <v>167</v>
      </c>
      <c r="L1550" s="2" t="s">
        <v>142</v>
      </c>
      <c r="M1550" s="2" t="s">
        <v>75</v>
      </c>
      <c r="N1550" s="2" t="s">
        <v>62</v>
      </c>
      <c r="O1550" s="2" t="s">
        <v>373</v>
      </c>
      <c r="P1550" s="2">
        <v>69</v>
      </c>
      <c r="Q1550" s="2" t="s">
        <v>50</v>
      </c>
      <c r="R1550" s="2" t="s">
        <v>111</v>
      </c>
      <c r="S1550" s="2">
        <v>51593</v>
      </c>
      <c r="T1550" s="2">
        <v>39205</v>
      </c>
      <c r="U1550" s="2">
        <v>12388</v>
      </c>
      <c r="V1550" s="2">
        <v>21431</v>
      </c>
      <c r="W1550" s="2">
        <v>14913</v>
      </c>
      <c r="X1550" s="2">
        <v>10894</v>
      </c>
      <c r="Y1550" s="2" t="s">
        <v>41</v>
      </c>
      <c r="Z1550" s="2">
        <v>80</v>
      </c>
      <c r="AA1550" s="2">
        <v>2.6</v>
      </c>
      <c r="AB1550" s="2" t="s">
        <v>104</v>
      </c>
    </row>
    <row r="1551" spans="1:28" x14ac:dyDescent="0.25">
      <c r="A1551" s="4" t="s">
        <v>2327</v>
      </c>
      <c r="B1551" s="4" t="s">
        <v>201</v>
      </c>
      <c r="C1551" s="4">
        <v>82</v>
      </c>
      <c r="D1551" s="4" t="s">
        <v>30</v>
      </c>
      <c r="E1551" s="4" t="s">
        <v>122</v>
      </c>
      <c r="F1551" s="4" t="s">
        <v>32</v>
      </c>
      <c r="G1551" s="5">
        <v>44824</v>
      </c>
      <c r="H1551" s="5">
        <v>44825</v>
      </c>
      <c r="I1551" s="4">
        <v>1</v>
      </c>
      <c r="J1551" s="4" t="s">
        <v>140</v>
      </c>
      <c r="K1551" s="4" t="s">
        <v>167</v>
      </c>
      <c r="L1551" s="4" t="s">
        <v>142</v>
      </c>
      <c r="M1551" s="4" t="s">
        <v>134</v>
      </c>
      <c r="N1551" s="4" t="s">
        <v>37</v>
      </c>
      <c r="O1551" s="4" t="s">
        <v>543</v>
      </c>
      <c r="P1551" s="4">
        <v>371</v>
      </c>
      <c r="Q1551" s="4" t="s">
        <v>39</v>
      </c>
      <c r="R1551" s="4" t="s">
        <v>136</v>
      </c>
      <c r="S1551" s="4">
        <v>93384</v>
      </c>
      <c r="T1551" s="4">
        <v>0</v>
      </c>
      <c r="U1551" s="4">
        <v>93384</v>
      </c>
      <c r="V1551" s="4">
        <v>85068</v>
      </c>
      <c r="W1551" s="4">
        <v>5250</v>
      </c>
      <c r="X1551" s="4">
        <v>2211</v>
      </c>
      <c r="Y1551" s="4" t="s">
        <v>41</v>
      </c>
      <c r="Z1551" s="4">
        <v>44</v>
      </c>
      <c r="AA1551" s="4">
        <v>4.5999999999999996</v>
      </c>
      <c r="AB1551" s="4" t="s">
        <v>104</v>
      </c>
    </row>
    <row r="1552" spans="1:28" x14ac:dyDescent="0.25">
      <c r="A1552" s="2" t="s">
        <v>2328</v>
      </c>
      <c r="B1552" s="2" t="s">
        <v>2329</v>
      </c>
      <c r="C1552" s="2">
        <v>5</v>
      </c>
      <c r="D1552" s="2" t="s">
        <v>55</v>
      </c>
      <c r="E1552" s="2" t="s">
        <v>122</v>
      </c>
      <c r="F1552" s="2" t="s">
        <v>46</v>
      </c>
      <c r="G1552" s="3">
        <v>44788</v>
      </c>
      <c r="H1552" s="3">
        <v>44795</v>
      </c>
      <c r="I1552" s="2">
        <v>7</v>
      </c>
      <c r="J1552" s="2" t="s">
        <v>33</v>
      </c>
      <c r="K1552" s="2" t="s">
        <v>34</v>
      </c>
      <c r="L1552" s="2" t="s">
        <v>35</v>
      </c>
      <c r="M1552" s="2" t="s">
        <v>95</v>
      </c>
      <c r="N1552" s="2" t="s">
        <v>118</v>
      </c>
      <c r="O1552" s="2" t="s">
        <v>416</v>
      </c>
      <c r="P1552" s="2">
        <v>293</v>
      </c>
      <c r="Q1552" s="2" t="s">
        <v>50</v>
      </c>
      <c r="R1552" s="2" t="s">
        <v>40</v>
      </c>
      <c r="S1552" s="2">
        <v>51963</v>
      </c>
      <c r="T1552" s="2">
        <v>31458</v>
      </c>
      <c r="U1552" s="2">
        <v>20505</v>
      </c>
      <c r="V1552" s="2">
        <v>17405</v>
      </c>
      <c r="W1552" s="2">
        <v>24617</v>
      </c>
      <c r="X1552" s="2">
        <v>8239</v>
      </c>
      <c r="Y1552" s="2" t="s">
        <v>91</v>
      </c>
      <c r="Z1552" s="2">
        <v>54</v>
      </c>
      <c r="AA1552" s="2">
        <v>3.8</v>
      </c>
      <c r="AB1552" s="2" t="s">
        <v>52</v>
      </c>
    </row>
    <row r="1553" spans="1:28" x14ac:dyDescent="0.25">
      <c r="A1553" s="4" t="s">
        <v>2330</v>
      </c>
      <c r="B1553" s="4" t="s">
        <v>410</v>
      </c>
      <c r="C1553" s="4">
        <v>21</v>
      </c>
      <c r="D1553" s="4" t="s">
        <v>55</v>
      </c>
      <c r="E1553" s="4" t="s">
        <v>87</v>
      </c>
      <c r="F1553" s="4" t="s">
        <v>114</v>
      </c>
      <c r="G1553" s="5">
        <v>44719</v>
      </c>
      <c r="H1553" s="5">
        <v>44742</v>
      </c>
      <c r="I1553" s="4">
        <v>23</v>
      </c>
      <c r="J1553" s="4" t="s">
        <v>202</v>
      </c>
      <c r="K1553" s="4" t="s">
        <v>225</v>
      </c>
      <c r="L1553" s="4" t="s">
        <v>226</v>
      </c>
      <c r="M1553" s="4" t="s">
        <v>75</v>
      </c>
      <c r="N1553" s="4" t="s">
        <v>37</v>
      </c>
      <c r="O1553" s="4" t="s">
        <v>96</v>
      </c>
      <c r="P1553" s="4">
        <v>252</v>
      </c>
      <c r="Q1553" s="4" t="s">
        <v>103</v>
      </c>
      <c r="R1553" s="4" t="s">
        <v>111</v>
      </c>
      <c r="S1553" s="4">
        <v>148654</v>
      </c>
      <c r="T1553" s="4">
        <v>98903</v>
      </c>
      <c r="U1553" s="4">
        <v>49751</v>
      </c>
      <c r="V1553" s="4">
        <v>119807</v>
      </c>
      <c r="W1553" s="4">
        <v>13159</v>
      </c>
      <c r="X1553" s="4">
        <v>14668</v>
      </c>
      <c r="Y1553" s="4" t="s">
        <v>41</v>
      </c>
      <c r="Z1553" s="4">
        <v>82</v>
      </c>
      <c r="AA1553" s="4">
        <v>2.2000000000000002</v>
      </c>
      <c r="AB1553" s="4" t="s">
        <v>64</v>
      </c>
    </row>
    <row r="1554" spans="1:28" x14ac:dyDescent="0.25">
      <c r="A1554" s="2" t="s">
        <v>2331</v>
      </c>
      <c r="B1554" s="2" t="s">
        <v>186</v>
      </c>
      <c r="C1554" s="2">
        <v>15</v>
      </c>
      <c r="D1554" s="2" t="s">
        <v>55</v>
      </c>
      <c r="E1554" s="2" t="s">
        <v>87</v>
      </c>
      <c r="F1554" s="2" t="s">
        <v>129</v>
      </c>
      <c r="G1554" s="3">
        <v>44647</v>
      </c>
      <c r="H1554" s="3">
        <v>44656</v>
      </c>
      <c r="I1554" s="2">
        <v>9</v>
      </c>
      <c r="J1554" s="2" t="s">
        <v>202</v>
      </c>
      <c r="K1554" s="2" t="s">
        <v>225</v>
      </c>
      <c r="L1554" s="2" t="s">
        <v>226</v>
      </c>
      <c r="M1554" s="2" t="s">
        <v>61</v>
      </c>
      <c r="N1554" s="2" t="s">
        <v>62</v>
      </c>
      <c r="O1554" s="2" t="s">
        <v>399</v>
      </c>
      <c r="P1554" s="2">
        <v>60</v>
      </c>
      <c r="Q1554" s="2" t="s">
        <v>50</v>
      </c>
      <c r="R1554" s="2" t="s">
        <v>136</v>
      </c>
      <c r="S1554" s="2">
        <v>132337</v>
      </c>
      <c r="T1554" s="2">
        <v>0</v>
      </c>
      <c r="U1554" s="2">
        <v>132337</v>
      </c>
      <c r="V1554" s="2">
        <v>94543</v>
      </c>
      <c r="W1554" s="2">
        <v>25224</v>
      </c>
      <c r="X1554" s="2">
        <v>8713</v>
      </c>
      <c r="Y1554" s="2" t="s">
        <v>41</v>
      </c>
      <c r="Z1554" s="2">
        <v>91</v>
      </c>
      <c r="AA1554" s="2">
        <v>4.5</v>
      </c>
      <c r="AB1554" s="2" t="s">
        <v>137</v>
      </c>
    </row>
    <row r="1555" spans="1:28" x14ac:dyDescent="0.25">
      <c r="A1555" s="4" t="s">
        <v>2332</v>
      </c>
      <c r="B1555" s="4" t="s">
        <v>372</v>
      </c>
      <c r="C1555" s="4">
        <v>40</v>
      </c>
      <c r="D1555" s="4" t="s">
        <v>55</v>
      </c>
      <c r="E1555" s="4" t="s">
        <v>122</v>
      </c>
      <c r="F1555" s="4" t="s">
        <v>150</v>
      </c>
      <c r="G1555" s="5">
        <v>45386</v>
      </c>
      <c r="H1555" s="5">
        <v>45411</v>
      </c>
      <c r="I1555" s="4">
        <v>25</v>
      </c>
      <c r="J1555" s="4" t="s">
        <v>58</v>
      </c>
      <c r="K1555" s="4" t="s">
        <v>59</v>
      </c>
      <c r="L1555" s="4" t="s">
        <v>60</v>
      </c>
      <c r="M1555" s="4" t="s">
        <v>61</v>
      </c>
      <c r="N1555" s="4" t="s">
        <v>62</v>
      </c>
      <c r="O1555" s="4" t="s">
        <v>416</v>
      </c>
      <c r="P1555" s="4">
        <v>413</v>
      </c>
      <c r="Q1555" s="4" t="s">
        <v>50</v>
      </c>
      <c r="R1555" s="4" t="s">
        <v>51</v>
      </c>
      <c r="S1555" s="4">
        <v>118223</v>
      </c>
      <c r="T1555" s="4">
        <v>74501</v>
      </c>
      <c r="U1555" s="4">
        <v>43722</v>
      </c>
      <c r="V1555" s="4">
        <v>91888</v>
      </c>
      <c r="W1555" s="4">
        <v>21310</v>
      </c>
      <c r="X1555" s="4">
        <v>3657</v>
      </c>
      <c r="Y1555" s="4" t="s">
        <v>41</v>
      </c>
      <c r="Z1555" s="4">
        <v>60</v>
      </c>
      <c r="AA1555" s="4">
        <v>2.7</v>
      </c>
      <c r="AB1555" s="4" t="s">
        <v>137</v>
      </c>
    </row>
    <row r="1556" spans="1:28" x14ac:dyDescent="0.25">
      <c r="A1556" s="2" t="s">
        <v>2333</v>
      </c>
      <c r="B1556" s="2" t="s">
        <v>570</v>
      </c>
      <c r="C1556" s="2">
        <v>9</v>
      </c>
      <c r="D1556" s="2" t="s">
        <v>30</v>
      </c>
      <c r="E1556" s="2" t="s">
        <v>79</v>
      </c>
      <c r="F1556" s="2" t="s">
        <v>46</v>
      </c>
      <c r="G1556" s="3">
        <v>44953</v>
      </c>
      <c r="H1556" s="3">
        <v>44978</v>
      </c>
      <c r="I1556" s="2">
        <v>25</v>
      </c>
      <c r="J1556" s="2" t="s">
        <v>73</v>
      </c>
      <c r="K1556" s="2" t="s">
        <v>74</v>
      </c>
      <c r="L1556" s="2" t="s">
        <v>73</v>
      </c>
      <c r="M1556" s="2" t="s">
        <v>143</v>
      </c>
      <c r="N1556" s="2" t="s">
        <v>37</v>
      </c>
      <c r="O1556" s="2" t="s">
        <v>337</v>
      </c>
      <c r="P1556" s="2">
        <v>162</v>
      </c>
      <c r="Q1556" s="2" t="s">
        <v>50</v>
      </c>
      <c r="R1556" s="2" t="s">
        <v>90</v>
      </c>
      <c r="S1556" s="2">
        <v>133132</v>
      </c>
      <c r="T1556" s="2">
        <v>113726</v>
      </c>
      <c r="U1556" s="2">
        <v>19406</v>
      </c>
      <c r="V1556" s="2">
        <v>112630</v>
      </c>
      <c r="W1556" s="2">
        <v>8467</v>
      </c>
      <c r="X1556" s="2">
        <v>8963</v>
      </c>
      <c r="Y1556" s="2" t="s">
        <v>41</v>
      </c>
      <c r="Z1556" s="2">
        <v>40</v>
      </c>
      <c r="AA1556" s="2">
        <v>2.4</v>
      </c>
      <c r="AB1556" s="2" t="s">
        <v>104</v>
      </c>
    </row>
    <row r="1557" spans="1:28" x14ac:dyDescent="0.25">
      <c r="A1557" s="4" t="s">
        <v>2334</v>
      </c>
      <c r="B1557" s="4" t="s">
        <v>856</v>
      </c>
      <c r="C1557" s="4">
        <v>14</v>
      </c>
      <c r="D1557" s="4" t="s">
        <v>30</v>
      </c>
      <c r="E1557" s="4" t="s">
        <v>31</v>
      </c>
      <c r="F1557" s="4" t="s">
        <v>150</v>
      </c>
      <c r="G1557" s="5">
        <v>45133</v>
      </c>
      <c r="H1557" s="5">
        <v>45139</v>
      </c>
      <c r="I1557" s="4">
        <v>6</v>
      </c>
      <c r="J1557" s="4" t="s">
        <v>33</v>
      </c>
      <c r="K1557" s="4" t="s">
        <v>197</v>
      </c>
      <c r="L1557" s="4" t="s">
        <v>198</v>
      </c>
      <c r="M1557" s="4" t="s">
        <v>95</v>
      </c>
      <c r="N1557" s="4" t="s">
        <v>118</v>
      </c>
      <c r="O1557" s="4" t="s">
        <v>248</v>
      </c>
      <c r="P1557" s="4">
        <v>345</v>
      </c>
      <c r="Q1557" s="4" t="s">
        <v>50</v>
      </c>
      <c r="R1557" s="4" t="s">
        <v>136</v>
      </c>
      <c r="S1557" s="4">
        <v>120125</v>
      </c>
      <c r="T1557" s="4">
        <v>0</v>
      </c>
      <c r="U1557" s="4">
        <v>120125</v>
      </c>
      <c r="V1557" s="4">
        <v>79033</v>
      </c>
      <c r="W1557" s="4">
        <v>25881</v>
      </c>
      <c r="X1557" s="4">
        <v>14416</v>
      </c>
      <c r="Y1557" s="4" t="s">
        <v>41</v>
      </c>
      <c r="Z1557" s="4">
        <v>100</v>
      </c>
      <c r="AA1557" s="4">
        <v>4.8</v>
      </c>
      <c r="AB1557" s="4" t="s">
        <v>42</v>
      </c>
    </row>
    <row r="1558" spans="1:28" x14ac:dyDescent="0.25">
      <c r="A1558" s="2" t="s">
        <v>2335</v>
      </c>
      <c r="B1558" s="2" t="s">
        <v>948</v>
      </c>
      <c r="C1558" s="2">
        <v>63</v>
      </c>
      <c r="D1558" s="2" t="s">
        <v>30</v>
      </c>
      <c r="E1558" s="2" t="s">
        <v>154</v>
      </c>
      <c r="F1558" s="2" t="s">
        <v>129</v>
      </c>
      <c r="G1558" s="3">
        <v>44778</v>
      </c>
      <c r="H1558" s="3">
        <v>44803</v>
      </c>
      <c r="I1558" s="2">
        <v>25</v>
      </c>
      <c r="J1558" s="2" t="s">
        <v>33</v>
      </c>
      <c r="K1558" s="2" t="s">
        <v>197</v>
      </c>
      <c r="L1558" s="2" t="s">
        <v>198</v>
      </c>
      <c r="M1558" s="2" t="s">
        <v>83</v>
      </c>
      <c r="N1558" s="2" t="s">
        <v>109</v>
      </c>
      <c r="O1558" s="2" t="s">
        <v>428</v>
      </c>
      <c r="P1558" s="2">
        <v>12</v>
      </c>
      <c r="Q1558" s="2" t="s">
        <v>50</v>
      </c>
      <c r="R1558" s="2" t="s">
        <v>111</v>
      </c>
      <c r="S1558" s="2">
        <v>43168</v>
      </c>
      <c r="T1558" s="2">
        <v>29722</v>
      </c>
      <c r="U1558" s="2">
        <v>13446</v>
      </c>
      <c r="V1558" s="2">
        <v>22839</v>
      </c>
      <c r="W1558" s="2">
        <v>5089</v>
      </c>
      <c r="X1558" s="2">
        <v>13317</v>
      </c>
      <c r="Y1558" s="2" t="s">
        <v>91</v>
      </c>
      <c r="Z1558" s="2">
        <v>68</v>
      </c>
      <c r="AA1558" s="2">
        <v>3.1</v>
      </c>
      <c r="AB1558" s="2" t="s">
        <v>137</v>
      </c>
    </row>
    <row r="1559" spans="1:28" x14ac:dyDescent="0.25">
      <c r="A1559" s="4" t="s">
        <v>2336</v>
      </c>
      <c r="B1559" s="4" t="s">
        <v>320</v>
      </c>
      <c r="C1559" s="4">
        <v>40</v>
      </c>
      <c r="D1559" s="4" t="s">
        <v>55</v>
      </c>
      <c r="E1559" s="4" t="s">
        <v>122</v>
      </c>
      <c r="F1559" s="4" t="s">
        <v>46</v>
      </c>
      <c r="G1559" s="5">
        <v>45437</v>
      </c>
      <c r="H1559" s="5">
        <v>45451</v>
      </c>
      <c r="I1559" s="4">
        <v>14</v>
      </c>
      <c r="J1559" s="4" t="s">
        <v>33</v>
      </c>
      <c r="K1559" s="4" t="s">
        <v>174</v>
      </c>
      <c r="L1559" s="4" t="s">
        <v>48</v>
      </c>
      <c r="M1559" s="4" t="s">
        <v>75</v>
      </c>
      <c r="N1559" s="4" t="s">
        <v>37</v>
      </c>
      <c r="O1559" s="4" t="s">
        <v>471</v>
      </c>
      <c r="P1559" s="4">
        <v>77</v>
      </c>
      <c r="Q1559" s="4" t="s">
        <v>103</v>
      </c>
      <c r="R1559" s="4" t="s">
        <v>40</v>
      </c>
      <c r="S1559" s="4">
        <v>111057</v>
      </c>
      <c r="T1559" s="4">
        <v>46398</v>
      </c>
      <c r="U1559" s="4">
        <v>64659</v>
      </c>
      <c r="V1559" s="4">
        <v>81636</v>
      </c>
      <c r="W1559" s="4">
        <v>10850</v>
      </c>
      <c r="X1559" s="4">
        <v>13995</v>
      </c>
      <c r="Y1559" s="4" t="s">
        <v>41</v>
      </c>
      <c r="Z1559" s="4">
        <v>75</v>
      </c>
      <c r="AA1559" s="4">
        <v>3.2</v>
      </c>
      <c r="AB1559" s="4" t="s">
        <v>104</v>
      </c>
    </row>
    <row r="1560" spans="1:28" x14ac:dyDescent="0.25">
      <c r="A1560" s="2" t="s">
        <v>2337</v>
      </c>
      <c r="B1560" s="2" t="s">
        <v>661</v>
      </c>
      <c r="C1560" s="2">
        <v>20</v>
      </c>
      <c r="D1560" s="2" t="s">
        <v>30</v>
      </c>
      <c r="E1560" s="2" t="s">
        <v>87</v>
      </c>
      <c r="F1560" s="2" t="s">
        <v>57</v>
      </c>
      <c r="G1560" s="3">
        <v>45034</v>
      </c>
      <c r="H1560" s="3">
        <v>45042</v>
      </c>
      <c r="I1560" s="2">
        <v>8</v>
      </c>
      <c r="J1560" s="2" t="s">
        <v>123</v>
      </c>
      <c r="K1560" s="2" t="s">
        <v>124</v>
      </c>
      <c r="L1560" s="2" t="s">
        <v>125</v>
      </c>
      <c r="M1560" s="2" t="s">
        <v>83</v>
      </c>
      <c r="N1560" s="2" t="s">
        <v>62</v>
      </c>
      <c r="O1560" s="2" t="s">
        <v>471</v>
      </c>
      <c r="P1560" s="2">
        <v>115</v>
      </c>
      <c r="Q1560" s="2" t="s">
        <v>69</v>
      </c>
      <c r="R1560" s="2" t="s">
        <v>111</v>
      </c>
      <c r="S1560" s="2">
        <v>83570</v>
      </c>
      <c r="T1560" s="2">
        <v>66674</v>
      </c>
      <c r="U1560" s="2">
        <v>16896</v>
      </c>
      <c r="V1560" s="2">
        <v>69034</v>
      </c>
      <c r="W1560" s="2">
        <v>5410</v>
      </c>
      <c r="X1560" s="2">
        <v>5545</v>
      </c>
      <c r="Y1560" s="2" t="s">
        <v>41</v>
      </c>
      <c r="Z1560" s="2">
        <v>76</v>
      </c>
      <c r="AA1560" s="2">
        <v>5</v>
      </c>
      <c r="AB1560" s="2" t="s">
        <v>137</v>
      </c>
    </row>
    <row r="1561" spans="1:28" x14ac:dyDescent="0.25">
      <c r="A1561" s="4" t="s">
        <v>2338</v>
      </c>
      <c r="B1561" s="4" t="s">
        <v>1644</v>
      </c>
      <c r="C1561" s="4">
        <v>81</v>
      </c>
      <c r="D1561" s="4" t="s">
        <v>55</v>
      </c>
      <c r="E1561" s="4" t="s">
        <v>31</v>
      </c>
      <c r="F1561" s="4" t="s">
        <v>57</v>
      </c>
      <c r="G1561" s="5">
        <v>45096</v>
      </c>
      <c r="H1561" s="5">
        <v>45122</v>
      </c>
      <c r="I1561" s="4">
        <v>26</v>
      </c>
      <c r="J1561" s="4" t="s">
        <v>73</v>
      </c>
      <c r="K1561" s="4" t="s">
        <v>74</v>
      </c>
      <c r="L1561" s="4" t="s">
        <v>73</v>
      </c>
      <c r="M1561" s="4" t="s">
        <v>36</v>
      </c>
      <c r="N1561" s="4" t="s">
        <v>37</v>
      </c>
      <c r="O1561" s="4" t="s">
        <v>234</v>
      </c>
      <c r="P1561" s="4">
        <v>305</v>
      </c>
      <c r="Q1561" s="4" t="s">
        <v>39</v>
      </c>
      <c r="R1561" s="4" t="s">
        <v>136</v>
      </c>
      <c r="S1561" s="4">
        <v>151179</v>
      </c>
      <c r="T1561" s="4">
        <v>0</v>
      </c>
      <c r="U1561" s="4">
        <v>151179</v>
      </c>
      <c r="V1561" s="4">
        <v>110891</v>
      </c>
      <c r="W1561" s="4">
        <v>28573</v>
      </c>
      <c r="X1561" s="4">
        <v>9898</v>
      </c>
      <c r="Y1561" s="4" t="s">
        <v>41</v>
      </c>
      <c r="Z1561" s="4">
        <v>41</v>
      </c>
      <c r="AA1561" s="4">
        <v>2.8</v>
      </c>
      <c r="AB1561" s="4" t="s">
        <v>42</v>
      </c>
    </row>
    <row r="1562" spans="1:28" x14ac:dyDescent="0.25">
      <c r="A1562" s="2" t="s">
        <v>2339</v>
      </c>
      <c r="B1562" s="2" t="s">
        <v>1457</v>
      </c>
      <c r="C1562" s="2">
        <v>29</v>
      </c>
      <c r="D1562" s="2" t="s">
        <v>55</v>
      </c>
      <c r="E1562" s="2" t="s">
        <v>56</v>
      </c>
      <c r="F1562" s="2" t="s">
        <v>94</v>
      </c>
      <c r="G1562" s="3">
        <v>45434</v>
      </c>
      <c r="H1562" s="3">
        <v>45459</v>
      </c>
      <c r="I1562" s="2">
        <v>25</v>
      </c>
      <c r="J1562" s="2" t="s">
        <v>58</v>
      </c>
      <c r="K1562" s="2" t="s">
        <v>59</v>
      </c>
      <c r="L1562" s="2" t="s">
        <v>60</v>
      </c>
      <c r="M1562" s="2" t="s">
        <v>143</v>
      </c>
      <c r="N1562" s="2" t="s">
        <v>109</v>
      </c>
      <c r="O1562" s="2" t="s">
        <v>161</v>
      </c>
      <c r="P1562" s="2">
        <v>473</v>
      </c>
      <c r="Q1562" s="2" t="s">
        <v>50</v>
      </c>
      <c r="R1562" s="2" t="s">
        <v>111</v>
      </c>
      <c r="S1562" s="2">
        <v>116961</v>
      </c>
      <c r="T1562" s="2">
        <v>76003</v>
      </c>
      <c r="U1562" s="2">
        <v>40958</v>
      </c>
      <c r="V1562" s="2">
        <v>102408</v>
      </c>
      <c r="W1562" s="2">
        <v>4175</v>
      </c>
      <c r="X1562" s="2">
        <v>8857</v>
      </c>
      <c r="Y1562" s="2" t="s">
        <v>41</v>
      </c>
      <c r="Z1562" s="2">
        <v>45</v>
      </c>
      <c r="AA1562" s="2">
        <v>4.7</v>
      </c>
      <c r="AB1562" s="2" t="s">
        <v>137</v>
      </c>
    </row>
    <row r="1563" spans="1:28" x14ac:dyDescent="0.25">
      <c r="A1563" s="4" t="s">
        <v>2340</v>
      </c>
      <c r="B1563" s="4" t="s">
        <v>268</v>
      </c>
      <c r="C1563" s="4">
        <v>36</v>
      </c>
      <c r="D1563" s="4" t="s">
        <v>30</v>
      </c>
      <c r="E1563" s="4" t="s">
        <v>31</v>
      </c>
      <c r="F1563" s="4" t="s">
        <v>150</v>
      </c>
      <c r="G1563" s="5">
        <v>45116</v>
      </c>
      <c r="H1563" s="5">
        <v>45123</v>
      </c>
      <c r="I1563" s="4">
        <v>7</v>
      </c>
      <c r="J1563" s="4" t="s">
        <v>140</v>
      </c>
      <c r="K1563" s="4" t="s">
        <v>141</v>
      </c>
      <c r="L1563" s="4" t="s">
        <v>142</v>
      </c>
      <c r="M1563" s="4" t="s">
        <v>108</v>
      </c>
      <c r="N1563" s="4" t="s">
        <v>37</v>
      </c>
      <c r="O1563" s="4" t="s">
        <v>246</v>
      </c>
      <c r="P1563" s="4">
        <v>498</v>
      </c>
      <c r="Q1563" s="4" t="s">
        <v>50</v>
      </c>
      <c r="R1563" s="4" t="s">
        <v>40</v>
      </c>
      <c r="S1563" s="4">
        <v>117035</v>
      </c>
      <c r="T1563" s="4">
        <v>77548</v>
      </c>
      <c r="U1563" s="4">
        <v>39487</v>
      </c>
      <c r="V1563" s="4">
        <v>104599</v>
      </c>
      <c r="W1563" s="4">
        <v>5524</v>
      </c>
      <c r="X1563" s="4">
        <v>5664</v>
      </c>
      <c r="Y1563" s="4" t="s">
        <v>41</v>
      </c>
      <c r="Z1563" s="4">
        <v>53</v>
      </c>
      <c r="AA1563" s="4">
        <v>2.4</v>
      </c>
      <c r="AB1563" s="4" t="s">
        <v>52</v>
      </c>
    </row>
    <row r="1564" spans="1:28" x14ac:dyDescent="0.25">
      <c r="A1564" s="2" t="s">
        <v>2341</v>
      </c>
      <c r="B1564" s="2" t="s">
        <v>2097</v>
      </c>
      <c r="C1564" s="2">
        <v>13</v>
      </c>
      <c r="D1564" s="2" t="s">
        <v>55</v>
      </c>
      <c r="E1564" s="2" t="s">
        <v>122</v>
      </c>
      <c r="F1564" s="2" t="s">
        <v>129</v>
      </c>
      <c r="G1564" s="3">
        <v>44618</v>
      </c>
      <c r="H1564" s="3">
        <v>44631</v>
      </c>
      <c r="I1564" s="2">
        <v>13</v>
      </c>
      <c r="J1564" s="2" t="s">
        <v>123</v>
      </c>
      <c r="K1564" s="2" t="s">
        <v>251</v>
      </c>
      <c r="L1564" s="2" t="s">
        <v>125</v>
      </c>
      <c r="M1564" s="2" t="s">
        <v>36</v>
      </c>
      <c r="N1564" s="2" t="s">
        <v>109</v>
      </c>
      <c r="O1564" s="2" t="s">
        <v>431</v>
      </c>
      <c r="P1564" s="2">
        <v>105</v>
      </c>
      <c r="Q1564" s="2" t="s">
        <v>69</v>
      </c>
      <c r="R1564" s="2" t="s">
        <v>90</v>
      </c>
      <c r="S1564" s="2">
        <v>133594</v>
      </c>
      <c r="T1564" s="2">
        <v>83178</v>
      </c>
      <c r="U1564" s="2">
        <v>50416</v>
      </c>
      <c r="V1564" s="2">
        <v>99497</v>
      </c>
      <c r="W1564" s="2">
        <v>29545</v>
      </c>
      <c r="X1564" s="2">
        <v>2606</v>
      </c>
      <c r="Y1564" s="2" t="s">
        <v>41</v>
      </c>
      <c r="Z1564" s="2">
        <v>56</v>
      </c>
      <c r="AA1564" s="2">
        <v>2.5</v>
      </c>
      <c r="AB1564" s="2" t="s">
        <v>137</v>
      </c>
    </row>
    <row r="1565" spans="1:28" x14ac:dyDescent="0.25">
      <c r="A1565" s="4" t="s">
        <v>2342</v>
      </c>
      <c r="B1565" s="4" t="s">
        <v>802</v>
      </c>
      <c r="C1565" s="4">
        <v>36</v>
      </c>
      <c r="D1565" s="4" t="s">
        <v>30</v>
      </c>
      <c r="E1565" s="4" t="s">
        <v>31</v>
      </c>
      <c r="F1565" s="4" t="s">
        <v>94</v>
      </c>
      <c r="G1565" s="5">
        <v>45105</v>
      </c>
      <c r="H1565" s="5">
        <v>45127</v>
      </c>
      <c r="I1565" s="4">
        <v>22</v>
      </c>
      <c r="J1565" s="4" t="s">
        <v>140</v>
      </c>
      <c r="K1565" s="4" t="s">
        <v>141</v>
      </c>
      <c r="L1565" s="4" t="s">
        <v>142</v>
      </c>
      <c r="M1565" s="4" t="s">
        <v>108</v>
      </c>
      <c r="N1565" s="4" t="s">
        <v>62</v>
      </c>
      <c r="O1565" s="4" t="s">
        <v>230</v>
      </c>
      <c r="P1565" s="4">
        <v>56</v>
      </c>
      <c r="Q1565" s="4" t="s">
        <v>50</v>
      </c>
      <c r="R1565" s="4" t="s">
        <v>51</v>
      </c>
      <c r="S1565" s="4">
        <v>110594</v>
      </c>
      <c r="T1565" s="4">
        <v>57943</v>
      </c>
      <c r="U1565" s="4">
        <v>52651</v>
      </c>
      <c r="V1565" s="4">
        <v>86548</v>
      </c>
      <c r="W1565" s="4">
        <v>9851</v>
      </c>
      <c r="X1565" s="4">
        <v>12535</v>
      </c>
      <c r="Y1565" s="4" t="s">
        <v>41</v>
      </c>
      <c r="Z1565" s="4">
        <v>74</v>
      </c>
      <c r="AA1565" s="4">
        <v>2.8</v>
      </c>
      <c r="AB1565" s="4" t="s">
        <v>52</v>
      </c>
    </row>
    <row r="1566" spans="1:28" x14ac:dyDescent="0.25">
      <c r="A1566" s="2" t="s">
        <v>2343</v>
      </c>
      <c r="B1566" s="2" t="s">
        <v>1818</v>
      </c>
      <c r="C1566" s="2">
        <v>61</v>
      </c>
      <c r="D1566" s="2" t="s">
        <v>30</v>
      </c>
      <c r="E1566" s="2" t="s">
        <v>154</v>
      </c>
      <c r="F1566" s="2" t="s">
        <v>114</v>
      </c>
      <c r="G1566" s="3">
        <v>45647</v>
      </c>
      <c r="H1566" s="3">
        <v>45652</v>
      </c>
      <c r="I1566" s="2">
        <v>5</v>
      </c>
      <c r="J1566" s="2" t="s">
        <v>33</v>
      </c>
      <c r="K1566" s="2" t="s">
        <v>233</v>
      </c>
      <c r="L1566" s="2" t="s">
        <v>35</v>
      </c>
      <c r="M1566" s="2" t="s">
        <v>130</v>
      </c>
      <c r="N1566" s="2" t="s">
        <v>62</v>
      </c>
      <c r="O1566" s="2" t="s">
        <v>211</v>
      </c>
      <c r="P1566" s="2">
        <v>298</v>
      </c>
      <c r="Q1566" s="2" t="s">
        <v>50</v>
      </c>
      <c r="R1566" s="2" t="s">
        <v>90</v>
      </c>
      <c r="S1566" s="2">
        <v>85379</v>
      </c>
      <c r="T1566" s="2">
        <v>56218</v>
      </c>
      <c r="U1566" s="2">
        <v>29161</v>
      </c>
      <c r="V1566" s="2">
        <v>52965</v>
      </c>
      <c r="W1566" s="2">
        <v>27183</v>
      </c>
      <c r="X1566" s="2">
        <v>3637</v>
      </c>
      <c r="Y1566" s="2" t="s">
        <v>41</v>
      </c>
      <c r="Z1566" s="2">
        <v>77</v>
      </c>
      <c r="AA1566" s="2">
        <v>2.7</v>
      </c>
      <c r="AB1566" s="2" t="s">
        <v>52</v>
      </c>
    </row>
    <row r="1567" spans="1:28" x14ac:dyDescent="0.25">
      <c r="A1567" s="4" t="s">
        <v>2344</v>
      </c>
      <c r="B1567" s="4" t="s">
        <v>1562</v>
      </c>
      <c r="C1567" s="4">
        <v>31</v>
      </c>
      <c r="D1567" s="4" t="s">
        <v>30</v>
      </c>
      <c r="E1567" s="4" t="s">
        <v>154</v>
      </c>
      <c r="F1567" s="4" t="s">
        <v>94</v>
      </c>
      <c r="G1567" s="5">
        <v>45622</v>
      </c>
      <c r="H1567" s="5">
        <v>45623</v>
      </c>
      <c r="I1567" s="4">
        <v>1</v>
      </c>
      <c r="J1567" s="4" t="s">
        <v>33</v>
      </c>
      <c r="K1567" s="4" t="s">
        <v>47</v>
      </c>
      <c r="L1567" s="4" t="s">
        <v>48</v>
      </c>
      <c r="M1567" s="4" t="s">
        <v>83</v>
      </c>
      <c r="N1567" s="4" t="s">
        <v>118</v>
      </c>
      <c r="O1567" s="4" t="s">
        <v>631</v>
      </c>
      <c r="P1567" s="4">
        <v>367</v>
      </c>
      <c r="Q1567" s="4" t="s">
        <v>69</v>
      </c>
      <c r="R1567" s="4" t="s">
        <v>51</v>
      </c>
      <c r="S1567" s="4">
        <v>158153</v>
      </c>
      <c r="T1567" s="4">
        <v>75561</v>
      </c>
      <c r="U1567" s="4">
        <v>82592</v>
      </c>
      <c r="V1567" s="4">
        <v>123243</v>
      </c>
      <c r="W1567" s="4">
        <v>27486</v>
      </c>
      <c r="X1567" s="4">
        <v>3970</v>
      </c>
      <c r="Y1567" s="4" t="s">
        <v>41</v>
      </c>
      <c r="Z1567" s="4">
        <v>58</v>
      </c>
      <c r="AA1567" s="4">
        <v>4.7</v>
      </c>
      <c r="AB1567" s="4" t="s">
        <v>52</v>
      </c>
    </row>
    <row r="1568" spans="1:28" x14ac:dyDescent="0.25">
      <c r="A1568" s="2" t="s">
        <v>2345</v>
      </c>
      <c r="B1568" s="2" t="s">
        <v>1463</v>
      </c>
      <c r="C1568" s="2">
        <v>65</v>
      </c>
      <c r="D1568" s="2" t="s">
        <v>30</v>
      </c>
      <c r="E1568" s="2" t="s">
        <v>87</v>
      </c>
      <c r="F1568" s="2" t="s">
        <v>150</v>
      </c>
      <c r="G1568" s="3">
        <v>45080</v>
      </c>
      <c r="H1568" s="3">
        <v>45090</v>
      </c>
      <c r="I1568" s="2">
        <v>10</v>
      </c>
      <c r="J1568" s="2" t="s">
        <v>140</v>
      </c>
      <c r="K1568" s="2" t="s">
        <v>167</v>
      </c>
      <c r="L1568" s="2" t="s">
        <v>142</v>
      </c>
      <c r="M1568" s="2" t="s">
        <v>108</v>
      </c>
      <c r="N1568" s="2" t="s">
        <v>118</v>
      </c>
      <c r="O1568" s="2" t="s">
        <v>382</v>
      </c>
      <c r="P1568" s="2">
        <v>18</v>
      </c>
      <c r="Q1568" s="2" t="s">
        <v>50</v>
      </c>
      <c r="R1568" s="2" t="s">
        <v>111</v>
      </c>
      <c r="S1568" s="2">
        <v>108706</v>
      </c>
      <c r="T1568" s="2">
        <v>79402</v>
      </c>
      <c r="U1568" s="2">
        <v>29304</v>
      </c>
      <c r="V1568" s="2">
        <v>79006</v>
      </c>
      <c r="W1568" s="2">
        <v>27435</v>
      </c>
      <c r="X1568" s="2">
        <v>1366</v>
      </c>
      <c r="Y1568" s="2" t="s">
        <v>41</v>
      </c>
      <c r="Z1568" s="2">
        <v>74</v>
      </c>
      <c r="AA1568" s="2">
        <v>4.5999999999999996</v>
      </c>
      <c r="AB1568" s="2" t="s">
        <v>64</v>
      </c>
    </row>
    <row r="1569" spans="1:28" x14ac:dyDescent="0.25">
      <c r="A1569" s="4" t="s">
        <v>2346</v>
      </c>
      <c r="B1569" s="4" t="s">
        <v>2347</v>
      </c>
      <c r="C1569" s="4">
        <v>74</v>
      </c>
      <c r="D1569" s="4" t="s">
        <v>30</v>
      </c>
      <c r="E1569" s="4" t="s">
        <v>154</v>
      </c>
      <c r="F1569" s="4" t="s">
        <v>150</v>
      </c>
      <c r="G1569" s="5">
        <v>45307</v>
      </c>
      <c r="H1569" s="5">
        <v>45333</v>
      </c>
      <c r="I1569" s="4">
        <v>26</v>
      </c>
      <c r="J1569" s="4" t="s">
        <v>58</v>
      </c>
      <c r="K1569" s="4" t="s">
        <v>88</v>
      </c>
      <c r="L1569" s="4" t="s">
        <v>60</v>
      </c>
      <c r="M1569" s="4" t="s">
        <v>83</v>
      </c>
      <c r="N1569" s="4" t="s">
        <v>37</v>
      </c>
      <c r="O1569" s="4" t="s">
        <v>382</v>
      </c>
      <c r="P1569" s="4">
        <v>403</v>
      </c>
      <c r="Q1569" s="4" t="s">
        <v>50</v>
      </c>
      <c r="R1569" s="4" t="s">
        <v>136</v>
      </c>
      <c r="S1569" s="4">
        <v>117622</v>
      </c>
      <c r="T1569" s="4">
        <v>0</v>
      </c>
      <c r="U1569" s="4">
        <v>117622</v>
      </c>
      <c r="V1569" s="4">
        <v>104572</v>
      </c>
      <c r="W1569" s="4">
        <v>1678</v>
      </c>
      <c r="X1569" s="4">
        <v>10048</v>
      </c>
      <c r="Y1569" s="4" t="s">
        <v>91</v>
      </c>
      <c r="Z1569" s="4">
        <v>41</v>
      </c>
      <c r="AA1569" s="4">
        <v>4.7</v>
      </c>
      <c r="AB1569" s="4" t="s">
        <v>52</v>
      </c>
    </row>
    <row r="1570" spans="1:28" x14ac:dyDescent="0.25">
      <c r="A1570" s="2" t="s">
        <v>2348</v>
      </c>
      <c r="B1570" s="2" t="s">
        <v>996</v>
      </c>
      <c r="C1570" s="2">
        <v>25</v>
      </c>
      <c r="D1570" s="2" t="s">
        <v>30</v>
      </c>
      <c r="E1570" s="2" t="s">
        <v>79</v>
      </c>
      <c r="F1570" s="2" t="s">
        <v>80</v>
      </c>
      <c r="G1570" s="3">
        <v>44967</v>
      </c>
      <c r="H1570" s="3">
        <v>44987</v>
      </c>
      <c r="I1570" s="2">
        <v>20</v>
      </c>
      <c r="J1570" s="2" t="s">
        <v>33</v>
      </c>
      <c r="K1570" s="2" t="s">
        <v>81</v>
      </c>
      <c r="L1570" s="2" t="s">
        <v>82</v>
      </c>
      <c r="M1570" s="2" t="s">
        <v>36</v>
      </c>
      <c r="N1570" s="2" t="s">
        <v>37</v>
      </c>
      <c r="O1570" s="2" t="s">
        <v>321</v>
      </c>
      <c r="P1570" s="2">
        <v>427</v>
      </c>
      <c r="Q1570" s="2" t="s">
        <v>39</v>
      </c>
      <c r="R1570" s="2" t="s">
        <v>40</v>
      </c>
      <c r="S1570" s="2">
        <v>92763</v>
      </c>
      <c r="T1570" s="2">
        <v>52791</v>
      </c>
      <c r="U1570" s="2">
        <v>39972</v>
      </c>
      <c r="V1570" s="2">
        <v>71288</v>
      </c>
      <c r="W1570" s="2">
        <v>16359</v>
      </c>
      <c r="X1570" s="2">
        <v>1009</v>
      </c>
      <c r="Y1570" s="2" t="s">
        <v>41</v>
      </c>
      <c r="Z1570" s="2">
        <v>48</v>
      </c>
      <c r="AA1570" s="2">
        <v>3.1</v>
      </c>
      <c r="AB1570" s="2" t="s">
        <v>104</v>
      </c>
    </row>
    <row r="1571" spans="1:28" x14ac:dyDescent="0.25">
      <c r="A1571" s="4" t="s">
        <v>2349</v>
      </c>
      <c r="B1571" s="4" t="s">
        <v>299</v>
      </c>
      <c r="C1571" s="4">
        <v>42</v>
      </c>
      <c r="D1571" s="4" t="s">
        <v>55</v>
      </c>
      <c r="E1571" s="4" t="s">
        <v>56</v>
      </c>
      <c r="F1571" s="4" t="s">
        <v>114</v>
      </c>
      <c r="G1571" s="5">
        <v>44678</v>
      </c>
      <c r="H1571" s="5">
        <v>44685</v>
      </c>
      <c r="I1571" s="4">
        <v>7</v>
      </c>
      <c r="J1571" s="4" t="s">
        <v>140</v>
      </c>
      <c r="K1571" s="4" t="s">
        <v>141</v>
      </c>
      <c r="L1571" s="4" t="s">
        <v>142</v>
      </c>
      <c r="M1571" s="4" t="s">
        <v>130</v>
      </c>
      <c r="N1571" s="4" t="s">
        <v>109</v>
      </c>
      <c r="O1571" s="4" t="s">
        <v>326</v>
      </c>
      <c r="P1571" s="4">
        <v>127</v>
      </c>
      <c r="Q1571" s="4" t="s">
        <v>50</v>
      </c>
      <c r="R1571" s="4" t="s">
        <v>136</v>
      </c>
      <c r="S1571" s="4">
        <v>74635</v>
      </c>
      <c r="T1571" s="4">
        <v>0</v>
      </c>
      <c r="U1571" s="4">
        <v>74635</v>
      </c>
      <c r="V1571" s="4">
        <v>45515</v>
      </c>
      <c r="W1571" s="4">
        <v>16070</v>
      </c>
      <c r="X1571" s="4">
        <v>9622</v>
      </c>
      <c r="Y1571" s="4" t="s">
        <v>41</v>
      </c>
      <c r="Z1571" s="4">
        <v>99</v>
      </c>
      <c r="AA1571" s="4">
        <v>2.7</v>
      </c>
      <c r="AB1571" s="4" t="s">
        <v>104</v>
      </c>
    </row>
    <row r="1572" spans="1:28" x14ac:dyDescent="0.25">
      <c r="A1572" s="2" t="s">
        <v>2350</v>
      </c>
      <c r="B1572" s="2" t="s">
        <v>798</v>
      </c>
      <c r="C1572" s="2">
        <v>80</v>
      </c>
      <c r="D1572" s="2" t="s">
        <v>30</v>
      </c>
      <c r="E1572" s="2" t="s">
        <v>67</v>
      </c>
      <c r="F1572" s="2" t="s">
        <v>46</v>
      </c>
      <c r="G1572" s="3">
        <v>45250</v>
      </c>
      <c r="H1572" s="3">
        <v>45280</v>
      </c>
      <c r="I1572" s="2">
        <v>30</v>
      </c>
      <c r="J1572" s="2" t="s">
        <v>58</v>
      </c>
      <c r="K1572" s="2" t="s">
        <v>59</v>
      </c>
      <c r="L1572" s="2" t="s">
        <v>60</v>
      </c>
      <c r="M1572" s="2" t="s">
        <v>95</v>
      </c>
      <c r="N1572" s="2" t="s">
        <v>118</v>
      </c>
      <c r="O1572" s="2" t="s">
        <v>681</v>
      </c>
      <c r="P1572" s="2">
        <v>449</v>
      </c>
      <c r="Q1572" s="2" t="s">
        <v>69</v>
      </c>
      <c r="R1572" s="2" t="s">
        <v>40</v>
      </c>
      <c r="S1572" s="2">
        <v>152421</v>
      </c>
      <c r="T1572" s="2">
        <v>83512</v>
      </c>
      <c r="U1572" s="2">
        <v>68909</v>
      </c>
      <c r="V1572" s="2">
        <v>122604</v>
      </c>
      <c r="W1572" s="2">
        <v>24761</v>
      </c>
      <c r="X1572" s="2">
        <v>3662</v>
      </c>
      <c r="Y1572" s="2" t="s">
        <v>41</v>
      </c>
      <c r="Z1572" s="2">
        <v>83</v>
      </c>
      <c r="AA1572" s="2">
        <v>4.2</v>
      </c>
      <c r="AB1572" s="2" t="s">
        <v>64</v>
      </c>
    </row>
    <row r="1573" spans="1:28" x14ac:dyDescent="0.25">
      <c r="A1573" s="4" t="s">
        <v>2351</v>
      </c>
      <c r="B1573" s="4" t="s">
        <v>1437</v>
      </c>
      <c r="C1573" s="4">
        <v>72</v>
      </c>
      <c r="D1573" s="4" t="s">
        <v>55</v>
      </c>
      <c r="E1573" s="4" t="s">
        <v>154</v>
      </c>
      <c r="F1573" s="4" t="s">
        <v>129</v>
      </c>
      <c r="G1573" s="5">
        <v>45135</v>
      </c>
      <c r="H1573" s="5">
        <v>45164</v>
      </c>
      <c r="I1573" s="4">
        <v>29</v>
      </c>
      <c r="J1573" s="4" t="s">
        <v>123</v>
      </c>
      <c r="K1573" s="4" t="s">
        <v>251</v>
      </c>
      <c r="L1573" s="4" t="s">
        <v>125</v>
      </c>
      <c r="M1573" s="4" t="s">
        <v>61</v>
      </c>
      <c r="N1573" s="4" t="s">
        <v>109</v>
      </c>
      <c r="O1573" s="4" t="s">
        <v>175</v>
      </c>
      <c r="P1573" s="4">
        <v>244</v>
      </c>
      <c r="Q1573" s="4" t="s">
        <v>103</v>
      </c>
      <c r="R1573" s="4" t="s">
        <v>90</v>
      </c>
      <c r="S1573" s="4">
        <v>156993</v>
      </c>
      <c r="T1573" s="4">
        <v>127658</v>
      </c>
      <c r="U1573" s="4">
        <v>29335</v>
      </c>
      <c r="V1573" s="4">
        <v>126023</v>
      </c>
      <c r="W1573" s="4">
        <v>14390</v>
      </c>
      <c r="X1573" s="4">
        <v>13864</v>
      </c>
      <c r="Y1573" s="4" t="s">
        <v>41</v>
      </c>
      <c r="Z1573" s="4">
        <v>57</v>
      </c>
      <c r="AA1573" s="4">
        <v>4.9000000000000004</v>
      </c>
      <c r="AB1573" s="4" t="s">
        <v>52</v>
      </c>
    </row>
    <row r="1574" spans="1:28" x14ac:dyDescent="0.25">
      <c r="A1574" s="2" t="s">
        <v>2352</v>
      </c>
      <c r="B1574" s="2" t="s">
        <v>573</v>
      </c>
      <c r="C1574" s="2">
        <v>48</v>
      </c>
      <c r="D1574" s="2" t="s">
        <v>30</v>
      </c>
      <c r="E1574" s="2" t="s">
        <v>56</v>
      </c>
      <c r="F1574" s="2" t="s">
        <v>157</v>
      </c>
      <c r="G1574" s="3">
        <v>44896</v>
      </c>
      <c r="H1574" s="3">
        <v>44914</v>
      </c>
      <c r="I1574" s="2">
        <v>18</v>
      </c>
      <c r="J1574" s="2" t="s">
        <v>115</v>
      </c>
      <c r="K1574" s="2" t="s">
        <v>116</v>
      </c>
      <c r="L1574" s="2" t="s">
        <v>117</v>
      </c>
      <c r="M1574" s="2" t="s">
        <v>75</v>
      </c>
      <c r="N1574" s="2" t="s">
        <v>62</v>
      </c>
      <c r="O1574" s="2" t="s">
        <v>76</v>
      </c>
      <c r="P1574" s="2">
        <v>180</v>
      </c>
      <c r="Q1574" s="2" t="s">
        <v>69</v>
      </c>
      <c r="R1574" s="2" t="s">
        <v>40</v>
      </c>
      <c r="S1574" s="2">
        <v>71934</v>
      </c>
      <c r="T1574" s="2">
        <v>29591</v>
      </c>
      <c r="U1574" s="2">
        <v>42343</v>
      </c>
      <c r="V1574" s="2">
        <v>39408</v>
      </c>
      <c r="W1574" s="2">
        <v>18429</v>
      </c>
      <c r="X1574" s="2">
        <v>12271</v>
      </c>
      <c r="Y1574" s="2" t="s">
        <v>41</v>
      </c>
      <c r="Z1574" s="2">
        <v>58</v>
      </c>
      <c r="AA1574" s="2">
        <v>4</v>
      </c>
      <c r="AB1574" s="2" t="s">
        <v>52</v>
      </c>
    </row>
    <row r="1575" spans="1:28" x14ac:dyDescent="0.25">
      <c r="A1575" s="4" t="s">
        <v>2353</v>
      </c>
      <c r="B1575" s="4" t="s">
        <v>991</v>
      </c>
      <c r="C1575" s="4">
        <v>26</v>
      </c>
      <c r="D1575" s="4" t="s">
        <v>55</v>
      </c>
      <c r="E1575" s="4" t="s">
        <v>87</v>
      </c>
      <c r="F1575" s="4" t="s">
        <v>114</v>
      </c>
      <c r="G1575" s="5">
        <v>45566</v>
      </c>
      <c r="H1575" s="5">
        <v>45582</v>
      </c>
      <c r="I1575" s="4">
        <v>16</v>
      </c>
      <c r="J1575" s="4" t="s">
        <v>140</v>
      </c>
      <c r="K1575" s="4" t="s">
        <v>167</v>
      </c>
      <c r="L1575" s="4" t="s">
        <v>142</v>
      </c>
      <c r="M1575" s="4" t="s">
        <v>61</v>
      </c>
      <c r="N1575" s="4" t="s">
        <v>109</v>
      </c>
      <c r="O1575" s="4" t="s">
        <v>461</v>
      </c>
      <c r="P1575" s="4">
        <v>112</v>
      </c>
      <c r="Q1575" s="4" t="s">
        <v>39</v>
      </c>
      <c r="R1575" s="4" t="s">
        <v>111</v>
      </c>
      <c r="S1575" s="4">
        <v>95691</v>
      </c>
      <c r="T1575" s="4">
        <v>77953</v>
      </c>
      <c r="U1575" s="4">
        <v>17738</v>
      </c>
      <c r="V1575" s="4">
        <v>55731</v>
      </c>
      <c r="W1575" s="4">
        <v>24966</v>
      </c>
      <c r="X1575" s="4">
        <v>13403</v>
      </c>
      <c r="Y1575" s="4" t="s">
        <v>41</v>
      </c>
      <c r="Z1575" s="4">
        <v>53</v>
      </c>
      <c r="AA1575" s="4">
        <v>3.8</v>
      </c>
      <c r="AB1575" s="4" t="s">
        <v>42</v>
      </c>
    </row>
    <row r="1576" spans="1:28" x14ac:dyDescent="0.25">
      <c r="A1576" s="2" t="s">
        <v>2354</v>
      </c>
      <c r="B1576" s="2" t="s">
        <v>704</v>
      </c>
      <c r="C1576" s="2">
        <v>49</v>
      </c>
      <c r="D1576" s="2" t="s">
        <v>55</v>
      </c>
      <c r="E1576" s="2" t="s">
        <v>122</v>
      </c>
      <c r="F1576" s="2" t="s">
        <v>57</v>
      </c>
      <c r="G1576" s="3">
        <v>44844</v>
      </c>
      <c r="H1576" s="3">
        <v>44857</v>
      </c>
      <c r="I1576" s="2">
        <v>13</v>
      </c>
      <c r="J1576" s="2" t="s">
        <v>123</v>
      </c>
      <c r="K1576" s="2" t="s">
        <v>251</v>
      </c>
      <c r="L1576" s="2" t="s">
        <v>125</v>
      </c>
      <c r="M1576" s="2" t="s">
        <v>83</v>
      </c>
      <c r="N1576" s="2" t="s">
        <v>109</v>
      </c>
      <c r="O1576" s="2" t="s">
        <v>161</v>
      </c>
      <c r="P1576" s="2">
        <v>100</v>
      </c>
      <c r="Q1576" s="2" t="s">
        <v>50</v>
      </c>
      <c r="R1576" s="2" t="s">
        <v>51</v>
      </c>
      <c r="S1576" s="2">
        <v>149225</v>
      </c>
      <c r="T1576" s="2">
        <v>103170</v>
      </c>
      <c r="U1576" s="2">
        <v>46055</v>
      </c>
      <c r="V1576" s="2">
        <v>106021</v>
      </c>
      <c r="W1576" s="2">
        <v>29744</v>
      </c>
      <c r="X1576" s="2">
        <v>9826</v>
      </c>
      <c r="Y1576" s="2" t="s">
        <v>41</v>
      </c>
      <c r="Z1576" s="2">
        <v>61</v>
      </c>
      <c r="AA1576" s="2">
        <v>2.6</v>
      </c>
      <c r="AB1576" s="2" t="s">
        <v>137</v>
      </c>
    </row>
    <row r="1577" spans="1:28" x14ac:dyDescent="0.25">
      <c r="A1577" s="4" t="s">
        <v>2355</v>
      </c>
      <c r="B1577" s="4" t="s">
        <v>879</v>
      </c>
      <c r="C1577" s="4">
        <v>50</v>
      </c>
      <c r="D1577" s="4" t="s">
        <v>30</v>
      </c>
      <c r="E1577" s="4" t="s">
        <v>31</v>
      </c>
      <c r="F1577" s="4" t="s">
        <v>157</v>
      </c>
      <c r="G1577" s="5">
        <v>44615</v>
      </c>
      <c r="H1577" s="5">
        <v>44627</v>
      </c>
      <c r="I1577" s="4">
        <v>12</v>
      </c>
      <c r="J1577" s="4" t="s">
        <v>123</v>
      </c>
      <c r="K1577" s="4" t="s">
        <v>124</v>
      </c>
      <c r="L1577" s="4" t="s">
        <v>125</v>
      </c>
      <c r="M1577" s="4" t="s">
        <v>75</v>
      </c>
      <c r="N1577" s="4" t="s">
        <v>109</v>
      </c>
      <c r="O1577" s="4" t="s">
        <v>135</v>
      </c>
      <c r="P1577" s="4">
        <v>233</v>
      </c>
      <c r="Q1577" s="4" t="s">
        <v>39</v>
      </c>
      <c r="R1577" s="4" t="s">
        <v>90</v>
      </c>
      <c r="S1577" s="4">
        <v>112940</v>
      </c>
      <c r="T1577" s="4">
        <v>96269</v>
      </c>
      <c r="U1577" s="4">
        <v>16671</v>
      </c>
      <c r="V1577" s="4">
        <v>99726</v>
      </c>
      <c r="W1577" s="4">
        <v>2695</v>
      </c>
      <c r="X1577" s="4">
        <v>8303</v>
      </c>
      <c r="Y1577" s="4" t="s">
        <v>41</v>
      </c>
      <c r="Z1577" s="4">
        <v>94</v>
      </c>
      <c r="AA1577" s="4">
        <v>4.5</v>
      </c>
      <c r="AB1577" s="4" t="s">
        <v>64</v>
      </c>
    </row>
    <row r="1578" spans="1:28" x14ac:dyDescent="0.25">
      <c r="A1578" s="2" t="s">
        <v>2356</v>
      </c>
      <c r="B1578" s="2" t="s">
        <v>446</v>
      </c>
      <c r="C1578" s="2">
        <v>83</v>
      </c>
      <c r="D1578" s="2" t="s">
        <v>30</v>
      </c>
      <c r="E1578" s="2" t="s">
        <v>31</v>
      </c>
      <c r="F1578" s="2" t="s">
        <v>46</v>
      </c>
      <c r="G1578" s="3">
        <v>44737</v>
      </c>
      <c r="H1578" s="3">
        <v>44761</v>
      </c>
      <c r="I1578" s="2">
        <v>24</v>
      </c>
      <c r="J1578" s="2" t="s">
        <v>58</v>
      </c>
      <c r="K1578" s="2" t="s">
        <v>59</v>
      </c>
      <c r="L1578" s="2" t="s">
        <v>60</v>
      </c>
      <c r="M1578" s="2" t="s">
        <v>95</v>
      </c>
      <c r="N1578" s="2" t="s">
        <v>62</v>
      </c>
      <c r="O1578" s="2" t="s">
        <v>331</v>
      </c>
      <c r="P1578" s="2">
        <v>343</v>
      </c>
      <c r="Q1578" s="2" t="s">
        <v>50</v>
      </c>
      <c r="R1578" s="2" t="s">
        <v>51</v>
      </c>
      <c r="S1578" s="2">
        <v>37065</v>
      </c>
      <c r="T1578" s="2">
        <v>20876</v>
      </c>
      <c r="U1578" s="2">
        <v>16189</v>
      </c>
      <c r="V1578" s="2">
        <v>12025</v>
      </c>
      <c r="W1578" s="2">
        <v>18219</v>
      </c>
      <c r="X1578" s="2">
        <v>2947</v>
      </c>
      <c r="Y1578" s="2" t="s">
        <v>91</v>
      </c>
      <c r="Z1578" s="2">
        <v>78</v>
      </c>
      <c r="AA1578" s="2">
        <v>2.2000000000000002</v>
      </c>
      <c r="AB1578" s="2" t="s">
        <v>64</v>
      </c>
    </row>
    <row r="1579" spans="1:28" x14ac:dyDescent="0.25">
      <c r="A1579" s="4" t="s">
        <v>2357</v>
      </c>
      <c r="B1579" s="4" t="s">
        <v>1895</v>
      </c>
      <c r="C1579" s="4">
        <v>76</v>
      </c>
      <c r="D1579" s="4" t="s">
        <v>30</v>
      </c>
      <c r="E1579" s="4" t="s">
        <v>56</v>
      </c>
      <c r="F1579" s="4" t="s">
        <v>129</v>
      </c>
      <c r="G1579" s="5">
        <v>44810</v>
      </c>
      <c r="H1579" s="5">
        <v>44827</v>
      </c>
      <c r="I1579" s="4">
        <v>17</v>
      </c>
      <c r="J1579" s="4" t="s">
        <v>33</v>
      </c>
      <c r="K1579" s="4" t="s">
        <v>278</v>
      </c>
      <c r="L1579" s="4" t="s">
        <v>279</v>
      </c>
      <c r="M1579" s="4" t="s">
        <v>95</v>
      </c>
      <c r="N1579" s="4" t="s">
        <v>109</v>
      </c>
      <c r="O1579" s="4" t="s">
        <v>89</v>
      </c>
      <c r="P1579" s="4">
        <v>330</v>
      </c>
      <c r="Q1579" s="4" t="s">
        <v>50</v>
      </c>
      <c r="R1579" s="4" t="s">
        <v>51</v>
      </c>
      <c r="S1579" s="4">
        <v>142408</v>
      </c>
      <c r="T1579" s="4">
        <v>66985</v>
      </c>
      <c r="U1579" s="4">
        <v>75423</v>
      </c>
      <c r="V1579" s="4">
        <v>113403</v>
      </c>
      <c r="W1579" s="4">
        <v>26310</v>
      </c>
      <c r="X1579" s="4">
        <v>1119</v>
      </c>
      <c r="Y1579" s="4" t="s">
        <v>91</v>
      </c>
      <c r="Z1579" s="4">
        <v>60</v>
      </c>
      <c r="AA1579" s="4">
        <v>4.4000000000000004</v>
      </c>
      <c r="AB1579" s="4" t="s">
        <v>42</v>
      </c>
    </row>
    <row r="1580" spans="1:28" x14ac:dyDescent="0.25">
      <c r="A1580" s="2" t="s">
        <v>2358</v>
      </c>
      <c r="B1580" s="2" t="s">
        <v>1650</v>
      </c>
      <c r="C1580" s="2">
        <v>49</v>
      </c>
      <c r="D1580" s="2" t="s">
        <v>55</v>
      </c>
      <c r="E1580" s="2" t="s">
        <v>87</v>
      </c>
      <c r="F1580" s="2" t="s">
        <v>80</v>
      </c>
      <c r="G1580" s="3">
        <v>45474</v>
      </c>
      <c r="H1580" s="3">
        <v>45500</v>
      </c>
      <c r="I1580" s="2">
        <v>26</v>
      </c>
      <c r="J1580" s="2" t="s">
        <v>33</v>
      </c>
      <c r="K1580" s="2" t="s">
        <v>233</v>
      </c>
      <c r="L1580" s="2" t="s">
        <v>35</v>
      </c>
      <c r="M1580" s="2" t="s">
        <v>61</v>
      </c>
      <c r="N1580" s="2" t="s">
        <v>109</v>
      </c>
      <c r="O1580" s="2" t="s">
        <v>151</v>
      </c>
      <c r="P1580" s="2">
        <v>420</v>
      </c>
      <c r="Q1580" s="2" t="s">
        <v>69</v>
      </c>
      <c r="R1580" s="2" t="s">
        <v>111</v>
      </c>
      <c r="S1580" s="2">
        <v>32802</v>
      </c>
      <c r="T1580" s="2">
        <v>24256</v>
      </c>
      <c r="U1580" s="2">
        <v>8546</v>
      </c>
      <c r="V1580" s="2">
        <v>5793</v>
      </c>
      <c r="W1580" s="2">
        <v>20824</v>
      </c>
      <c r="X1580" s="2">
        <v>5136</v>
      </c>
      <c r="Y1580" s="2" t="s">
        <v>91</v>
      </c>
      <c r="Z1580" s="2">
        <v>90</v>
      </c>
      <c r="AA1580" s="2">
        <v>4.2</v>
      </c>
      <c r="AB1580" s="2" t="s">
        <v>104</v>
      </c>
    </row>
    <row r="1581" spans="1:28" x14ac:dyDescent="0.25">
      <c r="A1581" s="4" t="s">
        <v>2359</v>
      </c>
      <c r="B1581" s="4" t="s">
        <v>874</v>
      </c>
      <c r="C1581" s="4">
        <v>11</v>
      </c>
      <c r="D1581" s="4" t="s">
        <v>30</v>
      </c>
      <c r="E1581" s="4" t="s">
        <v>67</v>
      </c>
      <c r="F1581" s="4" t="s">
        <v>150</v>
      </c>
      <c r="G1581" s="5">
        <v>45277</v>
      </c>
      <c r="H1581" s="5">
        <v>45294</v>
      </c>
      <c r="I1581" s="4">
        <v>17</v>
      </c>
      <c r="J1581" s="4" t="s">
        <v>33</v>
      </c>
      <c r="K1581" s="4" t="s">
        <v>174</v>
      </c>
      <c r="L1581" s="4" t="s">
        <v>48</v>
      </c>
      <c r="M1581" s="4" t="s">
        <v>95</v>
      </c>
      <c r="N1581" s="4" t="s">
        <v>118</v>
      </c>
      <c r="O1581" s="4" t="s">
        <v>321</v>
      </c>
      <c r="P1581" s="4">
        <v>174</v>
      </c>
      <c r="Q1581" s="4" t="s">
        <v>69</v>
      </c>
      <c r="R1581" s="4" t="s">
        <v>136</v>
      </c>
      <c r="S1581" s="4">
        <v>104742</v>
      </c>
      <c r="T1581" s="4">
        <v>0</v>
      </c>
      <c r="U1581" s="4">
        <v>104742</v>
      </c>
      <c r="V1581" s="4">
        <v>92885</v>
      </c>
      <c r="W1581" s="4">
        <v>2412</v>
      </c>
      <c r="X1581" s="4">
        <v>5360</v>
      </c>
      <c r="Y1581" s="4" t="s">
        <v>41</v>
      </c>
      <c r="Z1581" s="4">
        <v>55</v>
      </c>
      <c r="AA1581" s="4">
        <v>3.2</v>
      </c>
      <c r="AB1581" s="4" t="s">
        <v>42</v>
      </c>
    </row>
    <row r="1582" spans="1:28" x14ac:dyDescent="0.25">
      <c r="A1582" s="2" t="s">
        <v>2360</v>
      </c>
      <c r="B1582" s="2" t="s">
        <v>2329</v>
      </c>
      <c r="C1582" s="2">
        <v>21</v>
      </c>
      <c r="D1582" s="2" t="s">
        <v>30</v>
      </c>
      <c r="E1582" s="2" t="s">
        <v>154</v>
      </c>
      <c r="F1582" s="2" t="s">
        <v>94</v>
      </c>
      <c r="G1582" s="3">
        <v>45441</v>
      </c>
      <c r="H1582" s="3">
        <v>45452</v>
      </c>
      <c r="I1582" s="2">
        <v>11</v>
      </c>
      <c r="J1582" s="2" t="s">
        <v>33</v>
      </c>
      <c r="K1582" s="2" t="s">
        <v>34</v>
      </c>
      <c r="L1582" s="2" t="s">
        <v>35</v>
      </c>
      <c r="M1582" s="2" t="s">
        <v>36</v>
      </c>
      <c r="N1582" s="2" t="s">
        <v>118</v>
      </c>
      <c r="O1582" s="2" t="s">
        <v>548</v>
      </c>
      <c r="P1582" s="2">
        <v>158</v>
      </c>
      <c r="Q1582" s="2" t="s">
        <v>39</v>
      </c>
      <c r="R1582" s="2" t="s">
        <v>51</v>
      </c>
      <c r="S1582" s="2">
        <v>116463</v>
      </c>
      <c r="T1582" s="2">
        <v>78495</v>
      </c>
      <c r="U1582" s="2">
        <v>37968</v>
      </c>
      <c r="V1582" s="2">
        <v>75881</v>
      </c>
      <c r="W1582" s="2">
        <v>26081</v>
      </c>
      <c r="X1582" s="2">
        <v>11348</v>
      </c>
      <c r="Y1582" s="2" t="s">
        <v>41</v>
      </c>
      <c r="Z1582" s="2">
        <v>84</v>
      </c>
      <c r="AA1582" s="2">
        <v>2.8</v>
      </c>
      <c r="AB1582" s="2" t="s">
        <v>137</v>
      </c>
    </row>
    <row r="1583" spans="1:28" x14ac:dyDescent="0.25">
      <c r="A1583" s="4" t="s">
        <v>2361</v>
      </c>
      <c r="B1583" s="4" t="s">
        <v>499</v>
      </c>
      <c r="C1583" s="4">
        <v>67</v>
      </c>
      <c r="D1583" s="4" t="s">
        <v>30</v>
      </c>
      <c r="E1583" s="4" t="s">
        <v>79</v>
      </c>
      <c r="F1583" s="4" t="s">
        <v>32</v>
      </c>
      <c r="G1583" s="5">
        <v>45167</v>
      </c>
      <c r="H1583" s="5">
        <v>45187</v>
      </c>
      <c r="I1583" s="4">
        <v>20</v>
      </c>
      <c r="J1583" s="4" t="s">
        <v>115</v>
      </c>
      <c r="K1583" s="4" t="s">
        <v>160</v>
      </c>
      <c r="L1583" s="4" t="s">
        <v>117</v>
      </c>
      <c r="M1583" s="4" t="s">
        <v>134</v>
      </c>
      <c r="N1583" s="4" t="s">
        <v>62</v>
      </c>
      <c r="O1583" s="4" t="s">
        <v>171</v>
      </c>
      <c r="P1583" s="4">
        <v>230</v>
      </c>
      <c r="Q1583" s="4" t="s">
        <v>50</v>
      </c>
      <c r="R1583" s="4" t="s">
        <v>90</v>
      </c>
      <c r="S1583" s="4">
        <v>155540</v>
      </c>
      <c r="T1583" s="4">
        <v>119625</v>
      </c>
      <c r="U1583" s="4">
        <v>35915</v>
      </c>
      <c r="V1583" s="4">
        <v>120767</v>
      </c>
      <c r="W1583" s="4">
        <v>19216</v>
      </c>
      <c r="X1583" s="4">
        <v>11621</v>
      </c>
      <c r="Y1583" s="4" t="s">
        <v>41</v>
      </c>
      <c r="Z1583" s="4">
        <v>95</v>
      </c>
      <c r="AA1583" s="4">
        <v>4.8</v>
      </c>
      <c r="AB1583" s="4" t="s">
        <v>52</v>
      </c>
    </row>
    <row r="1584" spans="1:28" x14ac:dyDescent="0.25">
      <c r="A1584" s="2" t="s">
        <v>2362</v>
      </c>
      <c r="B1584" s="2" t="s">
        <v>1520</v>
      </c>
      <c r="C1584" s="2">
        <v>62</v>
      </c>
      <c r="D1584" s="2" t="s">
        <v>30</v>
      </c>
      <c r="E1584" s="2" t="s">
        <v>56</v>
      </c>
      <c r="F1584" s="2" t="s">
        <v>157</v>
      </c>
      <c r="G1584" s="3">
        <v>44673</v>
      </c>
      <c r="H1584" s="3">
        <v>44686</v>
      </c>
      <c r="I1584" s="2">
        <v>13</v>
      </c>
      <c r="J1584" s="2" t="s">
        <v>33</v>
      </c>
      <c r="K1584" s="2" t="s">
        <v>81</v>
      </c>
      <c r="L1584" s="2" t="s">
        <v>82</v>
      </c>
      <c r="M1584" s="2" t="s">
        <v>143</v>
      </c>
      <c r="N1584" s="2" t="s">
        <v>37</v>
      </c>
      <c r="O1584" s="2" t="s">
        <v>438</v>
      </c>
      <c r="P1584" s="2">
        <v>259</v>
      </c>
      <c r="Q1584" s="2" t="s">
        <v>103</v>
      </c>
      <c r="R1584" s="2" t="s">
        <v>51</v>
      </c>
      <c r="S1584" s="2">
        <v>103479</v>
      </c>
      <c r="T1584" s="2">
        <v>58092</v>
      </c>
      <c r="U1584" s="2">
        <v>45387</v>
      </c>
      <c r="V1584" s="2">
        <v>66905</v>
      </c>
      <c r="W1584" s="2">
        <v>22401</v>
      </c>
      <c r="X1584" s="2">
        <v>9987</v>
      </c>
      <c r="Y1584" s="2" t="s">
        <v>41</v>
      </c>
      <c r="Z1584" s="2">
        <v>53</v>
      </c>
      <c r="AA1584" s="2">
        <v>3.4</v>
      </c>
      <c r="AB1584" s="2" t="s">
        <v>104</v>
      </c>
    </row>
    <row r="1585" spans="1:28" x14ac:dyDescent="0.25">
      <c r="A1585" s="4" t="s">
        <v>2363</v>
      </c>
      <c r="B1585" s="4" t="s">
        <v>919</v>
      </c>
      <c r="C1585" s="4">
        <v>40</v>
      </c>
      <c r="D1585" s="4" t="s">
        <v>55</v>
      </c>
      <c r="E1585" s="4" t="s">
        <v>56</v>
      </c>
      <c r="F1585" s="4" t="s">
        <v>114</v>
      </c>
      <c r="G1585" s="5">
        <v>45106</v>
      </c>
      <c r="H1585" s="5">
        <v>45118</v>
      </c>
      <c r="I1585" s="4">
        <v>12</v>
      </c>
      <c r="J1585" s="4" t="s">
        <v>33</v>
      </c>
      <c r="K1585" s="4" t="s">
        <v>233</v>
      </c>
      <c r="L1585" s="4" t="s">
        <v>35</v>
      </c>
      <c r="M1585" s="4" t="s">
        <v>143</v>
      </c>
      <c r="N1585" s="4" t="s">
        <v>118</v>
      </c>
      <c r="O1585" s="4" t="s">
        <v>102</v>
      </c>
      <c r="P1585" s="4">
        <v>280</v>
      </c>
      <c r="Q1585" s="4" t="s">
        <v>69</v>
      </c>
      <c r="R1585" s="4" t="s">
        <v>136</v>
      </c>
      <c r="S1585" s="4">
        <v>127653</v>
      </c>
      <c r="T1585" s="4">
        <v>0</v>
      </c>
      <c r="U1585" s="4">
        <v>127653</v>
      </c>
      <c r="V1585" s="4">
        <v>120447</v>
      </c>
      <c r="W1585" s="4">
        <v>1089</v>
      </c>
      <c r="X1585" s="4">
        <v>5296</v>
      </c>
      <c r="Y1585" s="4" t="s">
        <v>41</v>
      </c>
      <c r="Z1585" s="4">
        <v>77</v>
      </c>
      <c r="AA1585" s="4">
        <v>2.6</v>
      </c>
      <c r="AB1585" s="4" t="s">
        <v>52</v>
      </c>
    </row>
    <row r="1586" spans="1:28" x14ac:dyDescent="0.25">
      <c r="A1586" s="2" t="s">
        <v>2364</v>
      </c>
      <c r="B1586" s="2" t="s">
        <v>612</v>
      </c>
      <c r="C1586" s="2">
        <v>62</v>
      </c>
      <c r="D1586" s="2" t="s">
        <v>30</v>
      </c>
      <c r="E1586" s="2" t="s">
        <v>67</v>
      </c>
      <c r="F1586" s="2" t="s">
        <v>72</v>
      </c>
      <c r="G1586" s="3">
        <v>44927</v>
      </c>
      <c r="H1586" s="3">
        <v>44941</v>
      </c>
      <c r="I1586" s="2">
        <v>14</v>
      </c>
      <c r="J1586" s="2" t="s">
        <v>33</v>
      </c>
      <c r="K1586" s="2" t="s">
        <v>278</v>
      </c>
      <c r="L1586" s="2" t="s">
        <v>279</v>
      </c>
      <c r="M1586" s="2" t="s">
        <v>130</v>
      </c>
      <c r="N1586" s="2" t="s">
        <v>109</v>
      </c>
      <c r="O1586" s="2" t="s">
        <v>331</v>
      </c>
      <c r="P1586" s="2">
        <v>488</v>
      </c>
      <c r="Q1586" s="2" t="s">
        <v>39</v>
      </c>
      <c r="R1586" s="2" t="s">
        <v>136</v>
      </c>
      <c r="S1586" s="2">
        <v>146258</v>
      </c>
      <c r="T1586" s="2">
        <v>0</v>
      </c>
      <c r="U1586" s="2">
        <v>146258</v>
      </c>
      <c r="V1586" s="2">
        <v>135106</v>
      </c>
      <c r="W1586" s="2">
        <v>4860</v>
      </c>
      <c r="X1586" s="2">
        <v>2809</v>
      </c>
      <c r="Y1586" s="2" t="s">
        <v>41</v>
      </c>
      <c r="Z1586" s="2">
        <v>70</v>
      </c>
      <c r="AA1586" s="2">
        <v>5</v>
      </c>
      <c r="AB1586" s="2" t="s">
        <v>104</v>
      </c>
    </row>
    <row r="1587" spans="1:28" x14ac:dyDescent="0.25">
      <c r="A1587" s="4" t="s">
        <v>2365</v>
      </c>
      <c r="B1587" s="4" t="s">
        <v>232</v>
      </c>
      <c r="C1587" s="4">
        <v>5</v>
      </c>
      <c r="D1587" s="4" t="s">
        <v>55</v>
      </c>
      <c r="E1587" s="4" t="s">
        <v>45</v>
      </c>
      <c r="F1587" s="4" t="s">
        <v>150</v>
      </c>
      <c r="G1587" s="5">
        <v>45598</v>
      </c>
      <c r="H1587" s="5">
        <v>45626</v>
      </c>
      <c r="I1587" s="4">
        <v>28</v>
      </c>
      <c r="J1587" s="4" t="s">
        <v>33</v>
      </c>
      <c r="K1587" s="4" t="s">
        <v>278</v>
      </c>
      <c r="L1587" s="4" t="s">
        <v>279</v>
      </c>
      <c r="M1587" s="4" t="s">
        <v>101</v>
      </c>
      <c r="N1587" s="4" t="s">
        <v>62</v>
      </c>
      <c r="O1587" s="4" t="s">
        <v>248</v>
      </c>
      <c r="P1587" s="4">
        <v>73</v>
      </c>
      <c r="Q1587" s="4" t="s">
        <v>50</v>
      </c>
      <c r="R1587" s="4" t="s">
        <v>40</v>
      </c>
      <c r="S1587" s="4">
        <v>131132</v>
      </c>
      <c r="T1587" s="4">
        <v>53229</v>
      </c>
      <c r="U1587" s="4">
        <v>77903</v>
      </c>
      <c r="V1587" s="4">
        <v>94238</v>
      </c>
      <c r="W1587" s="4">
        <v>26414</v>
      </c>
      <c r="X1587" s="4">
        <v>6862</v>
      </c>
      <c r="Y1587" s="4" t="s">
        <v>41</v>
      </c>
      <c r="Z1587" s="4">
        <v>90</v>
      </c>
      <c r="AA1587" s="4">
        <v>4.2</v>
      </c>
      <c r="AB1587" s="4" t="s">
        <v>104</v>
      </c>
    </row>
    <row r="1588" spans="1:28" x14ac:dyDescent="0.25">
      <c r="A1588" s="2" t="s">
        <v>2366</v>
      </c>
      <c r="B1588" s="2" t="s">
        <v>683</v>
      </c>
      <c r="C1588" s="2">
        <v>67</v>
      </c>
      <c r="D1588" s="2" t="s">
        <v>55</v>
      </c>
      <c r="E1588" s="2" t="s">
        <v>67</v>
      </c>
      <c r="F1588" s="2" t="s">
        <v>72</v>
      </c>
      <c r="G1588" s="3">
        <v>44656</v>
      </c>
      <c r="H1588" s="3">
        <v>44679</v>
      </c>
      <c r="I1588" s="2">
        <v>23</v>
      </c>
      <c r="J1588" s="2" t="s">
        <v>115</v>
      </c>
      <c r="K1588" s="2" t="s">
        <v>160</v>
      </c>
      <c r="L1588" s="2" t="s">
        <v>117</v>
      </c>
      <c r="M1588" s="2" t="s">
        <v>61</v>
      </c>
      <c r="N1588" s="2" t="s">
        <v>118</v>
      </c>
      <c r="O1588" s="2" t="s">
        <v>199</v>
      </c>
      <c r="P1588" s="2">
        <v>421</v>
      </c>
      <c r="Q1588" s="2" t="s">
        <v>103</v>
      </c>
      <c r="R1588" s="2" t="s">
        <v>136</v>
      </c>
      <c r="S1588" s="2">
        <v>74514</v>
      </c>
      <c r="T1588" s="2">
        <v>0</v>
      </c>
      <c r="U1588" s="2">
        <v>74514</v>
      </c>
      <c r="V1588" s="2">
        <v>54557</v>
      </c>
      <c r="W1588" s="2">
        <v>5096</v>
      </c>
      <c r="X1588" s="2">
        <v>10138</v>
      </c>
      <c r="Y1588" s="2" t="s">
        <v>41</v>
      </c>
      <c r="Z1588" s="2">
        <v>86</v>
      </c>
      <c r="AA1588" s="2">
        <v>4.8</v>
      </c>
      <c r="AB1588" s="2" t="s">
        <v>52</v>
      </c>
    </row>
    <row r="1589" spans="1:28" x14ac:dyDescent="0.25">
      <c r="A1589" s="4" t="s">
        <v>2367</v>
      </c>
      <c r="B1589" s="4" t="s">
        <v>277</v>
      </c>
      <c r="C1589" s="4">
        <v>61</v>
      </c>
      <c r="D1589" s="4" t="s">
        <v>30</v>
      </c>
      <c r="E1589" s="4" t="s">
        <v>122</v>
      </c>
      <c r="F1589" s="4" t="s">
        <v>150</v>
      </c>
      <c r="G1589" s="5">
        <v>44651</v>
      </c>
      <c r="H1589" s="5">
        <v>44665</v>
      </c>
      <c r="I1589" s="4">
        <v>14</v>
      </c>
      <c r="J1589" s="4" t="s">
        <v>33</v>
      </c>
      <c r="K1589" s="4" t="s">
        <v>197</v>
      </c>
      <c r="L1589" s="4" t="s">
        <v>198</v>
      </c>
      <c r="M1589" s="4" t="s">
        <v>83</v>
      </c>
      <c r="N1589" s="4" t="s">
        <v>118</v>
      </c>
      <c r="O1589" s="4" t="s">
        <v>376</v>
      </c>
      <c r="P1589" s="4">
        <v>426</v>
      </c>
      <c r="Q1589" s="4" t="s">
        <v>50</v>
      </c>
      <c r="R1589" s="4" t="s">
        <v>40</v>
      </c>
      <c r="S1589" s="4">
        <v>108005</v>
      </c>
      <c r="T1589" s="4">
        <v>75372</v>
      </c>
      <c r="U1589" s="4">
        <v>32633</v>
      </c>
      <c r="V1589" s="4">
        <v>69886</v>
      </c>
      <c r="W1589" s="4">
        <v>29569</v>
      </c>
      <c r="X1589" s="4">
        <v>7793</v>
      </c>
      <c r="Y1589" s="4" t="s">
        <v>41</v>
      </c>
      <c r="Z1589" s="4">
        <v>86</v>
      </c>
      <c r="AA1589" s="4">
        <v>3.8</v>
      </c>
      <c r="AB1589" s="4" t="s">
        <v>137</v>
      </c>
    </row>
    <row r="1590" spans="1:28" x14ac:dyDescent="0.25">
      <c r="A1590" s="2" t="s">
        <v>2368</v>
      </c>
      <c r="B1590" s="2" t="s">
        <v>2222</v>
      </c>
      <c r="C1590" s="2">
        <v>30</v>
      </c>
      <c r="D1590" s="2" t="s">
        <v>30</v>
      </c>
      <c r="E1590" s="2" t="s">
        <v>87</v>
      </c>
      <c r="F1590" s="2" t="s">
        <v>157</v>
      </c>
      <c r="G1590" s="3">
        <v>45343</v>
      </c>
      <c r="H1590" s="3">
        <v>45351</v>
      </c>
      <c r="I1590" s="2">
        <v>8</v>
      </c>
      <c r="J1590" s="2" t="s">
        <v>202</v>
      </c>
      <c r="K1590" s="2" t="s">
        <v>225</v>
      </c>
      <c r="L1590" s="2" t="s">
        <v>226</v>
      </c>
      <c r="M1590" s="2" t="s">
        <v>108</v>
      </c>
      <c r="N1590" s="2" t="s">
        <v>109</v>
      </c>
      <c r="O1590" s="2" t="s">
        <v>49</v>
      </c>
      <c r="P1590" s="2">
        <v>457</v>
      </c>
      <c r="Q1590" s="2" t="s">
        <v>103</v>
      </c>
      <c r="R1590" s="2" t="s">
        <v>111</v>
      </c>
      <c r="S1590" s="2">
        <v>115958</v>
      </c>
      <c r="T1590" s="2">
        <v>78444</v>
      </c>
      <c r="U1590" s="2">
        <v>37514</v>
      </c>
      <c r="V1590" s="2">
        <v>83918</v>
      </c>
      <c r="W1590" s="2">
        <v>28277</v>
      </c>
      <c r="X1590" s="2">
        <v>601</v>
      </c>
      <c r="Y1590" s="2" t="s">
        <v>41</v>
      </c>
      <c r="Z1590" s="2">
        <v>72</v>
      </c>
      <c r="AA1590" s="2">
        <v>3.3</v>
      </c>
      <c r="AB1590" s="2" t="s">
        <v>104</v>
      </c>
    </row>
    <row r="1591" spans="1:28" x14ac:dyDescent="0.25">
      <c r="A1591" s="4" t="s">
        <v>2369</v>
      </c>
      <c r="B1591" s="4" t="s">
        <v>2370</v>
      </c>
      <c r="C1591" s="4">
        <v>42</v>
      </c>
      <c r="D1591" s="4" t="s">
        <v>30</v>
      </c>
      <c r="E1591" s="4" t="s">
        <v>79</v>
      </c>
      <c r="F1591" s="4" t="s">
        <v>157</v>
      </c>
      <c r="G1591" s="5">
        <v>45123</v>
      </c>
      <c r="H1591" s="5">
        <v>45129</v>
      </c>
      <c r="I1591" s="4">
        <v>6</v>
      </c>
      <c r="J1591" s="4" t="s">
        <v>33</v>
      </c>
      <c r="K1591" s="4" t="s">
        <v>174</v>
      </c>
      <c r="L1591" s="4" t="s">
        <v>48</v>
      </c>
      <c r="M1591" s="4" t="s">
        <v>95</v>
      </c>
      <c r="N1591" s="4" t="s">
        <v>109</v>
      </c>
      <c r="O1591" s="4" t="s">
        <v>161</v>
      </c>
      <c r="P1591" s="4">
        <v>56</v>
      </c>
      <c r="Q1591" s="4" t="s">
        <v>103</v>
      </c>
      <c r="R1591" s="4" t="s">
        <v>40</v>
      </c>
      <c r="S1591" s="4">
        <v>137163</v>
      </c>
      <c r="T1591" s="4">
        <v>83095</v>
      </c>
      <c r="U1591" s="4">
        <v>54068</v>
      </c>
      <c r="V1591" s="4">
        <v>114645</v>
      </c>
      <c r="W1591" s="4">
        <v>7790</v>
      </c>
      <c r="X1591" s="4">
        <v>12113</v>
      </c>
      <c r="Y1591" s="4" t="s">
        <v>41</v>
      </c>
      <c r="Z1591" s="4">
        <v>80</v>
      </c>
      <c r="AA1591" s="4">
        <v>2.5</v>
      </c>
      <c r="AB1591" s="4" t="s">
        <v>64</v>
      </c>
    </row>
    <row r="1592" spans="1:28" x14ac:dyDescent="0.25">
      <c r="A1592" s="2" t="s">
        <v>2371</v>
      </c>
      <c r="B1592" s="2" t="s">
        <v>917</v>
      </c>
      <c r="C1592" s="2">
        <v>78</v>
      </c>
      <c r="D1592" s="2" t="s">
        <v>55</v>
      </c>
      <c r="E1592" s="2" t="s">
        <v>56</v>
      </c>
      <c r="F1592" s="2" t="s">
        <v>80</v>
      </c>
      <c r="G1592" s="3">
        <v>44610</v>
      </c>
      <c r="H1592" s="3">
        <v>44611</v>
      </c>
      <c r="I1592" s="2">
        <v>1</v>
      </c>
      <c r="J1592" s="2" t="s">
        <v>33</v>
      </c>
      <c r="K1592" s="2" t="s">
        <v>107</v>
      </c>
      <c r="L1592" s="2" t="s">
        <v>48</v>
      </c>
      <c r="M1592" s="2" t="s">
        <v>61</v>
      </c>
      <c r="N1592" s="2" t="s">
        <v>109</v>
      </c>
      <c r="O1592" s="2" t="s">
        <v>428</v>
      </c>
      <c r="P1592" s="2">
        <v>368</v>
      </c>
      <c r="Q1592" s="2" t="s">
        <v>50</v>
      </c>
      <c r="R1592" s="2" t="s">
        <v>51</v>
      </c>
      <c r="S1592" s="2">
        <v>109549</v>
      </c>
      <c r="T1592" s="2">
        <v>58720</v>
      </c>
      <c r="U1592" s="2">
        <v>50829</v>
      </c>
      <c r="V1592" s="2">
        <v>72781</v>
      </c>
      <c r="W1592" s="2">
        <v>26577</v>
      </c>
      <c r="X1592" s="2">
        <v>6252</v>
      </c>
      <c r="Y1592" s="2" t="s">
        <v>41</v>
      </c>
      <c r="Z1592" s="2">
        <v>44</v>
      </c>
      <c r="AA1592" s="2">
        <v>3.1</v>
      </c>
      <c r="AB1592" s="2" t="s">
        <v>52</v>
      </c>
    </row>
    <row r="1593" spans="1:28" x14ac:dyDescent="0.25">
      <c r="A1593" s="4" t="s">
        <v>2372</v>
      </c>
      <c r="B1593" s="4" t="s">
        <v>665</v>
      </c>
      <c r="C1593" s="4">
        <v>53</v>
      </c>
      <c r="D1593" s="4" t="s">
        <v>30</v>
      </c>
      <c r="E1593" s="4" t="s">
        <v>122</v>
      </c>
      <c r="F1593" s="4" t="s">
        <v>46</v>
      </c>
      <c r="G1593" s="5">
        <v>45208</v>
      </c>
      <c r="H1593" s="5">
        <v>45222</v>
      </c>
      <c r="I1593" s="4">
        <v>14</v>
      </c>
      <c r="J1593" s="4" t="s">
        <v>33</v>
      </c>
      <c r="K1593" s="4" t="s">
        <v>99</v>
      </c>
      <c r="L1593" s="4" t="s">
        <v>100</v>
      </c>
      <c r="M1593" s="4" t="s">
        <v>61</v>
      </c>
      <c r="N1593" s="4" t="s">
        <v>62</v>
      </c>
      <c r="O1593" s="4" t="s">
        <v>230</v>
      </c>
      <c r="P1593" s="4">
        <v>352</v>
      </c>
      <c r="Q1593" s="4" t="s">
        <v>50</v>
      </c>
      <c r="R1593" s="4" t="s">
        <v>136</v>
      </c>
      <c r="S1593" s="4">
        <v>154372</v>
      </c>
      <c r="T1593" s="4">
        <v>0</v>
      </c>
      <c r="U1593" s="4">
        <v>154372</v>
      </c>
      <c r="V1593" s="4">
        <v>120388</v>
      </c>
      <c r="W1593" s="4">
        <v>22394</v>
      </c>
      <c r="X1593" s="4">
        <v>7064</v>
      </c>
      <c r="Y1593" s="4" t="s">
        <v>41</v>
      </c>
      <c r="Z1593" s="4">
        <v>92</v>
      </c>
      <c r="AA1593" s="4">
        <v>4</v>
      </c>
      <c r="AB1593" s="4" t="s">
        <v>137</v>
      </c>
    </row>
    <row r="1594" spans="1:28" x14ac:dyDescent="0.25">
      <c r="A1594" s="2" t="s">
        <v>2373</v>
      </c>
      <c r="B1594" s="2" t="s">
        <v>415</v>
      </c>
      <c r="C1594" s="2">
        <v>52</v>
      </c>
      <c r="D1594" s="2" t="s">
        <v>30</v>
      </c>
      <c r="E1594" s="2" t="s">
        <v>67</v>
      </c>
      <c r="F1594" s="2" t="s">
        <v>114</v>
      </c>
      <c r="G1594" s="3">
        <v>45382</v>
      </c>
      <c r="H1594" s="3">
        <v>45410</v>
      </c>
      <c r="I1594" s="2">
        <v>28</v>
      </c>
      <c r="J1594" s="2" t="s">
        <v>140</v>
      </c>
      <c r="K1594" s="2" t="s">
        <v>167</v>
      </c>
      <c r="L1594" s="2" t="s">
        <v>142</v>
      </c>
      <c r="M1594" s="2" t="s">
        <v>108</v>
      </c>
      <c r="N1594" s="2" t="s">
        <v>62</v>
      </c>
      <c r="O1594" s="2" t="s">
        <v>673</v>
      </c>
      <c r="P1594" s="2">
        <v>65</v>
      </c>
      <c r="Q1594" s="2" t="s">
        <v>69</v>
      </c>
      <c r="R1594" s="2" t="s">
        <v>51</v>
      </c>
      <c r="S1594" s="2">
        <v>136149</v>
      </c>
      <c r="T1594" s="2">
        <v>78399</v>
      </c>
      <c r="U1594" s="2">
        <v>57750</v>
      </c>
      <c r="V1594" s="2">
        <v>94659</v>
      </c>
      <c r="W1594" s="2">
        <v>28848</v>
      </c>
      <c r="X1594" s="2">
        <v>10998</v>
      </c>
      <c r="Y1594" s="2" t="s">
        <v>41</v>
      </c>
      <c r="Z1594" s="2">
        <v>96</v>
      </c>
      <c r="AA1594" s="2">
        <v>3</v>
      </c>
      <c r="AB1594" s="2" t="s">
        <v>64</v>
      </c>
    </row>
    <row r="1595" spans="1:28" x14ac:dyDescent="0.25">
      <c r="A1595" s="4" t="s">
        <v>2374</v>
      </c>
      <c r="B1595" s="4" t="s">
        <v>1503</v>
      </c>
      <c r="C1595" s="4">
        <v>51</v>
      </c>
      <c r="D1595" s="4" t="s">
        <v>55</v>
      </c>
      <c r="E1595" s="4" t="s">
        <v>79</v>
      </c>
      <c r="F1595" s="4" t="s">
        <v>72</v>
      </c>
      <c r="G1595" s="5">
        <v>45625</v>
      </c>
      <c r="H1595" s="5">
        <v>45641</v>
      </c>
      <c r="I1595" s="4">
        <v>16</v>
      </c>
      <c r="J1595" s="4" t="s">
        <v>202</v>
      </c>
      <c r="K1595" s="4" t="s">
        <v>225</v>
      </c>
      <c r="L1595" s="4" t="s">
        <v>226</v>
      </c>
      <c r="M1595" s="4" t="s">
        <v>101</v>
      </c>
      <c r="N1595" s="4" t="s">
        <v>37</v>
      </c>
      <c r="O1595" s="4" t="s">
        <v>331</v>
      </c>
      <c r="P1595" s="4">
        <v>185</v>
      </c>
      <c r="Q1595" s="4" t="s">
        <v>50</v>
      </c>
      <c r="R1595" s="4" t="s">
        <v>136</v>
      </c>
      <c r="S1595" s="4">
        <v>53228</v>
      </c>
      <c r="T1595" s="4">
        <v>0</v>
      </c>
      <c r="U1595" s="4">
        <v>53228</v>
      </c>
      <c r="V1595" s="4">
        <v>42157</v>
      </c>
      <c r="W1595" s="4">
        <v>6459</v>
      </c>
      <c r="X1595" s="4">
        <v>581</v>
      </c>
      <c r="Y1595" s="4" t="s">
        <v>91</v>
      </c>
      <c r="Z1595" s="4">
        <v>84</v>
      </c>
      <c r="AA1595" s="4">
        <v>3.7</v>
      </c>
      <c r="AB1595" s="4" t="s">
        <v>104</v>
      </c>
    </row>
    <row r="1596" spans="1:28" x14ac:dyDescent="0.25">
      <c r="A1596" s="2" t="s">
        <v>2375</v>
      </c>
      <c r="B1596" s="2" t="s">
        <v>1747</v>
      </c>
      <c r="C1596" s="2">
        <v>26</v>
      </c>
      <c r="D1596" s="2" t="s">
        <v>30</v>
      </c>
      <c r="E1596" s="2" t="s">
        <v>31</v>
      </c>
      <c r="F1596" s="2" t="s">
        <v>94</v>
      </c>
      <c r="G1596" s="3">
        <v>45446</v>
      </c>
      <c r="H1596" s="3">
        <v>45472</v>
      </c>
      <c r="I1596" s="2">
        <v>26</v>
      </c>
      <c r="J1596" s="2" t="s">
        <v>140</v>
      </c>
      <c r="K1596" s="2" t="s">
        <v>167</v>
      </c>
      <c r="L1596" s="2" t="s">
        <v>142</v>
      </c>
      <c r="M1596" s="2" t="s">
        <v>130</v>
      </c>
      <c r="N1596" s="2" t="s">
        <v>37</v>
      </c>
      <c r="O1596" s="2" t="s">
        <v>591</v>
      </c>
      <c r="P1596" s="2">
        <v>157</v>
      </c>
      <c r="Q1596" s="2" t="s">
        <v>103</v>
      </c>
      <c r="R1596" s="2" t="s">
        <v>111</v>
      </c>
      <c r="S1596" s="2">
        <v>81764</v>
      </c>
      <c r="T1596" s="2">
        <v>53038</v>
      </c>
      <c r="U1596" s="2">
        <v>28726</v>
      </c>
      <c r="V1596" s="2">
        <v>57997</v>
      </c>
      <c r="W1596" s="2">
        <v>20141</v>
      </c>
      <c r="X1596" s="2">
        <v>1113</v>
      </c>
      <c r="Y1596" s="2" t="s">
        <v>41</v>
      </c>
      <c r="Z1596" s="2">
        <v>56</v>
      </c>
      <c r="AA1596" s="2">
        <v>2.7</v>
      </c>
      <c r="AB1596" s="2" t="s">
        <v>64</v>
      </c>
    </row>
    <row r="1597" spans="1:28" x14ac:dyDescent="0.25">
      <c r="A1597" s="4" t="s">
        <v>2376</v>
      </c>
      <c r="B1597" s="4" t="s">
        <v>2377</v>
      </c>
      <c r="C1597" s="4">
        <v>29</v>
      </c>
      <c r="D1597" s="4" t="s">
        <v>55</v>
      </c>
      <c r="E1597" s="4" t="s">
        <v>31</v>
      </c>
      <c r="F1597" s="4" t="s">
        <v>57</v>
      </c>
      <c r="G1597" s="5">
        <v>44723</v>
      </c>
      <c r="H1597" s="5">
        <v>44727</v>
      </c>
      <c r="I1597" s="4">
        <v>4</v>
      </c>
      <c r="J1597" s="4" t="s">
        <v>33</v>
      </c>
      <c r="K1597" s="4" t="s">
        <v>34</v>
      </c>
      <c r="L1597" s="4" t="s">
        <v>35</v>
      </c>
      <c r="M1597" s="4" t="s">
        <v>134</v>
      </c>
      <c r="N1597" s="4" t="s">
        <v>62</v>
      </c>
      <c r="O1597" s="4" t="s">
        <v>390</v>
      </c>
      <c r="P1597" s="4">
        <v>129</v>
      </c>
      <c r="Q1597" s="4" t="s">
        <v>50</v>
      </c>
      <c r="R1597" s="4" t="s">
        <v>136</v>
      </c>
      <c r="S1597" s="4">
        <v>168724</v>
      </c>
      <c r="T1597" s="4">
        <v>0</v>
      </c>
      <c r="U1597" s="4">
        <v>168724</v>
      </c>
      <c r="V1597" s="4">
        <v>142119</v>
      </c>
      <c r="W1597" s="4">
        <v>17323</v>
      </c>
      <c r="X1597" s="4">
        <v>5739</v>
      </c>
      <c r="Y1597" s="4" t="s">
        <v>91</v>
      </c>
      <c r="Z1597" s="4">
        <v>58</v>
      </c>
      <c r="AA1597" s="4">
        <v>3.1</v>
      </c>
      <c r="AB1597" s="4" t="s">
        <v>42</v>
      </c>
    </row>
    <row r="1598" spans="1:28" x14ac:dyDescent="0.25">
      <c r="A1598" s="2" t="s">
        <v>2378</v>
      </c>
      <c r="B1598" s="2" t="s">
        <v>752</v>
      </c>
      <c r="C1598" s="2">
        <v>48</v>
      </c>
      <c r="D1598" s="2" t="s">
        <v>55</v>
      </c>
      <c r="E1598" s="2" t="s">
        <v>79</v>
      </c>
      <c r="F1598" s="2" t="s">
        <v>32</v>
      </c>
      <c r="G1598" s="3">
        <v>45405</v>
      </c>
      <c r="H1598" s="3">
        <v>45425</v>
      </c>
      <c r="I1598" s="2">
        <v>20</v>
      </c>
      <c r="J1598" s="2" t="s">
        <v>33</v>
      </c>
      <c r="K1598" s="2" t="s">
        <v>107</v>
      </c>
      <c r="L1598" s="2" t="s">
        <v>48</v>
      </c>
      <c r="M1598" s="2" t="s">
        <v>95</v>
      </c>
      <c r="N1598" s="2" t="s">
        <v>37</v>
      </c>
      <c r="O1598" s="2" t="s">
        <v>358</v>
      </c>
      <c r="P1598" s="2">
        <v>163</v>
      </c>
      <c r="Q1598" s="2" t="s">
        <v>69</v>
      </c>
      <c r="R1598" s="2" t="s">
        <v>111</v>
      </c>
      <c r="S1598" s="2">
        <v>171489</v>
      </c>
      <c r="T1598" s="2">
        <v>126367</v>
      </c>
      <c r="U1598" s="2">
        <v>45122</v>
      </c>
      <c r="V1598" s="2">
        <v>148184</v>
      </c>
      <c r="W1598" s="2">
        <v>7544</v>
      </c>
      <c r="X1598" s="2">
        <v>11152</v>
      </c>
      <c r="Y1598" s="2" t="s">
        <v>41</v>
      </c>
      <c r="Z1598" s="2">
        <v>82</v>
      </c>
      <c r="AA1598" s="2">
        <v>2.7</v>
      </c>
      <c r="AB1598" s="2" t="s">
        <v>52</v>
      </c>
    </row>
    <row r="1599" spans="1:28" x14ac:dyDescent="0.25">
      <c r="A1599" s="4" t="s">
        <v>2379</v>
      </c>
      <c r="B1599" s="4" t="s">
        <v>408</v>
      </c>
      <c r="C1599" s="4">
        <v>84</v>
      </c>
      <c r="D1599" s="4" t="s">
        <v>30</v>
      </c>
      <c r="E1599" s="4" t="s">
        <v>31</v>
      </c>
      <c r="F1599" s="4" t="s">
        <v>32</v>
      </c>
      <c r="G1599" s="5">
        <v>45289</v>
      </c>
      <c r="H1599" s="5">
        <v>45312</v>
      </c>
      <c r="I1599" s="4">
        <v>23</v>
      </c>
      <c r="J1599" s="4" t="s">
        <v>33</v>
      </c>
      <c r="K1599" s="4" t="s">
        <v>99</v>
      </c>
      <c r="L1599" s="4" t="s">
        <v>100</v>
      </c>
      <c r="M1599" s="4" t="s">
        <v>134</v>
      </c>
      <c r="N1599" s="4" t="s">
        <v>62</v>
      </c>
      <c r="O1599" s="4" t="s">
        <v>681</v>
      </c>
      <c r="P1599" s="4">
        <v>473</v>
      </c>
      <c r="Q1599" s="4" t="s">
        <v>39</v>
      </c>
      <c r="R1599" s="4" t="s">
        <v>136</v>
      </c>
      <c r="S1599" s="4">
        <v>122322</v>
      </c>
      <c r="T1599" s="4">
        <v>0</v>
      </c>
      <c r="U1599" s="4">
        <v>122322</v>
      </c>
      <c r="V1599" s="4">
        <v>106469</v>
      </c>
      <c r="W1599" s="4">
        <v>2504</v>
      </c>
      <c r="X1599" s="4">
        <v>11845</v>
      </c>
      <c r="Y1599" s="4" t="s">
        <v>41</v>
      </c>
      <c r="Z1599" s="4">
        <v>87</v>
      </c>
      <c r="AA1599" s="4">
        <v>3.7</v>
      </c>
      <c r="AB1599" s="4" t="s">
        <v>104</v>
      </c>
    </row>
    <row r="1600" spans="1:28" x14ac:dyDescent="0.25">
      <c r="A1600" s="2" t="s">
        <v>2380</v>
      </c>
      <c r="B1600" s="2" t="s">
        <v>693</v>
      </c>
      <c r="C1600" s="2">
        <v>21</v>
      </c>
      <c r="D1600" s="2" t="s">
        <v>30</v>
      </c>
      <c r="E1600" s="2" t="s">
        <v>67</v>
      </c>
      <c r="F1600" s="2" t="s">
        <v>72</v>
      </c>
      <c r="G1600" s="3">
        <v>45189</v>
      </c>
      <c r="H1600" s="3">
        <v>45210</v>
      </c>
      <c r="I1600" s="2">
        <v>21</v>
      </c>
      <c r="J1600" s="2" t="s">
        <v>33</v>
      </c>
      <c r="K1600" s="2" t="s">
        <v>174</v>
      </c>
      <c r="L1600" s="2" t="s">
        <v>48</v>
      </c>
      <c r="M1600" s="2" t="s">
        <v>143</v>
      </c>
      <c r="N1600" s="2" t="s">
        <v>109</v>
      </c>
      <c r="O1600" s="2" t="s">
        <v>285</v>
      </c>
      <c r="P1600" s="2">
        <v>146</v>
      </c>
      <c r="Q1600" s="2" t="s">
        <v>39</v>
      </c>
      <c r="R1600" s="2" t="s">
        <v>111</v>
      </c>
      <c r="S1600" s="2">
        <v>179746</v>
      </c>
      <c r="T1600" s="2">
        <v>134014</v>
      </c>
      <c r="U1600" s="2">
        <v>45732</v>
      </c>
      <c r="V1600" s="2">
        <v>142680</v>
      </c>
      <c r="W1600" s="2">
        <v>29180</v>
      </c>
      <c r="X1600" s="2">
        <v>6429</v>
      </c>
      <c r="Y1600" s="2" t="s">
        <v>41</v>
      </c>
      <c r="Z1600" s="2">
        <v>52</v>
      </c>
      <c r="AA1600" s="2">
        <v>3.3</v>
      </c>
      <c r="AB1600" s="2" t="s">
        <v>42</v>
      </c>
    </row>
    <row r="1601" spans="1:28" x14ac:dyDescent="0.25">
      <c r="A1601" s="4" t="s">
        <v>2381</v>
      </c>
      <c r="B1601" s="4" t="s">
        <v>623</v>
      </c>
      <c r="C1601" s="4">
        <v>11</v>
      </c>
      <c r="D1601" s="4" t="s">
        <v>55</v>
      </c>
      <c r="E1601" s="4" t="s">
        <v>122</v>
      </c>
      <c r="F1601" s="4" t="s">
        <v>129</v>
      </c>
      <c r="G1601" s="5">
        <v>45574</v>
      </c>
      <c r="H1601" s="5">
        <v>45601</v>
      </c>
      <c r="I1601" s="4">
        <v>27</v>
      </c>
      <c r="J1601" s="4" t="s">
        <v>202</v>
      </c>
      <c r="K1601" s="4" t="s">
        <v>203</v>
      </c>
      <c r="L1601" s="4" t="s">
        <v>204</v>
      </c>
      <c r="M1601" s="4" t="s">
        <v>130</v>
      </c>
      <c r="N1601" s="4" t="s">
        <v>118</v>
      </c>
      <c r="O1601" s="4" t="s">
        <v>548</v>
      </c>
      <c r="P1601" s="4">
        <v>97</v>
      </c>
      <c r="Q1601" s="4" t="s">
        <v>103</v>
      </c>
      <c r="R1601" s="4" t="s">
        <v>40</v>
      </c>
      <c r="S1601" s="4">
        <v>42679</v>
      </c>
      <c r="T1601" s="4">
        <v>25227</v>
      </c>
      <c r="U1601" s="4">
        <v>17452</v>
      </c>
      <c r="V1601" s="4">
        <v>31439</v>
      </c>
      <c r="W1601" s="4">
        <v>5214</v>
      </c>
      <c r="X1601" s="4">
        <v>2534</v>
      </c>
      <c r="Y1601" s="4" t="s">
        <v>41</v>
      </c>
      <c r="Z1601" s="4">
        <v>80</v>
      </c>
      <c r="AA1601" s="4">
        <v>2.8</v>
      </c>
      <c r="AB1601" s="4" t="s">
        <v>52</v>
      </c>
    </row>
    <row r="1602" spans="1:28" x14ac:dyDescent="0.25">
      <c r="A1602" s="2" t="s">
        <v>2382</v>
      </c>
      <c r="B1602" s="2" t="s">
        <v>573</v>
      </c>
      <c r="C1602" s="2">
        <v>26</v>
      </c>
      <c r="D1602" s="2" t="s">
        <v>30</v>
      </c>
      <c r="E1602" s="2" t="s">
        <v>79</v>
      </c>
      <c r="F1602" s="2" t="s">
        <v>114</v>
      </c>
      <c r="G1602" s="3">
        <v>44936</v>
      </c>
      <c r="H1602" s="3">
        <v>44941</v>
      </c>
      <c r="I1602" s="2">
        <v>5</v>
      </c>
      <c r="J1602" s="2" t="s">
        <v>33</v>
      </c>
      <c r="K1602" s="2" t="s">
        <v>197</v>
      </c>
      <c r="L1602" s="2" t="s">
        <v>198</v>
      </c>
      <c r="M1602" s="2" t="s">
        <v>108</v>
      </c>
      <c r="N1602" s="2" t="s">
        <v>118</v>
      </c>
      <c r="O1602" s="2" t="s">
        <v>171</v>
      </c>
      <c r="P1602" s="2">
        <v>112</v>
      </c>
      <c r="Q1602" s="2" t="s">
        <v>39</v>
      </c>
      <c r="R1602" s="2" t="s">
        <v>51</v>
      </c>
      <c r="S1602" s="2">
        <v>90908</v>
      </c>
      <c r="T1602" s="2">
        <v>50597</v>
      </c>
      <c r="U1602" s="2">
        <v>40311</v>
      </c>
      <c r="V1602" s="2">
        <v>60610</v>
      </c>
      <c r="W1602" s="2">
        <v>23220</v>
      </c>
      <c r="X1602" s="2">
        <v>6280</v>
      </c>
      <c r="Y1602" s="2" t="s">
        <v>41</v>
      </c>
      <c r="Z1602" s="2">
        <v>86</v>
      </c>
      <c r="AA1602" s="2">
        <v>2.4</v>
      </c>
      <c r="AB1602" s="2" t="s">
        <v>64</v>
      </c>
    </row>
    <row r="1603" spans="1:28" x14ac:dyDescent="0.25">
      <c r="A1603" s="4" t="s">
        <v>2383</v>
      </c>
      <c r="B1603" s="4" t="s">
        <v>709</v>
      </c>
      <c r="C1603" s="4">
        <v>73</v>
      </c>
      <c r="D1603" s="4" t="s">
        <v>55</v>
      </c>
      <c r="E1603" s="4" t="s">
        <v>79</v>
      </c>
      <c r="F1603" s="4" t="s">
        <v>57</v>
      </c>
      <c r="G1603" s="5">
        <v>45043</v>
      </c>
      <c r="H1603" s="5">
        <v>45045</v>
      </c>
      <c r="I1603" s="4">
        <v>2</v>
      </c>
      <c r="J1603" s="4" t="s">
        <v>33</v>
      </c>
      <c r="K1603" s="4" t="s">
        <v>174</v>
      </c>
      <c r="L1603" s="4" t="s">
        <v>48</v>
      </c>
      <c r="M1603" s="4" t="s">
        <v>95</v>
      </c>
      <c r="N1603" s="4" t="s">
        <v>118</v>
      </c>
      <c r="O1603" s="4" t="s">
        <v>161</v>
      </c>
      <c r="P1603" s="4">
        <v>458</v>
      </c>
      <c r="Q1603" s="4" t="s">
        <v>39</v>
      </c>
      <c r="R1603" s="4" t="s">
        <v>90</v>
      </c>
      <c r="S1603" s="4">
        <v>81943</v>
      </c>
      <c r="T1603" s="4">
        <v>56480</v>
      </c>
      <c r="U1603" s="4">
        <v>25463</v>
      </c>
      <c r="V1603" s="4">
        <v>41999</v>
      </c>
      <c r="W1603" s="4">
        <v>29971</v>
      </c>
      <c r="X1603" s="4">
        <v>5138</v>
      </c>
      <c r="Y1603" s="4" t="s">
        <v>41</v>
      </c>
      <c r="Z1603" s="4">
        <v>62</v>
      </c>
      <c r="AA1603" s="4">
        <v>2.1</v>
      </c>
      <c r="AB1603" s="4" t="s">
        <v>52</v>
      </c>
    </row>
    <row r="1604" spans="1:28" x14ac:dyDescent="0.25">
      <c r="A1604" s="2" t="s">
        <v>2384</v>
      </c>
      <c r="B1604" s="2" t="s">
        <v>263</v>
      </c>
      <c r="C1604" s="2">
        <v>81</v>
      </c>
      <c r="D1604" s="2" t="s">
        <v>55</v>
      </c>
      <c r="E1604" s="2" t="s">
        <v>31</v>
      </c>
      <c r="F1604" s="2" t="s">
        <v>129</v>
      </c>
      <c r="G1604" s="3">
        <v>45617</v>
      </c>
      <c r="H1604" s="3">
        <v>45619</v>
      </c>
      <c r="I1604" s="2">
        <v>2</v>
      </c>
      <c r="J1604" s="2" t="s">
        <v>33</v>
      </c>
      <c r="K1604" s="2" t="s">
        <v>278</v>
      </c>
      <c r="L1604" s="2" t="s">
        <v>279</v>
      </c>
      <c r="M1604" s="2" t="s">
        <v>101</v>
      </c>
      <c r="N1604" s="2" t="s">
        <v>37</v>
      </c>
      <c r="O1604" s="2" t="s">
        <v>208</v>
      </c>
      <c r="P1604" s="2">
        <v>136</v>
      </c>
      <c r="Q1604" s="2" t="s">
        <v>50</v>
      </c>
      <c r="R1604" s="2" t="s">
        <v>90</v>
      </c>
      <c r="S1604" s="2">
        <v>116069</v>
      </c>
      <c r="T1604" s="2">
        <v>70479</v>
      </c>
      <c r="U1604" s="2">
        <v>45590</v>
      </c>
      <c r="V1604" s="2">
        <v>84240</v>
      </c>
      <c r="W1604" s="2">
        <v>26812</v>
      </c>
      <c r="X1604" s="2">
        <v>3813</v>
      </c>
      <c r="Y1604" s="2" t="s">
        <v>41</v>
      </c>
      <c r="Z1604" s="2">
        <v>69</v>
      </c>
      <c r="AA1604" s="2">
        <v>3.5</v>
      </c>
      <c r="AB1604" s="2" t="s">
        <v>42</v>
      </c>
    </row>
    <row r="1605" spans="1:28" x14ac:dyDescent="0.25">
      <c r="A1605" s="4" t="s">
        <v>2385</v>
      </c>
      <c r="B1605" s="4" t="s">
        <v>564</v>
      </c>
      <c r="C1605" s="4">
        <v>47</v>
      </c>
      <c r="D1605" s="4" t="s">
        <v>55</v>
      </c>
      <c r="E1605" s="4" t="s">
        <v>154</v>
      </c>
      <c r="F1605" s="4" t="s">
        <v>150</v>
      </c>
      <c r="G1605" s="5">
        <v>45534</v>
      </c>
      <c r="H1605" s="5">
        <v>45555</v>
      </c>
      <c r="I1605" s="4">
        <v>21</v>
      </c>
      <c r="J1605" s="4" t="s">
        <v>73</v>
      </c>
      <c r="K1605" s="4" t="s">
        <v>74</v>
      </c>
      <c r="L1605" s="4" t="s">
        <v>73</v>
      </c>
      <c r="M1605" s="4" t="s">
        <v>108</v>
      </c>
      <c r="N1605" s="4" t="s">
        <v>118</v>
      </c>
      <c r="O1605" s="4" t="s">
        <v>461</v>
      </c>
      <c r="P1605" s="4">
        <v>226</v>
      </c>
      <c r="Q1605" s="4" t="s">
        <v>103</v>
      </c>
      <c r="R1605" s="4" t="s">
        <v>90</v>
      </c>
      <c r="S1605" s="4">
        <v>136071</v>
      </c>
      <c r="T1605" s="4">
        <v>101066</v>
      </c>
      <c r="U1605" s="4">
        <v>35005</v>
      </c>
      <c r="V1605" s="4">
        <v>119706</v>
      </c>
      <c r="W1605" s="4">
        <v>5170</v>
      </c>
      <c r="X1605" s="4">
        <v>7771</v>
      </c>
      <c r="Y1605" s="4" t="s">
        <v>41</v>
      </c>
      <c r="Z1605" s="4">
        <v>60</v>
      </c>
      <c r="AA1605" s="4">
        <v>2.9</v>
      </c>
      <c r="AB1605" s="4" t="s">
        <v>104</v>
      </c>
    </row>
    <row r="1606" spans="1:28" x14ac:dyDescent="0.25">
      <c r="A1606" s="2" t="s">
        <v>2386</v>
      </c>
      <c r="B1606" s="2" t="s">
        <v>304</v>
      </c>
      <c r="C1606" s="2">
        <v>17</v>
      </c>
      <c r="D1606" s="2" t="s">
        <v>55</v>
      </c>
      <c r="E1606" s="2" t="s">
        <v>67</v>
      </c>
      <c r="F1606" s="2" t="s">
        <v>114</v>
      </c>
      <c r="G1606" s="3">
        <v>45438</v>
      </c>
      <c r="H1606" s="3">
        <v>45442</v>
      </c>
      <c r="I1606" s="2">
        <v>4</v>
      </c>
      <c r="J1606" s="2" t="s">
        <v>33</v>
      </c>
      <c r="K1606" s="2" t="s">
        <v>47</v>
      </c>
      <c r="L1606" s="2" t="s">
        <v>48</v>
      </c>
      <c r="M1606" s="2" t="s">
        <v>101</v>
      </c>
      <c r="N1606" s="2" t="s">
        <v>109</v>
      </c>
      <c r="O1606" s="2" t="s">
        <v>147</v>
      </c>
      <c r="P1606" s="2">
        <v>311</v>
      </c>
      <c r="Q1606" s="2" t="s">
        <v>50</v>
      </c>
      <c r="R1606" s="2" t="s">
        <v>40</v>
      </c>
      <c r="S1606" s="2">
        <v>153451</v>
      </c>
      <c r="T1606" s="2">
        <v>105653</v>
      </c>
      <c r="U1606" s="2">
        <v>47798</v>
      </c>
      <c r="V1606" s="2">
        <v>126286</v>
      </c>
      <c r="W1606" s="2">
        <v>24193</v>
      </c>
      <c r="X1606" s="2">
        <v>1335</v>
      </c>
      <c r="Y1606" s="2" t="s">
        <v>41</v>
      </c>
      <c r="Z1606" s="2">
        <v>99</v>
      </c>
      <c r="AA1606" s="2">
        <v>3.9</v>
      </c>
      <c r="AB1606" s="2" t="s">
        <v>64</v>
      </c>
    </row>
    <row r="1607" spans="1:28" x14ac:dyDescent="0.25">
      <c r="A1607" s="4" t="s">
        <v>2387</v>
      </c>
      <c r="B1607" s="4" t="s">
        <v>1680</v>
      </c>
      <c r="C1607" s="4">
        <v>33</v>
      </c>
      <c r="D1607" s="4" t="s">
        <v>55</v>
      </c>
      <c r="E1607" s="4" t="s">
        <v>122</v>
      </c>
      <c r="F1607" s="4" t="s">
        <v>114</v>
      </c>
      <c r="G1607" s="5">
        <v>44884</v>
      </c>
      <c r="H1607" s="5">
        <v>44900</v>
      </c>
      <c r="I1607" s="4">
        <v>16</v>
      </c>
      <c r="J1607" s="4" t="s">
        <v>33</v>
      </c>
      <c r="K1607" s="4" t="s">
        <v>233</v>
      </c>
      <c r="L1607" s="4" t="s">
        <v>35</v>
      </c>
      <c r="M1607" s="4" t="s">
        <v>101</v>
      </c>
      <c r="N1607" s="4" t="s">
        <v>118</v>
      </c>
      <c r="O1607" s="4" t="s">
        <v>217</v>
      </c>
      <c r="P1607" s="4">
        <v>457</v>
      </c>
      <c r="Q1607" s="4" t="s">
        <v>50</v>
      </c>
      <c r="R1607" s="4" t="s">
        <v>111</v>
      </c>
      <c r="S1607" s="4">
        <v>141323</v>
      </c>
      <c r="T1607" s="4">
        <v>120040</v>
      </c>
      <c r="U1607" s="4">
        <v>21283</v>
      </c>
      <c r="V1607" s="4">
        <v>129034</v>
      </c>
      <c r="W1607" s="4">
        <v>7191</v>
      </c>
      <c r="X1607" s="4">
        <v>4026</v>
      </c>
      <c r="Y1607" s="4" t="s">
        <v>41</v>
      </c>
      <c r="Z1607" s="4">
        <v>78</v>
      </c>
      <c r="AA1607" s="4">
        <v>4.5999999999999996</v>
      </c>
      <c r="AB1607" s="4" t="s">
        <v>64</v>
      </c>
    </row>
    <row r="1608" spans="1:28" x14ac:dyDescent="0.25">
      <c r="A1608" s="2" t="s">
        <v>2388</v>
      </c>
      <c r="B1608" s="2" t="s">
        <v>1437</v>
      </c>
      <c r="C1608" s="2">
        <v>81</v>
      </c>
      <c r="D1608" s="2" t="s">
        <v>55</v>
      </c>
      <c r="E1608" s="2" t="s">
        <v>154</v>
      </c>
      <c r="F1608" s="2" t="s">
        <v>150</v>
      </c>
      <c r="G1608" s="3">
        <v>45271</v>
      </c>
      <c r="H1608" s="3">
        <v>45291</v>
      </c>
      <c r="I1608" s="2">
        <v>20</v>
      </c>
      <c r="J1608" s="2" t="s">
        <v>73</v>
      </c>
      <c r="K1608" s="2" t="s">
        <v>74</v>
      </c>
      <c r="L1608" s="2" t="s">
        <v>73</v>
      </c>
      <c r="M1608" s="2" t="s">
        <v>95</v>
      </c>
      <c r="N1608" s="2" t="s">
        <v>118</v>
      </c>
      <c r="O1608" s="2" t="s">
        <v>227</v>
      </c>
      <c r="P1608" s="2">
        <v>486</v>
      </c>
      <c r="Q1608" s="2" t="s">
        <v>50</v>
      </c>
      <c r="R1608" s="2" t="s">
        <v>40</v>
      </c>
      <c r="S1608" s="2">
        <v>67818</v>
      </c>
      <c r="T1608" s="2">
        <v>35701</v>
      </c>
      <c r="U1608" s="2">
        <v>32117</v>
      </c>
      <c r="V1608" s="2">
        <v>27092</v>
      </c>
      <c r="W1608" s="2">
        <v>26879</v>
      </c>
      <c r="X1608" s="2">
        <v>12614</v>
      </c>
      <c r="Y1608" s="2" t="s">
        <v>41</v>
      </c>
      <c r="Z1608" s="2">
        <v>51</v>
      </c>
      <c r="AA1608" s="2">
        <v>2.1</v>
      </c>
      <c r="AB1608" s="2" t="s">
        <v>137</v>
      </c>
    </row>
    <row r="1609" spans="1:28" x14ac:dyDescent="0.25">
      <c r="A1609" s="4" t="s">
        <v>2389</v>
      </c>
      <c r="B1609" s="4" t="s">
        <v>302</v>
      </c>
      <c r="C1609" s="4">
        <v>81</v>
      </c>
      <c r="D1609" s="4" t="s">
        <v>55</v>
      </c>
      <c r="E1609" s="4" t="s">
        <v>122</v>
      </c>
      <c r="F1609" s="4" t="s">
        <v>57</v>
      </c>
      <c r="G1609" s="5">
        <v>45127</v>
      </c>
      <c r="H1609" s="5">
        <v>45154</v>
      </c>
      <c r="I1609" s="4">
        <v>27</v>
      </c>
      <c r="J1609" s="4" t="s">
        <v>140</v>
      </c>
      <c r="K1609" s="4" t="s">
        <v>167</v>
      </c>
      <c r="L1609" s="4" t="s">
        <v>142</v>
      </c>
      <c r="M1609" s="4" t="s">
        <v>108</v>
      </c>
      <c r="N1609" s="4" t="s">
        <v>118</v>
      </c>
      <c r="O1609" s="4" t="s">
        <v>126</v>
      </c>
      <c r="P1609" s="4">
        <v>137</v>
      </c>
      <c r="Q1609" s="4" t="s">
        <v>50</v>
      </c>
      <c r="R1609" s="4" t="s">
        <v>136</v>
      </c>
      <c r="S1609" s="4">
        <v>95164</v>
      </c>
      <c r="T1609" s="4">
        <v>0</v>
      </c>
      <c r="U1609" s="4">
        <v>95164</v>
      </c>
      <c r="V1609" s="4">
        <v>60119</v>
      </c>
      <c r="W1609" s="4">
        <v>27991</v>
      </c>
      <c r="X1609" s="4">
        <v>3127</v>
      </c>
      <c r="Y1609" s="4" t="s">
        <v>41</v>
      </c>
      <c r="Z1609" s="4">
        <v>56</v>
      </c>
      <c r="AA1609" s="4">
        <v>2.4</v>
      </c>
      <c r="AB1609" s="4" t="s">
        <v>104</v>
      </c>
    </row>
    <row r="1610" spans="1:28" x14ac:dyDescent="0.25">
      <c r="A1610" s="2" t="s">
        <v>2390</v>
      </c>
      <c r="B1610" s="2" t="s">
        <v>670</v>
      </c>
      <c r="C1610" s="2">
        <v>64</v>
      </c>
      <c r="D1610" s="2" t="s">
        <v>55</v>
      </c>
      <c r="E1610" s="2" t="s">
        <v>154</v>
      </c>
      <c r="F1610" s="2" t="s">
        <v>150</v>
      </c>
      <c r="G1610" s="3">
        <v>45377</v>
      </c>
      <c r="H1610" s="3">
        <v>45400</v>
      </c>
      <c r="I1610" s="2">
        <v>23</v>
      </c>
      <c r="J1610" s="2" t="s">
        <v>202</v>
      </c>
      <c r="K1610" s="2" t="s">
        <v>225</v>
      </c>
      <c r="L1610" s="2" t="s">
        <v>226</v>
      </c>
      <c r="M1610" s="2" t="s">
        <v>95</v>
      </c>
      <c r="N1610" s="2" t="s">
        <v>109</v>
      </c>
      <c r="O1610" s="2" t="s">
        <v>681</v>
      </c>
      <c r="P1610" s="2">
        <v>25</v>
      </c>
      <c r="Q1610" s="2" t="s">
        <v>103</v>
      </c>
      <c r="R1610" s="2" t="s">
        <v>51</v>
      </c>
      <c r="S1610" s="2">
        <v>121467</v>
      </c>
      <c r="T1610" s="2">
        <v>50641</v>
      </c>
      <c r="U1610" s="2">
        <v>70826</v>
      </c>
      <c r="V1610" s="2">
        <v>88783</v>
      </c>
      <c r="W1610" s="2">
        <v>22910</v>
      </c>
      <c r="X1610" s="2">
        <v>8403</v>
      </c>
      <c r="Y1610" s="2" t="s">
        <v>41</v>
      </c>
      <c r="Z1610" s="2">
        <v>52</v>
      </c>
      <c r="AA1610" s="2">
        <v>3.6</v>
      </c>
      <c r="AB1610" s="2" t="s">
        <v>52</v>
      </c>
    </row>
    <row r="1611" spans="1:28" x14ac:dyDescent="0.25">
      <c r="A1611" s="4" t="s">
        <v>2391</v>
      </c>
      <c r="B1611" s="4" t="s">
        <v>1280</v>
      </c>
      <c r="C1611" s="4">
        <v>6</v>
      </c>
      <c r="D1611" s="4" t="s">
        <v>55</v>
      </c>
      <c r="E1611" s="4" t="s">
        <v>122</v>
      </c>
      <c r="F1611" s="4" t="s">
        <v>57</v>
      </c>
      <c r="G1611" s="5">
        <v>45428</v>
      </c>
      <c r="H1611" s="5">
        <v>45435</v>
      </c>
      <c r="I1611" s="4">
        <v>7</v>
      </c>
      <c r="J1611" s="4" t="s">
        <v>140</v>
      </c>
      <c r="K1611" s="4" t="s">
        <v>141</v>
      </c>
      <c r="L1611" s="4" t="s">
        <v>142</v>
      </c>
      <c r="M1611" s="4" t="s">
        <v>75</v>
      </c>
      <c r="N1611" s="4" t="s">
        <v>37</v>
      </c>
      <c r="O1611" s="4" t="s">
        <v>189</v>
      </c>
      <c r="P1611" s="4">
        <v>453</v>
      </c>
      <c r="Q1611" s="4" t="s">
        <v>50</v>
      </c>
      <c r="R1611" s="4" t="s">
        <v>136</v>
      </c>
      <c r="S1611" s="4">
        <v>137042</v>
      </c>
      <c r="T1611" s="4">
        <v>0</v>
      </c>
      <c r="U1611" s="4">
        <v>137042</v>
      </c>
      <c r="V1611" s="4">
        <v>110509</v>
      </c>
      <c r="W1611" s="4">
        <v>13113</v>
      </c>
      <c r="X1611" s="4">
        <v>9536</v>
      </c>
      <c r="Y1611" s="4" t="s">
        <v>91</v>
      </c>
      <c r="Z1611" s="4">
        <v>50</v>
      </c>
      <c r="AA1611" s="4">
        <v>3.7</v>
      </c>
      <c r="AB1611" s="4" t="s">
        <v>52</v>
      </c>
    </row>
    <row r="1612" spans="1:28" x14ac:dyDescent="0.25">
      <c r="A1612" s="2" t="s">
        <v>2392</v>
      </c>
      <c r="B1612" s="2" t="s">
        <v>420</v>
      </c>
      <c r="C1612" s="2">
        <v>35</v>
      </c>
      <c r="D1612" s="2" t="s">
        <v>30</v>
      </c>
      <c r="E1612" s="2" t="s">
        <v>79</v>
      </c>
      <c r="F1612" s="2" t="s">
        <v>114</v>
      </c>
      <c r="G1612" s="3">
        <v>45005</v>
      </c>
      <c r="H1612" s="3">
        <v>45013</v>
      </c>
      <c r="I1612" s="2">
        <v>8</v>
      </c>
      <c r="J1612" s="2" t="s">
        <v>123</v>
      </c>
      <c r="K1612" s="2" t="s">
        <v>124</v>
      </c>
      <c r="L1612" s="2" t="s">
        <v>125</v>
      </c>
      <c r="M1612" s="2" t="s">
        <v>108</v>
      </c>
      <c r="N1612" s="2" t="s">
        <v>118</v>
      </c>
      <c r="O1612" s="2" t="s">
        <v>285</v>
      </c>
      <c r="P1612" s="2">
        <v>146</v>
      </c>
      <c r="Q1612" s="2" t="s">
        <v>69</v>
      </c>
      <c r="R1612" s="2" t="s">
        <v>136</v>
      </c>
      <c r="S1612" s="2">
        <v>117676</v>
      </c>
      <c r="T1612" s="2">
        <v>0</v>
      </c>
      <c r="U1612" s="2">
        <v>117676</v>
      </c>
      <c r="V1612" s="2">
        <v>82774</v>
      </c>
      <c r="W1612" s="2">
        <v>25528</v>
      </c>
      <c r="X1612" s="2">
        <v>7230</v>
      </c>
      <c r="Y1612" s="2" t="s">
        <v>41</v>
      </c>
      <c r="Z1612" s="2">
        <v>69</v>
      </c>
      <c r="AA1612" s="2">
        <v>2.9</v>
      </c>
      <c r="AB1612" s="2" t="s">
        <v>64</v>
      </c>
    </row>
    <row r="1613" spans="1:28" x14ac:dyDescent="0.25">
      <c r="A1613" s="4" t="s">
        <v>2393</v>
      </c>
      <c r="B1613" s="4" t="s">
        <v>913</v>
      </c>
      <c r="C1613" s="4">
        <v>70</v>
      </c>
      <c r="D1613" s="4" t="s">
        <v>30</v>
      </c>
      <c r="E1613" s="4" t="s">
        <v>56</v>
      </c>
      <c r="F1613" s="4" t="s">
        <v>150</v>
      </c>
      <c r="G1613" s="5">
        <v>45372</v>
      </c>
      <c r="H1613" s="5">
        <v>45391</v>
      </c>
      <c r="I1613" s="4">
        <v>19</v>
      </c>
      <c r="J1613" s="4" t="s">
        <v>115</v>
      </c>
      <c r="K1613" s="4" t="s">
        <v>116</v>
      </c>
      <c r="L1613" s="4" t="s">
        <v>117</v>
      </c>
      <c r="M1613" s="4" t="s">
        <v>101</v>
      </c>
      <c r="N1613" s="4" t="s">
        <v>118</v>
      </c>
      <c r="O1613" s="4" t="s">
        <v>1000</v>
      </c>
      <c r="P1613" s="4">
        <v>168</v>
      </c>
      <c r="Q1613" s="4" t="s">
        <v>103</v>
      </c>
      <c r="R1613" s="4" t="s">
        <v>90</v>
      </c>
      <c r="S1613" s="4">
        <v>56062</v>
      </c>
      <c r="T1613" s="4">
        <v>45500</v>
      </c>
      <c r="U1613" s="4">
        <v>10562</v>
      </c>
      <c r="V1613" s="4">
        <v>15951</v>
      </c>
      <c r="W1613" s="4">
        <v>26743</v>
      </c>
      <c r="X1613" s="4">
        <v>10995</v>
      </c>
      <c r="Y1613" s="4" t="s">
        <v>41</v>
      </c>
      <c r="Z1613" s="4">
        <v>60</v>
      </c>
      <c r="AA1613" s="4">
        <v>2.5</v>
      </c>
      <c r="AB1613" s="4" t="s">
        <v>42</v>
      </c>
    </row>
    <row r="1614" spans="1:28" x14ac:dyDescent="0.25">
      <c r="A1614" s="2" t="s">
        <v>2394</v>
      </c>
      <c r="B1614" s="2" t="s">
        <v>601</v>
      </c>
      <c r="C1614" s="2">
        <v>39</v>
      </c>
      <c r="D1614" s="2" t="s">
        <v>30</v>
      </c>
      <c r="E1614" s="2" t="s">
        <v>154</v>
      </c>
      <c r="F1614" s="2" t="s">
        <v>157</v>
      </c>
      <c r="G1614" s="3">
        <v>44579</v>
      </c>
      <c r="H1614" s="3">
        <v>44598</v>
      </c>
      <c r="I1614" s="2">
        <v>19</v>
      </c>
      <c r="J1614" s="2" t="s">
        <v>123</v>
      </c>
      <c r="K1614" s="2" t="s">
        <v>124</v>
      </c>
      <c r="L1614" s="2" t="s">
        <v>125</v>
      </c>
      <c r="M1614" s="2" t="s">
        <v>143</v>
      </c>
      <c r="N1614" s="2" t="s">
        <v>118</v>
      </c>
      <c r="O1614" s="2" t="s">
        <v>161</v>
      </c>
      <c r="P1614" s="2">
        <v>174</v>
      </c>
      <c r="Q1614" s="2" t="s">
        <v>50</v>
      </c>
      <c r="R1614" s="2" t="s">
        <v>111</v>
      </c>
      <c r="S1614" s="2">
        <v>144459</v>
      </c>
      <c r="T1614" s="2">
        <v>106314</v>
      </c>
      <c r="U1614" s="2">
        <v>38145</v>
      </c>
      <c r="V1614" s="2">
        <v>101538</v>
      </c>
      <c r="W1614" s="2">
        <v>28498</v>
      </c>
      <c r="X1614" s="2">
        <v>12302</v>
      </c>
      <c r="Y1614" s="2" t="s">
        <v>91</v>
      </c>
      <c r="Z1614" s="2">
        <v>71</v>
      </c>
      <c r="AA1614" s="2">
        <v>3.2</v>
      </c>
      <c r="AB1614" s="2" t="s">
        <v>104</v>
      </c>
    </row>
    <row r="1615" spans="1:28" x14ac:dyDescent="0.25">
      <c r="A1615" s="4" t="s">
        <v>2395</v>
      </c>
      <c r="B1615" s="4" t="s">
        <v>2164</v>
      </c>
      <c r="C1615" s="4">
        <v>41</v>
      </c>
      <c r="D1615" s="4" t="s">
        <v>55</v>
      </c>
      <c r="E1615" s="4" t="s">
        <v>67</v>
      </c>
      <c r="F1615" s="4" t="s">
        <v>46</v>
      </c>
      <c r="G1615" s="5">
        <v>45000</v>
      </c>
      <c r="H1615" s="5">
        <v>45002</v>
      </c>
      <c r="I1615" s="4">
        <v>2</v>
      </c>
      <c r="J1615" s="4" t="s">
        <v>123</v>
      </c>
      <c r="K1615" s="4" t="s">
        <v>124</v>
      </c>
      <c r="L1615" s="4" t="s">
        <v>125</v>
      </c>
      <c r="M1615" s="4" t="s">
        <v>83</v>
      </c>
      <c r="N1615" s="4" t="s">
        <v>62</v>
      </c>
      <c r="O1615" s="4" t="s">
        <v>205</v>
      </c>
      <c r="P1615" s="4">
        <v>113</v>
      </c>
      <c r="Q1615" s="4" t="s">
        <v>103</v>
      </c>
      <c r="R1615" s="4" t="s">
        <v>40</v>
      </c>
      <c r="S1615" s="4">
        <v>83587</v>
      </c>
      <c r="T1615" s="4">
        <v>36491</v>
      </c>
      <c r="U1615" s="4">
        <v>47096</v>
      </c>
      <c r="V1615" s="4">
        <v>51907</v>
      </c>
      <c r="W1615" s="4">
        <v>20344</v>
      </c>
      <c r="X1615" s="4">
        <v>9667</v>
      </c>
      <c r="Y1615" s="4" t="s">
        <v>41</v>
      </c>
      <c r="Z1615" s="4">
        <v>52</v>
      </c>
      <c r="AA1615" s="4">
        <v>3.1</v>
      </c>
      <c r="AB1615" s="4" t="s">
        <v>64</v>
      </c>
    </row>
    <row r="1616" spans="1:28" x14ac:dyDescent="0.25">
      <c r="A1616" s="2" t="s">
        <v>2396</v>
      </c>
      <c r="B1616" s="2" t="s">
        <v>159</v>
      </c>
      <c r="C1616" s="2">
        <v>82</v>
      </c>
      <c r="D1616" s="2" t="s">
        <v>55</v>
      </c>
      <c r="E1616" s="2" t="s">
        <v>154</v>
      </c>
      <c r="F1616" s="2" t="s">
        <v>72</v>
      </c>
      <c r="G1616" s="3">
        <v>45318</v>
      </c>
      <c r="H1616" s="3">
        <v>45320</v>
      </c>
      <c r="I1616" s="2">
        <v>2</v>
      </c>
      <c r="J1616" s="2" t="s">
        <v>202</v>
      </c>
      <c r="K1616" s="2" t="s">
        <v>203</v>
      </c>
      <c r="L1616" s="2" t="s">
        <v>204</v>
      </c>
      <c r="M1616" s="2" t="s">
        <v>101</v>
      </c>
      <c r="N1616" s="2" t="s">
        <v>37</v>
      </c>
      <c r="O1616" s="2" t="s">
        <v>340</v>
      </c>
      <c r="P1616" s="2">
        <v>134</v>
      </c>
      <c r="Q1616" s="2" t="s">
        <v>69</v>
      </c>
      <c r="R1616" s="2" t="s">
        <v>111</v>
      </c>
      <c r="S1616" s="2">
        <v>155840</v>
      </c>
      <c r="T1616" s="2">
        <v>102767</v>
      </c>
      <c r="U1616" s="2">
        <v>53073</v>
      </c>
      <c r="V1616" s="2">
        <v>118381</v>
      </c>
      <c r="W1616" s="2">
        <v>23179</v>
      </c>
      <c r="X1616" s="2">
        <v>11090</v>
      </c>
      <c r="Y1616" s="2" t="s">
        <v>91</v>
      </c>
      <c r="Z1616" s="2">
        <v>74</v>
      </c>
      <c r="AA1616" s="2">
        <v>3.4</v>
      </c>
      <c r="AB1616" s="2" t="s">
        <v>64</v>
      </c>
    </row>
    <row r="1617" spans="1:28" x14ac:dyDescent="0.25">
      <c r="A1617" s="4" t="s">
        <v>2397</v>
      </c>
      <c r="B1617" s="4" t="s">
        <v>1517</v>
      </c>
      <c r="C1617" s="4">
        <v>68</v>
      </c>
      <c r="D1617" s="4" t="s">
        <v>30</v>
      </c>
      <c r="E1617" s="4" t="s">
        <v>87</v>
      </c>
      <c r="F1617" s="4" t="s">
        <v>72</v>
      </c>
      <c r="G1617" s="5">
        <v>44611</v>
      </c>
      <c r="H1617" s="5">
        <v>44613</v>
      </c>
      <c r="I1617" s="4">
        <v>2</v>
      </c>
      <c r="J1617" s="4" t="s">
        <v>33</v>
      </c>
      <c r="K1617" s="4" t="s">
        <v>107</v>
      </c>
      <c r="L1617" s="4" t="s">
        <v>48</v>
      </c>
      <c r="M1617" s="4" t="s">
        <v>143</v>
      </c>
      <c r="N1617" s="4" t="s">
        <v>118</v>
      </c>
      <c r="O1617" s="4" t="s">
        <v>538</v>
      </c>
      <c r="P1617" s="4">
        <v>221</v>
      </c>
      <c r="Q1617" s="4" t="s">
        <v>103</v>
      </c>
      <c r="R1617" s="4" t="s">
        <v>111</v>
      </c>
      <c r="S1617" s="4">
        <v>121462</v>
      </c>
      <c r="T1617" s="4">
        <v>88598</v>
      </c>
      <c r="U1617" s="4">
        <v>32864</v>
      </c>
      <c r="V1617" s="4">
        <v>85899</v>
      </c>
      <c r="W1617" s="4">
        <v>23538</v>
      </c>
      <c r="X1617" s="4">
        <v>9707</v>
      </c>
      <c r="Y1617" s="4" t="s">
        <v>41</v>
      </c>
      <c r="Z1617" s="4">
        <v>40</v>
      </c>
      <c r="AA1617" s="4">
        <v>4</v>
      </c>
      <c r="AB1617" s="4" t="s">
        <v>42</v>
      </c>
    </row>
    <row r="1618" spans="1:28" x14ac:dyDescent="0.25">
      <c r="A1618" s="2" t="s">
        <v>2398</v>
      </c>
      <c r="B1618" s="2" t="s">
        <v>732</v>
      </c>
      <c r="C1618" s="2">
        <v>31</v>
      </c>
      <c r="D1618" s="2" t="s">
        <v>30</v>
      </c>
      <c r="E1618" s="2" t="s">
        <v>154</v>
      </c>
      <c r="F1618" s="2" t="s">
        <v>80</v>
      </c>
      <c r="G1618" s="3">
        <v>44595</v>
      </c>
      <c r="H1618" s="3">
        <v>44612</v>
      </c>
      <c r="I1618" s="2">
        <v>17</v>
      </c>
      <c r="J1618" s="2" t="s">
        <v>33</v>
      </c>
      <c r="K1618" s="2" t="s">
        <v>47</v>
      </c>
      <c r="L1618" s="2" t="s">
        <v>48</v>
      </c>
      <c r="M1618" s="2" t="s">
        <v>101</v>
      </c>
      <c r="N1618" s="2" t="s">
        <v>109</v>
      </c>
      <c r="O1618" s="2" t="s">
        <v>68</v>
      </c>
      <c r="P1618" s="2">
        <v>85</v>
      </c>
      <c r="Q1618" s="2" t="s">
        <v>103</v>
      </c>
      <c r="R1618" s="2" t="s">
        <v>40</v>
      </c>
      <c r="S1618" s="2">
        <v>128755</v>
      </c>
      <c r="T1618" s="2">
        <v>59641</v>
      </c>
      <c r="U1618" s="2">
        <v>69114</v>
      </c>
      <c r="V1618" s="2">
        <v>103829</v>
      </c>
      <c r="W1618" s="2">
        <v>13462</v>
      </c>
      <c r="X1618" s="2">
        <v>9766</v>
      </c>
      <c r="Y1618" s="2" t="s">
        <v>41</v>
      </c>
      <c r="Z1618" s="2">
        <v>49</v>
      </c>
      <c r="AA1618" s="2">
        <v>3</v>
      </c>
      <c r="AB1618" s="2" t="s">
        <v>64</v>
      </c>
    </row>
    <row r="1619" spans="1:28" x14ac:dyDescent="0.25">
      <c r="A1619" s="4" t="s">
        <v>2399</v>
      </c>
      <c r="B1619" s="4" t="s">
        <v>1931</v>
      </c>
      <c r="C1619" s="4">
        <v>85</v>
      </c>
      <c r="D1619" s="4" t="s">
        <v>30</v>
      </c>
      <c r="E1619" s="4" t="s">
        <v>67</v>
      </c>
      <c r="F1619" s="4" t="s">
        <v>94</v>
      </c>
      <c r="G1619" s="5">
        <v>44901</v>
      </c>
      <c r="H1619" s="5">
        <v>44917</v>
      </c>
      <c r="I1619" s="4">
        <v>16</v>
      </c>
      <c r="J1619" s="4" t="s">
        <v>33</v>
      </c>
      <c r="K1619" s="4" t="s">
        <v>197</v>
      </c>
      <c r="L1619" s="4" t="s">
        <v>198</v>
      </c>
      <c r="M1619" s="4" t="s">
        <v>83</v>
      </c>
      <c r="N1619" s="4" t="s">
        <v>109</v>
      </c>
      <c r="O1619" s="4" t="s">
        <v>595</v>
      </c>
      <c r="P1619" s="4">
        <v>130</v>
      </c>
      <c r="Q1619" s="4" t="s">
        <v>50</v>
      </c>
      <c r="R1619" s="4" t="s">
        <v>111</v>
      </c>
      <c r="S1619" s="4">
        <v>131236</v>
      </c>
      <c r="T1619" s="4">
        <v>92657</v>
      </c>
      <c r="U1619" s="4">
        <v>38579</v>
      </c>
      <c r="V1619" s="4">
        <v>114101</v>
      </c>
      <c r="W1619" s="4">
        <v>14033</v>
      </c>
      <c r="X1619" s="4">
        <v>2226</v>
      </c>
      <c r="Y1619" s="4" t="s">
        <v>41</v>
      </c>
      <c r="Z1619" s="4">
        <v>59</v>
      </c>
      <c r="AA1619" s="4">
        <v>3.8</v>
      </c>
      <c r="AB1619" s="4" t="s">
        <v>137</v>
      </c>
    </row>
    <row r="1620" spans="1:28" x14ac:dyDescent="0.25">
      <c r="A1620" s="2" t="s">
        <v>2400</v>
      </c>
      <c r="B1620" s="2" t="s">
        <v>2377</v>
      </c>
      <c r="C1620" s="2">
        <v>11</v>
      </c>
      <c r="D1620" s="2" t="s">
        <v>30</v>
      </c>
      <c r="E1620" s="2" t="s">
        <v>67</v>
      </c>
      <c r="F1620" s="2" t="s">
        <v>129</v>
      </c>
      <c r="G1620" s="3">
        <v>45590</v>
      </c>
      <c r="H1620" s="3">
        <v>45617</v>
      </c>
      <c r="I1620" s="2">
        <v>27</v>
      </c>
      <c r="J1620" s="2" t="s">
        <v>33</v>
      </c>
      <c r="K1620" s="2" t="s">
        <v>99</v>
      </c>
      <c r="L1620" s="2" t="s">
        <v>100</v>
      </c>
      <c r="M1620" s="2" t="s">
        <v>75</v>
      </c>
      <c r="N1620" s="2" t="s">
        <v>37</v>
      </c>
      <c r="O1620" s="2" t="s">
        <v>147</v>
      </c>
      <c r="P1620" s="2">
        <v>140</v>
      </c>
      <c r="Q1620" s="2" t="s">
        <v>50</v>
      </c>
      <c r="R1620" s="2" t="s">
        <v>51</v>
      </c>
      <c r="S1620" s="2">
        <v>88786</v>
      </c>
      <c r="T1620" s="2">
        <v>53632</v>
      </c>
      <c r="U1620" s="2">
        <v>35154</v>
      </c>
      <c r="V1620" s="2">
        <v>71799</v>
      </c>
      <c r="W1620" s="2">
        <v>1622</v>
      </c>
      <c r="X1620" s="2">
        <v>12852</v>
      </c>
      <c r="Y1620" s="2" t="s">
        <v>41</v>
      </c>
      <c r="Z1620" s="2">
        <v>81</v>
      </c>
      <c r="AA1620" s="2">
        <v>4</v>
      </c>
      <c r="AB1620" s="2" t="s">
        <v>42</v>
      </c>
    </row>
    <row r="1621" spans="1:28" x14ac:dyDescent="0.25">
      <c r="A1621" s="4" t="s">
        <v>2401</v>
      </c>
      <c r="B1621" s="4" t="s">
        <v>2402</v>
      </c>
      <c r="C1621" s="4">
        <v>71</v>
      </c>
      <c r="D1621" s="4" t="s">
        <v>30</v>
      </c>
      <c r="E1621" s="4" t="s">
        <v>45</v>
      </c>
      <c r="F1621" s="4" t="s">
        <v>114</v>
      </c>
      <c r="G1621" s="5">
        <v>44739</v>
      </c>
      <c r="H1621" s="5">
        <v>44747</v>
      </c>
      <c r="I1621" s="4">
        <v>8</v>
      </c>
      <c r="J1621" s="4" t="s">
        <v>58</v>
      </c>
      <c r="K1621" s="4" t="s">
        <v>59</v>
      </c>
      <c r="L1621" s="4" t="s">
        <v>60</v>
      </c>
      <c r="M1621" s="4" t="s">
        <v>130</v>
      </c>
      <c r="N1621" s="4" t="s">
        <v>109</v>
      </c>
      <c r="O1621" s="4" t="s">
        <v>365</v>
      </c>
      <c r="P1621" s="4">
        <v>279</v>
      </c>
      <c r="Q1621" s="4" t="s">
        <v>39</v>
      </c>
      <c r="R1621" s="4" t="s">
        <v>51</v>
      </c>
      <c r="S1621" s="4">
        <v>26257</v>
      </c>
      <c r="T1621" s="4">
        <v>12613</v>
      </c>
      <c r="U1621" s="4">
        <v>13644</v>
      </c>
      <c r="V1621" s="4">
        <v>12250</v>
      </c>
      <c r="W1621" s="4">
        <v>4974</v>
      </c>
      <c r="X1621" s="4">
        <v>6972</v>
      </c>
      <c r="Y1621" s="4" t="s">
        <v>41</v>
      </c>
      <c r="Z1621" s="4">
        <v>44</v>
      </c>
      <c r="AA1621" s="4">
        <v>4.4000000000000004</v>
      </c>
      <c r="AB1621" s="4" t="s">
        <v>64</v>
      </c>
    </row>
    <row r="1622" spans="1:28" x14ac:dyDescent="0.25">
      <c r="A1622" s="2" t="s">
        <v>2403</v>
      </c>
      <c r="B1622" s="2" t="s">
        <v>511</v>
      </c>
      <c r="C1622" s="2">
        <v>82</v>
      </c>
      <c r="D1622" s="2" t="s">
        <v>55</v>
      </c>
      <c r="E1622" s="2" t="s">
        <v>122</v>
      </c>
      <c r="F1622" s="2" t="s">
        <v>157</v>
      </c>
      <c r="G1622" s="3">
        <v>44885</v>
      </c>
      <c r="H1622" s="3">
        <v>44891</v>
      </c>
      <c r="I1622" s="2">
        <v>6</v>
      </c>
      <c r="J1622" s="2" t="s">
        <v>123</v>
      </c>
      <c r="K1622" s="2" t="s">
        <v>251</v>
      </c>
      <c r="L1622" s="2" t="s">
        <v>125</v>
      </c>
      <c r="M1622" s="2" t="s">
        <v>108</v>
      </c>
      <c r="N1622" s="2" t="s">
        <v>109</v>
      </c>
      <c r="O1622" s="2" t="s">
        <v>135</v>
      </c>
      <c r="P1622" s="2">
        <v>392</v>
      </c>
      <c r="Q1622" s="2" t="s">
        <v>50</v>
      </c>
      <c r="R1622" s="2" t="s">
        <v>40</v>
      </c>
      <c r="S1622" s="2">
        <v>26870</v>
      </c>
      <c r="T1622" s="2">
        <v>12686</v>
      </c>
      <c r="U1622" s="2">
        <v>14184</v>
      </c>
      <c r="V1622" s="2">
        <v>13147</v>
      </c>
      <c r="W1622" s="2">
        <v>1193</v>
      </c>
      <c r="X1622" s="2">
        <v>10775</v>
      </c>
      <c r="Y1622" s="2" t="s">
        <v>91</v>
      </c>
      <c r="Z1622" s="2">
        <v>49</v>
      </c>
      <c r="AA1622" s="2">
        <v>2.6</v>
      </c>
      <c r="AB1622" s="2" t="s">
        <v>64</v>
      </c>
    </row>
    <row r="1623" spans="1:28" x14ac:dyDescent="0.25">
      <c r="A1623" s="4" t="s">
        <v>2404</v>
      </c>
      <c r="B1623" s="4" t="s">
        <v>633</v>
      </c>
      <c r="C1623" s="4">
        <v>32</v>
      </c>
      <c r="D1623" s="4" t="s">
        <v>55</v>
      </c>
      <c r="E1623" s="4" t="s">
        <v>79</v>
      </c>
      <c r="F1623" s="4" t="s">
        <v>57</v>
      </c>
      <c r="G1623" s="5">
        <v>44925</v>
      </c>
      <c r="H1623" s="5">
        <v>44928</v>
      </c>
      <c r="I1623" s="4">
        <v>3</v>
      </c>
      <c r="J1623" s="4" t="s">
        <v>123</v>
      </c>
      <c r="K1623" s="4" t="s">
        <v>124</v>
      </c>
      <c r="L1623" s="4" t="s">
        <v>125</v>
      </c>
      <c r="M1623" s="4" t="s">
        <v>130</v>
      </c>
      <c r="N1623" s="4" t="s">
        <v>109</v>
      </c>
      <c r="O1623" s="4" t="s">
        <v>365</v>
      </c>
      <c r="P1623" s="4">
        <v>282</v>
      </c>
      <c r="Q1623" s="4" t="s">
        <v>103</v>
      </c>
      <c r="R1623" s="4" t="s">
        <v>111</v>
      </c>
      <c r="S1623" s="4">
        <v>71823</v>
      </c>
      <c r="T1623" s="4">
        <v>47035</v>
      </c>
      <c r="U1623" s="4">
        <v>24788</v>
      </c>
      <c r="V1623" s="4">
        <v>54098</v>
      </c>
      <c r="W1623" s="4">
        <v>2145</v>
      </c>
      <c r="X1623" s="4">
        <v>14160</v>
      </c>
      <c r="Y1623" s="4" t="s">
        <v>41</v>
      </c>
      <c r="Z1623" s="4">
        <v>41</v>
      </c>
      <c r="AA1623" s="4">
        <v>4.7</v>
      </c>
      <c r="AB1623" s="4" t="s">
        <v>64</v>
      </c>
    </row>
    <row r="1624" spans="1:28" x14ac:dyDescent="0.25">
      <c r="A1624" s="2" t="s">
        <v>2405</v>
      </c>
      <c r="B1624" s="2" t="s">
        <v>665</v>
      </c>
      <c r="C1624" s="2">
        <v>67</v>
      </c>
      <c r="D1624" s="2" t="s">
        <v>30</v>
      </c>
      <c r="E1624" s="2" t="s">
        <v>67</v>
      </c>
      <c r="F1624" s="2" t="s">
        <v>72</v>
      </c>
      <c r="G1624" s="3">
        <v>44590</v>
      </c>
      <c r="H1624" s="3">
        <v>44591</v>
      </c>
      <c r="I1624" s="2">
        <v>1</v>
      </c>
      <c r="J1624" s="2" t="s">
        <v>123</v>
      </c>
      <c r="K1624" s="2" t="s">
        <v>251</v>
      </c>
      <c r="L1624" s="2" t="s">
        <v>125</v>
      </c>
      <c r="M1624" s="2" t="s">
        <v>101</v>
      </c>
      <c r="N1624" s="2" t="s">
        <v>62</v>
      </c>
      <c r="O1624" s="2" t="s">
        <v>352</v>
      </c>
      <c r="P1624" s="2">
        <v>445</v>
      </c>
      <c r="Q1624" s="2" t="s">
        <v>50</v>
      </c>
      <c r="R1624" s="2" t="s">
        <v>40</v>
      </c>
      <c r="S1624" s="2">
        <v>78745</v>
      </c>
      <c r="T1624" s="2">
        <v>44009</v>
      </c>
      <c r="U1624" s="2">
        <v>34736</v>
      </c>
      <c r="V1624" s="2">
        <v>50656</v>
      </c>
      <c r="W1624" s="2">
        <v>10634</v>
      </c>
      <c r="X1624" s="2">
        <v>14425</v>
      </c>
      <c r="Y1624" s="2" t="s">
        <v>41</v>
      </c>
      <c r="Z1624" s="2">
        <v>53</v>
      </c>
      <c r="AA1624" s="2">
        <v>4.4000000000000004</v>
      </c>
      <c r="AB1624" s="2" t="s">
        <v>42</v>
      </c>
    </row>
    <row r="1625" spans="1:28" x14ac:dyDescent="0.25">
      <c r="A1625" s="4" t="s">
        <v>2406</v>
      </c>
      <c r="B1625" s="4" t="s">
        <v>330</v>
      </c>
      <c r="C1625" s="4">
        <v>19</v>
      </c>
      <c r="D1625" s="4" t="s">
        <v>30</v>
      </c>
      <c r="E1625" s="4" t="s">
        <v>56</v>
      </c>
      <c r="F1625" s="4" t="s">
        <v>80</v>
      </c>
      <c r="G1625" s="5">
        <v>45145</v>
      </c>
      <c r="H1625" s="5">
        <v>45169</v>
      </c>
      <c r="I1625" s="4">
        <v>24</v>
      </c>
      <c r="J1625" s="4" t="s">
        <v>33</v>
      </c>
      <c r="K1625" s="4" t="s">
        <v>174</v>
      </c>
      <c r="L1625" s="4" t="s">
        <v>48</v>
      </c>
      <c r="M1625" s="4" t="s">
        <v>108</v>
      </c>
      <c r="N1625" s="4" t="s">
        <v>62</v>
      </c>
      <c r="O1625" s="4" t="s">
        <v>178</v>
      </c>
      <c r="P1625" s="4">
        <v>500</v>
      </c>
      <c r="Q1625" s="4" t="s">
        <v>69</v>
      </c>
      <c r="R1625" s="4" t="s">
        <v>51</v>
      </c>
      <c r="S1625" s="4">
        <v>132031</v>
      </c>
      <c r="T1625" s="4">
        <v>58383</v>
      </c>
      <c r="U1625" s="4">
        <v>73648</v>
      </c>
      <c r="V1625" s="4">
        <v>123540</v>
      </c>
      <c r="W1625" s="4">
        <v>1353</v>
      </c>
      <c r="X1625" s="4">
        <v>2685</v>
      </c>
      <c r="Y1625" s="4" t="s">
        <v>41</v>
      </c>
      <c r="Z1625" s="4">
        <v>97</v>
      </c>
      <c r="AA1625" s="4">
        <v>2.1</v>
      </c>
      <c r="AB1625" s="4" t="s">
        <v>52</v>
      </c>
    </row>
    <row r="1626" spans="1:28" x14ac:dyDescent="0.25">
      <c r="A1626" s="2" t="s">
        <v>2407</v>
      </c>
      <c r="B1626" s="2" t="s">
        <v>680</v>
      </c>
      <c r="C1626" s="2">
        <v>84</v>
      </c>
      <c r="D1626" s="2" t="s">
        <v>55</v>
      </c>
      <c r="E1626" s="2" t="s">
        <v>122</v>
      </c>
      <c r="F1626" s="2" t="s">
        <v>94</v>
      </c>
      <c r="G1626" s="3">
        <v>44975</v>
      </c>
      <c r="H1626" s="3">
        <v>44985</v>
      </c>
      <c r="I1626" s="2">
        <v>10</v>
      </c>
      <c r="J1626" s="2" t="s">
        <v>33</v>
      </c>
      <c r="K1626" s="2" t="s">
        <v>278</v>
      </c>
      <c r="L1626" s="2" t="s">
        <v>279</v>
      </c>
      <c r="M1626" s="2" t="s">
        <v>143</v>
      </c>
      <c r="N1626" s="2" t="s">
        <v>109</v>
      </c>
      <c r="O1626" s="2" t="s">
        <v>509</v>
      </c>
      <c r="P1626" s="2">
        <v>195</v>
      </c>
      <c r="Q1626" s="2" t="s">
        <v>69</v>
      </c>
      <c r="R1626" s="2" t="s">
        <v>90</v>
      </c>
      <c r="S1626" s="2">
        <v>145024</v>
      </c>
      <c r="T1626" s="2">
        <v>94756</v>
      </c>
      <c r="U1626" s="2">
        <v>50268</v>
      </c>
      <c r="V1626" s="2">
        <v>103214</v>
      </c>
      <c r="W1626" s="2">
        <v>29217</v>
      </c>
      <c r="X1626" s="2">
        <v>10335</v>
      </c>
      <c r="Y1626" s="2" t="s">
        <v>41</v>
      </c>
      <c r="Z1626" s="2">
        <v>74</v>
      </c>
      <c r="AA1626" s="2">
        <v>2.7</v>
      </c>
      <c r="AB1626" s="2" t="s">
        <v>52</v>
      </c>
    </row>
    <row r="1627" spans="1:28" x14ac:dyDescent="0.25">
      <c r="A1627" s="4" t="s">
        <v>2408</v>
      </c>
      <c r="B1627" s="4" t="s">
        <v>133</v>
      </c>
      <c r="C1627" s="4">
        <v>54</v>
      </c>
      <c r="D1627" s="4" t="s">
        <v>55</v>
      </c>
      <c r="E1627" s="4" t="s">
        <v>45</v>
      </c>
      <c r="F1627" s="4" t="s">
        <v>129</v>
      </c>
      <c r="G1627" s="5">
        <v>44649</v>
      </c>
      <c r="H1627" s="5">
        <v>44678</v>
      </c>
      <c r="I1627" s="4">
        <v>29</v>
      </c>
      <c r="J1627" s="4" t="s">
        <v>123</v>
      </c>
      <c r="K1627" s="4" t="s">
        <v>124</v>
      </c>
      <c r="L1627" s="4" t="s">
        <v>125</v>
      </c>
      <c r="M1627" s="4" t="s">
        <v>61</v>
      </c>
      <c r="N1627" s="4" t="s">
        <v>62</v>
      </c>
      <c r="O1627" s="4" t="s">
        <v>230</v>
      </c>
      <c r="P1627" s="4">
        <v>240</v>
      </c>
      <c r="Q1627" s="4" t="s">
        <v>50</v>
      </c>
      <c r="R1627" s="4" t="s">
        <v>136</v>
      </c>
      <c r="S1627" s="4">
        <v>81724</v>
      </c>
      <c r="T1627" s="4">
        <v>0</v>
      </c>
      <c r="U1627" s="4">
        <v>81724</v>
      </c>
      <c r="V1627" s="4">
        <v>48417</v>
      </c>
      <c r="W1627" s="4">
        <v>18338</v>
      </c>
      <c r="X1627" s="4">
        <v>12707</v>
      </c>
      <c r="Y1627" s="4" t="s">
        <v>41</v>
      </c>
      <c r="Z1627" s="4">
        <v>64</v>
      </c>
      <c r="AA1627" s="4">
        <v>3.5</v>
      </c>
      <c r="AB1627" s="4" t="s">
        <v>104</v>
      </c>
    </row>
    <row r="1628" spans="1:28" x14ac:dyDescent="0.25">
      <c r="A1628" s="2" t="s">
        <v>2409</v>
      </c>
      <c r="B1628" s="2" t="s">
        <v>2132</v>
      </c>
      <c r="C1628" s="2">
        <v>56</v>
      </c>
      <c r="D1628" s="2" t="s">
        <v>30</v>
      </c>
      <c r="E1628" s="2" t="s">
        <v>56</v>
      </c>
      <c r="F1628" s="2" t="s">
        <v>157</v>
      </c>
      <c r="G1628" s="3">
        <v>45448</v>
      </c>
      <c r="H1628" s="3">
        <v>45478</v>
      </c>
      <c r="I1628" s="2">
        <v>30</v>
      </c>
      <c r="J1628" s="2" t="s">
        <v>33</v>
      </c>
      <c r="K1628" s="2" t="s">
        <v>107</v>
      </c>
      <c r="L1628" s="2" t="s">
        <v>48</v>
      </c>
      <c r="M1628" s="2" t="s">
        <v>108</v>
      </c>
      <c r="N1628" s="2" t="s">
        <v>109</v>
      </c>
      <c r="O1628" s="2" t="s">
        <v>464</v>
      </c>
      <c r="P1628" s="2">
        <v>92</v>
      </c>
      <c r="Q1628" s="2" t="s">
        <v>50</v>
      </c>
      <c r="R1628" s="2" t="s">
        <v>90</v>
      </c>
      <c r="S1628" s="2">
        <v>112065</v>
      </c>
      <c r="T1628" s="2">
        <v>96645</v>
      </c>
      <c r="U1628" s="2">
        <v>15420</v>
      </c>
      <c r="V1628" s="2">
        <v>92318</v>
      </c>
      <c r="W1628" s="2">
        <v>7186</v>
      </c>
      <c r="X1628" s="2">
        <v>8809</v>
      </c>
      <c r="Y1628" s="2" t="s">
        <v>41</v>
      </c>
      <c r="Z1628" s="2">
        <v>67</v>
      </c>
      <c r="AA1628" s="2">
        <v>3.3</v>
      </c>
      <c r="AB1628" s="2" t="s">
        <v>104</v>
      </c>
    </row>
    <row r="1629" spans="1:28" x14ac:dyDescent="0.25">
      <c r="A1629" s="4" t="s">
        <v>2410</v>
      </c>
      <c r="B1629" s="4" t="s">
        <v>2411</v>
      </c>
      <c r="C1629" s="4">
        <v>10</v>
      </c>
      <c r="D1629" s="4" t="s">
        <v>30</v>
      </c>
      <c r="E1629" s="4" t="s">
        <v>56</v>
      </c>
      <c r="F1629" s="4" t="s">
        <v>150</v>
      </c>
      <c r="G1629" s="5">
        <v>45254</v>
      </c>
      <c r="H1629" s="5">
        <v>45261</v>
      </c>
      <c r="I1629" s="4">
        <v>7</v>
      </c>
      <c r="J1629" s="4" t="s">
        <v>123</v>
      </c>
      <c r="K1629" s="4" t="s">
        <v>251</v>
      </c>
      <c r="L1629" s="4" t="s">
        <v>125</v>
      </c>
      <c r="M1629" s="4" t="s">
        <v>130</v>
      </c>
      <c r="N1629" s="4" t="s">
        <v>118</v>
      </c>
      <c r="O1629" s="4" t="s">
        <v>365</v>
      </c>
      <c r="P1629" s="4">
        <v>312</v>
      </c>
      <c r="Q1629" s="4" t="s">
        <v>50</v>
      </c>
      <c r="R1629" s="4" t="s">
        <v>90</v>
      </c>
      <c r="S1629" s="4">
        <v>50520</v>
      </c>
      <c r="T1629" s="4">
        <v>37092</v>
      </c>
      <c r="U1629" s="4">
        <v>13428</v>
      </c>
      <c r="V1629" s="4">
        <v>20898</v>
      </c>
      <c r="W1629" s="4">
        <v>22782</v>
      </c>
      <c r="X1629" s="4">
        <v>6115</v>
      </c>
      <c r="Y1629" s="4" t="s">
        <v>41</v>
      </c>
      <c r="Z1629" s="4">
        <v>40</v>
      </c>
      <c r="AA1629" s="4">
        <v>3.6</v>
      </c>
      <c r="AB1629" s="4" t="s">
        <v>42</v>
      </c>
    </row>
    <row r="1630" spans="1:28" x14ac:dyDescent="0.25">
      <c r="A1630" s="2" t="s">
        <v>2412</v>
      </c>
      <c r="B1630" s="2" t="s">
        <v>466</v>
      </c>
      <c r="C1630" s="2">
        <v>75</v>
      </c>
      <c r="D1630" s="2" t="s">
        <v>30</v>
      </c>
      <c r="E1630" s="2" t="s">
        <v>67</v>
      </c>
      <c r="F1630" s="2" t="s">
        <v>150</v>
      </c>
      <c r="G1630" s="3">
        <v>45476</v>
      </c>
      <c r="H1630" s="3">
        <v>45478</v>
      </c>
      <c r="I1630" s="2">
        <v>2</v>
      </c>
      <c r="J1630" s="2" t="s">
        <v>73</v>
      </c>
      <c r="K1630" s="2" t="s">
        <v>74</v>
      </c>
      <c r="L1630" s="2" t="s">
        <v>73</v>
      </c>
      <c r="M1630" s="2" t="s">
        <v>75</v>
      </c>
      <c r="N1630" s="2" t="s">
        <v>118</v>
      </c>
      <c r="O1630" s="2" t="s">
        <v>448</v>
      </c>
      <c r="P1630" s="2">
        <v>313</v>
      </c>
      <c r="Q1630" s="2" t="s">
        <v>103</v>
      </c>
      <c r="R1630" s="2" t="s">
        <v>90</v>
      </c>
      <c r="S1630" s="2">
        <v>39732</v>
      </c>
      <c r="T1630" s="2">
        <v>35713</v>
      </c>
      <c r="U1630" s="2">
        <v>4019</v>
      </c>
      <c r="V1630" s="2">
        <v>6818</v>
      </c>
      <c r="W1630" s="2">
        <v>19321</v>
      </c>
      <c r="X1630" s="2">
        <v>11232</v>
      </c>
      <c r="Y1630" s="2" t="s">
        <v>41</v>
      </c>
      <c r="Z1630" s="2">
        <v>65</v>
      </c>
      <c r="AA1630" s="2">
        <v>2.8</v>
      </c>
      <c r="AB1630" s="2" t="s">
        <v>52</v>
      </c>
    </row>
    <row r="1631" spans="1:28" x14ac:dyDescent="0.25">
      <c r="A1631" s="4" t="s">
        <v>2413</v>
      </c>
      <c r="B1631" s="4" t="s">
        <v>1687</v>
      </c>
      <c r="C1631" s="4">
        <v>48</v>
      </c>
      <c r="D1631" s="4" t="s">
        <v>55</v>
      </c>
      <c r="E1631" s="4" t="s">
        <v>45</v>
      </c>
      <c r="F1631" s="4" t="s">
        <v>80</v>
      </c>
      <c r="G1631" s="5">
        <v>44577</v>
      </c>
      <c r="H1631" s="5">
        <v>44580</v>
      </c>
      <c r="I1631" s="4">
        <v>3</v>
      </c>
      <c r="J1631" s="4" t="s">
        <v>33</v>
      </c>
      <c r="K1631" s="4" t="s">
        <v>174</v>
      </c>
      <c r="L1631" s="4" t="s">
        <v>48</v>
      </c>
      <c r="M1631" s="4" t="s">
        <v>83</v>
      </c>
      <c r="N1631" s="4" t="s">
        <v>109</v>
      </c>
      <c r="O1631" s="4" t="s">
        <v>234</v>
      </c>
      <c r="P1631" s="4">
        <v>227</v>
      </c>
      <c r="Q1631" s="4" t="s">
        <v>39</v>
      </c>
      <c r="R1631" s="4" t="s">
        <v>40</v>
      </c>
      <c r="S1631" s="4">
        <v>166388</v>
      </c>
      <c r="T1631" s="4">
        <v>72436</v>
      </c>
      <c r="U1631" s="4">
        <v>93952</v>
      </c>
      <c r="V1631" s="4">
        <v>148785</v>
      </c>
      <c r="W1631" s="4">
        <v>7140</v>
      </c>
      <c r="X1631" s="4">
        <v>9752</v>
      </c>
      <c r="Y1631" s="4" t="s">
        <v>41</v>
      </c>
      <c r="Z1631" s="4">
        <v>98</v>
      </c>
      <c r="AA1631" s="4">
        <v>2.7</v>
      </c>
      <c r="AB1631" s="4" t="s">
        <v>104</v>
      </c>
    </row>
    <row r="1632" spans="1:28" x14ac:dyDescent="0.25">
      <c r="A1632" s="2" t="s">
        <v>2414</v>
      </c>
      <c r="B1632" s="2" t="s">
        <v>810</v>
      </c>
      <c r="C1632" s="2">
        <v>16</v>
      </c>
      <c r="D1632" s="2" t="s">
        <v>55</v>
      </c>
      <c r="E1632" s="2" t="s">
        <v>56</v>
      </c>
      <c r="F1632" s="2" t="s">
        <v>32</v>
      </c>
      <c r="G1632" s="3">
        <v>45085</v>
      </c>
      <c r="H1632" s="3">
        <v>45086</v>
      </c>
      <c r="I1632" s="2">
        <v>1</v>
      </c>
      <c r="J1632" s="2" t="s">
        <v>33</v>
      </c>
      <c r="K1632" s="2" t="s">
        <v>81</v>
      </c>
      <c r="L1632" s="2" t="s">
        <v>82</v>
      </c>
      <c r="M1632" s="2" t="s">
        <v>108</v>
      </c>
      <c r="N1632" s="2" t="s">
        <v>62</v>
      </c>
      <c r="O1632" s="2" t="s">
        <v>337</v>
      </c>
      <c r="P1632" s="2">
        <v>306</v>
      </c>
      <c r="Q1632" s="2" t="s">
        <v>69</v>
      </c>
      <c r="R1632" s="2" t="s">
        <v>136</v>
      </c>
      <c r="S1632" s="2">
        <v>25882</v>
      </c>
      <c r="T1632" s="2">
        <v>0</v>
      </c>
      <c r="U1632" s="2">
        <v>25882</v>
      </c>
      <c r="V1632" s="2">
        <v>12725</v>
      </c>
      <c r="W1632" s="2">
        <v>6857</v>
      </c>
      <c r="X1632" s="2">
        <v>5461</v>
      </c>
      <c r="Y1632" s="2" t="s">
        <v>41</v>
      </c>
      <c r="Z1632" s="2">
        <v>44</v>
      </c>
      <c r="AA1632" s="2">
        <v>2.2000000000000002</v>
      </c>
      <c r="AB1632" s="2" t="s">
        <v>137</v>
      </c>
    </row>
    <row r="1633" spans="1:28" x14ac:dyDescent="0.25">
      <c r="A1633" s="4" t="s">
        <v>2415</v>
      </c>
      <c r="B1633" s="4" t="s">
        <v>334</v>
      </c>
      <c r="C1633" s="4">
        <v>65</v>
      </c>
      <c r="D1633" s="4" t="s">
        <v>55</v>
      </c>
      <c r="E1633" s="4" t="s">
        <v>56</v>
      </c>
      <c r="F1633" s="4" t="s">
        <v>150</v>
      </c>
      <c r="G1633" s="5">
        <v>44662</v>
      </c>
      <c r="H1633" s="5">
        <v>44684</v>
      </c>
      <c r="I1633" s="4">
        <v>22</v>
      </c>
      <c r="J1633" s="4" t="s">
        <v>115</v>
      </c>
      <c r="K1633" s="4" t="s">
        <v>116</v>
      </c>
      <c r="L1633" s="4" t="s">
        <v>117</v>
      </c>
      <c r="M1633" s="4" t="s">
        <v>75</v>
      </c>
      <c r="N1633" s="4" t="s">
        <v>118</v>
      </c>
      <c r="O1633" s="4" t="s">
        <v>234</v>
      </c>
      <c r="P1633" s="4">
        <v>224</v>
      </c>
      <c r="Q1633" s="4" t="s">
        <v>103</v>
      </c>
      <c r="R1633" s="4" t="s">
        <v>40</v>
      </c>
      <c r="S1633" s="4">
        <v>50789</v>
      </c>
      <c r="T1633" s="4">
        <v>32954</v>
      </c>
      <c r="U1633" s="4">
        <v>17835</v>
      </c>
      <c r="V1633" s="4">
        <v>28478</v>
      </c>
      <c r="W1633" s="4">
        <v>6358</v>
      </c>
      <c r="X1633" s="4">
        <v>13368</v>
      </c>
      <c r="Y1633" s="4" t="s">
        <v>41</v>
      </c>
      <c r="Z1633" s="4">
        <v>82</v>
      </c>
      <c r="AA1633" s="4">
        <v>3.8</v>
      </c>
      <c r="AB1633" s="4" t="s">
        <v>52</v>
      </c>
    </row>
    <row r="1634" spans="1:28" x14ac:dyDescent="0.25">
      <c r="A1634" s="2" t="s">
        <v>2416</v>
      </c>
      <c r="B1634" s="2" t="s">
        <v>732</v>
      </c>
      <c r="C1634" s="2">
        <v>74</v>
      </c>
      <c r="D1634" s="2" t="s">
        <v>55</v>
      </c>
      <c r="E1634" s="2" t="s">
        <v>31</v>
      </c>
      <c r="F1634" s="2" t="s">
        <v>94</v>
      </c>
      <c r="G1634" s="3">
        <v>45629</v>
      </c>
      <c r="H1634" s="3">
        <v>45633</v>
      </c>
      <c r="I1634" s="2">
        <v>4</v>
      </c>
      <c r="J1634" s="2" t="s">
        <v>33</v>
      </c>
      <c r="K1634" s="2" t="s">
        <v>278</v>
      </c>
      <c r="L1634" s="2" t="s">
        <v>279</v>
      </c>
      <c r="M1634" s="2" t="s">
        <v>36</v>
      </c>
      <c r="N1634" s="2" t="s">
        <v>62</v>
      </c>
      <c r="O1634" s="2" t="s">
        <v>399</v>
      </c>
      <c r="P1634" s="2">
        <v>358</v>
      </c>
      <c r="Q1634" s="2" t="s">
        <v>103</v>
      </c>
      <c r="R1634" s="2" t="s">
        <v>111</v>
      </c>
      <c r="S1634" s="2">
        <v>138240</v>
      </c>
      <c r="T1634" s="2">
        <v>120357</v>
      </c>
      <c r="U1634" s="2">
        <v>17883</v>
      </c>
      <c r="V1634" s="2">
        <v>110412</v>
      </c>
      <c r="W1634" s="2">
        <v>16228</v>
      </c>
      <c r="X1634" s="2">
        <v>7692</v>
      </c>
      <c r="Y1634" s="2" t="s">
        <v>41</v>
      </c>
      <c r="Z1634" s="2">
        <v>61</v>
      </c>
      <c r="AA1634" s="2">
        <v>2.4</v>
      </c>
      <c r="AB1634" s="2" t="s">
        <v>42</v>
      </c>
    </row>
    <row r="1635" spans="1:28" x14ac:dyDescent="0.25">
      <c r="A1635" s="4" t="s">
        <v>2417</v>
      </c>
      <c r="B1635" s="4" t="s">
        <v>1698</v>
      </c>
      <c r="C1635" s="4">
        <v>17</v>
      </c>
      <c r="D1635" s="4" t="s">
        <v>30</v>
      </c>
      <c r="E1635" s="4" t="s">
        <v>122</v>
      </c>
      <c r="F1635" s="4" t="s">
        <v>72</v>
      </c>
      <c r="G1635" s="5">
        <v>44875</v>
      </c>
      <c r="H1635" s="5">
        <v>44901</v>
      </c>
      <c r="I1635" s="4">
        <v>26</v>
      </c>
      <c r="J1635" s="4" t="s">
        <v>33</v>
      </c>
      <c r="K1635" s="4" t="s">
        <v>34</v>
      </c>
      <c r="L1635" s="4" t="s">
        <v>35</v>
      </c>
      <c r="M1635" s="4" t="s">
        <v>108</v>
      </c>
      <c r="N1635" s="4" t="s">
        <v>118</v>
      </c>
      <c r="O1635" s="4" t="s">
        <v>282</v>
      </c>
      <c r="P1635" s="4">
        <v>478</v>
      </c>
      <c r="Q1635" s="4" t="s">
        <v>103</v>
      </c>
      <c r="R1635" s="4" t="s">
        <v>111</v>
      </c>
      <c r="S1635" s="4">
        <v>37478</v>
      </c>
      <c r="T1635" s="4">
        <v>29969</v>
      </c>
      <c r="U1635" s="4">
        <v>7509</v>
      </c>
      <c r="V1635" s="4">
        <v>15517</v>
      </c>
      <c r="W1635" s="4">
        <v>5224</v>
      </c>
      <c r="X1635" s="4">
        <v>14988</v>
      </c>
      <c r="Y1635" s="4" t="s">
        <v>41</v>
      </c>
      <c r="Z1635" s="4">
        <v>56</v>
      </c>
      <c r="AA1635" s="4">
        <v>4.0999999999999996</v>
      </c>
      <c r="AB1635" s="4" t="s">
        <v>52</v>
      </c>
    </row>
    <row r="1636" spans="1:28" x14ac:dyDescent="0.25">
      <c r="A1636" s="2" t="s">
        <v>2418</v>
      </c>
      <c r="B1636" s="2" t="s">
        <v>294</v>
      </c>
      <c r="C1636" s="2">
        <v>62</v>
      </c>
      <c r="D1636" s="2" t="s">
        <v>55</v>
      </c>
      <c r="E1636" s="2" t="s">
        <v>87</v>
      </c>
      <c r="F1636" s="2" t="s">
        <v>150</v>
      </c>
      <c r="G1636" s="3">
        <v>44840</v>
      </c>
      <c r="H1636" s="3">
        <v>44851</v>
      </c>
      <c r="I1636" s="2">
        <v>11</v>
      </c>
      <c r="J1636" s="2" t="s">
        <v>115</v>
      </c>
      <c r="K1636" s="2" t="s">
        <v>160</v>
      </c>
      <c r="L1636" s="2" t="s">
        <v>117</v>
      </c>
      <c r="M1636" s="2" t="s">
        <v>130</v>
      </c>
      <c r="N1636" s="2" t="s">
        <v>118</v>
      </c>
      <c r="O1636" s="2" t="s">
        <v>147</v>
      </c>
      <c r="P1636" s="2">
        <v>273</v>
      </c>
      <c r="Q1636" s="2" t="s">
        <v>50</v>
      </c>
      <c r="R1636" s="2" t="s">
        <v>51</v>
      </c>
      <c r="S1636" s="2">
        <v>163836</v>
      </c>
      <c r="T1636" s="2">
        <v>100370</v>
      </c>
      <c r="U1636" s="2">
        <v>63466</v>
      </c>
      <c r="V1636" s="2">
        <v>129335</v>
      </c>
      <c r="W1636" s="2">
        <v>26684</v>
      </c>
      <c r="X1636" s="2">
        <v>4362</v>
      </c>
      <c r="Y1636" s="2" t="s">
        <v>41</v>
      </c>
      <c r="Z1636" s="2">
        <v>69</v>
      </c>
      <c r="AA1636" s="2">
        <v>4.9000000000000004</v>
      </c>
      <c r="AB1636" s="2" t="s">
        <v>42</v>
      </c>
    </row>
    <row r="1637" spans="1:28" x14ac:dyDescent="0.25">
      <c r="A1637" s="4" t="s">
        <v>2419</v>
      </c>
      <c r="B1637" s="4" t="s">
        <v>1285</v>
      </c>
      <c r="C1637" s="4">
        <v>32</v>
      </c>
      <c r="D1637" s="4" t="s">
        <v>30</v>
      </c>
      <c r="E1637" s="4" t="s">
        <v>87</v>
      </c>
      <c r="F1637" s="4" t="s">
        <v>57</v>
      </c>
      <c r="G1637" s="5">
        <v>44896</v>
      </c>
      <c r="H1637" s="5">
        <v>44919</v>
      </c>
      <c r="I1637" s="4">
        <v>23</v>
      </c>
      <c r="J1637" s="4" t="s">
        <v>140</v>
      </c>
      <c r="K1637" s="4" t="s">
        <v>167</v>
      </c>
      <c r="L1637" s="4" t="s">
        <v>142</v>
      </c>
      <c r="M1637" s="4" t="s">
        <v>101</v>
      </c>
      <c r="N1637" s="4" t="s">
        <v>109</v>
      </c>
      <c r="O1637" s="4" t="s">
        <v>259</v>
      </c>
      <c r="P1637" s="4">
        <v>206</v>
      </c>
      <c r="Q1637" s="4" t="s">
        <v>103</v>
      </c>
      <c r="R1637" s="4" t="s">
        <v>40</v>
      </c>
      <c r="S1637" s="4">
        <v>171340</v>
      </c>
      <c r="T1637" s="4">
        <v>83246</v>
      </c>
      <c r="U1637" s="4">
        <v>88094</v>
      </c>
      <c r="V1637" s="4">
        <v>143545</v>
      </c>
      <c r="W1637" s="4">
        <v>11103</v>
      </c>
      <c r="X1637" s="4">
        <v>13046</v>
      </c>
      <c r="Y1637" s="4" t="s">
        <v>41</v>
      </c>
      <c r="Z1637" s="4">
        <v>48</v>
      </c>
      <c r="AA1637" s="4">
        <v>4</v>
      </c>
      <c r="AB1637" s="4" t="s">
        <v>64</v>
      </c>
    </row>
    <row r="1638" spans="1:28" x14ac:dyDescent="0.25">
      <c r="A1638" s="2" t="s">
        <v>2420</v>
      </c>
      <c r="B1638" s="2" t="s">
        <v>1327</v>
      </c>
      <c r="C1638" s="2">
        <v>34</v>
      </c>
      <c r="D1638" s="2" t="s">
        <v>30</v>
      </c>
      <c r="E1638" s="2" t="s">
        <v>67</v>
      </c>
      <c r="F1638" s="2" t="s">
        <v>80</v>
      </c>
      <c r="G1638" s="3">
        <v>44830</v>
      </c>
      <c r="H1638" s="3">
        <v>44853</v>
      </c>
      <c r="I1638" s="2">
        <v>23</v>
      </c>
      <c r="J1638" s="2" t="s">
        <v>73</v>
      </c>
      <c r="K1638" s="2" t="s">
        <v>74</v>
      </c>
      <c r="L1638" s="2" t="s">
        <v>73</v>
      </c>
      <c r="M1638" s="2" t="s">
        <v>36</v>
      </c>
      <c r="N1638" s="2" t="s">
        <v>37</v>
      </c>
      <c r="O1638" s="2" t="s">
        <v>352</v>
      </c>
      <c r="P1638" s="2">
        <v>86</v>
      </c>
      <c r="Q1638" s="2" t="s">
        <v>39</v>
      </c>
      <c r="R1638" s="2" t="s">
        <v>111</v>
      </c>
      <c r="S1638" s="2">
        <v>99228</v>
      </c>
      <c r="T1638" s="2">
        <v>84258</v>
      </c>
      <c r="U1638" s="2">
        <v>14970</v>
      </c>
      <c r="V1638" s="2">
        <v>70255</v>
      </c>
      <c r="W1638" s="2">
        <v>11927</v>
      </c>
      <c r="X1638" s="2">
        <v>14697</v>
      </c>
      <c r="Y1638" s="2" t="s">
        <v>41</v>
      </c>
      <c r="Z1638" s="2">
        <v>97</v>
      </c>
      <c r="AA1638" s="2">
        <v>2</v>
      </c>
      <c r="AB1638" s="2" t="s">
        <v>137</v>
      </c>
    </row>
    <row r="1639" spans="1:28" x14ac:dyDescent="0.25">
      <c r="A1639" s="4" t="s">
        <v>2421</v>
      </c>
      <c r="B1639" s="4" t="s">
        <v>470</v>
      </c>
      <c r="C1639" s="4">
        <v>12</v>
      </c>
      <c r="D1639" s="4" t="s">
        <v>55</v>
      </c>
      <c r="E1639" s="4" t="s">
        <v>67</v>
      </c>
      <c r="F1639" s="4" t="s">
        <v>114</v>
      </c>
      <c r="G1639" s="5">
        <v>44960</v>
      </c>
      <c r="H1639" s="5">
        <v>44968</v>
      </c>
      <c r="I1639" s="4">
        <v>8</v>
      </c>
      <c r="J1639" s="4" t="s">
        <v>140</v>
      </c>
      <c r="K1639" s="4" t="s">
        <v>167</v>
      </c>
      <c r="L1639" s="4" t="s">
        <v>142</v>
      </c>
      <c r="M1639" s="4" t="s">
        <v>36</v>
      </c>
      <c r="N1639" s="4" t="s">
        <v>118</v>
      </c>
      <c r="O1639" s="4" t="s">
        <v>509</v>
      </c>
      <c r="P1639" s="4">
        <v>192</v>
      </c>
      <c r="Q1639" s="4" t="s">
        <v>103</v>
      </c>
      <c r="R1639" s="4" t="s">
        <v>40</v>
      </c>
      <c r="S1639" s="4">
        <v>116968</v>
      </c>
      <c r="T1639" s="4">
        <v>53000</v>
      </c>
      <c r="U1639" s="4">
        <v>63968</v>
      </c>
      <c r="V1639" s="4">
        <v>71958</v>
      </c>
      <c r="W1639" s="4">
        <v>29909</v>
      </c>
      <c r="X1639" s="4">
        <v>11789</v>
      </c>
      <c r="Y1639" s="4" t="s">
        <v>41</v>
      </c>
      <c r="Z1639" s="4">
        <v>53</v>
      </c>
      <c r="AA1639" s="4">
        <v>3.2</v>
      </c>
      <c r="AB1639" s="4" t="s">
        <v>42</v>
      </c>
    </row>
    <row r="1640" spans="1:28" x14ac:dyDescent="0.25">
      <c r="A1640" s="2" t="s">
        <v>2422</v>
      </c>
      <c r="B1640" s="2" t="s">
        <v>1993</v>
      </c>
      <c r="C1640" s="2">
        <v>28</v>
      </c>
      <c r="D1640" s="2" t="s">
        <v>55</v>
      </c>
      <c r="E1640" s="2" t="s">
        <v>31</v>
      </c>
      <c r="F1640" s="2" t="s">
        <v>80</v>
      </c>
      <c r="G1640" s="3">
        <v>45502</v>
      </c>
      <c r="H1640" s="3">
        <v>45504</v>
      </c>
      <c r="I1640" s="2">
        <v>2</v>
      </c>
      <c r="J1640" s="2" t="s">
        <v>58</v>
      </c>
      <c r="K1640" s="2" t="s">
        <v>59</v>
      </c>
      <c r="L1640" s="2" t="s">
        <v>60</v>
      </c>
      <c r="M1640" s="2" t="s">
        <v>134</v>
      </c>
      <c r="N1640" s="2" t="s">
        <v>118</v>
      </c>
      <c r="O1640" s="2" t="s">
        <v>282</v>
      </c>
      <c r="P1640" s="2">
        <v>379</v>
      </c>
      <c r="Q1640" s="2" t="s">
        <v>50</v>
      </c>
      <c r="R1640" s="2" t="s">
        <v>40</v>
      </c>
      <c r="S1640" s="2">
        <v>112527</v>
      </c>
      <c r="T1640" s="2">
        <v>47848</v>
      </c>
      <c r="U1640" s="2">
        <v>64679</v>
      </c>
      <c r="V1640" s="2">
        <v>76013</v>
      </c>
      <c r="W1640" s="2">
        <v>29549</v>
      </c>
      <c r="X1640" s="2">
        <v>5259</v>
      </c>
      <c r="Y1640" s="2" t="s">
        <v>91</v>
      </c>
      <c r="Z1640" s="2">
        <v>61</v>
      </c>
      <c r="AA1640" s="2">
        <v>2.8</v>
      </c>
      <c r="AB1640" s="2" t="s">
        <v>42</v>
      </c>
    </row>
    <row r="1641" spans="1:28" x14ac:dyDescent="0.25">
      <c r="A1641" s="4" t="s">
        <v>2423</v>
      </c>
      <c r="B1641" s="4" t="s">
        <v>938</v>
      </c>
      <c r="C1641" s="4">
        <v>77</v>
      </c>
      <c r="D1641" s="4" t="s">
        <v>30</v>
      </c>
      <c r="E1641" s="4" t="s">
        <v>87</v>
      </c>
      <c r="F1641" s="4" t="s">
        <v>46</v>
      </c>
      <c r="G1641" s="5">
        <v>44903</v>
      </c>
      <c r="H1641" s="5">
        <v>44928</v>
      </c>
      <c r="I1641" s="4">
        <v>25</v>
      </c>
      <c r="J1641" s="4" t="s">
        <v>202</v>
      </c>
      <c r="K1641" s="4" t="s">
        <v>203</v>
      </c>
      <c r="L1641" s="4" t="s">
        <v>204</v>
      </c>
      <c r="M1641" s="4" t="s">
        <v>75</v>
      </c>
      <c r="N1641" s="4" t="s">
        <v>118</v>
      </c>
      <c r="O1641" s="4" t="s">
        <v>181</v>
      </c>
      <c r="P1641" s="4">
        <v>194</v>
      </c>
      <c r="Q1641" s="4" t="s">
        <v>39</v>
      </c>
      <c r="R1641" s="4" t="s">
        <v>51</v>
      </c>
      <c r="S1641" s="4">
        <v>50318</v>
      </c>
      <c r="T1641" s="4">
        <v>29547</v>
      </c>
      <c r="U1641" s="4">
        <v>20771</v>
      </c>
      <c r="V1641" s="4">
        <v>33746</v>
      </c>
      <c r="W1641" s="4">
        <v>13028</v>
      </c>
      <c r="X1641" s="4">
        <v>1722</v>
      </c>
      <c r="Y1641" s="4" t="s">
        <v>91</v>
      </c>
      <c r="Z1641" s="4">
        <v>98</v>
      </c>
      <c r="AA1641" s="4">
        <v>3.2</v>
      </c>
      <c r="AB1641" s="4" t="s">
        <v>137</v>
      </c>
    </row>
    <row r="1642" spans="1:28" x14ac:dyDescent="0.25">
      <c r="A1642" s="2" t="s">
        <v>2424</v>
      </c>
      <c r="B1642" s="2" t="s">
        <v>2425</v>
      </c>
      <c r="C1642" s="2">
        <v>27</v>
      </c>
      <c r="D1642" s="2" t="s">
        <v>30</v>
      </c>
      <c r="E1642" s="2" t="s">
        <v>67</v>
      </c>
      <c r="F1642" s="2" t="s">
        <v>46</v>
      </c>
      <c r="G1642" s="3">
        <v>44926</v>
      </c>
      <c r="H1642" s="3">
        <v>44945</v>
      </c>
      <c r="I1642" s="2">
        <v>19</v>
      </c>
      <c r="J1642" s="2" t="s">
        <v>33</v>
      </c>
      <c r="K1642" s="2" t="s">
        <v>233</v>
      </c>
      <c r="L1642" s="2" t="s">
        <v>35</v>
      </c>
      <c r="M1642" s="2" t="s">
        <v>83</v>
      </c>
      <c r="N1642" s="2" t="s">
        <v>109</v>
      </c>
      <c r="O1642" s="2" t="s">
        <v>110</v>
      </c>
      <c r="P1642" s="2">
        <v>373</v>
      </c>
      <c r="Q1642" s="2" t="s">
        <v>39</v>
      </c>
      <c r="R1642" s="2" t="s">
        <v>136</v>
      </c>
      <c r="S1642" s="2">
        <v>99077</v>
      </c>
      <c r="T1642" s="2">
        <v>0</v>
      </c>
      <c r="U1642" s="2">
        <v>99077</v>
      </c>
      <c r="V1642" s="2">
        <v>61205</v>
      </c>
      <c r="W1642" s="2">
        <v>22358</v>
      </c>
      <c r="X1642" s="2">
        <v>10687</v>
      </c>
      <c r="Y1642" s="2" t="s">
        <v>41</v>
      </c>
      <c r="Z1642" s="2">
        <v>63</v>
      </c>
      <c r="AA1642" s="2">
        <v>4.3</v>
      </c>
      <c r="AB1642" s="2" t="s">
        <v>42</v>
      </c>
    </row>
    <row r="1643" spans="1:28" x14ac:dyDescent="0.25">
      <c r="A1643" s="4" t="s">
        <v>2426</v>
      </c>
      <c r="B1643" s="4" t="s">
        <v>401</v>
      </c>
      <c r="C1643" s="4">
        <v>51</v>
      </c>
      <c r="D1643" s="4" t="s">
        <v>55</v>
      </c>
      <c r="E1643" s="4" t="s">
        <v>122</v>
      </c>
      <c r="F1643" s="4" t="s">
        <v>57</v>
      </c>
      <c r="G1643" s="5">
        <v>45513</v>
      </c>
      <c r="H1643" s="5">
        <v>45524</v>
      </c>
      <c r="I1643" s="4">
        <v>11</v>
      </c>
      <c r="J1643" s="4" t="s">
        <v>33</v>
      </c>
      <c r="K1643" s="4" t="s">
        <v>34</v>
      </c>
      <c r="L1643" s="4" t="s">
        <v>35</v>
      </c>
      <c r="M1643" s="4" t="s">
        <v>95</v>
      </c>
      <c r="N1643" s="4" t="s">
        <v>62</v>
      </c>
      <c r="O1643" s="4" t="s">
        <v>358</v>
      </c>
      <c r="P1643" s="4">
        <v>439</v>
      </c>
      <c r="Q1643" s="4" t="s">
        <v>50</v>
      </c>
      <c r="R1643" s="4" t="s">
        <v>111</v>
      </c>
      <c r="S1643" s="4">
        <v>80275</v>
      </c>
      <c r="T1643" s="4">
        <v>56344</v>
      </c>
      <c r="U1643" s="4">
        <v>23931</v>
      </c>
      <c r="V1643" s="4">
        <v>51510</v>
      </c>
      <c r="W1643" s="4">
        <v>23523</v>
      </c>
      <c r="X1643" s="4">
        <v>4343</v>
      </c>
      <c r="Y1643" s="4" t="s">
        <v>41</v>
      </c>
      <c r="Z1643" s="4">
        <v>96</v>
      </c>
      <c r="AA1643" s="4">
        <v>3.7</v>
      </c>
      <c r="AB1643" s="4" t="s">
        <v>52</v>
      </c>
    </row>
    <row r="1644" spans="1:28" x14ac:dyDescent="0.25">
      <c r="A1644" s="2" t="s">
        <v>2427</v>
      </c>
      <c r="B1644" s="2" t="s">
        <v>1818</v>
      </c>
      <c r="C1644" s="2">
        <v>14</v>
      </c>
      <c r="D1644" s="2" t="s">
        <v>55</v>
      </c>
      <c r="E1644" s="2" t="s">
        <v>56</v>
      </c>
      <c r="F1644" s="2" t="s">
        <v>129</v>
      </c>
      <c r="G1644" s="3">
        <v>45076</v>
      </c>
      <c r="H1644" s="3">
        <v>45089</v>
      </c>
      <c r="I1644" s="2">
        <v>13</v>
      </c>
      <c r="J1644" s="2" t="s">
        <v>58</v>
      </c>
      <c r="K1644" s="2" t="s">
        <v>59</v>
      </c>
      <c r="L1644" s="2" t="s">
        <v>60</v>
      </c>
      <c r="M1644" s="2" t="s">
        <v>83</v>
      </c>
      <c r="N1644" s="2" t="s">
        <v>37</v>
      </c>
      <c r="O1644" s="2" t="s">
        <v>181</v>
      </c>
      <c r="P1644" s="2">
        <v>106</v>
      </c>
      <c r="Q1644" s="2" t="s">
        <v>69</v>
      </c>
      <c r="R1644" s="2" t="s">
        <v>90</v>
      </c>
      <c r="S1644" s="2">
        <v>105050</v>
      </c>
      <c r="T1644" s="2">
        <v>76448</v>
      </c>
      <c r="U1644" s="2">
        <v>28602</v>
      </c>
      <c r="V1644" s="2">
        <v>75425</v>
      </c>
      <c r="W1644" s="2">
        <v>21706</v>
      </c>
      <c r="X1644" s="2">
        <v>7311</v>
      </c>
      <c r="Y1644" s="2" t="s">
        <v>41</v>
      </c>
      <c r="Z1644" s="2">
        <v>77</v>
      </c>
      <c r="AA1644" s="2">
        <v>3.2</v>
      </c>
      <c r="AB1644" s="2" t="s">
        <v>104</v>
      </c>
    </row>
    <row r="1645" spans="1:28" x14ac:dyDescent="0.25">
      <c r="A1645" s="4" t="s">
        <v>2428</v>
      </c>
      <c r="B1645" s="4" t="s">
        <v>255</v>
      </c>
      <c r="C1645" s="4">
        <v>85</v>
      </c>
      <c r="D1645" s="4" t="s">
        <v>30</v>
      </c>
      <c r="E1645" s="4" t="s">
        <v>31</v>
      </c>
      <c r="F1645" s="4" t="s">
        <v>150</v>
      </c>
      <c r="G1645" s="5">
        <v>45195</v>
      </c>
      <c r="H1645" s="5">
        <v>45215</v>
      </c>
      <c r="I1645" s="4">
        <v>20</v>
      </c>
      <c r="J1645" s="4" t="s">
        <v>33</v>
      </c>
      <c r="K1645" s="4" t="s">
        <v>34</v>
      </c>
      <c r="L1645" s="4" t="s">
        <v>35</v>
      </c>
      <c r="M1645" s="4" t="s">
        <v>36</v>
      </c>
      <c r="N1645" s="4" t="s">
        <v>37</v>
      </c>
      <c r="O1645" s="4" t="s">
        <v>464</v>
      </c>
      <c r="P1645" s="4">
        <v>198</v>
      </c>
      <c r="Q1645" s="4" t="s">
        <v>50</v>
      </c>
      <c r="R1645" s="4" t="s">
        <v>90</v>
      </c>
      <c r="S1645" s="4">
        <v>136982</v>
      </c>
      <c r="T1645" s="4">
        <v>100179</v>
      </c>
      <c r="U1645" s="4">
        <v>36803</v>
      </c>
      <c r="V1645" s="4">
        <v>116343</v>
      </c>
      <c r="W1645" s="4">
        <v>3540</v>
      </c>
      <c r="X1645" s="4">
        <v>14418</v>
      </c>
      <c r="Y1645" s="4" t="s">
        <v>41</v>
      </c>
      <c r="Z1645" s="4">
        <v>40</v>
      </c>
      <c r="AA1645" s="4">
        <v>2.2999999999999998</v>
      </c>
      <c r="AB1645" s="4" t="s">
        <v>64</v>
      </c>
    </row>
    <row r="1646" spans="1:28" x14ac:dyDescent="0.25">
      <c r="A1646" s="2" t="s">
        <v>2429</v>
      </c>
      <c r="B1646" s="2" t="s">
        <v>153</v>
      </c>
      <c r="C1646" s="2">
        <v>22</v>
      </c>
      <c r="D1646" s="2" t="s">
        <v>55</v>
      </c>
      <c r="E1646" s="2" t="s">
        <v>56</v>
      </c>
      <c r="F1646" s="2" t="s">
        <v>114</v>
      </c>
      <c r="G1646" s="3">
        <v>44652</v>
      </c>
      <c r="H1646" s="3">
        <v>44653</v>
      </c>
      <c r="I1646" s="2">
        <v>1</v>
      </c>
      <c r="J1646" s="2" t="s">
        <v>140</v>
      </c>
      <c r="K1646" s="2" t="s">
        <v>167</v>
      </c>
      <c r="L1646" s="2" t="s">
        <v>142</v>
      </c>
      <c r="M1646" s="2" t="s">
        <v>143</v>
      </c>
      <c r="N1646" s="2" t="s">
        <v>37</v>
      </c>
      <c r="O1646" s="2" t="s">
        <v>340</v>
      </c>
      <c r="P1646" s="2">
        <v>476</v>
      </c>
      <c r="Q1646" s="2" t="s">
        <v>103</v>
      </c>
      <c r="R1646" s="2" t="s">
        <v>51</v>
      </c>
      <c r="S1646" s="2">
        <v>90510</v>
      </c>
      <c r="T1646" s="2">
        <v>61334</v>
      </c>
      <c r="U1646" s="2">
        <v>29176</v>
      </c>
      <c r="V1646" s="2">
        <v>64463</v>
      </c>
      <c r="W1646" s="2">
        <v>21934</v>
      </c>
      <c r="X1646" s="2">
        <v>2689</v>
      </c>
      <c r="Y1646" s="2" t="s">
        <v>91</v>
      </c>
      <c r="Z1646" s="2">
        <v>65</v>
      </c>
      <c r="AA1646" s="2">
        <v>4.7</v>
      </c>
      <c r="AB1646" s="2" t="s">
        <v>52</v>
      </c>
    </row>
    <row r="1647" spans="1:28" x14ac:dyDescent="0.25">
      <c r="A1647" s="4" t="s">
        <v>2430</v>
      </c>
      <c r="B1647" s="4" t="s">
        <v>623</v>
      </c>
      <c r="C1647" s="4">
        <v>75</v>
      </c>
      <c r="D1647" s="4" t="s">
        <v>30</v>
      </c>
      <c r="E1647" s="4" t="s">
        <v>154</v>
      </c>
      <c r="F1647" s="4" t="s">
        <v>80</v>
      </c>
      <c r="G1647" s="5">
        <v>44637</v>
      </c>
      <c r="H1647" s="5">
        <v>44665</v>
      </c>
      <c r="I1647" s="4">
        <v>28</v>
      </c>
      <c r="J1647" s="4" t="s">
        <v>33</v>
      </c>
      <c r="K1647" s="4" t="s">
        <v>107</v>
      </c>
      <c r="L1647" s="4" t="s">
        <v>48</v>
      </c>
      <c r="M1647" s="4" t="s">
        <v>108</v>
      </c>
      <c r="N1647" s="4" t="s">
        <v>37</v>
      </c>
      <c r="O1647" s="4" t="s">
        <v>131</v>
      </c>
      <c r="P1647" s="4">
        <v>417</v>
      </c>
      <c r="Q1647" s="4" t="s">
        <v>103</v>
      </c>
      <c r="R1647" s="4" t="s">
        <v>51</v>
      </c>
      <c r="S1647" s="4">
        <v>81896</v>
      </c>
      <c r="T1647" s="4">
        <v>48663</v>
      </c>
      <c r="U1647" s="4">
        <v>33233</v>
      </c>
      <c r="V1647" s="4">
        <v>73489</v>
      </c>
      <c r="W1647" s="4">
        <v>6371</v>
      </c>
      <c r="X1647" s="4">
        <v>1031</v>
      </c>
      <c r="Y1647" s="4" t="s">
        <v>41</v>
      </c>
      <c r="Z1647" s="4">
        <v>57</v>
      </c>
      <c r="AA1647" s="4">
        <v>4.5</v>
      </c>
      <c r="AB1647" s="4" t="s">
        <v>64</v>
      </c>
    </row>
    <row r="1648" spans="1:28" x14ac:dyDescent="0.25">
      <c r="A1648" s="2" t="s">
        <v>2431</v>
      </c>
      <c r="B1648" s="2" t="s">
        <v>177</v>
      </c>
      <c r="C1648" s="2">
        <v>6</v>
      </c>
      <c r="D1648" s="2" t="s">
        <v>30</v>
      </c>
      <c r="E1648" s="2" t="s">
        <v>31</v>
      </c>
      <c r="F1648" s="2" t="s">
        <v>150</v>
      </c>
      <c r="G1648" s="3">
        <v>44909</v>
      </c>
      <c r="H1648" s="3">
        <v>44917</v>
      </c>
      <c r="I1648" s="2">
        <v>8</v>
      </c>
      <c r="J1648" s="2" t="s">
        <v>33</v>
      </c>
      <c r="K1648" s="2" t="s">
        <v>99</v>
      </c>
      <c r="L1648" s="2" t="s">
        <v>100</v>
      </c>
      <c r="M1648" s="2" t="s">
        <v>36</v>
      </c>
      <c r="N1648" s="2" t="s">
        <v>118</v>
      </c>
      <c r="O1648" s="2" t="s">
        <v>950</v>
      </c>
      <c r="P1648" s="2">
        <v>87</v>
      </c>
      <c r="Q1648" s="2" t="s">
        <v>50</v>
      </c>
      <c r="R1648" s="2" t="s">
        <v>51</v>
      </c>
      <c r="S1648" s="2">
        <v>102762</v>
      </c>
      <c r="T1648" s="2">
        <v>62609</v>
      </c>
      <c r="U1648" s="2">
        <v>40153</v>
      </c>
      <c r="V1648" s="2">
        <v>76633</v>
      </c>
      <c r="W1648" s="2">
        <v>15973</v>
      </c>
      <c r="X1648" s="2">
        <v>5802</v>
      </c>
      <c r="Y1648" s="2" t="s">
        <v>41</v>
      </c>
      <c r="Z1648" s="2">
        <v>88</v>
      </c>
      <c r="AA1648" s="2">
        <v>4.7</v>
      </c>
      <c r="AB1648" s="2" t="s">
        <v>42</v>
      </c>
    </row>
    <row r="1649" spans="1:28" x14ac:dyDescent="0.25">
      <c r="A1649" s="4" t="s">
        <v>2432</v>
      </c>
      <c r="B1649" s="4" t="s">
        <v>1076</v>
      </c>
      <c r="C1649" s="4">
        <v>80</v>
      </c>
      <c r="D1649" s="4" t="s">
        <v>55</v>
      </c>
      <c r="E1649" s="4" t="s">
        <v>122</v>
      </c>
      <c r="F1649" s="4" t="s">
        <v>80</v>
      </c>
      <c r="G1649" s="5">
        <v>45205</v>
      </c>
      <c r="H1649" s="5">
        <v>45221</v>
      </c>
      <c r="I1649" s="4">
        <v>16</v>
      </c>
      <c r="J1649" s="4" t="s">
        <v>33</v>
      </c>
      <c r="K1649" s="4" t="s">
        <v>174</v>
      </c>
      <c r="L1649" s="4" t="s">
        <v>48</v>
      </c>
      <c r="M1649" s="4" t="s">
        <v>83</v>
      </c>
      <c r="N1649" s="4" t="s">
        <v>109</v>
      </c>
      <c r="O1649" s="4" t="s">
        <v>448</v>
      </c>
      <c r="P1649" s="4">
        <v>223</v>
      </c>
      <c r="Q1649" s="4" t="s">
        <v>69</v>
      </c>
      <c r="R1649" s="4" t="s">
        <v>111</v>
      </c>
      <c r="S1649" s="4">
        <v>123415</v>
      </c>
      <c r="T1649" s="4">
        <v>75543</v>
      </c>
      <c r="U1649" s="4">
        <v>47872</v>
      </c>
      <c r="V1649" s="4">
        <v>86758</v>
      </c>
      <c r="W1649" s="4">
        <v>24589</v>
      </c>
      <c r="X1649" s="4">
        <v>10752</v>
      </c>
      <c r="Y1649" s="4" t="s">
        <v>41</v>
      </c>
      <c r="Z1649" s="4">
        <v>78</v>
      </c>
      <c r="AA1649" s="4">
        <v>2.8</v>
      </c>
      <c r="AB1649" s="4" t="s">
        <v>42</v>
      </c>
    </row>
    <row r="1650" spans="1:28" x14ac:dyDescent="0.25">
      <c r="A1650" s="2" t="s">
        <v>2433</v>
      </c>
      <c r="B1650" s="2" t="s">
        <v>840</v>
      </c>
      <c r="C1650" s="2">
        <v>5</v>
      </c>
      <c r="D1650" s="2" t="s">
        <v>30</v>
      </c>
      <c r="E1650" s="2" t="s">
        <v>31</v>
      </c>
      <c r="F1650" s="2" t="s">
        <v>72</v>
      </c>
      <c r="G1650" s="3">
        <v>44676</v>
      </c>
      <c r="H1650" s="3">
        <v>44684</v>
      </c>
      <c r="I1650" s="2">
        <v>8</v>
      </c>
      <c r="J1650" s="2" t="s">
        <v>33</v>
      </c>
      <c r="K1650" s="2" t="s">
        <v>47</v>
      </c>
      <c r="L1650" s="2" t="s">
        <v>48</v>
      </c>
      <c r="M1650" s="2" t="s">
        <v>130</v>
      </c>
      <c r="N1650" s="2" t="s">
        <v>109</v>
      </c>
      <c r="O1650" s="2" t="s">
        <v>673</v>
      </c>
      <c r="P1650" s="2">
        <v>393</v>
      </c>
      <c r="Q1650" s="2" t="s">
        <v>103</v>
      </c>
      <c r="R1650" s="2" t="s">
        <v>51</v>
      </c>
      <c r="S1650" s="2">
        <v>133226</v>
      </c>
      <c r="T1650" s="2">
        <v>87447</v>
      </c>
      <c r="U1650" s="2">
        <v>45779</v>
      </c>
      <c r="V1650" s="2">
        <v>105418</v>
      </c>
      <c r="W1650" s="2">
        <v>14943</v>
      </c>
      <c r="X1650" s="2">
        <v>12242</v>
      </c>
      <c r="Y1650" s="2" t="s">
        <v>41</v>
      </c>
      <c r="Z1650" s="2">
        <v>62</v>
      </c>
      <c r="AA1650" s="2">
        <v>2.9</v>
      </c>
      <c r="AB1650" s="2" t="s">
        <v>137</v>
      </c>
    </row>
    <row r="1651" spans="1:28" x14ac:dyDescent="0.25">
      <c r="A1651" s="4" t="s">
        <v>2434</v>
      </c>
      <c r="B1651" s="4" t="s">
        <v>968</v>
      </c>
      <c r="C1651" s="4">
        <v>7</v>
      </c>
      <c r="D1651" s="4" t="s">
        <v>30</v>
      </c>
      <c r="E1651" s="4" t="s">
        <v>45</v>
      </c>
      <c r="F1651" s="4" t="s">
        <v>157</v>
      </c>
      <c r="G1651" s="5">
        <v>44913</v>
      </c>
      <c r="H1651" s="5">
        <v>44916</v>
      </c>
      <c r="I1651" s="4">
        <v>3</v>
      </c>
      <c r="J1651" s="4" t="s">
        <v>33</v>
      </c>
      <c r="K1651" s="4" t="s">
        <v>197</v>
      </c>
      <c r="L1651" s="4" t="s">
        <v>198</v>
      </c>
      <c r="M1651" s="4" t="s">
        <v>75</v>
      </c>
      <c r="N1651" s="4" t="s">
        <v>118</v>
      </c>
      <c r="O1651" s="4" t="s">
        <v>571</v>
      </c>
      <c r="P1651" s="4">
        <v>85</v>
      </c>
      <c r="Q1651" s="4" t="s">
        <v>39</v>
      </c>
      <c r="R1651" s="4" t="s">
        <v>111</v>
      </c>
      <c r="S1651" s="4">
        <v>129026</v>
      </c>
      <c r="T1651" s="4">
        <v>112828</v>
      </c>
      <c r="U1651" s="4">
        <v>16198</v>
      </c>
      <c r="V1651" s="4">
        <v>86474</v>
      </c>
      <c r="W1651" s="4">
        <v>28474</v>
      </c>
      <c r="X1651" s="4">
        <v>11238</v>
      </c>
      <c r="Y1651" s="4" t="s">
        <v>41</v>
      </c>
      <c r="Z1651" s="4">
        <v>96</v>
      </c>
      <c r="AA1651" s="4">
        <v>4.4000000000000004</v>
      </c>
      <c r="AB1651" s="4" t="s">
        <v>52</v>
      </c>
    </row>
    <row r="1652" spans="1:28" x14ac:dyDescent="0.25">
      <c r="A1652" s="2" t="s">
        <v>2435</v>
      </c>
      <c r="B1652" s="2" t="s">
        <v>1375</v>
      </c>
      <c r="C1652" s="2">
        <v>42</v>
      </c>
      <c r="D1652" s="2" t="s">
        <v>55</v>
      </c>
      <c r="E1652" s="2" t="s">
        <v>45</v>
      </c>
      <c r="F1652" s="2" t="s">
        <v>72</v>
      </c>
      <c r="G1652" s="3">
        <v>45041</v>
      </c>
      <c r="H1652" s="3">
        <v>45052</v>
      </c>
      <c r="I1652" s="2">
        <v>11</v>
      </c>
      <c r="J1652" s="2" t="s">
        <v>115</v>
      </c>
      <c r="K1652" s="2" t="s">
        <v>116</v>
      </c>
      <c r="L1652" s="2" t="s">
        <v>117</v>
      </c>
      <c r="M1652" s="2" t="s">
        <v>61</v>
      </c>
      <c r="N1652" s="2" t="s">
        <v>118</v>
      </c>
      <c r="O1652" s="2" t="s">
        <v>181</v>
      </c>
      <c r="P1652" s="2">
        <v>329</v>
      </c>
      <c r="Q1652" s="2" t="s">
        <v>39</v>
      </c>
      <c r="R1652" s="2" t="s">
        <v>111</v>
      </c>
      <c r="S1652" s="2">
        <v>165487</v>
      </c>
      <c r="T1652" s="2">
        <v>101182</v>
      </c>
      <c r="U1652" s="2">
        <v>64305</v>
      </c>
      <c r="V1652" s="2">
        <v>123792</v>
      </c>
      <c r="W1652" s="2">
        <v>26027</v>
      </c>
      <c r="X1652" s="2">
        <v>12458</v>
      </c>
      <c r="Y1652" s="2" t="s">
        <v>41</v>
      </c>
      <c r="Z1652" s="2">
        <v>97</v>
      </c>
      <c r="AA1652" s="2">
        <v>3.3</v>
      </c>
      <c r="AB1652" s="2" t="s">
        <v>52</v>
      </c>
    </row>
    <row r="1653" spans="1:28" x14ac:dyDescent="0.25">
      <c r="A1653" s="4" t="s">
        <v>2436</v>
      </c>
      <c r="B1653" s="4" t="s">
        <v>1400</v>
      </c>
      <c r="C1653" s="4">
        <v>63</v>
      </c>
      <c r="D1653" s="4" t="s">
        <v>55</v>
      </c>
      <c r="E1653" s="4" t="s">
        <v>87</v>
      </c>
      <c r="F1653" s="4" t="s">
        <v>46</v>
      </c>
      <c r="G1653" s="5">
        <v>45284</v>
      </c>
      <c r="H1653" s="5">
        <v>45308</v>
      </c>
      <c r="I1653" s="4">
        <v>24</v>
      </c>
      <c r="J1653" s="4" t="s">
        <v>140</v>
      </c>
      <c r="K1653" s="4" t="s">
        <v>141</v>
      </c>
      <c r="L1653" s="4" t="s">
        <v>142</v>
      </c>
      <c r="M1653" s="4" t="s">
        <v>36</v>
      </c>
      <c r="N1653" s="4" t="s">
        <v>109</v>
      </c>
      <c r="O1653" s="4" t="s">
        <v>406</v>
      </c>
      <c r="P1653" s="4">
        <v>481</v>
      </c>
      <c r="Q1653" s="4" t="s">
        <v>50</v>
      </c>
      <c r="R1653" s="4" t="s">
        <v>111</v>
      </c>
      <c r="S1653" s="4">
        <v>163168</v>
      </c>
      <c r="T1653" s="4">
        <v>101929</v>
      </c>
      <c r="U1653" s="4">
        <v>61239</v>
      </c>
      <c r="V1653" s="4">
        <v>125052</v>
      </c>
      <c r="W1653" s="4">
        <v>26988</v>
      </c>
      <c r="X1653" s="4">
        <v>10208</v>
      </c>
      <c r="Y1653" s="4" t="s">
        <v>41</v>
      </c>
      <c r="Z1653" s="4">
        <v>60</v>
      </c>
      <c r="AA1653" s="4">
        <v>4.3</v>
      </c>
      <c r="AB1653" s="4" t="s">
        <v>64</v>
      </c>
    </row>
    <row r="1654" spans="1:28" x14ac:dyDescent="0.25">
      <c r="A1654" s="2" t="s">
        <v>2437</v>
      </c>
      <c r="B1654" s="2" t="s">
        <v>196</v>
      </c>
      <c r="C1654" s="2">
        <v>80</v>
      </c>
      <c r="D1654" s="2" t="s">
        <v>55</v>
      </c>
      <c r="E1654" s="2" t="s">
        <v>79</v>
      </c>
      <c r="F1654" s="2" t="s">
        <v>72</v>
      </c>
      <c r="G1654" s="3">
        <v>45438</v>
      </c>
      <c r="H1654" s="3">
        <v>45449</v>
      </c>
      <c r="I1654" s="2">
        <v>11</v>
      </c>
      <c r="J1654" s="2" t="s">
        <v>123</v>
      </c>
      <c r="K1654" s="2" t="s">
        <v>124</v>
      </c>
      <c r="L1654" s="2" t="s">
        <v>125</v>
      </c>
      <c r="M1654" s="2" t="s">
        <v>101</v>
      </c>
      <c r="N1654" s="2" t="s">
        <v>37</v>
      </c>
      <c r="O1654" s="2" t="s">
        <v>119</v>
      </c>
      <c r="P1654" s="2">
        <v>348</v>
      </c>
      <c r="Q1654" s="2" t="s">
        <v>69</v>
      </c>
      <c r="R1654" s="2" t="s">
        <v>40</v>
      </c>
      <c r="S1654" s="2">
        <v>57559</v>
      </c>
      <c r="T1654" s="2">
        <v>28885</v>
      </c>
      <c r="U1654" s="2">
        <v>28674</v>
      </c>
      <c r="V1654" s="2">
        <v>20786</v>
      </c>
      <c r="W1654" s="2">
        <v>27867</v>
      </c>
      <c r="X1654" s="2">
        <v>4171</v>
      </c>
      <c r="Y1654" s="2" t="s">
        <v>91</v>
      </c>
      <c r="Z1654" s="2">
        <v>40</v>
      </c>
      <c r="AA1654" s="2">
        <v>2.2000000000000002</v>
      </c>
      <c r="AB1654" s="2" t="s">
        <v>52</v>
      </c>
    </row>
    <row r="1655" spans="1:28" x14ac:dyDescent="0.25">
      <c r="A1655" s="4" t="s">
        <v>2438</v>
      </c>
      <c r="B1655" s="4" t="s">
        <v>1845</v>
      </c>
      <c r="C1655" s="4">
        <v>48</v>
      </c>
      <c r="D1655" s="4" t="s">
        <v>55</v>
      </c>
      <c r="E1655" s="4" t="s">
        <v>154</v>
      </c>
      <c r="F1655" s="4" t="s">
        <v>46</v>
      </c>
      <c r="G1655" s="5">
        <v>44855</v>
      </c>
      <c r="H1655" s="5">
        <v>44869</v>
      </c>
      <c r="I1655" s="4">
        <v>14</v>
      </c>
      <c r="J1655" s="4" t="s">
        <v>33</v>
      </c>
      <c r="K1655" s="4" t="s">
        <v>278</v>
      </c>
      <c r="L1655" s="4" t="s">
        <v>279</v>
      </c>
      <c r="M1655" s="4" t="s">
        <v>83</v>
      </c>
      <c r="N1655" s="4" t="s">
        <v>118</v>
      </c>
      <c r="O1655" s="4" t="s">
        <v>266</v>
      </c>
      <c r="P1655" s="4">
        <v>175</v>
      </c>
      <c r="Q1655" s="4" t="s">
        <v>69</v>
      </c>
      <c r="R1655" s="4" t="s">
        <v>40</v>
      </c>
      <c r="S1655" s="4">
        <v>159248</v>
      </c>
      <c r="T1655" s="4">
        <v>79642</v>
      </c>
      <c r="U1655" s="4">
        <v>79606</v>
      </c>
      <c r="V1655" s="4">
        <v>131372</v>
      </c>
      <c r="W1655" s="4">
        <v>13291</v>
      </c>
      <c r="X1655" s="4">
        <v>12057</v>
      </c>
      <c r="Y1655" s="4" t="s">
        <v>41</v>
      </c>
      <c r="Z1655" s="4">
        <v>66</v>
      </c>
      <c r="AA1655" s="4">
        <v>2.2000000000000002</v>
      </c>
      <c r="AB1655" s="4" t="s">
        <v>64</v>
      </c>
    </row>
    <row r="1656" spans="1:28" x14ac:dyDescent="0.25">
      <c r="A1656" s="2" t="s">
        <v>2439</v>
      </c>
      <c r="B1656" s="2" t="s">
        <v>813</v>
      </c>
      <c r="C1656" s="2">
        <v>26</v>
      </c>
      <c r="D1656" s="2" t="s">
        <v>55</v>
      </c>
      <c r="E1656" s="2" t="s">
        <v>79</v>
      </c>
      <c r="F1656" s="2" t="s">
        <v>57</v>
      </c>
      <c r="G1656" s="3">
        <v>45608</v>
      </c>
      <c r="H1656" s="3">
        <v>45620</v>
      </c>
      <c r="I1656" s="2">
        <v>12</v>
      </c>
      <c r="J1656" s="2" t="s">
        <v>140</v>
      </c>
      <c r="K1656" s="2" t="s">
        <v>141</v>
      </c>
      <c r="L1656" s="2" t="s">
        <v>142</v>
      </c>
      <c r="M1656" s="2" t="s">
        <v>108</v>
      </c>
      <c r="N1656" s="2" t="s">
        <v>109</v>
      </c>
      <c r="O1656" s="2" t="s">
        <v>168</v>
      </c>
      <c r="P1656" s="2">
        <v>454</v>
      </c>
      <c r="Q1656" s="2" t="s">
        <v>103</v>
      </c>
      <c r="R1656" s="2" t="s">
        <v>90</v>
      </c>
      <c r="S1656" s="2">
        <v>56241</v>
      </c>
      <c r="T1656" s="2">
        <v>42612</v>
      </c>
      <c r="U1656" s="2">
        <v>13629</v>
      </c>
      <c r="V1656" s="2">
        <v>23074</v>
      </c>
      <c r="W1656" s="2">
        <v>18275</v>
      </c>
      <c r="X1656" s="2">
        <v>10311</v>
      </c>
      <c r="Y1656" s="2" t="s">
        <v>41</v>
      </c>
      <c r="Z1656" s="2">
        <v>49</v>
      </c>
      <c r="AA1656" s="2">
        <v>3.6</v>
      </c>
      <c r="AB1656" s="2" t="s">
        <v>137</v>
      </c>
    </row>
    <row r="1657" spans="1:28" x14ac:dyDescent="0.25">
      <c r="A1657" s="4" t="s">
        <v>2440</v>
      </c>
      <c r="B1657" s="4" t="s">
        <v>1060</v>
      </c>
      <c r="C1657" s="4">
        <v>82</v>
      </c>
      <c r="D1657" s="4" t="s">
        <v>55</v>
      </c>
      <c r="E1657" s="4" t="s">
        <v>31</v>
      </c>
      <c r="F1657" s="4" t="s">
        <v>94</v>
      </c>
      <c r="G1657" s="5">
        <v>44646</v>
      </c>
      <c r="H1657" s="5">
        <v>44656</v>
      </c>
      <c r="I1657" s="4">
        <v>10</v>
      </c>
      <c r="J1657" s="4" t="s">
        <v>33</v>
      </c>
      <c r="K1657" s="4" t="s">
        <v>34</v>
      </c>
      <c r="L1657" s="4" t="s">
        <v>35</v>
      </c>
      <c r="M1657" s="4" t="s">
        <v>36</v>
      </c>
      <c r="N1657" s="4" t="s">
        <v>37</v>
      </c>
      <c r="O1657" s="4" t="s">
        <v>230</v>
      </c>
      <c r="P1657" s="4">
        <v>25</v>
      </c>
      <c r="Q1657" s="4" t="s">
        <v>39</v>
      </c>
      <c r="R1657" s="4" t="s">
        <v>40</v>
      </c>
      <c r="S1657" s="4">
        <v>80992</v>
      </c>
      <c r="T1657" s="4">
        <v>39489</v>
      </c>
      <c r="U1657" s="4">
        <v>41503</v>
      </c>
      <c r="V1657" s="4">
        <v>65661</v>
      </c>
      <c r="W1657" s="4">
        <v>3003</v>
      </c>
      <c r="X1657" s="4">
        <v>8767</v>
      </c>
      <c r="Y1657" s="4" t="s">
        <v>91</v>
      </c>
      <c r="Z1657" s="4">
        <v>81</v>
      </c>
      <c r="AA1657" s="4">
        <v>2.9</v>
      </c>
      <c r="AB1657" s="4" t="s">
        <v>137</v>
      </c>
    </row>
    <row r="1658" spans="1:28" x14ac:dyDescent="0.25">
      <c r="A1658" s="2" t="s">
        <v>2441</v>
      </c>
      <c r="B1658" s="2" t="s">
        <v>1952</v>
      </c>
      <c r="C1658" s="2">
        <v>11</v>
      </c>
      <c r="D1658" s="2" t="s">
        <v>55</v>
      </c>
      <c r="E1658" s="2" t="s">
        <v>122</v>
      </c>
      <c r="F1658" s="2" t="s">
        <v>72</v>
      </c>
      <c r="G1658" s="3">
        <v>44969</v>
      </c>
      <c r="H1658" s="3">
        <v>44972</v>
      </c>
      <c r="I1658" s="2">
        <v>3</v>
      </c>
      <c r="J1658" s="2" t="s">
        <v>73</v>
      </c>
      <c r="K1658" s="2" t="s">
        <v>74</v>
      </c>
      <c r="L1658" s="2" t="s">
        <v>73</v>
      </c>
      <c r="M1658" s="2" t="s">
        <v>75</v>
      </c>
      <c r="N1658" s="2" t="s">
        <v>62</v>
      </c>
      <c r="O1658" s="2" t="s">
        <v>509</v>
      </c>
      <c r="P1658" s="2">
        <v>17</v>
      </c>
      <c r="Q1658" s="2" t="s">
        <v>39</v>
      </c>
      <c r="R1658" s="2" t="s">
        <v>111</v>
      </c>
      <c r="S1658" s="2">
        <v>173260</v>
      </c>
      <c r="T1658" s="2">
        <v>129876</v>
      </c>
      <c r="U1658" s="2">
        <v>43384</v>
      </c>
      <c r="V1658" s="2">
        <v>132276</v>
      </c>
      <c r="W1658" s="2">
        <v>24752</v>
      </c>
      <c r="X1658" s="2">
        <v>12348</v>
      </c>
      <c r="Y1658" s="2" t="s">
        <v>41</v>
      </c>
      <c r="Z1658" s="2">
        <v>69</v>
      </c>
      <c r="AA1658" s="2">
        <v>3.4</v>
      </c>
      <c r="AB1658" s="2" t="s">
        <v>137</v>
      </c>
    </row>
    <row r="1659" spans="1:28" x14ac:dyDescent="0.25">
      <c r="A1659" s="4" t="s">
        <v>2442</v>
      </c>
      <c r="B1659" s="4" t="s">
        <v>166</v>
      </c>
      <c r="C1659" s="4">
        <v>53</v>
      </c>
      <c r="D1659" s="4" t="s">
        <v>30</v>
      </c>
      <c r="E1659" s="4" t="s">
        <v>45</v>
      </c>
      <c r="F1659" s="4" t="s">
        <v>80</v>
      </c>
      <c r="G1659" s="5">
        <v>45173</v>
      </c>
      <c r="H1659" s="5">
        <v>45184</v>
      </c>
      <c r="I1659" s="4">
        <v>11</v>
      </c>
      <c r="J1659" s="4" t="s">
        <v>33</v>
      </c>
      <c r="K1659" s="4" t="s">
        <v>233</v>
      </c>
      <c r="L1659" s="4" t="s">
        <v>35</v>
      </c>
      <c r="M1659" s="4" t="s">
        <v>61</v>
      </c>
      <c r="N1659" s="4" t="s">
        <v>118</v>
      </c>
      <c r="O1659" s="4" t="s">
        <v>205</v>
      </c>
      <c r="P1659" s="4">
        <v>315</v>
      </c>
      <c r="Q1659" s="4" t="s">
        <v>50</v>
      </c>
      <c r="R1659" s="4" t="s">
        <v>136</v>
      </c>
      <c r="S1659" s="4">
        <v>85251</v>
      </c>
      <c r="T1659" s="4">
        <v>0</v>
      </c>
      <c r="U1659" s="4">
        <v>85251</v>
      </c>
      <c r="V1659" s="4">
        <v>57964</v>
      </c>
      <c r="W1659" s="4">
        <v>12738</v>
      </c>
      <c r="X1659" s="4">
        <v>13140</v>
      </c>
      <c r="Y1659" s="4" t="s">
        <v>91</v>
      </c>
      <c r="Z1659" s="4">
        <v>43</v>
      </c>
      <c r="AA1659" s="4">
        <v>2.4</v>
      </c>
      <c r="AB1659" s="4" t="s">
        <v>42</v>
      </c>
    </row>
    <row r="1660" spans="1:28" x14ac:dyDescent="0.25">
      <c r="A1660" s="2" t="s">
        <v>2443</v>
      </c>
      <c r="B1660" s="2" t="s">
        <v>943</v>
      </c>
      <c r="C1660" s="2">
        <v>45</v>
      </c>
      <c r="D1660" s="2" t="s">
        <v>30</v>
      </c>
      <c r="E1660" s="2" t="s">
        <v>31</v>
      </c>
      <c r="F1660" s="2" t="s">
        <v>32</v>
      </c>
      <c r="G1660" s="3">
        <v>44662</v>
      </c>
      <c r="H1660" s="3">
        <v>44680</v>
      </c>
      <c r="I1660" s="2">
        <v>18</v>
      </c>
      <c r="J1660" s="2" t="s">
        <v>33</v>
      </c>
      <c r="K1660" s="2" t="s">
        <v>233</v>
      </c>
      <c r="L1660" s="2" t="s">
        <v>35</v>
      </c>
      <c r="M1660" s="2" t="s">
        <v>61</v>
      </c>
      <c r="N1660" s="2" t="s">
        <v>109</v>
      </c>
      <c r="O1660" s="2" t="s">
        <v>365</v>
      </c>
      <c r="P1660" s="2">
        <v>106</v>
      </c>
      <c r="Q1660" s="2" t="s">
        <v>50</v>
      </c>
      <c r="R1660" s="2" t="s">
        <v>90</v>
      </c>
      <c r="S1660" s="2">
        <v>121168</v>
      </c>
      <c r="T1660" s="2">
        <v>84928</v>
      </c>
      <c r="U1660" s="2">
        <v>36240</v>
      </c>
      <c r="V1660" s="2">
        <v>86612</v>
      </c>
      <c r="W1660" s="2">
        <v>22457</v>
      </c>
      <c r="X1660" s="2">
        <v>9020</v>
      </c>
      <c r="Y1660" s="2" t="s">
        <v>41</v>
      </c>
      <c r="Z1660" s="2">
        <v>69</v>
      </c>
      <c r="AA1660" s="2">
        <v>2.1</v>
      </c>
      <c r="AB1660" s="2" t="s">
        <v>137</v>
      </c>
    </row>
    <row r="1661" spans="1:28" x14ac:dyDescent="0.25">
      <c r="A1661" s="4" t="s">
        <v>2444</v>
      </c>
      <c r="B1661" s="4" t="s">
        <v>44</v>
      </c>
      <c r="C1661" s="4">
        <v>60</v>
      </c>
      <c r="D1661" s="4" t="s">
        <v>55</v>
      </c>
      <c r="E1661" s="4" t="s">
        <v>67</v>
      </c>
      <c r="F1661" s="4" t="s">
        <v>57</v>
      </c>
      <c r="G1661" s="5">
        <v>45351</v>
      </c>
      <c r="H1661" s="5">
        <v>45366</v>
      </c>
      <c r="I1661" s="4">
        <v>15</v>
      </c>
      <c r="J1661" s="4" t="s">
        <v>58</v>
      </c>
      <c r="K1661" s="4" t="s">
        <v>59</v>
      </c>
      <c r="L1661" s="4" t="s">
        <v>60</v>
      </c>
      <c r="M1661" s="4" t="s">
        <v>95</v>
      </c>
      <c r="N1661" s="4" t="s">
        <v>62</v>
      </c>
      <c r="O1661" s="4" t="s">
        <v>471</v>
      </c>
      <c r="P1661" s="4">
        <v>418</v>
      </c>
      <c r="Q1661" s="4" t="s">
        <v>103</v>
      </c>
      <c r="R1661" s="4" t="s">
        <v>111</v>
      </c>
      <c r="S1661" s="4">
        <v>60945</v>
      </c>
      <c r="T1661" s="4">
        <v>46851</v>
      </c>
      <c r="U1661" s="4">
        <v>14094</v>
      </c>
      <c r="V1661" s="4">
        <v>46205</v>
      </c>
      <c r="W1661" s="4">
        <v>4518</v>
      </c>
      <c r="X1661" s="4">
        <v>7382</v>
      </c>
      <c r="Y1661" s="4" t="s">
        <v>41</v>
      </c>
      <c r="Z1661" s="4">
        <v>56</v>
      </c>
      <c r="AA1661" s="4">
        <v>4</v>
      </c>
      <c r="AB1661" s="4" t="s">
        <v>137</v>
      </c>
    </row>
    <row r="1662" spans="1:28" x14ac:dyDescent="0.25">
      <c r="A1662" s="2" t="s">
        <v>2445</v>
      </c>
      <c r="B1662" s="2" t="s">
        <v>1969</v>
      </c>
      <c r="C1662" s="2">
        <v>63</v>
      </c>
      <c r="D1662" s="2" t="s">
        <v>55</v>
      </c>
      <c r="E1662" s="2" t="s">
        <v>122</v>
      </c>
      <c r="F1662" s="2" t="s">
        <v>129</v>
      </c>
      <c r="G1662" s="3">
        <v>45139</v>
      </c>
      <c r="H1662" s="3">
        <v>45141</v>
      </c>
      <c r="I1662" s="2">
        <v>2</v>
      </c>
      <c r="J1662" s="2" t="s">
        <v>33</v>
      </c>
      <c r="K1662" s="2" t="s">
        <v>81</v>
      </c>
      <c r="L1662" s="2" t="s">
        <v>82</v>
      </c>
      <c r="M1662" s="2" t="s">
        <v>95</v>
      </c>
      <c r="N1662" s="2" t="s">
        <v>37</v>
      </c>
      <c r="O1662" s="2" t="s">
        <v>406</v>
      </c>
      <c r="P1662" s="2">
        <v>86</v>
      </c>
      <c r="Q1662" s="2" t="s">
        <v>69</v>
      </c>
      <c r="R1662" s="2" t="s">
        <v>40</v>
      </c>
      <c r="S1662" s="2">
        <v>107293</v>
      </c>
      <c r="T1662" s="2">
        <v>59244</v>
      </c>
      <c r="U1662" s="2">
        <v>48049</v>
      </c>
      <c r="V1662" s="2">
        <v>65002</v>
      </c>
      <c r="W1662" s="2">
        <v>25265</v>
      </c>
      <c r="X1662" s="2">
        <v>13567</v>
      </c>
      <c r="Y1662" s="2" t="s">
        <v>41</v>
      </c>
      <c r="Z1662" s="2">
        <v>69</v>
      </c>
      <c r="AA1662" s="2">
        <v>4.3</v>
      </c>
      <c r="AB1662" s="2" t="s">
        <v>64</v>
      </c>
    </row>
    <row r="1663" spans="1:28" x14ac:dyDescent="0.25">
      <c r="A1663" s="4" t="s">
        <v>2446</v>
      </c>
      <c r="B1663" s="4" t="s">
        <v>388</v>
      </c>
      <c r="C1663" s="4">
        <v>28</v>
      </c>
      <c r="D1663" s="4" t="s">
        <v>30</v>
      </c>
      <c r="E1663" s="4" t="s">
        <v>56</v>
      </c>
      <c r="F1663" s="4" t="s">
        <v>72</v>
      </c>
      <c r="G1663" s="5">
        <v>45176</v>
      </c>
      <c r="H1663" s="5">
        <v>45203</v>
      </c>
      <c r="I1663" s="4">
        <v>27</v>
      </c>
      <c r="J1663" s="4" t="s">
        <v>33</v>
      </c>
      <c r="K1663" s="4" t="s">
        <v>233</v>
      </c>
      <c r="L1663" s="4" t="s">
        <v>35</v>
      </c>
      <c r="M1663" s="4" t="s">
        <v>36</v>
      </c>
      <c r="N1663" s="4" t="s">
        <v>37</v>
      </c>
      <c r="O1663" s="4" t="s">
        <v>379</v>
      </c>
      <c r="P1663" s="4">
        <v>299</v>
      </c>
      <c r="Q1663" s="4" t="s">
        <v>69</v>
      </c>
      <c r="R1663" s="4" t="s">
        <v>51</v>
      </c>
      <c r="S1663" s="4">
        <v>106627</v>
      </c>
      <c r="T1663" s="4">
        <v>63661</v>
      </c>
      <c r="U1663" s="4">
        <v>42966</v>
      </c>
      <c r="V1663" s="4">
        <v>77429</v>
      </c>
      <c r="W1663" s="4">
        <v>11274</v>
      </c>
      <c r="X1663" s="4">
        <v>14200</v>
      </c>
      <c r="Y1663" s="4" t="s">
        <v>41</v>
      </c>
      <c r="Z1663" s="4">
        <v>59</v>
      </c>
      <c r="AA1663" s="4">
        <v>3.3</v>
      </c>
      <c r="AB1663" s="4" t="s">
        <v>52</v>
      </c>
    </row>
    <row r="1664" spans="1:28" x14ac:dyDescent="0.25">
      <c r="A1664" s="2" t="s">
        <v>2447</v>
      </c>
      <c r="B1664" s="2" t="s">
        <v>232</v>
      </c>
      <c r="C1664" s="2">
        <v>79</v>
      </c>
      <c r="D1664" s="2" t="s">
        <v>55</v>
      </c>
      <c r="E1664" s="2" t="s">
        <v>122</v>
      </c>
      <c r="F1664" s="2" t="s">
        <v>46</v>
      </c>
      <c r="G1664" s="3">
        <v>44710</v>
      </c>
      <c r="H1664" s="3">
        <v>44722</v>
      </c>
      <c r="I1664" s="2">
        <v>12</v>
      </c>
      <c r="J1664" s="2" t="s">
        <v>123</v>
      </c>
      <c r="K1664" s="2" t="s">
        <v>124</v>
      </c>
      <c r="L1664" s="2" t="s">
        <v>125</v>
      </c>
      <c r="M1664" s="2" t="s">
        <v>143</v>
      </c>
      <c r="N1664" s="2" t="s">
        <v>37</v>
      </c>
      <c r="O1664" s="2" t="s">
        <v>681</v>
      </c>
      <c r="P1664" s="2">
        <v>188</v>
      </c>
      <c r="Q1664" s="2" t="s">
        <v>50</v>
      </c>
      <c r="R1664" s="2" t="s">
        <v>136</v>
      </c>
      <c r="S1664" s="2">
        <v>150195</v>
      </c>
      <c r="T1664" s="2">
        <v>0</v>
      </c>
      <c r="U1664" s="2">
        <v>150195</v>
      </c>
      <c r="V1664" s="2">
        <v>134423</v>
      </c>
      <c r="W1664" s="2">
        <v>1305</v>
      </c>
      <c r="X1664" s="2">
        <v>13401</v>
      </c>
      <c r="Y1664" s="2" t="s">
        <v>41</v>
      </c>
      <c r="Z1664" s="2">
        <v>70</v>
      </c>
      <c r="AA1664" s="2">
        <v>4.3</v>
      </c>
      <c r="AB1664" s="2" t="s">
        <v>42</v>
      </c>
    </row>
    <row r="1665" spans="1:28" x14ac:dyDescent="0.25">
      <c r="A1665" s="4" t="s">
        <v>2448</v>
      </c>
      <c r="B1665" s="4" t="s">
        <v>1058</v>
      </c>
      <c r="C1665" s="4">
        <v>10</v>
      </c>
      <c r="D1665" s="4" t="s">
        <v>55</v>
      </c>
      <c r="E1665" s="4" t="s">
        <v>79</v>
      </c>
      <c r="F1665" s="4" t="s">
        <v>114</v>
      </c>
      <c r="G1665" s="5">
        <v>45486</v>
      </c>
      <c r="H1665" s="5">
        <v>45488</v>
      </c>
      <c r="I1665" s="4">
        <v>2</v>
      </c>
      <c r="J1665" s="4" t="s">
        <v>33</v>
      </c>
      <c r="K1665" s="4" t="s">
        <v>233</v>
      </c>
      <c r="L1665" s="4" t="s">
        <v>35</v>
      </c>
      <c r="M1665" s="4" t="s">
        <v>108</v>
      </c>
      <c r="N1665" s="4" t="s">
        <v>37</v>
      </c>
      <c r="O1665" s="4" t="s">
        <v>406</v>
      </c>
      <c r="P1665" s="4">
        <v>463</v>
      </c>
      <c r="Q1665" s="4" t="s">
        <v>69</v>
      </c>
      <c r="R1665" s="4" t="s">
        <v>40</v>
      </c>
      <c r="S1665" s="4">
        <v>162777</v>
      </c>
      <c r="T1665" s="4">
        <v>104053</v>
      </c>
      <c r="U1665" s="4">
        <v>58724</v>
      </c>
      <c r="V1665" s="4">
        <v>136991</v>
      </c>
      <c r="W1665" s="4">
        <v>23861</v>
      </c>
      <c r="X1665" s="4">
        <v>956</v>
      </c>
      <c r="Y1665" s="4" t="s">
        <v>41</v>
      </c>
      <c r="Z1665" s="4">
        <v>44</v>
      </c>
      <c r="AA1665" s="4">
        <v>3.4</v>
      </c>
      <c r="AB1665" s="4" t="s">
        <v>104</v>
      </c>
    </row>
    <row r="1666" spans="1:28" x14ac:dyDescent="0.25">
      <c r="A1666" s="2" t="s">
        <v>2449</v>
      </c>
      <c r="B1666" s="2" t="s">
        <v>1559</v>
      </c>
      <c r="C1666" s="2">
        <v>35</v>
      </c>
      <c r="D1666" s="2" t="s">
        <v>30</v>
      </c>
      <c r="E1666" s="2" t="s">
        <v>67</v>
      </c>
      <c r="F1666" s="2" t="s">
        <v>57</v>
      </c>
      <c r="G1666" s="3">
        <v>45070</v>
      </c>
      <c r="H1666" s="3">
        <v>45074</v>
      </c>
      <c r="I1666" s="2">
        <v>4</v>
      </c>
      <c r="J1666" s="2" t="s">
        <v>33</v>
      </c>
      <c r="K1666" s="2" t="s">
        <v>81</v>
      </c>
      <c r="L1666" s="2" t="s">
        <v>82</v>
      </c>
      <c r="M1666" s="2" t="s">
        <v>61</v>
      </c>
      <c r="N1666" s="2" t="s">
        <v>118</v>
      </c>
      <c r="O1666" s="2" t="s">
        <v>631</v>
      </c>
      <c r="P1666" s="2">
        <v>301</v>
      </c>
      <c r="Q1666" s="2" t="s">
        <v>39</v>
      </c>
      <c r="R1666" s="2" t="s">
        <v>90</v>
      </c>
      <c r="S1666" s="2">
        <v>126480</v>
      </c>
      <c r="T1666" s="2">
        <v>88167</v>
      </c>
      <c r="U1666" s="2">
        <v>38313</v>
      </c>
      <c r="V1666" s="2">
        <v>106014</v>
      </c>
      <c r="W1666" s="2">
        <v>9788</v>
      </c>
      <c r="X1666" s="2">
        <v>6235</v>
      </c>
      <c r="Y1666" s="2" t="s">
        <v>41</v>
      </c>
      <c r="Z1666" s="2">
        <v>62</v>
      </c>
      <c r="AA1666" s="2">
        <v>2.9</v>
      </c>
      <c r="AB1666" s="2" t="s">
        <v>64</v>
      </c>
    </row>
    <row r="1667" spans="1:28" x14ac:dyDescent="0.25">
      <c r="A1667" s="4" t="s">
        <v>2450</v>
      </c>
      <c r="B1667" s="4" t="s">
        <v>929</v>
      </c>
      <c r="C1667" s="4">
        <v>30</v>
      </c>
      <c r="D1667" s="4" t="s">
        <v>55</v>
      </c>
      <c r="E1667" s="4" t="s">
        <v>67</v>
      </c>
      <c r="F1667" s="4" t="s">
        <v>150</v>
      </c>
      <c r="G1667" s="5">
        <v>45590</v>
      </c>
      <c r="H1667" s="5">
        <v>45601</v>
      </c>
      <c r="I1667" s="4">
        <v>11</v>
      </c>
      <c r="J1667" s="4" t="s">
        <v>202</v>
      </c>
      <c r="K1667" s="4" t="s">
        <v>203</v>
      </c>
      <c r="L1667" s="4" t="s">
        <v>204</v>
      </c>
      <c r="M1667" s="4" t="s">
        <v>130</v>
      </c>
      <c r="N1667" s="4" t="s">
        <v>37</v>
      </c>
      <c r="O1667" s="4" t="s">
        <v>285</v>
      </c>
      <c r="P1667" s="4">
        <v>479</v>
      </c>
      <c r="Q1667" s="4" t="s">
        <v>69</v>
      </c>
      <c r="R1667" s="4" t="s">
        <v>136</v>
      </c>
      <c r="S1667" s="4">
        <v>133902</v>
      </c>
      <c r="T1667" s="4">
        <v>0</v>
      </c>
      <c r="U1667" s="4">
        <v>133902</v>
      </c>
      <c r="V1667" s="4">
        <v>98997</v>
      </c>
      <c r="W1667" s="4">
        <v>25337</v>
      </c>
      <c r="X1667" s="4">
        <v>8169</v>
      </c>
      <c r="Y1667" s="4" t="s">
        <v>41</v>
      </c>
      <c r="Z1667" s="4">
        <v>63</v>
      </c>
      <c r="AA1667" s="4">
        <v>4.5</v>
      </c>
      <c r="AB1667" s="4" t="s">
        <v>137</v>
      </c>
    </row>
    <row r="1668" spans="1:28" x14ac:dyDescent="0.25">
      <c r="A1668" s="2" t="s">
        <v>2451</v>
      </c>
      <c r="B1668" s="2" t="s">
        <v>1897</v>
      </c>
      <c r="C1668" s="2">
        <v>58</v>
      </c>
      <c r="D1668" s="2" t="s">
        <v>30</v>
      </c>
      <c r="E1668" s="2" t="s">
        <v>122</v>
      </c>
      <c r="F1668" s="2" t="s">
        <v>72</v>
      </c>
      <c r="G1668" s="3">
        <v>45052</v>
      </c>
      <c r="H1668" s="3">
        <v>45066</v>
      </c>
      <c r="I1668" s="2">
        <v>14</v>
      </c>
      <c r="J1668" s="2" t="s">
        <v>73</v>
      </c>
      <c r="K1668" s="2" t="s">
        <v>74</v>
      </c>
      <c r="L1668" s="2" t="s">
        <v>73</v>
      </c>
      <c r="M1668" s="2" t="s">
        <v>134</v>
      </c>
      <c r="N1668" s="2" t="s">
        <v>37</v>
      </c>
      <c r="O1668" s="2" t="s">
        <v>300</v>
      </c>
      <c r="P1668" s="2">
        <v>292</v>
      </c>
      <c r="Q1668" s="2" t="s">
        <v>50</v>
      </c>
      <c r="R1668" s="2" t="s">
        <v>136</v>
      </c>
      <c r="S1668" s="2">
        <v>68822</v>
      </c>
      <c r="T1668" s="2">
        <v>0</v>
      </c>
      <c r="U1668" s="2">
        <v>68822</v>
      </c>
      <c r="V1668" s="2">
        <v>36304</v>
      </c>
      <c r="W1668" s="2">
        <v>23793</v>
      </c>
      <c r="X1668" s="2">
        <v>7271</v>
      </c>
      <c r="Y1668" s="2" t="s">
        <v>41</v>
      </c>
      <c r="Z1668" s="2">
        <v>44</v>
      </c>
      <c r="AA1668" s="2">
        <v>2.7</v>
      </c>
      <c r="AB1668" s="2" t="s">
        <v>42</v>
      </c>
    </row>
    <row r="1669" spans="1:28" x14ac:dyDescent="0.25">
      <c r="A1669" s="4" t="s">
        <v>2452</v>
      </c>
      <c r="B1669" s="4" t="s">
        <v>1153</v>
      </c>
      <c r="C1669" s="4">
        <v>29</v>
      </c>
      <c r="D1669" s="4" t="s">
        <v>55</v>
      </c>
      <c r="E1669" s="4" t="s">
        <v>154</v>
      </c>
      <c r="F1669" s="4" t="s">
        <v>46</v>
      </c>
      <c r="G1669" s="5">
        <v>45322</v>
      </c>
      <c r="H1669" s="5">
        <v>45352</v>
      </c>
      <c r="I1669" s="4">
        <v>30</v>
      </c>
      <c r="J1669" s="4" t="s">
        <v>202</v>
      </c>
      <c r="K1669" s="4" t="s">
        <v>203</v>
      </c>
      <c r="L1669" s="4" t="s">
        <v>204</v>
      </c>
      <c r="M1669" s="4" t="s">
        <v>143</v>
      </c>
      <c r="N1669" s="4" t="s">
        <v>118</v>
      </c>
      <c r="O1669" s="4" t="s">
        <v>431</v>
      </c>
      <c r="P1669" s="4">
        <v>207</v>
      </c>
      <c r="Q1669" s="4" t="s">
        <v>69</v>
      </c>
      <c r="R1669" s="4" t="s">
        <v>51</v>
      </c>
      <c r="S1669" s="4">
        <v>49297</v>
      </c>
      <c r="T1669" s="4">
        <v>33081</v>
      </c>
      <c r="U1669" s="4">
        <v>16216</v>
      </c>
      <c r="V1669" s="4">
        <v>38727</v>
      </c>
      <c r="W1669" s="4">
        <v>3671</v>
      </c>
      <c r="X1669" s="4">
        <v>2880</v>
      </c>
      <c r="Y1669" s="4" t="s">
        <v>41</v>
      </c>
      <c r="Z1669" s="4">
        <v>87</v>
      </c>
      <c r="AA1669" s="4">
        <v>4.7</v>
      </c>
      <c r="AB1669" s="4" t="s">
        <v>42</v>
      </c>
    </row>
    <row r="1670" spans="1:28" x14ac:dyDescent="0.25">
      <c r="A1670" s="2" t="s">
        <v>2453</v>
      </c>
      <c r="B1670" s="2" t="s">
        <v>601</v>
      </c>
      <c r="C1670" s="2">
        <v>79</v>
      </c>
      <c r="D1670" s="2" t="s">
        <v>30</v>
      </c>
      <c r="E1670" s="2" t="s">
        <v>79</v>
      </c>
      <c r="F1670" s="2" t="s">
        <v>94</v>
      </c>
      <c r="G1670" s="3">
        <v>45548</v>
      </c>
      <c r="H1670" s="3">
        <v>45567</v>
      </c>
      <c r="I1670" s="2">
        <v>19</v>
      </c>
      <c r="J1670" s="2" t="s">
        <v>202</v>
      </c>
      <c r="K1670" s="2" t="s">
        <v>225</v>
      </c>
      <c r="L1670" s="2" t="s">
        <v>226</v>
      </c>
      <c r="M1670" s="2" t="s">
        <v>108</v>
      </c>
      <c r="N1670" s="2" t="s">
        <v>109</v>
      </c>
      <c r="O1670" s="2" t="s">
        <v>337</v>
      </c>
      <c r="P1670" s="2">
        <v>218</v>
      </c>
      <c r="Q1670" s="2" t="s">
        <v>39</v>
      </c>
      <c r="R1670" s="2" t="s">
        <v>90</v>
      </c>
      <c r="S1670" s="2">
        <v>111926</v>
      </c>
      <c r="T1670" s="2">
        <v>75881</v>
      </c>
      <c r="U1670" s="2">
        <v>36045</v>
      </c>
      <c r="V1670" s="2">
        <v>96096</v>
      </c>
      <c r="W1670" s="2">
        <v>6309</v>
      </c>
      <c r="X1670" s="2">
        <v>8604</v>
      </c>
      <c r="Y1670" s="2" t="s">
        <v>41</v>
      </c>
      <c r="Z1670" s="2">
        <v>76</v>
      </c>
      <c r="AA1670" s="2">
        <v>4.5999999999999996</v>
      </c>
      <c r="AB1670" s="2" t="s">
        <v>64</v>
      </c>
    </row>
    <row r="1671" spans="1:28" x14ac:dyDescent="0.25">
      <c r="A1671" s="4" t="s">
        <v>2454</v>
      </c>
      <c r="B1671" s="4" t="s">
        <v>1535</v>
      </c>
      <c r="C1671" s="4">
        <v>77</v>
      </c>
      <c r="D1671" s="4" t="s">
        <v>55</v>
      </c>
      <c r="E1671" s="4" t="s">
        <v>67</v>
      </c>
      <c r="F1671" s="4" t="s">
        <v>46</v>
      </c>
      <c r="G1671" s="5">
        <v>44834</v>
      </c>
      <c r="H1671" s="5">
        <v>44842</v>
      </c>
      <c r="I1671" s="4">
        <v>8</v>
      </c>
      <c r="J1671" s="4" t="s">
        <v>123</v>
      </c>
      <c r="K1671" s="4" t="s">
        <v>251</v>
      </c>
      <c r="L1671" s="4" t="s">
        <v>125</v>
      </c>
      <c r="M1671" s="4" t="s">
        <v>143</v>
      </c>
      <c r="N1671" s="4" t="s">
        <v>37</v>
      </c>
      <c r="O1671" s="4" t="s">
        <v>538</v>
      </c>
      <c r="P1671" s="4">
        <v>301</v>
      </c>
      <c r="Q1671" s="4" t="s">
        <v>69</v>
      </c>
      <c r="R1671" s="4" t="s">
        <v>90</v>
      </c>
      <c r="S1671" s="4">
        <v>151905</v>
      </c>
      <c r="T1671" s="4">
        <v>125465</v>
      </c>
      <c r="U1671" s="4">
        <v>26440</v>
      </c>
      <c r="V1671" s="4">
        <v>132888</v>
      </c>
      <c r="W1671" s="4">
        <v>13794</v>
      </c>
      <c r="X1671" s="4">
        <v>3839</v>
      </c>
      <c r="Y1671" s="4" t="s">
        <v>91</v>
      </c>
      <c r="Z1671" s="4">
        <v>92</v>
      </c>
      <c r="AA1671" s="4">
        <v>3.5</v>
      </c>
      <c r="AB1671" s="4" t="s">
        <v>137</v>
      </c>
    </row>
    <row r="1672" spans="1:28" x14ac:dyDescent="0.25">
      <c r="A1672" s="2" t="s">
        <v>2455</v>
      </c>
      <c r="B1672" s="2" t="s">
        <v>1064</v>
      </c>
      <c r="C1672" s="2">
        <v>7</v>
      </c>
      <c r="D1672" s="2" t="s">
        <v>30</v>
      </c>
      <c r="E1672" s="2" t="s">
        <v>45</v>
      </c>
      <c r="F1672" s="2" t="s">
        <v>32</v>
      </c>
      <c r="G1672" s="3">
        <v>45357</v>
      </c>
      <c r="H1672" s="3">
        <v>45358</v>
      </c>
      <c r="I1672" s="2">
        <v>1</v>
      </c>
      <c r="J1672" s="2" t="s">
        <v>33</v>
      </c>
      <c r="K1672" s="2" t="s">
        <v>81</v>
      </c>
      <c r="L1672" s="2" t="s">
        <v>82</v>
      </c>
      <c r="M1672" s="2" t="s">
        <v>143</v>
      </c>
      <c r="N1672" s="2" t="s">
        <v>109</v>
      </c>
      <c r="O1672" s="2" t="s">
        <v>184</v>
      </c>
      <c r="P1672" s="2">
        <v>97</v>
      </c>
      <c r="Q1672" s="2" t="s">
        <v>50</v>
      </c>
      <c r="R1672" s="2" t="s">
        <v>111</v>
      </c>
      <c r="S1672" s="2">
        <v>150471</v>
      </c>
      <c r="T1672" s="2">
        <v>112417</v>
      </c>
      <c r="U1672" s="2">
        <v>38054</v>
      </c>
      <c r="V1672" s="2">
        <v>128325</v>
      </c>
      <c r="W1672" s="2">
        <v>7752</v>
      </c>
      <c r="X1672" s="2">
        <v>11004</v>
      </c>
      <c r="Y1672" s="2" t="s">
        <v>41</v>
      </c>
      <c r="Z1672" s="2">
        <v>79</v>
      </c>
      <c r="AA1672" s="2">
        <v>4.2</v>
      </c>
      <c r="AB1672" s="2" t="s">
        <v>64</v>
      </c>
    </row>
    <row r="1673" spans="1:28" x14ac:dyDescent="0.25">
      <c r="A1673" s="4" t="s">
        <v>2456</v>
      </c>
      <c r="B1673" s="4" t="s">
        <v>847</v>
      </c>
      <c r="C1673" s="4">
        <v>71</v>
      </c>
      <c r="D1673" s="4" t="s">
        <v>30</v>
      </c>
      <c r="E1673" s="4" t="s">
        <v>56</v>
      </c>
      <c r="F1673" s="4" t="s">
        <v>57</v>
      </c>
      <c r="G1673" s="5">
        <v>45172</v>
      </c>
      <c r="H1673" s="5">
        <v>45201</v>
      </c>
      <c r="I1673" s="4">
        <v>29</v>
      </c>
      <c r="J1673" s="4" t="s">
        <v>123</v>
      </c>
      <c r="K1673" s="4" t="s">
        <v>251</v>
      </c>
      <c r="L1673" s="4" t="s">
        <v>125</v>
      </c>
      <c r="M1673" s="4" t="s">
        <v>61</v>
      </c>
      <c r="N1673" s="4" t="s">
        <v>109</v>
      </c>
      <c r="O1673" s="4" t="s">
        <v>256</v>
      </c>
      <c r="P1673" s="4">
        <v>10</v>
      </c>
      <c r="Q1673" s="4" t="s">
        <v>39</v>
      </c>
      <c r="R1673" s="4" t="s">
        <v>40</v>
      </c>
      <c r="S1673" s="4">
        <v>123020</v>
      </c>
      <c r="T1673" s="4">
        <v>75391</v>
      </c>
      <c r="U1673" s="4">
        <v>47629</v>
      </c>
      <c r="V1673" s="4">
        <v>85881</v>
      </c>
      <c r="W1673" s="4">
        <v>26132</v>
      </c>
      <c r="X1673" s="4">
        <v>9081</v>
      </c>
      <c r="Y1673" s="4" t="s">
        <v>41</v>
      </c>
      <c r="Z1673" s="4">
        <v>84</v>
      </c>
      <c r="AA1673" s="4">
        <v>5</v>
      </c>
      <c r="AB1673" s="4" t="s">
        <v>64</v>
      </c>
    </row>
    <row r="1674" spans="1:28" x14ac:dyDescent="0.25">
      <c r="A1674" s="2" t="s">
        <v>2457</v>
      </c>
      <c r="B1674" s="2" t="s">
        <v>273</v>
      </c>
      <c r="C1674" s="2">
        <v>21</v>
      </c>
      <c r="D1674" s="2" t="s">
        <v>55</v>
      </c>
      <c r="E1674" s="2" t="s">
        <v>45</v>
      </c>
      <c r="F1674" s="2" t="s">
        <v>114</v>
      </c>
      <c r="G1674" s="3">
        <v>44727</v>
      </c>
      <c r="H1674" s="3">
        <v>44731</v>
      </c>
      <c r="I1674" s="2">
        <v>4</v>
      </c>
      <c r="J1674" s="2" t="s">
        <v>33</v>
      </c>
      <c r="K1674" s="2" t="s">
        <v>99</v>
      </c>
      <c r="L1674" s="2" t="s">
        <v>100</v>
      </c>
      <c r="M1674" s="2" t="s">
        <v>143</v>
      </c>
      <c r="N1674" s="2" t="s">
        <v>62</v>
      </c>
      <c r="O1674" s="2" t="s">
        <v>266</v>
      </c>
      <c r="P1674" s="2">
        <v>2</v>
      </c>
      <c r="Q1674" s="2" t="s">
        <v>103</v>
      </c>
      <c r="R1674" s="2" t="s">
        <v>51</v>
      </c>
      <c r="S1674" s="2">
        <v>124243</v>
      </c>
      <c r="T1674" s="2">
        <v>85725</v>
      </c>
      <c r="U1674" s="2">
        <v>38518</v>
      </c>
      <c r="V1674" s="2">
        <v>91380</v>
      </c>
      <c r="W1674" s="2">
        <v>17566</v>
      </c>
      <c r="X1674" s="2">
        <v>11414</v>
      </c>
      <c r="Y1674" s="2" t="s">
        <v>41</v>
      </c>
      <c r="Z1674" s="2">
        <v>75</v>
      </c>
      <c r="AA1674" s="2">
        <v>3</v>
      </c>
      <c r="AB1674" s="2" t="s">
        <v>104</v>
      </c>
    </row>
    <row r="1675" spans="1:28" x14ac:dyDescent="0.25">
      <c r="A1675" s="4" t="s">
        <v>2458</v>
      </c>
      <c r="B1675" s="4" t="s">
        <v>1371</v>
      </c>
      <c r="C1675" s="4">
        <v>17</v>
      </c>
      <c r="D1675" s="4" t="s">
        <v>55</v>
      </c>
      <c r="E1675" s="4" t="s">
        <v>56</v>
      </c>
      <c r="F1675" s="4" t="s">
        <v>150</v>
      </c>
      <c r="G1675" s="5">
        <v>45554</v>
      </c>
      <c r="H1675" s="5">
        <v>45580</v>
      </c>
      <c r="I1675" s="4">
        <v>26</v>
      </c>
      <c r="J1675" s="4" t="s">
        <v>33</v>
      </c>
      <c r="K1675" s="4" t="s">
        <v>233</v>
      </c>
      <c r="L1675" s="4" t="s">
        <v>35</v>
      </c>
      <c r="M1675" s="4" t="s">
        <v>61</v>
      </c>
      <c r="N1675" s="4" t="s">
        <v>37</v>
      </c>
      <c r="O1675" s="4" t="s">
        <v>171</v>
      </c>
      <c r="P1675" s="4">
        <v>202</v>
      </c>
      <c r="Q1675" s="4" t="s">
        <v>39</v>
      </c>
      <c r="R1675" s="4" t="s">
        <v>111</v>
      </c>
      <c r="S1675" s="4">
        <v>109374</v>
      </c>
      <c r="T1675" s="4">
        <v>68041</v>
      </c>
      <c r="U1675" s="4">
        <v>41333</v>
      </c>
      <c r="V1675" s="4">
        <v>84617</v>
      </c>
      <c r="W1675" s="4">
        <v>16733</v>
      </c>
      <c r="X1675" s="4">
        <v>3370</v>
      </c>
      <c r="Y1675" s="4" t="s">
        <v>41</v>
      </c>
      <c r="Z1675" s="4">
        <v>66</v>
      </c>
      <c r="AA1675" s="4">
        <v>4.9000000000000004</v>
      </c>
      <c r="AB1675" s="4" t="s">
        <v>52</v>
      </c>
    </row>
    <row r="1676" spans="1:28" x14ac:dyDescent="0.25">
      <c r="A1676" s="2" t="s">
        <v>2459</v>
      </c>
      <c r="B1676" s="2" t="s">
        <v>754</v>
      </c>
      <c r="C1676" s="2">
        <v>40</v>
      </c>
      <c r="D1676" s="2" t="s">
        <v>30</v>
      </c>
      <c r="E1676" s="2" t="s">
        <v>122</v>
      </c>
      <c r="F1676" s="2" t="s">
        <v>32</v>
      </c>
      <c r="G1676" s="3">
        <v>44973</v>
      </c>
      <c r="H1676" s="3">
        <v>44995</v>
      </c>
      <c r="I1676" s="2">
        <v>22</v>
      </c>
      <c r="J1676" s="2" t="s">
        <v>33</v>
      </c>
      <c r="K1676" s="2" t="s">
        <v>174</v>
      </c>
      <c r="L1676" s="2" t="s">
        <v>48</v>
      </c>
      <c r="M1676" s="2" t="s">
        <v>130</v>
      </c>
      <c r="N1676" s="2" t="s">
        <v>109</v>
      </c>
      <c r="O1676" s="2" t="s">
        <v>326</v>
      </c>
      <c r="P1676" s="2">
        <v>16</v>
      </c>
      <c r="Q1676" s="2" t="s">
        <v>39</v>
      </c>
      <c r="R1676" s="2" t="s">
        <v>111</v>
      </c>
      <c r="S1676" s="2">
        <v>116133</v>
      </c>
      <c r="T1676" s="2">
        <v>92893</v>
      </c>
      <c r="U1676" s="2">
        <v>23240</v>
      </c>
      <c r="V1676" s="2">
        <v>99693</v>
      </c>
      <c r="W1676" s="2">
        <v>8166</v>
      </c>
      <c r="X1676" s="2">
        <v>6153</v>
      </c>
      <c r="Y1676" s="2" t="s">
        <v>91</v>
      </c>
      <c r="Z1676" s="2">
        <v>52</v>
      </c>
      <c r="AA1676" s="2">
        <v>2.5</v>
      </c>
      <c r="AB1676" s="2" t="s">
        <v>52</v>
      </c>
    </row>
    <row r="1677" spans="1:28" x14ac:dyDescent="0.25">
      <c r="A1677" s="4" t="s">
        <v>2460</v>
      </c>
      <c r="B1677" s="4" t="s">
        <v>273</v>
      </c>
      <c r="C1677" s="4">
        <v>21</v>
      </c>
      <c r="D1677" s="4" t="s">
        <v>30</v>
      </c>
      <c r="E1677" s="4" t="s">
        <v>45</v>
      </c>
      <c r="F1677" s="4" t="s">
        <v>114</v>
      </c>
      <c r="G1677" s="5">
        <v>45486</v>
      </c>
      <c r="H1677" s="5">
        <v>45513</v>
      </c>
      <c r="I1677" s="4">
        <v>27</v>
      </c>
      <c r="J1677" s="4" t="s">
        <v>33</v>
      </c>
      <c r="K1677" s="4" t="s">
        <v>34</v>
      </c>
      <c r="L1677" s="4" t="s">
        <v>35</v>
      </c>
      <c r="M1677" s="4" t="s">
        <v>95</v>
      </c>
      <c r="N1677" s="4" t="s">
        <v>62</v>
      </c>
      <c r="O1677" s="4" t="s">
        <v>151</v>
      </c>
      <c r="P1677" s="4">
        <v>190</v>
      </c>
      <c r="Q1677" s="4" t="s">
        <v>103</v>
      </c>
      <c r="R1677" s="4" t="s">
        <v>51</v>
      </c>
      <c r="S1677" s="4">
        <v>149161</v>
      </c>
      <c r="T1677" s="4">
        <v>95002</v>
      </c>
      <c r="U1677" s="4">
        <v>54159</v>
      </c>
      <c r="V1677" s="4">
        <v>124216</v>
      </c>
      <c r="W1677" s="4">
        <v>19200</v>
      </c>
      <c r="X1677" s="4">
        <v>1509</v>
      </c>
      <c r="Y1677" s="4" t="s">
        <v>91</v>
      </c>
      <c r="Z1677" s="4">
        <v>94</v>
      </c>
      <c r="AA1677" s="4">
        <v>4.3</v>
      </c>
      <c r="AB1677" s="4" t="s">
        <v>52</v>
      </c>
    </row>
    <row r="1678" spans="1:28" x14ac:dyDescent="0.25">
      <c r="A1678" s="2" t="s">
        <v>2461</v>
      </c>
      <c r="B1678" s="2" t="s">
        <v>821</v>
      </c>
      <c r="C1678" s="2">
        <v>84</v>
      </c>
      <c r="D1678" s="2" t="s">
        <v>30</v>
      </c>
      <c r="E1678" s="2" t="s">
        <v>56</v>
      </c>
      <c r="F1678" s="2" t="s">
        <v>94</v>
      </c>
      <c r="G1678" s="3">
        <v>45290</v>
      </c>
      <c r="H1678" s="3">
        <v>45296</v>
      </c>
      <c r="I1678" s="2">
        <v>6</v>
      </c>
      <c r="J1678" s="2" t="s">
        <v>33</v>
      </c>
      <c r="K1678" s="2" t="s">
        <v>233</v>
      </c>
      <c r="L1678" s="2" t="s">
        <v>35</v>
      </c>
      <c r="M1678" s="2" t="s">
        <v>61</v>
      </c>
      <c r="N1678" s="2" t="s">
        <v>109</v>
      </c>
      <c r="O1678" s="2" t="s">
        <v>396</v>
      </c>
      <c r="P1678" s="2">
        <v>168</v>
      </c>
      <c r="Q1678" s="2" t="s">
        <v>69</v>
      </c>
      <c r="R1678" s="2" t="s">
        <v>136</v>
      </c>
      <c r="S1678" s="2">
        <v>155369</v>
      </c>
      <c r="T1678" s="2">
        <v>0</v>
      </c>
      <c r="U1678" s="2">
        <v>155369</v>
      </c>
      <c r="V1678" s="2">
        <v>127370</v>
      </c>
      <c r="W1678" s="2">
        <v>15474</v>
      </c>
      <c r="X1678" s="2">
        <v>8637</v>
      </c>
      <c r="Y1678" s="2" t="s">
        <v>41</v>
      </c>
      <c r="Z1678" s="2">
        <v>45</v>
      </c>
      <c r="AA1678" s="2">
        <v>2.7</v>
      </c>
      <c r="AB1678" s="2" t="s">
        <v>104</v>
      </c>
    </row>
    <row r="1679" spans="1:28" x14ac:dyDescent="0.25">
      <c r="A1679" s="4" t="s">
        <v>2462</v>
      </c>
      <c r="B1679" s="4" t="s">
        <v>2220</v>
      </c>
      <c r="C1679" s="4">
        <v>61</v>
      </c>
      <c r="D1679" s="4" t="s">
        <v>30</v>
      </c>
      <c r="E1679" s="4" t="s">
        <v>45</v>
      </c>
      <c r="F1679" s="4" t="s">
        <v>129</v>
      </c>
      <c r="G1679" s="5">
        <v>45602</v>
      </c>
      <c r="H1679" s="5">
        <v>45631</v>
      </c>
      <c r="I1679" s="4">
        <v>29</v>
      </c>
      <c r="J1679" s="4" t="s">
        <v>123</v>
      </c>
      <c r="K1679" s="4" t="s">
        <v>124</v>
      </c>
      <c r="L1679" s="4" t="s">
        <v>125</v>
      </c>
      <c r="M1679" s="4" t="s">
        <v>108</v>
      </c>
      <c r="N1679" s="4" t="s">
        <v>62</v>
      </c>
      <c r="O1679" s="4" t="s">
        <v>950</v>
      </c>
      <c r="P1679" s="4">
        <v>337</v>
      </c>
      <c r="Q1679" s="4" t="s">
        <v>50</v>
      </c>
      <c r="R1679" s="4" t="s">
        <v>51</v>
      </c>
      <c r="S1679" s="4">
        <v>45950</v>
      </c>
      <c r="T1679" s="4">
        <v>26126</v>
      </c>
      <c r="U1679" s="4">
        <v>19824</v>
      </c>
      <c r="V1679" s="4">
        <v>11212</v>
      </c>
      <c r="W1679" s="4">
        <v>29095</v>
      </c>
      <c r="X1679" s="4">
        <v>2646</v>
      </c>
      <c r="Y1679" s="4" t="s">
        <v>41</v>
      </c>
      <c r="Z1679" s="4">
        <v>89</v>
      </c>
      <c r="AA1679" s="4">
        <v>2.9</v>
      </c>
      <c r="AB1679" s="4" t="s">
        <v>52</v>
      </c>
    </row>
    <row r="1680" spans="1:28" x14ac:dyDescent="0.25">
      <c r="A1680" s="2" t="s">
        <v>2463</v>
      </c>
      <c r="B1680" s="2" t="s">
        <v>273</v>
      </c>
      <c r="C1680" s="2">
        <v>63</v>
      </c>
      <c r="D1680" s="2" t="s">
        <v>30</v>
      </c>
      <c r="E1680" s="2" t="s">
        <v>67</v>
      </c>
      <c r="F1680" s="2" t="s">
        <v>114</v>
      </c>
      <c r="G1680" s="3">
        <v>44719</v>
      </c>
      <c r="H1680" s="3">
        <v>44743</v>
      </c>
      <c r="I1680" s="2">
        <v>24</v>
      </c>
      <c r="J1680" s="2" t="s">
        <v>73</v>
      </c>
      <c r="K1680" s="2" t="s">
        <v>74</v>
      </c>
      <c r="L1680" s="2" t="s">
        <v>73</v>
      </c>
      <c r="M1680" s="2" t="s">
        <v>75</v>
      </c>
      <c r="N1680" s="2" t="s">
        <v>37</v>
      </c>
      <c r="O1680" s="2" t="s">
        <v>222</v>
      </c>
      <c r="P1680" s="2">
        <v>9</v>
      </c>
      <c r="Q1680" s="2" t="s">
        <v>69</v>
      </c>
      <c r="R1680" s="2" t="s">
        <v>51</v>
      </c>
      <c r="S1680" s="2">
        <v>62411</v>
      </c>
      <c r="T1680" s="2">
        <v>38450</v>
      </c>
      <c r="U1680" s="2">
        <v>23961</v>
      </c>
      <c r="V1680" s="2">
        <v>28698</v>
      </c>
      <c r="W1680" s="2">
        <v>23853</v>
      </c>
      <c r="X1680" s="2">
        <v>6521</v>
      </c>
      <c r="Y1680" s="2" t="s">
        <v>41</v>
      </c>
      <c r="Z1680" s="2">
        <v>72</v>
      </c>
      <c r="AA1680" s="2">
        <v>2.6</v>
      </c>
      <c r="AB1680" s="2" t="s">
        <v>64</v>
      </c>
    </row>
    <row r="1681" spans="1:28" x14ac:dyDescent="0.25">
      <c r="A1681" s="4" t="s">
        <v>2464</v>
      </c>
      <c r="B1681" s="4" t="s">
        <v>991</v>
      </c>
      <c r="C1681" s="4">
        <v>80</v>
      </c>
      <c r="D1681" s="4" t="s">
        <v>55</v>
      </c>
      <c r="E1681" s="4" t="s">
        <v>67</v>
      </c>
      <c r="F1681" s="4" t="s">
        <v>57</v>
      </c>
      <c r="G1681" s="5">
        <v>44801</v>
      </c>
      <c r="H1681" s="5">
        <v>44820</v>
      </c>
      <c r="I1681" s="4">
        <v>19</v>
      </c>
      <c r="J1681" s="4" t="s">
        <v>58</v>
      </c>
      <c r="K1681" s="4" t="s">
        <v>59</v>
      </c>
      <c r="L1681" s="4" t="s">
        <v>60</v>
      </c>
      <c r="M1681" s="4" t="s">
        <v>143</v>
      </c>
      <c r="N1681" s="4" t="s">
        <v>37</v>
      </c>
      <c r="O1681" s="4" t="s">
        <v>184</v>
      </c>
      <c r="P1681" s="4">
        <v>197</v>
      </c>
      <c r="Q1681" s="4" t="s">
        <v>69</v>
      </c>
      <c r="R1681" s="4" t="s">
        <v>51</v>
      </c>
      <c r="S1681" s="4">
        <v>121886</v>
      </c>
      <c r="T1681" s="4">
        <v>50010</v>
      </c>
      <c r="U1681" s="4">
        <v>71876</v>
      </c>
      <c r="V1681" s="4">
        <v>90768</v>
      </c>
      <c r="W1681" s="4">
        <v>22998</v>
      </c>
      <c r="X1681" s="4">
        <v>4264</v>
      </c>
      <c r="Y1681" s="4" t="s">
        <v>41</v>
      </c>
      <c r="Z1681" s="4">
        <v>74</v>
      </c>
      <c r="AA1681" s="4">
        <v>2.1</v>
      </c>
      <c r="AB1681" s="4" t="s">
        <v>137</v>
      </c>
    </row>
    <row r="1682" spans="1:28" x14ac:dyDescent="0.25">
      <c r="A1682" s="2" t="s">
        <v>2465</v>
      </c>
      <c r="B1682" s="2" t="s">
        <v>2466</v>
      </c>
      <c r="C1682" s="2">
        <v>22</v>
      </c>
      <c r="D1682" s="2" t="s">
        <v>55</v>
      </c>
      <c r="E1682" s="2" t="s">
        <v>31</v>
      </c>
      <c r="F1682" s="2" t="s">
        <v>32</v>
      </c>
      <c r="G1682" s="3">
        <v>44767</v>
      </c>
      <c r="H1682" s="3">
        <v>44770</v>
      </c>
      <c r="I1682" s="2">
        <v>3</v>
      </c>
      <c r="J1682" s="2" t="s">
        <v>123</v>
      </c>
      <c r="K1682" s="2" t="s">
        <v>124</v>
      </c>
      <c r="L1682" s="2" t="s">
        <v>125</v>
      </c>
      <c r="M1682" s="2" t="s">
        <v>101</v>
      </c>
      <c r="N1682" s="2" t="s">
        <v>37</v>
      </c>
      <c r="O1682" s="2" t="s">
        <v>448</v>
      </c>
      <c r="P1682" s="2">
        <v>220</v>
      </c>
      <c r="Q1682" s="2" t="s">
        <v>39</v>
      </c>
      <c r="R1682" s="2" t="s">
        <v>111</v>
      </c>
      <c r="S1682" s="2">
        <v>57435</v>
      </c>
      <c r="T1682" s="2">
        <v>38313</v>
      </c>
      <c r="U1682" s="2">
        <v>19122</v>
      </c>
      <c r="V1682" s="2">
        <v>47963</v>
      </c>
      <c r="W1682" s="2">
        <v>1571</v>
      </c>
      <c r="X1682" s="2">
        <v>3766</v>
      </c>
      <c r="Y1682" s="2" t="s">
        <v>41</v>
      </c>
      <c r="Z1682" s="2">
        <v>72</v>
      </c>
      <c r="AA1682" s="2">
        <v>2.7</v>
      </c>
      <c r="AB1682" s="2" t="s">
        <v>137</v>
      </c>
    </row>
    <row r="1683" spans="1:28" x14ac:dyDescent="0.25">
      <c r="A1683" s="4" t="s">
        <v>2467</v>
      </c>
      <c r="B1683" s="4" t="s">
        <v>156</v>
      </c>
      <c r="C1683" s="4">
        <v>66</v>
      </c>
      <c r="D1683" s="4" t="s">
        <v>55</v>
      </c>
      <c r="E1683" s="4" t="s">
        <v>87</v>
      </c>
      <c r="F1683" s="4" t="s">
        <v>157</v>
      </c>
      <c r="G1683" s="5">
        <v>44567</v>
      </c>
      <c r="H1683" s="5">
        <v>44579</v>
      </c>
      <c r="I1683" s="4">
        <v>12</v>
      </c>
      <c r="J1683" s="4" t="s">
        <v>115</v>
      </c>
      <c r="K1683" s="4" t="s">
        <v>116</v>
      </c>
      <c r="L1683" s="4" t="s">
        <v>117</v>
      </c>
      <c r="M1683" s="4" t="s">
        <v>83</v>
      </c>
      <c r="N1683" s="4" t="s">
        <v>118</v>
      </c>
      <c r="O1683" s="4" t="s">
        <v>89</v>
      </c>
      <c r="P1683" s="4">
        <v>209</v>
      </c>
      <c r="Q1683" s="4" t="s">
        <v>103</v>
      </c>
      <c r="R1683" s="4" t="s">
        <v>111</v>
      </c>
      <c r="S1683" s="4">
        <v>33785</v>
      </c>
      <c r="T1683" s="4">
        <v>28569</v>
      </c>
      <c r="U1683" s="4">
        <v>5216</v>
      </c>
      <c r="V1683" s="4">
        <v>13904</v>
      </c>
      <c r="W1683" s="4">
        <v>11408</v>
      </c>
      <c r="X1683" s="4">
        <v>4770</v>
      </c>
      <c r="Y1683" s="4" t="s">
        <v>41</v>
      </c>
      <c r="Z1683" s="4">
        <v>55</v>
      </c>
      <c r="AA1683" s="4">
        <v>2.2000000000000002</v>
      </c>
      <c r="AB1683" s="4" t="s">
        <v>52</v>
      </c>
    </row>
    <row r="1684" spans="1:28" x14ac:dyDescent="0.25">
      <c r="A1684" s="2" t="s">
        <v>2468</v>
      </c>
      <c r="B1684" s="2" t="s">
        <v>623</v>
      </c>
      <c r="C1684" s="2">
        <v>5</v>
      </c>
      <c r="D1684" s="2" t="s">
        <v>30</v>
      </c>
      <c r="E1684" s="2" t="s">
        <v>79</v>
      </c>
      <c r="F1684" s="2" t="s">
        <v>114</v>
      </c>
      <c r="G1684" s="3">
        <v>45652</v>
      </c>
      <c r="H1684" s="3">
        <v>45657</v>
      </c>
      <c r="I1684" s="2">
        <v>5</v>
      </c>
      <c r="J1684" s="2" t="s">
        <v>73</v>
      </c>
      <c r="K1684" s="2" t="s">
        <v>74</v>
      </c>
      <c r="L1684" s="2" t="s">
        <v>73</v>
      </c>
      <c r="M1684" s="2" t="s">
        <v>95</v>
      </c>
      <c r="N1684" s="2" t="s">
        <v>37</v>
      </c>
      <c r="O1684" s="2" t="s">
        <v>205</v>
      </c>
      <c r="P1684" s="2">
        <v>30</v>
      </c>
      <c r="Q1684" s="2" t="s">
        <v>39</v>
      </c>
      <c r="R1684" s="2" t="s">
        <v>136</v>
      </c>
      <c r="S1684" s="2">
        <v>69442</v>
      </c>
      <c r="T1684" s="2">
        <v>0</v>
      </c>
      <c r="U1684" s="2">
        <v>69442</v>
      </c>
      <c r="V1684" s="2">
        <v>60665</v>
      </c>
      <c r="W1684" s="2">
        <v>4097</v>
      </c>
      <c r="X1684" s="2">
        <v>2738</v>
      </c>
      <c r="Y1684" s="2" t="s">
        <v>41</v>
      </c>
      <c r="Z1684" s="2">
        <v>96</v>
      </c>
      <c r="AA1684" s="2">
        <v>3.3</v>
      </c>
      <c r="AB1684" s="2" t="s">
        <v>52</v>
      </c>
    </row>
    <row r="1685" spans="1:28" x14ac:dyDescent="0.25">
      <c r="A1685" s="4" t="s">
        <v>2469</v>
      </c>
      <c r="B1685" s="4" t="s">
        <v>482</v>
      </c>
      <c r="C1685" s="4">
        <v>70</v>
      </c>
      <c r="D1685" s="4" t="s">
        <v>55</v>
      </c>
      <c r="E1685" s="4" t="s">
        <v>122</v>
      </c>
      <c r="F1685" s="4" t="s">
        <v>72</v>
      </c>
      <c r="G1685" s="5">
        <v>45233</v>
      </c>
      <c r="H1685" s="5">
        <v>45250</v>
      </c>
      <c r="I1685" s="4">
        <v>17</v>
      </c>
      <c r="J1685" s="4" t="s">
        <v>33</v>
      </c>
      <c r="K1685" s="4" t="s">
        <v>197</v>
      </c>
      <c r="L1685" s="4" t="s">
        <v>198</v>
      </c>
      <c r="M1685" s="4" t="s">
        <v>130</v>
      </c>
      <c r="N1685" s="4" t="s">
        <v>62</v>
      </c>
      <c r="O1685" s="4" t="s">
        <v>538</v>
      </c>
      <c r="P1685" s="4">
        <v>63</v>
      </c>
      <c r="Q1685" s="4" t="s">
        <v>50</v>
      </c>
      <c r="R1685" s="4" t="s">
        <v>51</v>
      </c>
      <c r="S1685" s="4">
        <v>166684</v>
      </c>
      <c r="T1685" s="4">
        <v>68718</v>
      </c>
      <c r="U1685" s="4">
        <v>97966</v>
      </c>
      <c r="V1685" s="4">
        <v>127380</v>
      </c>
      <c r="W1685" s="4">
        <v>26184</v>
      </c>
      <c r="X1685" s="4">
        <v>12514</v>
      </c>
      <c r="Y1685" s="4" t="s">
        <v>91</v>
      </c>
      <c r="Z1685" s="4">
        <v>77</v>
      </c>
      <c r="AA1685" s="4">
        <v>4</v>
      </c>
      <c r="AB1685" s="4" t="s">
        <v>104</v>
      </c>
    </row>
    <row r="1686" spans="1:28" x14ac:dyDescent="0.25">
      <c r="A1686" s="2" t="s">
        <v>2470</v>
      </c>
      <c r="B1686" s="2" t="s">
        <v>1595</v>
      </c>
      <c r="C1686" s="2">
        <v>71</v>
      </c>
      <c r="D1686" s="2" t="s">
        <v>30</v>
      </c>
      <c r="E1686" s="2" t="s">
        <v>79</v>
      </c>
      <c r="F1686" s="2" t="s">
        <v>114</v>
      </c>
      <c r="G1686" s="3">
        <v>45465</v>
      </c>
      <c r="H1686" s="3">
        <v>45495</v>
      </c>
      <c r="I1686" s="2">
        <v>30</v>
      </c>
      <c r="J1686" s="2" t="s">
        <v>73</v>
      </c>
      <c r="K1686" s="2" t="s">
        <v>74</v>
      </c>
      <c r="L1686" s="2" t="s">
        <v>73</v>
      </c>
      <c r="M1686" s="2" t="s">
        <v>83</v>
      </c>
      <c r="N1686" s="2" t="s">
        <v>118</v>
      </c>
      <c r="O1686" s="2" t="s">
        <v>126</v>
      </c>
      <c r="P1686" s="2">
        <v>386</v>
      </c>
      <c r="Q1686" s="2" t="s">
        <v>39</v>
      </c>
      <c r="R1686" s="2" t="s">
        <v>51</v>
      </c>
      <c r="S1686" s="2">
        <v>45835</v>
      </c>
      <c r="T1686" s="2">
        <v>19773</v>
      </c>
      <c r="U1686" s="2">
        <v>26062</v>
      </c>
      <c r="V1686" s="2">
        <v>13502</v>
      </c>
      <c r="W1686" s="2">
        <v>19168</v>
      </c>
      <c r="X1686" s="2">
        <v>10402</v>
      </c>
      <c r="Y1686" s="2" t="s">
        <v>91</v>
      </c>
      <c r="Z1686" s="2">
        <v>73</v>
      </c>
      <c r="AA1686" s="2">
        <v>3</v>
      </c>
      <c r="AB1686" s="2" t="s">
        <v>42</v>
      </c>
    </row>
    <row r="1687" spans="1:28" x14ac:dyDescent="0.25">
      <c r="A1687" s="4" t="s">
        <v>2471</v>
      </c>
      <c r="B1687" s="4" t="s">
        <v>714</v>
      </c>
      <c r="C1687" s="4">
        <v>13</v>
      </c>
      <c r="D1687" s="4" t="s">
        <v>55</v>
      </c>
      <c r="E1687" s="4" t="s">
        <v>154</v>
      </c>
      <c r="F1687" s="4" t="s">
        <v>157</v>
      </c>
      <c r="G1687" s="5">
        <v>44973</v>
      </c>
      <c r="H1687" s="5">
        <v>44974</v>
      </c>
      <c r="I1687" s="4">
        <v>1</v>
      </c>
      <c r="J1687" s="4" t="s">
        <v>58</v>
      </c>
      <c r="K1687" s="4" t="s">
        <v>88</v>
      </c>
      <c r="L1687" s="4" t="s">
        <v>60</v>
      </c>
      <c r="M1687" s="4" t="s">
        <v>143</v>
      </c>
      <c r="N1687" s="4" t="s">
        <v>118</v>
      </c>
      <c r="O1687" s="4" t="s">
        <v>406</v>
      </c>
      <c r="P1687" s="4">
        <v>323</v>
      </c>
      <c r="Q1687" s="4" t="s">
        <v>69</v>
      </c>
      <c r="R1687" s="4" t="s">
        <v>90</v>
      </c>
      <c r="S1687" s="4">
        <v>59892</v>
      </c>
      <c r="T1687" s="4">
        <v>39463</v>
      </c>
      <c r="U1687" s="4">
        <v>20429</v>
      </c>
      <c r="V1687" s="4">
        <v>27698</v>
      </c>
      <c r="W1687" s="4">
        <v>20101</v>
      </c>
      <c r="X1687" s="4">
        <v>11251</v>
      </c>
      <c r="Y1687" s="4" t="s">
        <v>41</v>
      </c>
      <c r="Z1687" s="4">
        <v>59</v>
      </c>
      <c r="AA1687" s="4">
        <v>4.5999999999999996</v>
      </c>
      <c r="AB1687" s="4" t="s">
        <v>104</v>
      </c>
    </row>
    <row r="1688" spans="1:28" x14ac:dyDescent="0.25">
      <c r="A1688" s="2" t="s">
        <v>2472</v>
      </c>
      <c r="B1688" s="2" t="s">
        <v>886</v>
      </c>
      <c r="C1688" s="2">
        <v>26</v>
      </c>
      <c r="D1688" s="2" t="s">
        <v>30</v>
      </c>
      <c r="E1688" s="2" t="s">
        <v>56</v>
      </c>
      <c r="F1688" s="2" t="s">
        <v>129</v>
      </c>
      <c r="G1688" s="3">
        <v>45204</v>
      </c>
      <c r="H1688" s="3">
        <v>45223</v>
      </c>
      <c r="I1688" s="2">
        <v>19</v>
      </c>
      <c r="J1688" s="2" t="s">
        <v>33</v>
      </c>
      <c r="K1688" s="2" t="s">
        <v>107</v>
      </c>
      <c r="L1688" s="2" t="s">
        <v>48</v>
      </c>
      <c r="M1688" s="2" t="s">
        <v>101</v>
      </c>
      <c r="N1688" s="2" t="s">
        <v>62</v>
      </c>
      <c r="O1688" s="2" t="s">
        <v>678</v>
      </c>
      <c r="P1688" s="2">
        <v>127</v>
      </c>
      <c r="Q1688" s="2" t="s">
        <v>103</v>
      </c>
      <c r="R1688" s="2" t="s">
        <v>111</v>
      </c>
      <c r="S1688" s="2">
        <v>159995</v>
      </c>
      <c r="T1688" s="2">
        <v>97738</v>
      </c>
      <c r="U1688" s="2">
        <v>62257</v>
      </c>
      <c r="V1688" s="2">
        <v>127751</v>
      </c>
      <c r="W1688" s="2">
        <v>13752</v>
      </c>
      <c r="X1688" s="2">
        <v>14468</v>
      </c>
      <c r="Y1688" s="2" t="s">
        <v>41</v>
      </c>
      <c r="Z1688" s="2">
        <v>93</v>
      </c>
      <c r="AA1688" s="2">
        <v>2.5</v>
      </c>
      <c r="AB1688" s="2" t="s">
        <v>42</v>
      </c>
    </row>
    <row r="1689" spans="1:28" x14ac:dyDescent="0.25">
      <c r="A1689" s="4" t="s">
        <v>2473</v>
      </c>
      <c r="B1689" s="4" t="s">
        <v>836</v>
      </c>
      <c r="C1689" s="4">
        <v>14</v>
      </c>
      <c r="D1689" s="4" t="s">
        <v>55</v>
      </c>
      <c r="E1689" s="4" t="s">
        <v>79</v>
      </c>
      <c r="F1689" s="4" t="s">
        <v>57</v>
      </c>
      <c r="G1689" s="5">
        <v>44997</v>
      </c>
      <c r="H1689" s="5">
        <v>45016</v>
      </c>
      <c r="I1689" s="4">
        <v>19</v>
      </c>
      <c r="J1689" s="4" t="s">
        <v>33</v>
      </c>
      <c r="K1689" s="4" t="s">
        <v>233</v>
      </c>
      <c r="L1689" s="4" t="s">
        <v>35</v>
      </c>
      <c r="M1689" s="4" t="s">
        <v>75</v>
      </c>
      <c r="N1689" s="4" t="s">
        <v>109</v>
      </c>
      <c r="O1689" s="4" t="s">
        <v>96</v>
      </c>
      <c r="P1689" s="4">
        <v>147</v>
      </c>
      <c r="Q1689" s="4" t="s">
        <v>50</v>
      </c>
      <c r="R1689" s="4" t="s">
        <v>40</v>
      </c>
      <c r="S1689" s="4">
        <v>35718</v>
      </c>
      <c r="T1689" s="4">
        <v>16393</v>
      </c>
      <c r="U1689" s="4">
        <v>19325</v>
      </c>
      <c r="V1689" s="4">
        <v>10596</v>
      </c>
      <c r="W1689" s="4">
        <v>18303</v>
      </c>
      <c r="X1689" s="4">
        <v>2137</v>
      </c>
      <c r="Y1689" s="4" t="s">
        <v>41</v>
      </c>
      <c r="Z1689" s="4">
        <v>84</v>
      </c>
      <c r="AA1689" s="4">
        <v>4.3</v>
      </c>
      <c r="AB1689" s="4" t="s">
        <v>64</v>
      </c>
    </row>
    <row r="1690" spans="1:28" x14ac:dyDescent="0.25">
      <c r="A1690" s="2" t="s">
        <v>2474</v>
      </c>
      <c r="B1690" s="2" t="s">
        <v>2425</v>
      </c>
      <c r="C1690" s="2">
        <v>62</v>
      </c>
      <c r="D1690" s="2" t="s">
        <v>55</v>
      </c>
      <c r="E1690" s="2" t="s">
        <v>154</v>
      </c>
      <c r="F1690" s="2" t="s">
        <v>114</v>
      </c>
      <c r="G1690" s="3">
        <v>45344</v>
      </c>
      <c r="H1690" s="3">
        <v>45352</v>
      </c>
      <c r="I1690" s="2">
        <v>8</v>
      </c>
      <c r="J1690" s="2" t="s">
        <v>202</v>
      </c>
      <c r="K1690" s="2" t="s">
        <v>225</v>
      </c>
      <c r="L1690" s="2" t="s">
        <v>226</v>
      </c>
      <c r="M1690" s="2" t="s">
        <v>130</v>
      </c>
      <c r="N1690" s="2" t="s">
        <v>37</v>
      </c>
      <c r="O1690" s="2" t="s">
        <v>49</v>
      </c>
      <c r="P1690" s="2">
        <v>478</v>
      </c>
      <c r="Q1690" s="2" t="s">
        <v>50</v>
      </c>
      <c r="R1690" s="2" t="s">
        <v>51</v>
      </c>
      <c r="S1690" s="2">
        <v>52278</v>
      </c>
      <c r="T1690" s="2">
        <v>24400</v>
      </c>
      <c r="U1690" s="2">
        <v>27878</v>
      </c>
      <c r="V1690" s="2">
        <v>25930</v>
      </c>
      <c r="W1690" s="2">
        <v>19052</v>
      </c>
      <c r="X1690" s="2">
        <v>5836</v>
      </c>
      <c r="Y1690" s="2" t="s">
        <v>41</v>
      </c>
      <c r="Z1690" s="2">
        <v>46</v>
      </c>
      <c r="AA1690" s="2">
        <v>2.2000000000000002</v>
      </c>
      <c r="AB1690" s="2" t="s">
        <v>137</v>
      </c>
    </row>
    <row r="1691" spans="1:28" x14ac:dyDescent="0.25">
      <c r="A1691" s="4" t="s">
        <v>2475</v>
      </c>
      <c r="B1691" s="4" t="s">
        <v>311</v>
      </c>
      <c r="C1691" s="4">
        <v>12</v>
      </c>
      <c r="D1691" s="4" t="s">
        <v>30</v>
      </c>
      <c r="E1691" s="4" t="s">
        <v>87</v>
      </c>
      <c r="F1691" s="4" t="s">
        <v>150</v>
      </c>
      <c r="G1691" s="5">
        <v>45393</v>
      </c>
      <c r="H1691" s="5">
        <v>45420</v>
      </c>
      <c r="I1691" s="4">
        <v>27</v>
      </c>
      <c r="J1691" s="4" t="s">
        <v>33</v>
      </c>
      <c r="K1691" s="4" t="s">
        <v>107</v>
      </c>
      <c r="L1691" s="4" t="s">
        <v>48</v>
      </c>
      <c r="M1691" s="4" t="s">
        <v>36</v>
      </c>
      <c r="N1691" s="4" t="s">
        <v>109</v>
      </c>
      <c r="O1691" s="4" t="s">
        <v>553</v>
      </c>
      <c r="P1691" s="4">
        <v>311</v>
      </c>
      <c r="Q1691" s="4" t="s">
        <v>39</v>
      </c>
      <c r="R1691" s="4" t="s">
        <v>90</v>
      </c>
      <c r="S1691" s="4">
        <v>75521</v>
      </c>
      <c r="T1691" s="4">
        <v>67292</v>
      </c>
      <c r="U1691" s="4">
        <v>8229</v>
      </c>
      <c r="V1691" s="4">
        <v>64682</v>
      </c>
      <c r="W1691" s="4">
        <v>2935</v>
      </c>
      <c r="X1691" s="4">
        <v>3057</v>
      </c>
      <c r="Y1691" s="4" t="s">
        <v>41</v>
      </c>
      <c r="Z1691" s="4">
        <v>60</v>
      </c>
      <c r="AA1691" s="4">
        <v>4.4000000000000004</v>
      </c>
      <c r="AB1691" s="4" t="s">
        <v>52</v>
      </c>
    </row>
    <row r="1692" spans="1:28" x14ac:dyDescent="0.25">
      <c r="A1692" s="2" t="s">
        <v>2476</v>
      </c>
      <c r="B1692" s="2" t="s">
        <v>970</v>
      </c>
      <c r="C1692" s="2">
        <v>69</v>
      </c>
      <c r="D1692" s="2" t="s">
        <v>55</v>
      </c>
      <c r="E1692" s="2" t="s">
        <v>31</v>
      </c>
      <c r="F1692" s="2" t="s">
        <v>57</v>
      </c>
      <c r="G1692" s="3">
        <v>44990</v>
      </c>
      <c r="H1692" s="3">
        <v>45004</v>
      </c>
      <c r="I1692" s="2">
        <v>14</v>
      </c>
      <c r="J1692" s="2" t="s">
        <v>123</v>
      </c>
      <c r="K1692" s="2" t="s">
        <v>251</v>
      </c>
      <c r="L1692" s="2" t="s">
        <v>125</v>
      </c>
      <c r="M1692" s="2" t="s">
        <v>83</v>
      </c>
      <c r="N1692" s="2" t="s">
        <v>37</v>
      </c>
      <c r="O1692" s="2" t="s">
        <v>96</v>
      </c>
      <c r="P1692" s="2">
        <v>57</v>
      </c>
      <c r="Q1692" s="2" t="s">
        <v>39</v>
      </c>
      <c r="R1692" s="2" t="s">
        <v>136</v>
      </c>
      <c r="S1692" s="2">
        <v>158438</v>
      </c>
      <c r="T1692" s="2">
        <v>0</v>
      </c>
      <c r="U1692" s="2">
        <v>158438</v>
      </c>
      <c r="V1692" s="2">
        <v>128771</v>
      </c>
      <c r="W1692" s="2">
        <v>22705</v>
      </c>
      <c r="X1692" s="2">
        <v>3366</v>
      </c>
      <c r="Y1692" s="2" t="s">
        <v>41</v>
      </c>
      <c r="Z1692" s="2">
        <v>88</v>
      </c>
      <c r="AA1692" s="2">
        <v>4.5999999999999996</v>
      </c>
      <c r="AB1692" s="2" t="s">
        <v>104</v>
      </c>
    </row>
    <row r="1693" spans="1:28" x14ac:dyDescent="0.25">
      <c r="A1693" s="4" t="s">
        <v>2477</v>
      </c>
      <c r="B1693" s="4" t="s">
        <v>450</v>
      </c>
      <c r="C1693" s="4">
        <v>41</v>
      </c>
      <c r="D1693" s="4" t="s">
        <v>30</v>
      </c>
      <c r="E1693" s="4" t="s">
        <v>87</v>
      </c>
      <c r="F1693" s="4" t="s">
        <v>46</v>
      </c>
      <c r="G1693" s="5">
        <v>45306</v>
      </c>
      <c r="H1693" s="5">
        <v>45310</v>
      </c>
      <c r="I1693" s="4">
        <v>4</v>
      </c>
      <c r="J1693" s="4" t="s">
        <v>58</v>
      </c>
      <c r="K1693" s="4" t="s">
        <v>59</v>
      </c>
      <c r="L1693" s="4" t="s">
        <v>60</v>
      </c>
      <c r="M1693" s="4" t="s">
        <v>61</v>
      </c>
      <c r="N1693" s="4" t="s">
        <v>37</v>
      </c>
      <c r="O1693" s="4" t="s">
        <v>355</v>
      </c>
      <c r="P1693" s="4">
        <v>182</v>
      </c>
      <c r="Q1693" s="4" t="s">
        <v>103</v>
      </c>
      <c r="R1693" s="4" t="s">
        <v>136</v>
      </c>
      <c r="S1693" s="4">
        <v>124645</v>
      </c>
      <c r="T1693" s="4">
        <v>0</v>
      </c>
      <c r="U1693" s="4">
        <v>124645</v>
      </c>
      <c r="V1693" s="4">
        <v>82901</v>
      </c>
      <c r="W1693" s="4">
        <v>23214</v>
      </c>
      <c r="X1693" s="4">
        <v>13785</v>
      </c>
      <c r="Y1693" s="4" t="s">
        <v>41</v>
      </c>
      <c r="Z1693" s="4">
        <v>94</v>
      </c>
      <c r="AA1693" s="4">
        <v>3</v>
      </c>
      <c r="AB1693" s="4" t="s">
        <v>137</v>
      </c>
    </row>
    <row r="1694" spans="1:28" x14ac:dyDescent="0.25">
      <c r="A1694" s="2" t="s">
        <v>2478</v>
      </c>
      <c r="B1694" s="2" t="s">
        <v>2425</v>
      </c>
      <c r="C1694" s="2">
        <v>78</v>
      </c>
      <c r="D1694" s="2" t="s">
        <v>55</v>
      </c>
      <c r="E1694" s="2" t="s">
        <v>56</v>
      </c>
      <c r="F1694" s="2" t="s">
        <v>94</v>
      </c>
      <c r="G1694" s="3">
        <v>45310</v>
      </c>
      <c r="H1694" s="3">
        <v>45314</v>
      </c>
      <c r="I1694" s="2">
        <v>4</v>
      </c>
      <c r="J1694" s="2" t="s">
        <v>33</v>
      </c>
      <c r="K1694" s="2" t="s">
        <v>34</v>
      </c>
      <c r="L1694" s="2" t="s">
        <v>35</v>
      </c>
      <c r="M1694" s="2" t="s">
        <v>95</v>
      </c>
      <c r="N1694" s="2" t="s">
        <v>37</v>
      </c>
      <c r="O1694" s="2" t="s">
        <v>256</v>
      </c>
      <c r="P1694" s="2">
        <v>404</v>
      </c>
      <c r="Q1694" s="2" t="s">
        <v>39</v>
      </c>
      <c r="R1694" s="2" t="s">
        <v>51</v>
      </c>
      <c r="S1694" s="2">
        <v>108710</v>
      </c>
      <c r="T1694" s="2">
        <v>57437</v>
      </c>
      <c r="U1694" s="2">
        <v>51273</v>
      </c>
      <c r="V1694" s="2">
        <v>95261</v>
      </c>
      <c r="W1694" s="2">
        <v>3443</v>
      </c>
      <c r="X1694" s="2">
        <v>5739</v>
      </c>
      <c r="Y1694" s="2" t="s">
        <v>41</v>
      </c>
      <c r="Z1694" s="2">
        <v>71</v>
      </c>
      <c r="AA1694" s="2">
        <v>5</v>
      </c>
      <c r="AB1694" s="2" t="s">
        <v>52</v>
      </c>
    </row>
    <row r="1695" spans="1:28" x14ac:dyDescent="0.25">
      <c r="A1695" s="4" t="s">
        <v>2479</v>
      </c>
      <c r="B1695" s="4" t="s">
        <v>1175</v>
      </c>
      <c r="C1695" s="4">
        <v>73</v>
      </c>
      <c r="D1695" s="4" t="s">
        <v>55</v>
      </c>
      <c r="E1695" s="4" t="s">
        <v>31</v>
      </c>
      <c r="F1695" s="4" t="s">
        <v>94</v>
      </c>
      <c r="G1695" s="5">
        <v>44991</v>
      </c>
      <c r="H1695" s="5">
        <v>44994</v>
      </c>
      <c r="I1695" s="4">
        <v>3</v>
      </c>
      <c r="J1695" s="4" t="s">
        <v>33</v>
      </c>
      <c r="K1695" s="4" t="s">
        <v>278</v>
      </c>
      <c r="L1695" s="4" t="s">
        <v>279</v>
      </c>
      <c r="M1695" s="4" t="s">
        <v>134</v>
      </c>
      <c r="N1695" s="4" t="s">
        <v>37</v>
      </c>
      <c r="O1695" s="4" t="s">
        <v>497</v>
      </c>
      <c r="P1695" s="4">
        <v>91</v>
      </c>
      <c r="Q1695" s="4" t="s">
        <v>103</v>
      </c>
      <c r="R1695" s="4" t="s">
        <v>136</v>
      </c>
      <c r="S1695" s="4">
        <v>157385</v>
      </c>
      <c r="T1695" s="4">
        <v>0</v>
      </c>
      <c r="U1695" s="4">
        <v>157385</v>
      </c>
      <c r="V1695" s="4">
        <v>138469</v>
      </c>
      <c r="W1695" s="4">
        <v>15035</v>
      </c>
      <c r="X1695" s="4">
        <v>1345</v>
      </c>
      <c r="Y1695" s="4" t="s">
        <v>41</v>
      </c>
      <c r="Z1695" s="4">
        <v>59</v>
      </c>
      <c r="AA1695" s="4">
        <v>4.2</v>
      </c>
      <c r="AB1695" s="4" t="s">
        <v>52</v>
      </c>
    </row>
    <row r="1696" spans="1:28" x14ac:dyDescent="0.25">
      <c r="A1696" s="2" t="s">
        <v>2480</v>
      </c>
      <c r="B1696" s="2" t="s">
        <v>2481</v>
      </c>
      <c r="C1696" s="2">
        <v>35</v>
      </c>
      <c r="D1696" s="2" t="s">
        <v>55</v>
      </c>
      <c r="E1696" s="2" t="s">
        <v>154</v>
      </c>
      <c r="F1696" s="2" t="s">
        <v>32</v>
      </c>
      <c r="G1696" s="3">
        <v>45177</v>
      </c>
      <c r="H1696" s="3">
        <v>45197</v>
      </c>
      <c r="I1696" s="2">
        <v>20</v>
      </c>
      <c r="J1696" s="2" t="s">
        <v>58</v>
      </c>
      <c r="K1696" s="2" t="s">
        <v>88</v>
      </c>
      <c r="L1696" s="2" t="s">
        <v>60</v>
      </c>
      <c r="M1696" s="2" t="s">
        <v>134</v>
      </c>
      <c r="N1696" s="2" t="s">
        <v>118</v>
      </c>
      <c r="O1696" s="2" t="s">
        <v>373</v>
      </c>
      <c r="P1696" s="2">
        <v>174</v>
      </c>
      <c r="Q1696" s="2" t="s">
        <v>69</v>
      </c>
      <c r="R1696" s="2" t="s">
        <v>136</v>
      </c>
      <c r="S1696" s="2">
        <v>131132</v>
      </c>
      <c r="T1696" s="2">
        <v>0</v>
      </c>
      <c r="U1696" s="2">
        <v>131132</v>
      </c>
      <c r="V1696" s="2">
        <v>93406</v>
      </c>
      <c r="W1696" s="2">
        <v>24673</v>
      </c>
      <c r="X1696" s="2">
        <v>8208</v>
      </c>
      <c r="Y1696" s="2" t="s">
        <v>41</v>
      </c>
      <c r="Z1696" s="2">
        <v>80</v>
      </c>
      <c r="AA1696" s="2">
        <v>2.4</v>
      </c>
      <c r="AB1696" s="2" t="s">
        <v>64</v>
      </c>
    </row>
    <row r="1697" spans="1:28" x14ac:dyDescent="0.25">
      <c r="A1697" s="4" t="s">
        <v>2482</v>
      </c>
      <c r="B1697" s="4" t="s">
        <v>173</v>
      </c>
      <c r="C1697" s="4">
        <v>5</v>
      </c>
      <c r="D1697" s="4" t="s">
        <v>55</v>
      </c>
      <c r="E1697" s="4" t="s">
        <v>154</v>
      </c>
      <c r="F1697" s="4" t="s">
        <v>46</v>
      </c>
      <c r="G1697" s="5">
        <v>44859</v>
      </c>
      <c r="H1697" s="5">
        <v>44874</v>
      </c>
      <c r="I1697" s="4">
        <v>15</v>
      </c>
      <c r="J1697" s="4" t="s">
        <v>202</v>
      </c>
      <c r="K1697" s="4" t="s">
        <v>203</v>
      </c>
      <c r="L1697" s="4" t="s">
        <v>204</v>
      </c>
      <c r="M1697" s="4" t="s">
        <v>36</v>
      </c>
      <c r="N1697" s="4" t="s">
        <v>37</v>
      </c>
      <c r="O1697" s="4" t="s">
        <v>340</v>
      </c>
      <c r="P1697" s="4">
        <v>466</v>
      </c>
      <c r="Q1697" s="4" t="s">
        <v>103</v>
      </c>
      <c r="R1697" s="4" t="s">
        <v>51</v>
      </c>
      <c r="S1697" s="4">
        <v>160457</v>
      </c>
      <c r="T1697" s="4">
        <v>84303</v>
      </c>
      <c r="U1697" s="4">
        <v>76154</v>
      </c>
      <c r="V1697" s="4">
        <v>126292</v>
      </c>
      <c r="W1697" s="4">
        <v>25111</v>
      </c>
      <c r="X1697" s="4">
        <v>4611</v>
      </c>
      <c r="Y1697" s="4" t="s">
        <v>41</v>
      </c>
      <c r="Z1697" s="4">
        <v>100</v>
      </c>
      <c r="AA1697" s="4">
        <v>4.7</v>
      </c>
      <c r="AB1697" s="4" t="s">
        <v>64</v>
      </c>
    </row>
    <row r="1698" spans="1:28" x14ac:dyDescent="0.25">
      <c r="A1698" s="2" t="s">
        <v>2483</v>
      </c>
      <c r="B1698" s="2" t="s">
        <v>790</v>
      </c>
      <c r="C1698" s="2">
        <v>8</v>
      </c>
      <c r="D1698" s="2" t="s">
        <v>55</v>
      </c>
      <c r="E1698" s="2" t="s">
        <v>45</v>
      </c>
      <c r="F1698" s="2" t="s">
        <v>46</v>
      </c>
      <c r="G1698" s="3">
        <v>45523</v>
      </c>
      <c r="H1698" s="3">
        <v>45541</v>
      </c>
      <c r="I1698" s="2">
        <v>18</v>
      </c>
      <c r="J1698" s="2" t="s">
        <v>33</v>
      </c>
      <c r="K1698" s="2" t="s">
        <v>107</v>
      </c>
      <c r="L1698" s="2" t="s">
        <v>48</v>
      </c>
      <c r="M1698" s="2" t="s">
        <v>108</v>
      </c>
      <c r="N1698" s="2" t="s">
        <v>62</v>
      </c>
      <c r="O1698" s="2" t="s">
        <v>382</v>
      </c>
      <c r="P1698" s="2">
        <v>471</v>
      </c>
      <c r="Q1698" s="2" t="s">
        <v>69</v>
      </c>
      <c r="R1698" s="2" t="s">
        <v>51</v>
      </c>
      <c r="S1698" s="2">
        <v>67654</v>
      </c>
      <c r="T1698" s="2">
        <v>28894</v>
      </c>
      <c r="U1698" s="2">
        <v>38760</v>
      </c>
      <c r="V1698" s="2">
        <v>45636</v>
      </c>
      <c r="W1698" s="2">
        <v>6860</v>
      </c>
      <c r="X1698" s="2">
        <v>12360</v>
      </c>
      <c r="Y1698" s="2" t="s">
        <v>41</v>
      </c>
      <c r="Z1698" s="2">
        <v>51</v>
      </c>
      <c r="AA1698" s="2">
        <v>4.8</v>
      </c>
      <c r="AB1698" s="2" t="s">
        <v>64</v>
      </c>
    </row>
    <row r="1699" spans="1:28" x14ac:dyDescent="0.25">
      <c r="A1699" s="4" t="s">
        <v>2484</v>
      </c>
      <c r="B1699" s="4" t="s">
        <v>484</v>
      </c>
      <c r="C1699" s="4">
        <v>5</v>
      </c>
      <c r="D1699" s="4" t="s">
        <v>30</v>
      </c>
      <c r="E1699" s="4" t="s">
        <v>154</v>
      </c>
      <c r="F1699" s="4" t="s">
        <v>80</v>
      </c>
      <c r="G1699" s="5">
        <v>45054</v>
      </c>
      <c r="H1699" s="5">
        <v>45076</v>
      </c>
      <c r="I1699" s="4">
        <v>22</v>
      </c>
      <c r="J1699" s="4" t="s">
        <v>33</v>
      </c>
      <c r="K1699" s="4" t="s">
        <v>278</v>
      </c>
      <c r="L1699" s="4" t="s">
        <v>279</v>
      </c>
      <c r="M1699" s="4" t="s">
        <v>36</v>
      </c>
      <c r="N1699" s="4" t="s">
        <v>118</v>
      </c>
      <c r="O1699" s="4" t="s">
        <v>399</v>
      </c>
      <c r="P1699" s="4">
        <v>189</v>
      </c>
      <c r="Q1699" s="4" t="s">
        <v>50</v>
      </c>
      <c r="R1699" s="4" t="s">
        <v>90</v>
      </c>
      <c r="S1699" s="4">
        <v>173717</v>
      </c>
      <c r="T1699" s="4">
        <v>132308</v>
      </c>
      <c r="U1699" s="4">
        <v>41409</v>
      </c>
      <c r="V1699" s="4">
        <v>146336</v>
      </c>
      <c r="W1699" s="4">
        <v>21084</v>
      </c>
      <c r="X1699" s="4">
        <v>3190</v>
      </c>
      <c r="Y1699" s="4" t="s">
        <v>41</v>
      </c>
      <c r="Z1699" s="4">
        <v>99</v>
      </c>
      <c r="AA1699" s="4">
        <v>4.7</v>
      </c>
      <c r="AB1699" s="4" t="s">
        <v>104</v>
      </c>
    </row>
    <row r="1700" spans="1:28" x14ac:dyDescent="0.25">
      <c r="A1700" s="2" t="s">
        <v>2485</v>
      </c>
      <c r="B1700" s="2" t="s">
        <v>44</v>
      </c>
      <c r="C1700" s="2">
        <v>11</v>
      </c>
      <c r="D1700" s="2" t="s">
        <v>55</v>
      </c>
      <c r="E1700" s="2" t="s">
        <v>45</v>
      </c>
      <c r="F1700" s="2" t="s">
        <v>114</v>
      </c>
      <c r="G1700" s="3">
        <v>45022</v>
      </c>
      <c r="H1700" s="3">
        <v>45023</v>
      </c>
      <c r="I1700" s="2">
        <v>1</v>
      </c>
      <c r="J1700" s="2" t="s">
        <v>115</v>
      </c>
      <c r="K1700" s="2" t="s">
        <v>160</v>
      </c>
      <c r="L1700" s="2" t="s">
        <v>117</v>
      </c>
      <c r="M1700" s="2" t="s">
        <v>75</v>
      </c>
      <c r="N1700" s="2" t="s">
        <v>109</v>
      </c>
      <c r="O1700" s="2" t="s">
        <v>448</v>
      </c>
      <c r="P1700" s="2">
        <v>98</v>
      </c>
      <c r="Q1700" s="2" t="s">
        <v>50</v>
      </c>
      <c r="R1700" s="2" t="s">
        <v>136</v>
      </c>
      <c r="S1700" s="2">
        <v>31279</v>
      </c>
      <c r="T1700" s="2">
        <v>0</v>
      </c>
      <c r="U1700" s="2">
        <v>31279</v>
      </c>
      <c r="V1700" s="2">
        <v>7378</v>
      </c>
      <c r="W1700" s="2">
        <v>11104</v>
      </c>
      <c r="X1700" s="2">
        <v>7819</v>
      </c>
      <c r="Y1700" s="2" t="s">
        <v>41</v>
      </c>
      <c r="Z1700" s="2">
        <v>63</v>
      </c>
      <c r="AA1700" s="2">
        <v>3.3</v>
      </c>
      <c r="AB1700" s="2" t="s">
        <v>137</v>
      </c>
    </row>
    <row r="1701" spans="1:28" x14ac:dyDescent="0.25">
      <c r="A1701" s="4" t="s">
        <v>2486</v>
      </c>
      <c r="B1701" s="4" t="s">
        <v>1904</v>
      </c>
      <c r="C1701" s="4">
        <v>79</v>
      </c>
      <c r="D1701" s="4" t="s">
        <v>30</v>
      </c>
      <c r="E1701" s="4" t="s">
        <v>154</v>
      </c>
      <c r="F1701" s="4" t="s">
        <v>157</v>
      </c>
      <c r="G1701" s="5">
        <v>44960</v>
      </c>
      <c r="H1701" s="5">
        <v>44965</v>
      </c>
      <c r="I1701" s="4">
        <v>5</v>
      </c>
      <c r="J1701" s="4" t="s">
        <v>58</v>
      </c>
      <c r="K1701" s="4" t="s">
        <v>88</v>
      </c>
      <c r="L1701" s="4" t="s">
        <v>60</v>
      </c>
      <c r="M1701" s="4" t="s">
        <v>75</v>
      </c>
      <c r="N1701" s="4" t="s">
        <v>37</v>
      </c>
      <c r="O1701" s="4" t="s">
        <v>340</v>
      </c>
      <c r="P1701" s="4">
        <v>209</v>
      </c>
      <c r="Q1701" s="4" t="s">
        <v>50</v>
      </c>
      <c r="R1701" s="4" t="s">
        <v>111</v>
      </c>
      <c r="S1701" s="4">
        <v>109960</v>
      </c>
      <c r="T1701" s="4">
        <v>80433</v>
      </c>
      <c r="U1701" s="4">
        <v>29527</v>
      </c>
      <c r="V1701" s="4">
        <v>81591</v>
      </c>
      <c r="W1701" s="4">
        <v>21483</v>
      </c>
      <c r="X1701" s="4">
        <v>3945</v>
      </c>
      <c r="Y1701" s="4" t="s">
        <v>91</v>
      </c>
      <c r="Z1701" s="4">
        <v>83</v>
      </c>
      <c r="AA1701" s="4">
        <v>3.6</v>
      </c>
      <c r="AB1701" s="4" t="s">
        <v>42</v>
      </c>
    </row>
    <row r="1702" spans="1:28" x14ac:dyDescent="0.25">
      <c r="A1702" s="2" t="s">
        <v>2487</v>
      </c>
      <c r="B1702" s="2" t="s">
        <v>1495</v>
      </c>
      <c r="C1702" s="2">
        <v>7</v>
      </c>
      <c r="D1702" s="2" t="s">
        <v>55</v>
      </c>
      <c r="E1702" s="2" t="s">
        <v>45</v>
      </c>
      <c r="F1702" s="2" t="s">
        <v>94</v>
      </c>
      <c r="G1702" s="3">
        <v>45461</v>
      </c>
      <c r="H1702" s="3">
        <v>45467</v>
      </c>
      <c r="I1702" s="2">
        <v>6</v>
      </c>
      <c r="J1702" s="2" t="s">
        <v>202</v>
      </c>
      <c r="K1702" s="2" t="s">
        <v>225</v>
      </c>
      <c r="L1702" s="2" t="s">
        <v>226</v>
      </c>
      <c r="M1702" s="2" t="s">
        <v>134</v>
      </c>
      <c r="N1702" s="2" t="s">
        <v>37</v>
      </c>
      <c r="O1702" s="2" t="s">
        <v>256</v>
      </c>
      <c r="P1702" s="2">
        <v>202</v>
      </c>
      <c r="Q1702" s="2" t="s">
        <v>39</v>
      </c>
      <c r="R1702" s="2" t="s">
        <v>90</v>
      </c>
      <c r="S1702" s="2">
        <v>121736</v>
      </c>
      <c r="T1702" s="2">
        <v>104155</v>
      </c>
      <c r="U1702" s="2">
        <v>17581</v>
      </c>
      <c r="V1702" s="2">
        <v>108973</v>
      </c>
      <c r="W1702" s="2">
        <v>7630</v>
      </c>
      <c r="X1702" s="2">
        <v>4499</v>
      </c>
      <c r="Y1702" s="2" t="s">
        <v>41</v>
      </c>
      <c r="Z1702" s="2">
        <v>42</v>
      </c>
      <c r="AA1702" s="2">
        <v>2.2999999999999998</v>
      </c>
      <c r="AB1702" s="2" t="s">
        <v>64</v>
      </c>
    </row>
    <row r="1703" spans="1:28" x14ac:dyDescent="0.25">
      <c r="A1703" s="4" t="s">
        <v>2488</v>
      </c>
      <c r="B1703" s="4" t="s">
        <v>573</v>
      </c>
      <c r="C1703" s="4">
        <v>24</v>
      </c>
      <c r="D1703" s="4" t="s">
        <v>55</v>
      </c>
      <c r="E1703" s="4" t="s">
        <v>31</v>
      </c>
      <c r="F1703" s="4" t="s">
        <v>32</v>
      </c>
      <c r="G1703" s="5">
        <v>45391</v>
      </c>
      <c r="H1703" s="5">
        <v>45401</v>
      </c>
      <c r="I1703" s="4">
        <v>10</v>
      </c>
      <c r="J1703" s="4" t="s">
        <v>33</v>
      </c>
      <c r="K1703" s="4" t="s">
        <v>233</v>
      </c>
      <c r="L1703" s="4" t="s">
        <v>35</v>
      </c>
      <c r="M1703" s="4" t="s">
        <v>75</v>
      </c>
      <c r="N1703" s="4" t="s">
        <v>118</v>
      </c>
      <c r="O1703" s="4" t="s">
        <v>119</v>
      </c>
      <c r="P1703" s="4">
        <v>293</v>
      </c>
      <c r="Q1703" s="4" t="s">
        <v>69</v>
      </c>
      <c r="R1703" s="4" t="s">
        <v>90</v>
      </c>
      <c r="S1703" s="4">
        <v>152985</v>
      </c>
      <c r="T1703" s="4">
        <v>130951</v>
      </c>
      <c r="U1703" s="4">
        <v>22034</v>
      </c>
      <c r="V1703" s="4">
        <v>118536</v>
      </c>
      <c r="W1703" s="4">
        <v>27444</v>
      </c>
      <c r="X1703" s="4">
        <v>4424</v>
      </c>
      <c r="Y1703" s="4" t="s">
        <v>41</v>
      </c>
      <c r="Z1703" s="4">
        <v>94</v>
      </c>
      <c r="AA1703" s="4">
        <v>5</v>
      </c>
      <c r="AB1703" s="4" t="s">
        <v>104</v>
      </c>
    </row>
    <row r="1704" spans="1:28" x14ac:dyDescent="0.25">
      <c r="A1704" s="2" t="s">
        <v>2489</v>
      </c>
      <c r="B1704" s="2" t="s">
        <v>219</v>
      </c>
      <c r="C1704" s="2">
        <v>12</v>
      </c>
      <c r="D1704" s="2" t="s">
        <v>55</v>
      </c>
      <c r="E1704" s="2" t="s">
        <v>67</v>
      </c>
      <c r="F1704" s="2" t="s">
        <v>114</v>
      </c>
      <c r="G1704" s="3">
        <v>45043</v>
      </c>
      <c r="H1704" s="3">
        <v>45068</v>
      </c>
      <c r="I1704" s="2">
        <v>25</v>
      </c>
      <c r="J1704" s="2" t="s">
        <v>115</v>
      </c>
      <c r="K1704" s="2" t="s">
        <v>116</v>
      </c>
      <c r="L1704" s="2" t="s">
        <v>117</v>
      </c>
      <c r="M1704" s="2" t="s">
        <v>143</v>
      </c>
      <c r="N1704" s="2" t="s">
        <v>109</v>
      </c>
      <c r="O1704" s="2" t="s">
        <v>492</v>
      </c>
      <c r="P1704" s="2">
        <v>186</v>
      </c>
      <c r="Q1704" s="2" t="s">
        <v>50</v>
      </c>
      <c r="R1704" s="2" t="s">
        <v>136</v>
      </c>
      <c r="S1704" s="2">
        <v>47788</v>
      </c>
      <c r="T1704" s="2">
        <v>0</v>
      </c>
      <c r="U1704" s="2">
        <v>47788</v>
      </c>
      <c r="V1704" s="2">
        <v>23971</v>
      </c>
      <c r="W1704" s="2">
        <v>10506</v>
      </c>
      <c r="X1704" s="2">
        <v>12790</v>
      </c>
      <c r="Y1704" s="2" t="s">
        <v>41</v>
      </c>
      <c r="Z1704" s="2">
        <v>61</v>
      </c>
      <c r="AA1704" s="2">
        <v>3.4</v>
      </c>
      <c r="AB1704" s="2" t="s">
        <v>137</v>
      </c>
    </row>
    <row r="1705" spans="1:28" x14ac:dyDescent="0.25">
      <c r="A1705" s="4" t="s">
        <v>2490</v>
      </c>
      <c r="B1705" s="4" t="s">
        <v>956</v>
      </c>
      <c r="C1705" s="4">
        <v>78</v>
      </c>
      <c r="D1705" s="4" t="s">
        <v>30</v>
      </c>
      <c r="E1705" s="4" t="s">
        <v>56</v>
      </c>
      <c r="F1705" s="4" t="s">
        <v>157</v>
      </c>
      <c r="G1705" s="5">
        <v>44565</v>
      </c>
      <c r="H1705" s="5">
        <v>44582</v>
      </c>
      <c r="I1705" s="4">
        <v>17</v>
      </c>
      <c r="J1705" s="4" t="s">
        <v>58</v>
      </c>
      <c r="K1705" s="4" t="s">
        <v>59</v>
      </c>
      <c r="L1705" s="4" t="s">
        <v>60</v>
      </c>
      <c r="M1705" s="4" t="s">
        <v>108</v>
      </c>
      <c r="N1705" s="4" t="s">
        <v>62</v>
      </c>
      <c r="O1705" s="4" t="s">
        <v>184</v>
      </c>
      <c r="P1705" s="4">
        <v>375</v>
      </c>
      <c r="Q1705" s="4" t="s">
        <v>103</v>
      </c>
      <c r="R1705" s="4" t="s">
        <v>90</v>
      </c>
      <c r="S1705" s="4">
        <v>46131</v>
      </c>
      <c r="T1705" s="4">
        <v>40010</v>
      </c>
      <c r="U1705" s="4">
        <v>6121</v>
      </c>
      <c r="V1705" s="4">
        <v>20763</v>
      </c>
      <c r="W1705" s="4">
        <v>6985</v>
      </c>
      <c r="X1705" s="4">
        <v>14693</v>
      </c>
      <c r="Y1705" s="4" t="s">
        <v>41</v>
      </c>
      <c r="Z1705" s="4">
        <v>77</v>
      </c>
      <c r="AA1705" s="4">
        <v>2.1</v>
      </c>
      <c r="AB1705" s="4" t="s">
        <v>104</v>
      </c>
    </row>
    <row r="1706" spans="1:28" x14ac:dyDescent="0.25">
      <c r="A1706" s="2" t="s">
        <v>2491</v>
      </c>
      <c r="B1706" s="2" t="s">
        <v>475</v>
      </c>
      <c r="C1706" s="2">
        <v>83</v>
      </c>
      <c r="D1706" s="2" t="s">
        <v>30</v>
      </c>
      <c r="E1706" s="2" t="s">
        <v>31</v>
      </c>
      <c r="F1706" s="2" t="s">
        <v>94</v>
      </c>
      <c r="G1706" s="3">
        <v>44778</v>
      </c>
      <c r="H1706" s="3">
        <v>44808</v>
      </c>
      <c r="I1706" s="2">
        <v>30</v>
      </c>
      <c r="J1706" s="2" t="s">
        <v>115</v>
      </c>
      <c r="K1706" s="2" t="s">
        <v>116</v>
      </c>
      <c r="L1706" s="2" t="s">
        <v>117</v>
      </c>
      <c r="M1706" s="2" t="s">
        <v>134</v>
      </c>
      <c r="N1706" s="2" t="s">
        <v>118</v>
      </c>
      <c r="O1706" s="2" t="s">
        <v>76</v>
      </c>
      <c r="P1706" s="2">
        <v>214</v>
      </c>
      <c r="Q1706" s="2" t="s">
        <v>103</v>
      </c>
      <c r="R1706" s="2" t="s">
        <v>111</v>
      </c>
      <c r="S1706" s="2">
        <v>175218</v>
      </c>
      <c r="T1706" s="2">
        <v>157000</v>
      </c>
      <c r="U1706" s="2">
        <v>18218</v>
      </c>
      <c r="V1706" s="2">
        <v>148049</v>
      </c>
      <c r="W1706" s="2">
        <v>18837</v>
      </c>
      <c r="X1706" s="2">
        <v>5216</v>
      </c>
      <c r="Y1706" s="2" t="s">
        <v>41</v>
      </c>
      <c r="Z1706" s="2">
        <v>54</v>
      </c>
      <c r="AA1706" s="2">
        <v>4.5</v>
      </c>
      <c r="AB1706" s="2" t="s">
        <v>64</v>
      </c>
    </row>
    <row r="1707" spans="1:28" x14ac:dyDescent="0.25">
      <c r="A1707" s="4" t="s">
        <v>2492</v>
      </c>
      <c r="B1707" s="4" t="s">
        <v>270</v>
      </c>
      <c r="C1707" s="4">
        <v>60</v>
      </c>
      <c r="D1707" s="4" t="s">
        <v>30</v>
      </c>
      <c r="E1707" s="4" t="s">
        <v>122</v>
      </c>
      <c r="F1707" s="4" t="s">
        <v>129</v>
      </c>
      <c r="G1707" s="5">
        <v>45122</v>
      </c>
      <c r="H1707" s="5">
        <v>45127</v>
      </c>
      <c r="I1707" s="4">
        <v>5</v>
      </c>
      <c r="J1707" s="4" t="s">
        <v>115</v>
      </c>
      <c r="K1707" s="4" t="s">
        <v>160</v>
      </c>
      <c r="L1707" s="4" t="s">
        <v>117</v>
      </c>
      <c r="M1707" s="4" t="s">
        <v>101</v>
      </c>
      <c r="N1707" s="4" t="s">
        <v>109</v>
      </c>
      <c r="O1707" s="4" t="s">
        <v>461</v>
      </c>
      <c r="P1707" s="4">
        <v>381</v>
      </c>
      <c r="Q1707" s="4" t="s">
        <v>50</v>
      </c>
      <c r="R1707" s="4" t="s">
        <v>90</v>
      </c>
      <c r="S1707" s="4">
        <v>143990</v>
      </c>
      <c r="T1707" s="4">
        <v>114137</v>
      </c>
      <c r="U1707" s="4">
        <v>29853</v>
      </c>
      <c r="V1707" s="4">
        <v>125826</v>
      </c>
      <c r="W1707" s="4">
        <v>3499</v>
      </c>
      <c r="X1707" s="4">
        <v>13611</v>
      </c>
      <c r="Y1707" s="4" t="s">
        <v>91</v>
      </c>
      <c r="Z1707" s="4">
        <v>69</v>
      </c>
      <c r="AA1707" s="4">
        <v>4.3</v>
      </c>
      <c r="AB1707" s="4" t="s">
        <v>42</v>
      </c>
    </row>
    <row r="1708" spans="1:28" x14ac:dyDescent="0.25">
      <c r="A1708" s="2" t="s">
        <v>2493</v>
      </c>
      <c r="B1708" s="2" t="s">
        <v>297</v>
      </c>
      <c r="C1708" s="2">
        <v>8</v>
      </c>
      <c r="D1708" s="2" t="s">
        <v>55</v>
      </c>
      <c r="E1708" s="2" t="s">
        <v>31</v>
      </c>
      <c r="F1708" s="2" t="s">
        <v>57</v>
      </c>
      <c r="G1708" s="3">
        <v>45270</v>
      </c>
      <c r="H1708" s="3">
        <v>45291</v>
      </c>
      <c r="I1708" s="2">
        <v>21</v>
      </c>
      <c r="J1708" s="2" t="s">
        <v>123</v>
      </c>
      <c r="K1708" s="2" t="s">
        <v>251</v>
      </c>
      <c r="L1708" s="2" t="s">
        <v>125</v>
      </c>
      <c r="M1708" s="2" t="s">
        <v>108</v>
      </c>
      <c r="N1708" s="2" t="s">
        <v>37</v>
      </c>
      <c r="O1708" s="2" t="s">
        <v>161</v>
      </c>
      <c r="P1708" s="2">
        <v>277</v>
      </c>
      <c r="Q1708" s="2" t="s">
        <v>50</v>
      </c>
      <c r="R1708" s="2" t="s">
        <v>40</v>
      </c>
      <c r="S1708" s="2">
        <v>91086</v>
      </c>
      <c r="T1708" s="2">
        <v>50087</v>
      </c>
      <c r="U1708" s="2">
        <v>40999</v>
      </c>
      <c r="V1708" s="2">
        <v>63294</v>
      </c>
      <c r="W1708" s="2">
        <v>22530</v>
      </c>
      <c r="X1708" s="2">
        <v>3763</v>
      </c>
      <c r="Y1708" s="2" t="s">
        <v>91</v>
      </c>
      <c r="Z1708" s="2">
        <v>69</v>
      </c>
      <c r="AA1708" s="2">
        <v>3.7</v>
      </c>
      <c r="AB1708" s="2" t="s">
        <v>52</v>
      </c>
    </row>
    <row r="1709" spans="1:28" x14ac:dyDescent="0.25">
      <c r="A1709" s="4" t="s">
        <v>2494</v>
      </c>
      <c r="B1709" s="4" t="s">
        <v>1273</v>
      </c>
      <c r="C1709" s="4">
        <v>13</v>
      </c>
      <c r="D1709" s="4" t="s">
        <v>55</v>
      </c>
      <c r="E1709" s="4" t="s">
        <v>154</v>
      </c>
      <c r="F1709" s="4" t="s">
        <v>46</v>
      </c>
      <c r="G1709" s="5">
        <v>44926</v>
      </c>
      <c r="H1709" s="5">
        <v>44932</v>
      </c>
      <c r="I1709" s="4">
        <v>6</v>
      </c>
      <c r="J1709" s="4" t="s">
        <v>123</v>
      </c>
      <c r="K1709" s="4" t="s">
        <v>251</v>
      </c>
      <c r="L1709" s="4" t="s">
        <v>125</v>
      </c>
      <c r="M1709" s="4" t="s">
        <v>75</v>
      </c>
      <c r="N1709" s="4" t="s">
        <v>62</v>
      </c>
      <c r="O1709" s="4" t="s">
        <v>355</v>
      </c>
      <c r="P1709" s="4">
        <v>25</v>
      </c>
      <c r="Q1709" s="4" t="s">
        <v>50</v>
      </c>
      <c r="R1709" s="4" t="s">
        <v>40</v>
      </c>
      <c r="S1709" s="4">
        <v>74120</v>
      </c>
      <c r="T1709" s="4">
        <v>41823</v>
      </c>
      <c r="U1709" s="4">
        <v>32297</v>
      </c>
      <c r="V1709" s="4">
        <v>34009</v>
      </c>
      <c r="W1709" s="4">
        <v>28680</v>
      </c>
      <c r="X1709" s="4">
        <v>7716</v>
      </c>
      <c r="Y1709" s="4" t="s">
        <v>91</v>
      </c>
      <c r="Z1709" s="4">
        <v>92</v>
      </c>
      <c r="AA1709" s="4">
        <v>2.5</v>
      </c>
      <c r="AB1709" s="4" t="s">
        <v>42</v>
      </c>
    </row>
    <row r="1710" spans="1:28" x14ac:dyDescent="0.25">
      <c r="A1710" s="2" t="s">
        <v>2495</v>
      </c>
      <c r="B1710" s="2" t="s">
        <v>1228</v>
      </c>
      <c r="C1710" s="2">
        <v>47</v>
      </c>
      <c r="D1710" s="2" t="s">
        <v>55</v>
      </c>
      <c r="E1710" s="2" t="s">
        <v>45</v>
      </c>
      <c r="F1710" s="2" t="s">
        <v>57</v>
      </c>
      <c r="G1710" s="3">
        <v>45539</v>
      </c>
      <c r="H1710" s="3">
        <v>45563</v>
      </c>
      <c r="I1710" s="2">
        <v>24</v>
      </c>
      <c r="J1710" s="2" t="s">
        <v>73</v>
      </c>
      <c r="K1710" s="2" t="s">
        <v>74</v>
      </c>
      <c r="L1710" s="2" t="s">
        <v>73</v>
      </c>
      <c r="M1710" s="2" t="s">
        <v>134</v>
      </c>
      <c r="N1710" s="2" t="s">
        <v>62</v>
      </c>
      <c r="O1710" s="2" t="s">
        <v>89</v>
      </c>
      <c r="P1710" s="2">
        <v>152</v>
      </c>
      <c r="Q1710" s="2" t="s">
        <v>39</v>
      </c>
      <c r="R1710" s="2" t="s">
        <v>90</v>
      </c>
      <c r="S1710" s="2">
        <v>111235</v>
      </c>
      <c r="T1710" s="2">
        <v>78934</v>
      </c>
      <c r="U1710" s="2">
        <v>32301</v>
      </c>
      <c r="V1710" s="2">
        <v>69766</v>
      </c>
      <c r="W1710" s="2">
        <v>27815</v>
      </c>
      <c r="X1710" s="2">
        <v>11772</v>
      </c>
      <c r="Y1710" s="2" t="s">
        <v>41</v>
      </c>
      <c r="Z1710" s="2">
        <v>50</v>
      </c>
      <c r="AA1710" s="2">
        <v>3.5</v>
      </c>
      <c r="AB1710" s="2" t="s">
        <v>42</v>
      </c>
    </row>
    <row r="1711" spans="1:28" x14ac:dyDescent="0.25">
      <c r="A1711" s="4" t="s">
        <v>2496</v>
      </c>
      <c r="B1711" s="4" t="s">
        <v>170</v>
      </c>
      <c r="C1711" s="4">
        <v>35</v>
      </c>
      <c r="D1711" s="4" t="s">
        <v>55</v>
      </c>
      <c r="E1711" s="4" t="s">
        <v>79</v>
      </c>
      <c r="F1711" s="4" t="s">
        <v>46</v>
      </c>
      <c r="G1711" s="5">
        <v>44658</v>
      </c>
      <c r="H1711" s="5">
        <v>44683</v>
      </c>
      <c r="I1711" s="4">
        <v>25</v>
      </c>
      <c r="J1711" s="4" t="s">
        <v>73</v>
      </c>
      <c r="K1711" s="4" t="s">
        <v>74</v>
      </c>
      <c r="L1711" s="4" t="s">
        <v>73</v>
      </c>
      <c r="M1711" s="4" t="s">
        <v>108</v>
      </c>
      <c r="N1711" s="4" t="s">
        <v>118</v>
      </c>
      <c r="O1711" s="4" t="s">
        <v>543</v>
      </c>
      <c r="P1711" s="4">
        <v>306</v>
      </c>
      <c r="Q1711" s="4" t="s">
        <v>50</v>
      </c>
      <c r="R1711" s="4" t="s">
        <v>40</v>
      </c>
      <c r="S1711" s="4">
        <v>133330</v>
      </c>
      <c r="T1711" s="4">
        <v>60975</v>
      </c>
      <c r="U1711" s="4">
        <v>72355</v>
      </c>
      <c r="V1711" s="4">
        <v>98418</v>
      </c>
      <c r="W1711" s="4">
        <v>25162</v>
      </c>
      <c r="X1711" s="4">
        <v>9094</v>
      </c>
      <c r="Y1711" s="4" t="s">
        <v>41</v>
      </c>
      <c r="Z1711" s="4">
        <v>73</v>
      </c>
      <c r="AA1711" s="4">
        <v>3.2</v>
      </c>
      <c r="AB1711" s="4" t="s">
        <v>52</v>
      </c>
    </row>
    <row r="1712" spans="1:28" x14ac:dyDescent="0.25">
      <c r="A1712" s="2" t="s">
        <v>2497</v>
      </c>
      <c r="B1712" s="2" t="s">
        <v>1101</v>
      </c>
      <c r="C1712" s="2">
        <v>41</v>
      </c>
      <c r="D1712" s="2" t="s">
        <v>30</v>
      </c>
      <c r="E1712" s="2" t="s">
        <v>31</v>
      </c>
      <c r="F1712" s="2" t="s">
        <v>129</v>
      </c>
      <c r="G1712" s="3">
        <v>44657</v>
      </c>
      <c r="H1712" s="3">
        <v>44674</v>
      </c>
      <c r="I1712" s="2">
        <v>17</v>
      </c>
      <c r="J1712" s="2" t="s">
        <v>33</v>
      </c>
      <c r="K1712" s="2" t="s">
        <v>47</v>
      </c>
      <c r="L1712" s="2" t="s">
        <v>48</v>
      </c>
      <c r="M1712" s="2" t="s">
        <v>95</v>
      </c>
      <c r="N1712" s="2" t="s">
        <v>62</v>
      </c>
      <c r="O1712" s="2" t="s">
        <v>84</v>
      </c>
      <c r="P1712" s="2">
        <v>438</v>
      </c>
      <c r="Q1712" s="2" t="s">
        <v>103</v>
      </c>
      <c r="R1712" s="2" t="s">
        <v>90</v>
      </c>
      <c r="S1712" s="2">
        <v>116896</v>
      </c>
      <c r="T1712" s="2">
        <v>74273</v>
      </c>
      <c r="U1712" s="2">
        <v>42623</v>
      </c>
      <c r="V1712" s="2">
        <v>92708</v>
      </c>
      <c r="W1712" s="2">
        <v>20154</v>
      </c>
      <c r="X1712" s="2">
        <v>954</v>
      </c>
      <c r="Y1712" s="2" t="s">
        <v>91</v>
      </c>
      <c r="Z1712" s="2">
        <v>53</v>
      </c>
      <c r="AA1712" s="2">
        <v>3.4</v>
      </c>
      <c r="AB1712" s="2" t="s">
        <v>64</v>
      </c>
    </row>
    <row r="1713" spans="1:28" x14ac:dyDescent="0.25">
      <c r="A1713" s="4" t="s">
        <v>2498</v>
      </c>
      <c r="B1713" s="4" t="s">
        <v>1018</v>
      </c>
      <c r="C1713" s="4">
        <v>83</v>
      </c>
      <c r="D1713" s="4" t="s">
        <v>55</v>
      </c>
      <c r="E1713" s="4" t="s">
        <v>87</v>
      </c>
      <c r="F1713" s="4" t="s">
        <v>46</v>
      </c>
      <c r="G1713" s="5">
        <v>45153</v>
      </c>
      <c r="H1713" s="5">
        <v>45162</v>
      </c>
      <c r="I1713" s="4">
        <v>9</v>
      </c>
      <c r="J1713" s="4" t="s">
        <v>33</v>
      </c>
      <c r="K1713" s="4" t="s">
        <v>174</v>
      </c>
      <c r="L1713" s="4" t="s">
        <v>48</v>
      </c>
      <c r="M1713" s="4" t="s">
        <v>61</v>
      </c>
      <c r="N1713" s="4" t="s">
        <v>62</v>
      </c>
      <c r="O1713" s="4" t="s">
        <v>178</v>
      </c>
      <c r="P1713" s="4">
        <v>64</v>
      </c>
      <c r="Q1713" s="4" t="s">
        <v>103</v>
      </c>
      <c r="R1713" s="4" t="s">
        <v>136</v>
      </c>
      <c r="S1713" s="4">
        <v>15940</v>
      </c>
      <c r="T1713" s="4">
        <v>0</v>
      </c>
      <c r="U1713" s="4">
        <v>15940</v>
      </c>
      <c r="V1713" s="4">
        <v>7591</v>
      </c>
      <c r="W1713" s="4">
        <v>1968</v>
      </c>
      <c r="X1713" s="4">
        <v>3783</v>
      </c>
      <c r="Y1713" s="4" t="s">
        <v>41</v>
      </c>
      <c r="Z1713" s="4">
        <v>73</v>
      </c>
      <c r="AA1713" s="4">
        <v>4</v>
      </c>
      <c r="AB1713" s="4" t="s">
        <v>42</v>
      </c>
    </row>
    <row r="1714" spans="1:28" x14ac:dyDescent="0.25">
      <c r="A1714" s="2" t="s">
        <v>2499</v>
      </c>
      <c r="B1714" s="2" t="s">
        <v>769</v>
      </c>
      <c r="C1714" s="2">
        <v>72</v>
      </c>
      <c r="D1714" s="2" t="s">
        <v>30</v>
      </c>
      <c r="E1714" s="2" t="s">
        <v>45</v>
      </c>
      <c r="F1714" s="2" t="s">
        <v>150</v>
      </c>
      <c r="G1714" s="3">
        <v>44988</v>
      </c>
      <c r="H1714" s="3">
        <v>45004</v>
      </c>
      <c r="I1714" s="2">
        <v>16</v>
      </c>
      <c r="J1714" s="2" t="s">
        <v>58</v>
      </c>
      <c r="K1714" s="2" t="s">
        <v>59</v>
      </c>
      <c r="L1714" s="2" t="s">
        <v>60</v>
      </c>
      <c r="M1714" s="2" t="s">
        <v>101</v>
      </c>
      <c r="N1714" s="2" t="s">
        <v>37</v>
      </c>
      <c r="O1714" s="2" t="s">
        <v>171</v>
      </c>
      <c r="P1714" s="2">
        <v>485</v>
      </c>
      <c r="Q1714" s="2" t="s">
        <v>69</v>
      </c>
      <c r="R1714" s="2" t="s">
        <v>111</v>
      </c>
      <c r="S1714" s="2">
        <v>59146</v>
      </c>
      <c r="T1714" s="2">
        <v>48434</v>
      </c>
      <c r="U1714" s="2">
        <v>10712</v>
      </c>
      <c r="V1714" s="2">
        <v>40415</v>
      </c>
      <c r="W1714" s="2">
        <v>8180</v>
      </c>
      <c r="X1714" s="2">
        <v>6951</v>
      </c>
      <c r="Y1714" s="2" t="s">
        <v>41</v>
      </c>
      <c r="Z1714" s="2">
        <v>94</v>
      </c>
      <c r="AA1714" s="2">
        <v>4.5999999999999996</v>
      </c>
      <c r="AB1714" s="2" t="s">
        <v>137</v>
      </c>
    </row>
    <row r="1715" spans="1:28" x14ac:dyDescent="0.25">
      <c r="A1715" s="4" t="s">
        <v>2500</v>
      </c>
      <c r="B1715" s="4" t="s">
        <v>2097</v>
      </c>
      <c r="C1715" s="4">
        <v>23</v>
      </c>
      <c r="D1715" s="4" t="s">
        <v>55</v>
      </c>
      <c r="E1715" s="4" t="s">
        <v>56</v>
      </c>
      <c r="F1715" s="4" t="s">
        <v>94</v>
      </c>
      <c r="G1715" s="5">
        <v>44565</v>
      </c>
      <c r="H1715" s="5">
        <v>44572</v>
      </c>
      <c r="I1715" s="4">
        <v>7</v>
      </c>
      <c r="J1715" s="4" t="s">
        <v>33</v>
      </c>
      <c r="K1715" s="4" t="s">
        <v>81</v>
      </c>
      <c r="L1715" s="4" t="s">
        <v>82</v>
      </c>
      <c r="M1715" s="4" t="s">
        <v>101</v>
      </c>
      <c r="N1715" s="4" t="s">
        <v>109</v>
      </c>
      <c r="O1715" s="4" t="s">
        <v>217</v>
      </c>
      <c r="P1715" s="4">
        <v>183</v>
      </c>
      <c r="Q1715" s="4" t="s">
        <v>39</v>
      </c>
      <c r="R1715" s="4" t="s">
        <v>51</v>
      </c>
      <c r="S1715" s="4">
        <v>87873</v>
      </c>
      <c r="T1715" s="4">
        <v>50462</v>
      </c>
      <c r="U1715" s="4">
        <v>37411</v>
      </c>
      <c r="V1715" s="4">
        <v>78934</v>
      </c>
      <c r="W1715" s="4">
        <v>1155</v>
      </c>
      <c r="X1715" s="4">
        <v>5515</v>
      </c>
      <c r="Y1715" s="4" t="s">
        <v>41</v>
      </c>
      <c r="Z1715" s="4">
        <v>47</v>
      </c>
      <c r="AA1715" s="4">
        <v>3.2</v>
      </c>
      <c r="AB1715" s="4" t="s">
        <v>64</v>
      </c>
    </row>
    <row r="1716" spans="1:28" x14ac:dyDescent="0.25">
      <c r="A1716" s="2" t="s">
        <v>2501</v>
      </c>
      <c r="B1716" s="2" t="s">
        <v>255</v>
      </c>
      <c r="C1716" s="2">
        <v>47</v>
      </c>
      <c r="D1716" s="2" t="s">
        <v>30</v>
      </c>
      <c r="E1716" s="2" t="s">
        <v>87</v>
      </c>
      <c r="F1716" s="2" t="s">
        <v>80</v>
      </c>
      <c r="G1716" s="3">
        <v>44833</v>
      </c>
      <c r="H1716" s="3">
        <v>44856</v>
      </c>
      <c r="I1716" s="2">
        <v>23</v>
      </c>
      <c r="J1716" s="2" t="s">
        <v>33</v>
      </c>
      <c r="K1716" s="2" t="s">
        <v>81</v>
      </c>
      <c r="L1716" s="2" t="s">
        <v>82</v>
      </c>
      <c r="M1716" s="2" t="s">
        <v>75</v>
      </c>
      <c r="N1716" s="2" t="s">
        <v>118</v>
      </c>
      <c r="O1716" s="2" t="s">
        <v>214</v>
      </c>
      <c r="P1716" s="2">
        <v>112</v>
      </c>
      <c r="Q1716" s="2" t="s">
        <v>69</v>
      </c>
      <c r="R1716" s="2" t="s">
        <v>111</v>
      </c>
      <c r="S1716" s="2">
        <v>83561</v>
      </c>
      <c r="T1716" s="2">
        <v>51879</v>
      </c>
      <c r="U1716" s="2">
        <v>31682</v>
      </c>
      <c r="V1716" s="2">
        <v>56458</v>
      </c>
      <c r="W1716" s="2">
        <v>14119</v>
      </c>
      <c r="X1716" s="2">
        <v>8198</v>
      </c>
      <c r="Y1716" s="2" t="s">
        <v>41</v>
      </c>
      <c r="Z1716" s="2">
        <v>56</v>
      </c>
      <c r="AA1716" s="2">
        <v>4.5</v>
      </c>
      <c r="AB1716" s="2" t="s">
        <v>42</v>
      </c>
    </row>
    <row r="1717" spans="1:28" x14ac:dyDescent="0.25">
      <c r="A1717" s="4" t="s">
        <v>2502</v>
      </c>
      <c r="B1717" s="4" t="s">
        <v>207</v>
      </c>
      <c r="C1717" s="4">
        <v>48</v>
      </c>
      <c r="D1717" s="4" t="s">
        <v>55</v>
      </c>
      <c r="E1717" s="4" t="s">
        <v>87</v>
      </c>
      <c r="F1717" s="4" t="s">
        <v>114</v>
      </c>
      <c r="G1717" s="5">
        <v>45110</v>
      </c>
      <c r="H1717" s="5">
        <v>45116</v>
      </c>
      <c r="I1717" s="4">
        <v>6</v>
      </c>
      <c r="J1717" s="4" t="s">
        <v>33</v>
      </c>
      <c r="K1717" s="4" t="s">
        <v>233</v>
      </c>
      <c r="L1717" s="4" t="s">
        <v>35</v>
      </c>
      <c r="M1717" s="4" t="s">
        <v>61</v>
      </c>
      <c r="N1717" s="4" t="s">
        <v>109</v>
      </c>
      <c r="O1717" s="4" t="s">
        <v>1038</v>
      </c>
      <c r="P1717" s="4">
        <v>490</v>
      </c>
      <c r="Q1717" s="4" t="s">
        <v>50</v>
      </c>
      <c r="R1717" s="4" t="s">
        <v>40</v>
      </c>
      <c r="S1717" s="4">
        <v>122955</v>
      </c>
      <c r="T1717" s="4">
        <v>50723</v>
      </c>
      <c r="U1717" s="4">
        <v>72232</v>
      </c>
      <c r="V1717" s="4">
        <v>101126</v>
      </c>
      <c r="W1717" s="4">
        <v>5444</v>
      </c>
      <c r="X1717" s="4">
        <v>12632</v>
      </c>
      <c r="Y1717" s="4" t="s">
        <v>41</v>
      </c>
      <c r="Z1717" s="4">
        <v>62</v>
      </c>
      <c r="AA1717" s="4">
        <v>2.6</v>
      </c>
      <c r="AB1717" s="4" t="s">
        <v>42</v>
      </c>
    </row>
    <row r="1718" spans="1:28" x14ac:dyDescent="0.25">
      <c r="A1718" s="2" t="s">
        <v>2503</v>
      </c>
      <c r="B1718" s="2" t="s">
        <v>240</v>
      </c>
      <c r="C1718" s="2">
        <v>64</v>
      </c>
      <c r="D1718" s="2" t="s">
        <v>55</v>
      </c>
      <c r="E1718" s="2" t="s">
        <v>79</v>
      </c>
      <c r="F1718" s="2" t="s">
        <v>57</v>
      </c>
      <c r="G1718" s="3">
        <v>44752</v>
      </c>
      <c r="H1718" s="3">
        <v>44755</v>
      </c>
      <c r="I1718" s="2">
        <v>3</v>
      </c>
      <c r="J1718" s="2" t="s">
        <v>140</v>
      </c>
      <c r="K1718" s="2" t="s">
        <v>167</v>
      </c>
      <c r="L1718" s="2" t="s">
        <v>142</v>
      </c>
      <c r="M1718" s="2" t="s">
        <v>101</v>
      </c>
      <c r="N1718" s="2" t="s">
        <v>37</v>
      </c>
      <c r="O1718" s="2" t="s">
        <v>110</v>
      </c>
      <c r="P1718" s="2">
        <v>169</v>
      </c>
      <c r="Q1718" s="2" t="s">
        <v>50</v>
      </c>
      <c r="R1718" s="2" t="s">
        <v>111</v>
      </c>
      <c r="S1718" s="2">
        <v>99819</v>
      </c>
      <c r="T1718" s="2">
        <v>85531</v>
      </c>
      <c r="U1718" s="2">
        <v>14288</v>
      </c>
      <c r="V1718" s="2">
        <v>57875</v>
      </c>
      <c r="W1718" s="2">
        <v>23018</v>
      </c>
      <c r="X1718" s="2">
        <v>14744</v>
      </c>
      <c r="Y1718" s="2" t="s">
        <v>91</v>
      </c>
      <c r="Z1718" s="2">
        <v>88</v>
      </c>
      <c r="AA1718" s="2">
        <v>3.8</v>
      </c>
      <c r="AB1718" s="2" t="s">
        <v>42</v>
      </c>
    </row>
    <row r="1719" spans="1:28" x14ac:dyDescent="0.25">
      <c r="A1719" s="4" t="s">
        <v>2504</v>
      </c>
      <c r="B1719" s="4" t="s">
        <v>608</v>
      </c>
      <c r="C1719" s="4">
        <v>58</v>
      </c>
      <c r="D1719" s="4" t="s">
        <v>30</v>
      </c>
      <c r="E1719" s="4" t="s">
        <v>56</v>
      </c>
      <c r="F1719" s="4" t="s">
        <v>72</v>
      </c>
      <c r="G1719" s="5">
        <v>45196</v>
      </c>
      <c r="H1719" s="5">
        <v>45208</v>
      </c>
      <c r="I1719" s="4">
        <v>12</v>
      </c>
      <c r="J1719" s="4" t="s">
        <v>115</v>
      </c>
      <c r="K1719" s="4" t="s">
        <v>116</v>
      </c>
      <c r="L1719" s="4" t="s">
        <v>117</v>
      </c>
      <c r="M1719" s="4" t="s">
        <v>101</v>
      </c>
      <c r="N1719" s="4" t="s">
        <v>37</v>
      </c>
      <c r="O1719" s="4" t="s">
        <v>256</v>
      </c>
      <c r="P1719" s="4">
        <v>313</v>
      </c>
      <c r="Q1719" s="4" t="s">
        <v>103</v>
      </c>
      <c r="R1719" s="4" t="s">
        <v>90</v>
      </c>
      <c r="S1719" s="4">
        <v>42285</v>
      </c>
      <c r="T1719" s="4">
        <v>25640</v>
      </c>
      <c r="U1719" s="4">
        <v>16645</v>
      </c>
      <c r="V1719" s="4">
        <v>13210</v>
      </c>
      <c r="W1719" s="4">
        <v>22735</v>
      </c>
      <c r="X1719" s="4">
        <v>3786</v>
      </c>
      <c r="Y1719" s="4" t="s">
        <v>41</v>
      </c>
      <c r="Z1719" s="4">
        <v>98</v>
      </c>
      <c r="AA1719" s="4">
        <v>4.7</v>
      </c>
      <c r="AB1719" s="4" t="s">
        <v>42</v>
      </c>
    </row>
    <row r="1720" spans="1:28" x14ac:dyDescent="0.25">
      <c r="A1720" s="2" t="s">
        <v>2505</v>
      </c>
      <c r="B1720" s="2" t="s">
        <v>582</v>
      </c>
      <c r="C1720" s="2">
        <v>17</v>
      </c>
      <c r="D1720" s="2" t="s">
        <v>55</v>
      </c>
      <c r="E1720" s="2" t="s">
        <v>122</v>
      </c>
      <c r="F1720" s="2" t="s">
        <v>46</v>
      </c>
      <c r="G1720" s="3">
        <v>44786</v>
      </c>
      <c r="H1720" s="3">
        <v>44809</v>
      </c>
      <c r="I1720" s="2">
        <v>23</v>
      </c>
      <c r="J1720" s="2" t="s">
        <v>33</v>
      </c>
      <c r="K1720" s="2" t="s">
        <v>174</v>
      </c>
      <c r="L1720" s="2" t="s">
        <v>48</v>
      </c>
      <c r="M1720" s="2" t="s">
        <v>108</v>
      </c>
      <c r="N1720" s="2" t="s">
        <v>118</v>
      </c>
      <c r="O1720" s="2" t="s">
        <v>151</v>
      </c>
      <c r="P1720" s="2">
        <v>243</v>
      </c>
      <c r="Q1720" s="2" t="s">
        <v>39</v>
      </c>
      <c r="R1720" s="2" t="s">
        <v>90</v>
      </c>
      <c r="S1720" s="2">
        <v>177594</v>
      </c>
      <c r="T1720" s="2">
        <v>130868</v>
      </c>
      <c r="U1720" s="2">
        <v>46726</v>
      </c>
      <c r="V1720" s="2">
        <v>136821</v>
      </c>
      <c r="W1720" s="2">
        <v>22634</v>
      </c>
      <c r="X1720" s="2">
        <v>13492</v>
      </c>
      <c r="Y1720" s="2" t="s">
        <v>41</v>
      </c>
      <c r="Z1720" s="2">
        <v>44</v>
      </c>
      <c r="AA1720" s="2">
        <v>4</v>
      </c>
      <c r="AB1720" s="2" t="s">
        <v>137</v>
      </c>
    </row>
    <row r="1721" spans="1:28" x14ac:dyDescent="0.25">
      <c r="A1721" s="4" t="s">
        <v>2506</v>
      </c>
      <c r="B1721" s="4" t="s">
        <v>760</v>
      </c>
      <c r="C1721" s="4">
        <v>80</v>
      </c>
      <c r="D1721" s="4" t="s">
        <v>55</v>
      </c>
      <c r="E1721" s="4" t="s">
        <v>67</v>
      </c>
      <c r="F1721" s="4" t="s">
        <v>80</v>
      </c>
      <c r="G1721" s="5">
        <v>45598</v>
      </c>
      <c r="H1721" s="5">
        <v>45613</v>
      </c>
      <c r="I1721" s="4">
        <v>15</v>
      </c>
      <c r="J1721" s="4" t="s">
        <v>123</v>
      </c>
      <c r="K1721" s="4" t="s">
        <v>124</v>
      </c>
      <c r="L1721" s="4" t="s">
        <v>125</v>
      </c>
      <c r="M1721" s="4" t="s">
        <v>108</v>
      </c>
      <c r="N1721" s="4" t="s">
        <v>109</v>
      </c>
      <c r="O1721" s="4" t="s">
        <v>438</v>
      </c>
      <c r="P1721" s="4">
        <v>61</v>
      </c>
      <c r="Q1721" s="4" t="s">
        <v>69</v>
      </c>
      <c r="R1721" s="4" t="s">
        <v>136</v>
      </c>
      <c r="S1721" s="4">
        <v>185225</v>
      </c>
      <c r="T1721" s="4">
        <v>0</v>
      </c>
      <c r="U1721" s="4">
        <v>185225</v>
      </c>
      <c r="V1721" s="4">
        <v>146040</v>
      </c>
      <c r="W1721" s="4">
        <v>29148</v>
      </c>
      <c r="X1721" s="4">
        <v>5936</v>
      </c>
      <c r="Y1721" s="4" t="s">
        <v>41</v>
      </c>
      <c r="Z1721" s="4">
        <v>98</v>
      </c>
      <c r="AA1721" s="4">
        <v>4.0999999999999996</v>
      </c>
      <c r="AB1721" s="4" t="s">
        <v>137</v>
      </c>
    </row>
    <row r="1722" spans="1:28" x14ac:dyDescent="0.25">
      <c r="A1722" s="2" t="s">
        <v>2507</v>
      </c>
      <c r="B1722" s="2" t="s">
        <v>290</v>
      </c>
      <c r="C1722" s="2">
        <v>23</v>
      </c>
      <c r="D1722" s="2" t="s">
        <v>30</v>
      </c>
      <c r="E1722" s="2" t="s">
        <v>45</v>
      </c>
      <c r="F1722" s="2" t="s">
        <v>150</v>
      </c>
      <c r="G1722" s="3">
        <v>44889</v>
      </c>
      <c r="H1722" s="3">
        <v>44907</v>
      </c>
      <c r="I1722" s="2">
        <v>18</v>
      </c>
      <c r="J1722" s="2" t="s">
        <v>202</v>
      </c>
      <c r="K1722" s="2" t="s">
        <v>203</v>
      </c>
      <c r="L1722" s="2" t="s">
        <v>204</v>
      </c>
      <c r="M1722" s="2" t="s">
        <v>143</v>
      </c>
      <c r="N1722" s="2" t="s">
        <v>62</v>
      </c>
      <c r="O1722" s="2" t="s">
        <v>331</v>
      </c>
      <c r="P1722" s="2">
        <v>389</v>
      </c>
      <c r="Q1722" s="2" t="s">
        <v>50</v>
      </c>
      <c r="R1722" s="2" t="s">
        <v>40</v>
      </c>
      <c r="S1722" s="2">
        <v>105183</v>
      </c>
      <c r="T1722" s="2">
        <v>61780</v>
      </c>
      <c r="U1722" s="2">
        <v>43403</v>
      </c>
      <c r="V1722" s="2">
        <v>72699</v>
      </c>
      <c r="W1722" s="2">
        <v>19921</v>
      </c>
      <c r="X1722" s="2">
        <v>11539</v>
      </c>
      <c r="Y1722" s="2" t="s">
        <v>41</v>
      </c>
      <c r="Z1722" s="2">
        <v>80</v>
      </c>
      <c r="AA1722" s="2">
        <v>3.6</v>
      </c>
      <c r="AB1722" s="2" t="s">
        <v>104</v>
      </c>
    </row>
    <row r="1723" spans="1:28" x14ac:dyDescent="0.25">
      <c r="A1723" s="4" t="s">
        <v>2508</v>
      </c>
      <c r="B1723" s="4" t="s">
        <v>317</v>
      </c>
      <c r="C1723" s="4">
        <v>76</v>
      </c>
      <c r="D1723" s="4" t="s">
        <v>30</v>
      </c>
      <c r="E1723" s="4" t="s">
        <v>45</v>
      </c>
      <c r="F1723" s="4" t="s">
        <v>32</v>
      </c>
      <c r="G1723" s="5">
        <v>45514</v>
      </c>
      <c r="H1723" s="5">
        <v>45537</v>
      </c>
      <c r="I1723" s="4">
        <v>23</v>
      </c>
      <c r="J1723" s="4" t="s">
        <v>73</v>
      </c>
      <c r="K1723" s="4" t="s">
        <v>74</v>
      </c>
      <c r="L1723" s="4" t="s">
        <v>73</v>
      </c>
      <c r="M1723" s="4" t="s">
        <v>134</v>
      </c>
      <c r="N1723" s="4" t="s">
        <v>109</v>
      </c>
      <c r="O1723" s="4" t="s">
        <v>352</v>
      </c>
      <c r="P1723" s="4">
        <v>105</v>
      </c>
      <c r="Q1723" s="4" t="s">
        <v>69</v>
      </c>
      <c r="R1723" s="4" t="s">
        <v>51</v>
      </c>
      <c r="S1723" s="4">
        <v>115753</v>
      </c>
      <c r="T1723" s="4">
        <v>80018</v>
      </c>
      <c r="U1723" s="4">
        <v>35735</v>
      </c>
      <c r="V1723" s="4">
        <v>89112</v>
      </c>
      <c r="W1723" s="4">
        <v>13072</v>
      </c>
      <c r="X1723" s="4">
        <v>9764</v>
      </c>
      <c r="Y1723" s="4" t="s">
        <v>91</v>
      </c>
      <c r="Z1723" s="4">
        <v>92</v>
      </c>
      <c r="AA1723" s="4">
        <v>2.4</v>
      </c>
      <c r="AB1723" s="4" t="s">
        <v>42</v>
      </c>
    </row>
    <row r="1724" spans="1:28" x14ac:dyDescent="0.25">
      <c r="A1724" s="2" t="s">
        <v>2509</v>
      </c>
      <c r="B1724" s="2" t="s">
        <v>2510</v>
      </c>
      <c r="C1724" s="2">
        <v>37</v>
      </c>
      <c r="D1724" s="2" t="s">
        <v>55</v>
      </c>
      <c r="E1724" s="2" t="s">
        <v>79</v>
      </c>
      <c r="F1724" s="2" t="s">
        <v>46</v>
      </c>
      <c r="G1724" s="3">
        <v>44566</v>
      </c>
      <c r="H1724" s="3">
        <v>44567</v>
      </c>
      <c r="I1724" s="2">
        <v>1</v>
      </c>
      <c r="J1724" s="2" t="s">
        <v>33</v>
      </c>
      <c r="K1724" s="2" t="s">
        <v>197</v>
      </c>
      <c r="L1724" s="2" t="s">
        <v>198</v>
      </c>
      <c r="M1724" s="2" t="s">
        <v>130</v>
      </c>
      <c r="N1724" s="2" t="s">
        <v>37</v>
      </c>
      <c r="O1724" s="2" t="s">
        <v>68</v>
      </c>
      <c r="P1724" s="2">
        <v>24</v>
      </c>
      <c r="Q1724" s="2" t="s">
        <v>39</v>
      </c>
      <c r="R1724" s="2" t="s">
        <v>40</v>
      </c>
      <c r="S1724" s="2">
        <v>56288</v>
      </c>
      <c r="T1724" s="2">
        <v>27790</v>
      </c>
      <c r="U1724" s="2">
        <v>28498</v>
      </c>
      <c r="V1724" s="2">
        <v>37253</v>
      </c>
      <c r="W1724" s="2">
        <v>2668</v>
      </c>
      <c r="X1724" s="2">
        <v>12404</v>
      </c>
      <c r="Y1724" s="2" t="s">
        <v>41</v>
      </c>
      <c r="Z1724" s="2">
        <v>68</v>
      </c>
      <c r="AA1724" s="2">
        <v>4.3</v>
      </c>
      <c r="AB1724" s="2" t="s">
        <v>42</v>
      </c>
    </row>
    <row r="1725" spans="1:28" x14ac:dyDescent="0.25">
      <c r="A1725" s="4" t="s">
        <v>2511</v>
      </c>
      <c r="B1725" s="4" t="s">
        <v>687</v>
      </c>
      <c r="C1725" s="4">
        <v>79</v>
      </c>
      <c r="D1725" s="4" t="s">
        <v>30</v>
      </c>
      <c r="E1725" s="4" t="s">
        <v>154</v>
      </c>
      <c r="F1725" s="4" t="s">
        <v>129</v>
      </c>
      <c r="G1725" s="5">
        <v>45592</v>
      </c>
      <c r="H1725" s="5">
        <v>45614</v>
      </c>
      <c r="I1725" s="4">
        <v>22</v>
      </c>
      <c r="J1725" s="4" t="s">
        <v>33</v>
      </c>
      <c r="K1725" s="4" t="s">
        <v>47</v>
      </c>
      <c r="L1725" s="4" t="s">
        <v>48</v>
      </c>
      <c r="M1725" s="4" t="s">
        <v>143</v>
      </c>
      <c r="N1725" s="4" t="s">
        <v>37</v>
      </c>
      <c r="O1725" s="4" t="s">
        <v>168</v>
      </c>
      <c r="P1725" s="4">
        <v>133</v>
      </c>
      <c r="Q1725" s="4" t="s">
        <v>103</v>
      </c>
      <c r="R1725" s="4" t="s">
        <v>51</v>
      </c>
      <c r="S1725" s="4">
        <v>81498</v>
      </c>
      <c r="T1725" s="4">
        <v>52084</v>
      </c>
      <c r="U1725" s="4">
        <v>29414</v>
      </c>
      <c r="V1725" s="4">
        <v>44112</v>
      </c>
      <c r="W1725" s="4">
        <v>29304</v>
      </c>
      <c r="X1725" s="4">
        <v>6641</v>
      </c>
      <c r="Y1725" s="4" t="s">
        <v>41</v>
      </c>
      <c r="Z1725" s="4">
        <v>78</v>
      </c>
      <c r="AA1725" s="4">
        <v>3.4</v>
      </c>
      <c r="AB1725" s="4" t="s">
        <v>64</v>
      </c>
    </row>
    <row r="1726" spans="1:28" x14ac:dyDescent="0.25">
      <c r="A1726" s="2" t="s">
        <v>2512</v>
      </c>
      <c r="B1726" s="2" t="s">
        <v>668</v>
      </c>
      <c r="C1726" s="2">
        <v>57</v>
      </c>
      <c r="D1726" s="2" t="s">
        <v>30</v>
      </c>
      <c r="E1726" s="2" t="s">
        <v>79</v>
      </c>
      <c r="F1726" s="2" t="s">
        <v>150</v>
      </c>
      <c r="G1726" s="3">
        <v>45312</v>
      </c>
      <c r="H1726" s="3">
        <v>45329</v>
      </c>
      <c r="I1726" s="2">
        <v>17</v>
      </c>
      <c r="J1726" s="2" t="s">
        <v>33</v>
      </c>
      <c r="K1726" s="2" t="s">
        <v>107</v>
      </c>
      <c r="L1726" s="2" t="s">
        <v>48</v>
      </c>
      <c r="M1726" s="2" t="s">
        <v>61</v>
      </c>
      <c r="N1726" s="2" t="s">
        <v>37</v>
      </c>
      <c r="O1726" s="2" t="s">
        <v>76</v>
      </c>
      <c r="P1726" s="2">
        <v>430</v>
      </c>
      <c r="Q1726" s="2" t="s">
        <v>50</v>
      </c>
      <c r="R1726" s="2" t="s">
        <v>40</v>
      </c>
      <c r="S1726" s="2">
        <v>67132</v>
      </c>
      <c r="T1726" s="2">
        <v>42886</v>
      </c>
      <c r="U1726" s="2">
        <v>24246</v>
      </c>
      <c r="V1726" s="2">
        <v>42453</v>
      </c>
      <c r="W1726" s="2">
        <v>12619</v>
      </c>
      <c r="X1726" s="2">
        <v>11109</v>
      </c>
      <c r="Y1726" s="2" t="s">
        <v>41</v>
      </c>
      <c r="Z1726" s="2">
        <v>71</v>
      </c>
      <c r="AA1726" s="2">
        <v>3.4</v>
      </c>
      <c r="AB1726" s="2" t="s">
        <v>42</v>
      </c>
    </row>
    <row r="1727" spans="1:28" x14ac:dyDescent="0.25">
      <c r="A1727" s="4" t="s">
        <v>2513</v>
      </c>
      <c r="B1727" s="4" t="s">
        <v>1818</v>
      </c>
      <c r="C1727" s="4">
        <v>56</v>
      </c>
      <c r="D1727" s="4" t="s">
        <v>55</v>
      </c>
      <c r="E1727" s="4" t="s">
        <v>56</v>
      </c>
      <c r="F1727" s="4" t="s">
        <v>150</v>
      </c>
      <c r="G1727" s="5">
        <v>45154</v>
      </c>
      <c r="H1727" s="5">
        <v>45184</v>
      </c>
      <c r="I1727" s="4">
        <v>30</v>
      </c>
      <c r="J1727" s="4" t="s">
        <v>73</v>
      </c>
      <c r="K1727" s="4" t="s">
        <v>74</v>
      </c>
      <c r="L1727" s="4" t="s">
        <v>73</v>
      </c>
      <c r="M1727" s="4" t="s">
        <v>134</v>
      </c>
      <c r="N1727" s="4" t="s">
        <v>62</v>
      </c>
      <c r="O1727" s="4" t="s">
        <v>406</v>
      </c>
      <c r="P1727" s="4">
        <v>194</v>
      </c>
      <c r="Q1727" s="4" t="s">
        <v>69</v>
      </c>
      <c r="R1727" s="4" t="s">
        <v>90</v>
      </c>
      <c r="S1727" s="4">
        <v>92012</v>
      </c>
      <c r="T1727" s="4">
        <v>66497</v>
      </c>
      <c r="U1727" s="4">
        <v>25515</v>
      </c>
      <c r="V1727" s="4">
        <v>81943</v>
      </c>
      <c r="W1727" s="4">
        <v>4962</v>
      </c>
      <c r="X1727" s="4">
        <v>3792</v>
      </c>
      <c r="Y1727" s="4" t="s">
        <v>41</v>
      </c>
      <c r="Z1727" s="4">
        <v>71</v>
      </c>
      <c r="AA1727" s="4">
        <v>3.4</v>
      </c>
      <c r="AB1727" s="4" t="s">
        <v>64</v>
      </c>
    </row>
    <row r="1728" spans="1:28" x14ac:dyDescent="0.25">
      <c r="A1728" s="2" t="s">
        <v>2514</v>
      </c>
      <c r="B1728" s="2" t="s">
        <v>747</v>
      </c>
      <c r="C1728" s="2">
        <v>61</v>
      </c>
      <c r="D1728" s="2" t="s">
        <v>55</v>
      </c>
      <c r="E1728" s="2" t="s">
        <v>154</v>
      </c>
      <c r="F1728" s="2" t="s">
        <v>150</v>
      </c>
      <c r="G1728" s="3">
        <v>45521</v>
      </c>
      <c r="H1728" s="3">
        <v>45525</v>
      </c>
      <c r="I1728" s="2">
        <v>4</v>
      </c>
      <c r="J1728" s="2" t="s">
        <v>33</v>
      </c>
      <c r="K1728" s="2" t="s">
        <v>107</v>
      </c>
      <c r="L1728" s="2" t="s">
        <v>48</v>
      </c>
      <c r="M1728" s="2" t="s">
        <v>61</v>
      </c>
      <c r="N1728" s="2" t="s">
        <v>118</v>
      </c>
      <c r="O1728" s="2" t="s">
        <v>184</v>
      </c>
      <c r="P1728" s="2">
        <v>448</v>
      </c>
      <c r="Q1728" s="2" t="s">
        <v>50</v>
      </c>
      <c r="R1728" s="2" t="s">
        <v>40</v>
      </c>
      <c r="S1728" s="2">
        <v>141873</v>
      </c>
      <c r="T1728" s="2">
        <v>86013</v>
      </c>
      <c r="U1728" s="2">
        <v>55860</v>
      </c>
      <c r="V1728" s="2">
        <v>125198</v>
      </c>
      <c r="W1728" s="2">
        <v>6153</v>
      </c>
      <c r="X1728" s="2">
        <v>9830</v>
      </c>
      <c r="Y1728" s="2" t="s">
        <v>41</v>
      </c>
      <c r="Z1728" s="2">
        <v>75</v>
      </c>
      <c r="AA1728" s="2">
        <v>3.9</v>
      </c>
      <c r="AB1728" s="2" t="s">
        <v>137</v>
      </c>
    </row>
    <row r="1729" spans="1:28" x14ac:dyDescent="0.25">
      <c r="A1729" s="4" t="s">
        <v>2515</v>
      </c>
      <c r="B1729" s="4" t="s">
        <v>442</v>
      </c>
      <c r="C1729" s="4">
        <v>64</v>
      </c>
      <c r="D1729" s="4" t="s">
        <v>30</v>
      </c>
      <c r="E1729" s="4" t="s">
        <v>154</v>
      </c>
      <c r="F1729" s="4" t="s">
        <v>129</v>
      </c>
      <c r="G1729" s="5">
        <v>45459</v>
      </c>
      <c r="H1729" s="5">
        <v>45461</v>
      </c>
      <c r="I1729" s="4">
        <v>2</v>
      </c>
      <c r="J1729" s="4" t="s">
        <v>140</v>
      </c>
      <c r="K1729" s="4" t="s">
        <v>141</v>
      </c>
      <c r="L1729" s="4" t="s">
        <v>142</v>
      </c>
      <c r="M1729" s="4" t="s">
        <v>134</v>
      </c>
      <c r="N1729" s="4" t="s">
        <v>109</v>
      </c>
      <c r="O1729" s="4" t="s">
        <v>230</v>
      </c>
      <c r="P1729" s="4">
        <v>328</v>
      </c>
      <c r="Q1729" s="4" t="s">
        <v>39</v>
      </c>
      <c r="R1729" s="4" t="s">
        <v>51</v>
      </c>
      <c r="S1729" s="4">
        <v>45825</v>
      </c>
      <c r="T1729" s="4">
        <v>32017</v>
      </c>
      <c r="U1729" s="4">
        <v>13808</v>
      </c>
      <c r="V1729" s="4">
        <v>22496</v>
      </c>
      <c r="W1729" s="4">
        <v>11438</v>
      </c>
      <c r="X1729" s="4">
        <v>8860</v>
      </c>
      <c r="Y1729" s="4" t="s">
        <v>41</v>
      </c>
      <c r="Z1729" s="4">
        <v>70</v>
      </c>
      <c r="AA1729" s="4">
        <v>2.4</v>
      </c>
      <c r="AB1729" s="4" t="s">
        <v>137</v>
      </c>
    </row>
    <row r="1730" spans="1:28" x14ac:dyDescent="0.25">
      <c r="A1730" s="2" t="s">
        <v>2516</v>
      </c>
      <c r="B1730" s="2" t="s">
        <v>1314</v>
      </c>
      <c r="C1730" s="2">
        <v>54</v>
      </c>
      <c r="D1730" s="2" t="s">
        <v>30</v>
      </c>
      <c r="E1730" s="2" t="s">
        <v>154</v>
      </c>
      <c r="F1730" s="2" t="s">
        <v>57</v>
      </c>
      <c r="G1730" s="3">
        <v>44980</v>
      </c>
      <c r="H1730" s="3">
        <v>44994</v>
      </c>
      <c r="I1730" s="2">
        <v>14</v>
      </c>
      <c r="J1730" s="2" t="s">
        <v>33</v>
      </c>
      <c r="K1730" s="2" t="s">
        <v>233</v>
      </c>
      <c r="L1730" s="2" t="s">
        <v>35</v>
      </c>
      <c r="M1730" s="2" t="s">
        <v>108</v>
      </c>
      <c r="N1730" s="2" t="s">
        <v>62</v>
      </c>
      <c r="O1730" s="2" t="s">
        <v>222</v>
      </c>
      <c r="P1730" s="2">
        <v>17</v>
      </c>
      <c r="Q1730" s="2" t="s">
        <v>39</v>
      </c>
      <c r="R1730" s="2" t="s">
        <v>111</v>
      </c>
      <c r="S1730" s="2">
        <v>36193</v>
      </c>
      <c r="T1730" s="2">
        <v>29333</v>
      </c>
      <c r="U1730" s="2">
        <v>6860</v>
      </c>
      <c r="V1730" s="2">
        <v>21952</v>
      </c>
      <c r="W1730" s="2">
        <v>8784</v>
      </c>
      <c r="X1730" s="2">
        <v>4716</v>
      </c>
      <c r="Y1730" s="2" t="s">
        <v>41</v>
      </c>
      <c r="Z1730" s="2">
        <v>70</v>
      </c>
      <c r="AA1730" s="2">
        <v>2.7</v>
      </c>
      <c r="AB1730" s="2" t="s">
        <v>64</v>
      </c>
    </row>
    <row r="1731" spans="1:28" x14ac:dyDescent="0.25">
      <c r="A1731" s="4" t="s">
        <v>2517</v>
      </c>
      <c r="B1731" s="4" t="s">
        <v>146</v>
      </c>
      <c r="C1731" s="4">
        <v>60</v>
      </c>
      <c r="D1731" s="4" t="s">
        <v>30</v>
      </c>
      <c r="E1731" s="4" t="s">
        <v>87</v>
      </c>
      <c r="F1731" s="4" t="s">
        <v>114</v>
      </c>
      <c r="G1731" s="5">
        <v>45393</v>
      </c>
      <c r="H1731" s="5">
        <v>45404</v>
      </c>
      <c r="I1731" s="4">
        <v>11</v>
      </c>
      <c r="J1731" s="4" t="s">
        <v>58</v>
      </c>
      <c r="K1731" s="4" t="s">
        <v>59</v>
      </c>
      <c r="L1731" s="4" t="s">
        <v>60</v>
      </c>
      <c r="M1731" s="4" t="s">
        <v>95</v>
      </c>
      <c r="N1731" s="4" t="s">
        <v>109</v>
      </c>
      <c r="O1731" s="4" t="s">
        <v>181</v>
      </c>
      <c r="P1731" s="4">
        <v>81</v>
      </c>
      <c r="Q1731" s="4" t="s">
        <v>69</v>
      </c>
      <c r="R1731" s="4" t="s">
        <v>111</v>
      </c>
      <c r="S1731" s="4">
        <v>94324</v>
      </c>
      <c r="T1731" s="4">
        <v>76439</v>
      </c>
      <c r="U1731" s="4">
        <v>17885</v>
      </c>
      <c r="V1731" s="4">
        <v>77755</v>
      </c>
      <c r="W1731" s="4">
        <v>8250</v>
      </c>
      <c r="X1731" s="4">
        <v>5987</v>
      </c>
      <c r="Y1731" s="4" t="s">
        <v>41</v>
      </c>
      <c r="Z1731" s="4">
        <v>72</v>
      </c>
      <c r="AA1731" s="4">
        <v>4.2</v>
      </c>
      <c r="AB1731" s="4" t="s">
        <v>104</v>
      </c>
    </row>
    <row r="1732" spans="1:28" x14ac:dyDescent="0.25">
      <c r="A1732" s="2" t="s">
        <v>2518</v>
      </c>
      <c r="B1732" s="2" t="s">
        <v>597</v>
      </c>
      <c r="C1732" s="2">
        <v>6</v>
      </c>
      <c r="D1732" s="2" t="s">
        <v>30</v>
      </c>
      <c r="E1732" s="2" t="s">
        <v>56</v>
      </c>
      <c r="F1732" s="2" t="s">
        <v>32</v>
      </c>
      <c r="G1732" s="3">
        <v>45625</v>
      </c>
      <c r="H1732" s="3">
        <v>45627</v>
      </c>
      <c r="I1732" s="2">
        <v>2</v>
      </c>
      <c r="J1732" s="2" t="s">
        <v>33</v>
      </c>
      <c r="K1732" s="2" t="s">
        <v>47</v>
      </c>
      <c r="L1732" s="2" t="s">
        <v>48</v>
      </c>
      <c r="M1732" s="2" t="s">
        <v>61</v>
      </c>
      <c r="N1732" s="2" t="s">
        <v>109</v>
      </c>
      <c r="O1732" s="2" t="s">
        <v>199</v>
      </c>
      <c r="P1732" s="2">
        <v>194</v>
      </c>
      <c r="Q1732" s="2" t="s">
        <v>103</v>
      </c>
      <c r="R1732" s="2" t="s">
        <v>51</v>
      </c>
      <c r="S1732" s="2">
        <v>126172</v>
      </c>
      <c r="T1732" s="2">
        <v>81967</v>
      </c>
      <c r="U1732" s="2">
        <v>44205</v>
      </c>
      <c r="V1732" s="2">
        <v>105885</v>
      </c>
      <c r="W1732" s="2">
        <v>10719</v>
      </c>
      <c r="X1732" s="2">
        <v>6347</v>
      </c>
      <c r="Y1732" s="2" t="s">
        <v>91</v>
      </c>
      <c r="Z1732" s="2">
        <v>47</v>
      </c>
      <c r="AA1732" s="2">
        <v>2.9</v>
      </c>
      <c r="AB1732" s="2" t="s">
        <v>104</v>
      </c>
    </row>
    <row r="1733" spans="1:28" x14ac:dyDescent="0.25">
      <c r="A1733" s="4" t="s">
        <v>2519</v>
      </c>
      <c r="B1733" s="4" t="s">
        <v>420</v>
      </c>
      <c r="C1733" s="4">
        <v>49</v>
      </c>
      <c r="D1733" s="4" t="s">
        <v>30</v>
      </c>
      <c r="E1733" s="4" t="s">
        <v>87</v>
      </c>
      <c r="F1733" s="4" t="s">
        <v>57</v>
      </c>
      <c r="G1733" s="5">
        <v>45307</v>
      </c>
      <c r="H1733" s="5">
        <v>45313</v>
      </c>
      <c r="I1733" s="4">
        <v>6</v>
      </c>
      <c r="J1733" s="4" t="s">
        <v>33</v>
      </c>
      <c r="K1733" s="4" t="s">
        <v>233</v>
      </c>
      <c r="L1733" s="4" t="s">
        <v>35</v>
      </c>
      <c r="M1733" s="4" t="s">
        <v>130</v>
      </c>
      <c r="N1733" s="4" t="s">
        <v>37</v>
      </c>
      <c r="O1733" s="4" t="s">
        <v>96</v>
      </c>
      <c r="P1733" s="4">
        <v>456</v>
      </c>
      <c r="Q1733" s="4" t="s">
        <v>50</v>
      </c>
      <c r="R1733" s="4" t="s">
        <v>136</v>
      </c>
      <c r="S1733" s="4">
        <v>49647</v>
      </c>
      <c r="T1733" s="4">
        <v>0</v>
      </c>
      <c r="U1733" s="4">
        <v>49647</v>
      </c>
      <c r="V1733" s="4">
        <v>29277</v>
      </c>
      <c r="W1733" s="4">
        <v>5151</v>
      </c>
      <c r="X1733" s="4">
        <v>13155</v>
      </c>
      <c r="Y1733" s="4" t="s">
        <v>41</v>
      </c>
      <c r="Z1733" s="4">
        <v>83</v>
      </c>
      <c r="AA1733" s="4">
        <v>3.8</v>
      </c>
      <c r="AB1733" s="4" t="s">
        <v>42</v>
      </c>
    </row>
    <row r="1734" spans="1:28" x14ac:dyDescent="0.25">
      <c r="A1734" s="2" t="s">
        <v>2520</v>
      </c>
      <c r="B1734" s="2" t="s">
        <v>952</v>
      </c>
      <c r="C1734" s="2">
        <v>27</v>
      </c>
      <c r="D1734" s="2" t="s">
        <v>30</v>
      </c>
      <c r="E1734" s="2" t="s">
        <v>67</v>
      </c>
      <c r="F1734" s="2" t="s">
        <v>72</v>
      </c>
      <c r="G1734" s="3">
        <v>44870</v>
      </c>
      <c r="H1734" s="3">
        <v>44898</v>
      </c>
      <c r="I1734" s="2">
        <v>28</v>
      </c>
      <c r="J1734" s="2" t="s">
        <v>115</v>
      </c>
      <c r="K1734" s="2" t="s">
        <v>116</v>
      </c>
      <c r="L1734" s="2" t="s">
        <v>117</v>
      </c>
      <c r="M1734" s="2" t="s">
        <v>95</v>
      </c>
      <c r="N1734" s="2" t="s">
        <v>37</v>
      </c>
      <c r="O1734" s="2" t="s">
        <v>38</v>
      </c>
      <c r="P1734" s="2">
        <v>197</v>
      </c>
      <c r="Q1734" s="2" t="s">
        <v>39</v>
      </c>
      <c r="R1734" s="2" t="s">
        <v>136</v>
      </c>
      <c r="S1734" s="2">
        <v>106434</v>
      </c>
      <c r="T1734" s="2">
        <v>0</v>
      </c>
      <c r="U1734" s="2">
        <v>106434</v>
      </c>
      <c r="V1734" s="2">
        <v>95659</v>
      </c>
      <c r="W1734" s="2">
        <v>3061</v>
      </c>
      <c r="X1734" s="2">
        <v>6499</v>
      </c>
      <c r="Y1734" s="2" t="s">
        <v>41</v>
      </c>
      <c r="Z1734" s="2">
        <v>88</v>
      </c>
      <c r="AA1734" s="2">
        <v>4.9000000000000004</v>
      </c>
      <c r="AB1734" s="2" t="s">
        <v>137</v>
      </c>
    </row>
    <row r="1735" spans="1:28" x14ac:dyDescent="0.25">
      <c r="A1735" s="4" t="s">
        <v>2521</v>
      </c>
      <c r="B1735" s="4" t="s">
        <v>672</v>
      </c>
      <c r="C1735" s="4">
        <v>14</v>
      </c>
      <c r="D1735" s="4" t="s">
        <v>55</v>
      </c>
      <c r="E1735" s="4" t="s">
        <v>87</v>
      </c>
      <c r="F1735" s="4" t="s">
        <v>94</v>
      </c>
      <c r="G1735" s="5">
        <v>45074</v>
      </c>
      <c r="H1735" s="5">
        <v>45093</v>
      </c>
      <c r="I1735" s="4">
        <v>19</v>
      </c>
      <c r="J1735" s="4" t="s">
        <v>33</v>
      </c>
      <c r="K1735" s="4" t="s">
        <v>47</v>
      </c>
      <c r="L1735" s="4" t="s">
        <v>48</v>
      </c>
      <c r="M1735" s="4" t="s">
        <v>36</v>
      </c>
      <c r="N1735" s="4" t="s">
        <v>109</v>
      </c>
      <c r="O1735" s="4" t="s">
        <v>256</v>
      </c>
      <c r="P1735" s="4">
        <v>137</v>
      </c>
      <c r="Q1735" s="4" t="s">
        <v>50</v>
      </c>
      <c r="R1735" s="4" t="s">
        <v>136</v>
      </c>
      <c r="S1735" s="4">
        <v>167971</v>
      </c>
      <c r="T1735" s="4">
        <v>0</v>
      </c>
      <c r="U1735" s="4">
        <v>167971</v>
      </c>
      <c r="V1735" s="4">
        <v>143925</v>
      </c>
      <c r="W1735" s="4">
        <v>22180</v>
      </c>
      <c r="X1735" s="4">
        <v>825</v>
      </c>
      <c r="Y1735" s="4" t="s">
        <v>41</v>
      </c>
      <c r="Z1735" s="4">
        <v>71</v>
      </c>
      <c r="AA1735" s="4">
        <v>3.3</v>
      </c>
      <c r="AB1735" s="4" t="s">
        <v>64</v>
      </c>
    </row>
    <row r="1736" spans="1:28" x14ac:dyDescent="0.25">
      <c r="A1736" s="2" t="s">
        <v>2522</v>
      </c>
      <c r="B1736" s="2" t="s">
        <v>2523</v>
      </c>
      <c r="C1736" s="2">
        <v>39</v>
      </c>
      <c r="D1736" s="2" t="s">
        <v>30</v>
      </c>
      <c r="E1736" s="2" t="s">
        <v>56</v>
      </c>
      <c r="F1736" s="2" t="s">
        <v>114</v>
      </c>
      <c r="G1736" s="3">
        <v>45129</v>
      </c>
      <c r="H1736" s="3">
        <v>45151</v>
      </c>
      <c r="I1736" s="2">
        <v>22</v>
      </c>
      <c r="J1736" s="2" t="s">
        <v>115</v>
      </c>
      <c r="K1736" s="2" t="s">
        <v>116</v>
      </c>
      <c r="L1736" s="2" t="s">
        <v>117</v>
      </c>
      <c r="M1736" s="2" t="s">
        <v>95</v>
      </c>
      <c r="N1736" s="2" t="s">
        <v>109</v>
      </c>
      <c r="O1736" s="2" t="s">
        <v>390</v>
      </c>
      <c r="P1736" s="2">
        <v>128</v>
      </c>
      <c r="Q1736" s="2" t="s">
        <v>39</v>
      </c>
      <c r="R1736" s="2" t="s">
        <v>40</v>
      </c>
      <c r="S1736" s="2">
        <v>81378</v>
      </c>
      <c r="T1736" s="2">
        <v>54595</v>
      </c>
      <c r="U1736" s="2">
        <v>26783</v>
      </c>
      <c r="V1736" s="2">
        <v>38425</v>
      </c>
      <c r="W1736" s="2">
        <v>28749</v>
      </c>
      <c r="X1736" s="2">
        <v>11561</v>
      </c>
      <c r="Y1736" s="2" t="s">
        <v>41</v>
      </c>
      <c r="Z1736" s="2">
        <v>42</v>
      </c>
      <c r="AA1736" s="2">
        <v>4.2</v>
      </c>
      <c r="AB1736" s="2" t="s">
        <v>42</v>
      </c>
    </row>
    <row r="1737" spans="1:28" x14ac:dyDescent="0.25">
      <c r="A1737" s="4" t="s">
        <v>2524</v>
      </c>
      <c r="B1737" s="4" t="s">
        <v>661</v>
      </c>
      <c r="C1737" s="4">
        <v>18</v>
      </c>
      <c r="D1737" s="4" t="s">
        <v>30</v>
      </c>
      <c r="E1737" s="4" t="s">
        <v>56</v>
      </c>
      <c r="F1737" s="4" t="s">
        <v>129</v>
      </c>
      <c r="G1737" s="5">
        <v>45468</v>
      </c>
      <c r="H1737" s="5">
        <v>45471</v>
      </c>
      <c r="I1737" s="4">
        <v>3</v>
      </c>
      <c r="J1737" s="4" t="s">
        <v>33</v>
      </c>
      <c r="K1737" s="4" t="s">
        <v>233</v>
      </c>
      <c r="L1737" s="4" t="s">
        <v>35</v>
      </c>
      <c r="M1737" s="4" t="s">
        <v>75</v>
      </c>
      <c r="N1737" s="4" t="s">
        <v>118</v>
      </c>
      <c r="O1737" s="4" t="s">
        <v>194</v>
      </c>
      <c r="P1737" s="4">
        <v>308</v>
      </c>
      <c r="Q1737" s="4" t="s">
        <v>50</v>
      </c>
      <c r="R1737" s="4" t="s">
        <v>40</v>
      </c>
      <c r="S1737" s="4">
        <v>164891</v>
      </c>
      <c r="T1737" s="4">
        <v>93352</v>
      </c>
      <c r="U1737" s="4">
        <v>71539</v>
      </c>
      <c r="V1737" s="4">
        <v>122292</v>
      </c>
      <c r="W1737" s="4">
        <v>26167</v>
      </c>
      <c r="X1737" s="4">
        <v>13458</v>
      </c>
      <c r="Y1737" s="4" t="s">
        <v>41</v>
      </c>
      <c r="Z1737" s="4">
        <v>95</v>
      </c>
      <c r="AA1737" s="4">
        <v>3.9</v>
      </c>
      <c r="AB1737" s="4" t="s">
        <v>104</v>
      </c>
    </row>
    <row r="1738" spans="1:28" x14ac:dyDescent="0.25">
      <c r="A1738" s="2" t="s">
        <v>2525</v>
      </c>
      <c r="B1738" s="2" t="s">
        <v>838</v>
      </c>
      <c r="C1738" s="2">
        <v>56</v>
      </c>
      <c r="D1738" s="2" t="s">
        <v>55</v>
      </c>
      <c r="E1738" s="2" t="s">
        <v>87</v>
      </c>
      <c r="F1738" s="2" t="s">
        <v>72</v>
      </c>
      <c r="G1738" s="3">
        <v>45073</v>
      </c>
      <c r="H1738" s="3">
        <v>45074</v>
      </c>
      <c r="I1738" s="2">
        <v>1</v>
      </c>
      <c r="J1738" s="2" t="s">
        <v>123</v>
      </c>
      <c r="K1738" s="2" t="s">
        <v>251</v>
      </c>
      <c r="L1738" s="2" t="s">
        <v>125</v>
      </c>
      <c r="M1738" s="2" t="s">
        <v>130</v>
      </c>
      <c r="N1738" s="2" t="s">
        <v>118</v>
      </c>
      <c r="O1738" s="2" t="s">
        <v>553</v>
      </c>
      <c r="P1738" s="2">
        <v>413</v>
      </c>
      <c r="Q1738" s="2" t="s">
        <v>69</v>
      </c>
      <c r="R1738" s="2" t="s">
        <v>136</v>
      </c>
      <c r="S1738" s="2">
        <v>151445</v>
      </c>
      <c r="T1738" s="2">
        <v>0</v>
      </c>
      <c r="U1738" s="2">
        <v>151445</v>
      </c>
      <c r="V1738" s="2">
        <v>138134</v>
      </c>
      <c r="W1738" s="2">
        <v>2369</v>
      </c>
      <c r="X1738" s="2">
        <v>9453</v>
      </c>
      <c r="Y1738" s="2" t="s">
        <v>41</v>
      </c>
      <c r="Z1738" s="2">
        <v>52</v>
      </c>
      <c r="AA1738" s="2">
        <v>2.6</v>
      </c>
      <c r="AB1738" s="2" t="s">
        <v>104</v>
      </c>
    </row>
    <row r="1739" spans="1:28" x14ac:dyDescent="0.25">
      <c r="A1739" s="4" t="s">
        <v>2526</v>
      </c>
      <c r="B1739" s="4" t="s">
        <v>779</v>
      </c>
      <c r="C1739" s="4">
        <v>75</v>
      </c>
      <c r="D1739" s="4" t="s">
        <v>55</v>
      </c>
      <c r="E1739" s="4" t="s">
        <v>122</v>
      </c>
      <c r="F1739" s="4" t="s">
        <v>80</v>
      </c>
      <c r="G1739" s="5">
        <v>45333</v>
      </c>
      <c r="H1739" s="5">
        <v>45356</v>
      </c>
      <c r="I1739" s="4">
        <v>23</v>
      </c>
      <c r="J1739" s="4" t="s">
        <v>73</v>
      </c>
      <c r="K1739" s="4" t="s">
        <v>74</v>
      </c>
      <c r="L1739" s="4" t="s">
        <v>73</v>
      </c>
      <c r="M1739" s="4" t="s">
        <v>75</v>
      </c>
      <c r="N1739" s="4" t="s">
        <v>37</v>
      </c>
      <c r="O1739" s="4" t="s">
        <v>131</v>
      </c>
      <c r="P1739" s="4">
        <v>20</v>
      </c>
      <c r="Q1739" s="4" t="s">
        <v>39</v>
      </c>
      <c r="R1739" s="4" t="s">
        <v>90</v>
      </c>
      <c r="S1739" s="4">
        <v>76045</v>
      </c>
      <c r="T1739" s="4">
        <v>61634</v>
      </c>
      <c r="U1739" s="4">
        <v>14411</v>
      </c>
      <c r="V1739" s="4">
        <v>66843</v>
      </c>
      <c r="W1739" s="4">
        <v>3244</v>
      </c>
      <c r="X1739" s="4">
        <v>2092</v>
      </c>
      <c r="Y1739" s="4" t="s">
        <v>41</v>
      </c>
      <c r="Z1739" s="4">
        <v>66</v>
      </c>
      <c r="AA1739" s="4">
        <v>2.1</v>
      </c>
      <c r="AB1739" s="4" t="s">
        <v>64</v>
      </c>
    </row>
    <row r="1740" spans="1:28" x14ac:dyDescent="0.25">
      <c r="A1740" s="2" t="s">
        <v>2527</v>
      </c>
      <c r="B1740" s="2" t="s">
        <v>229</v>
      </c>
      <c r="C1740" s="2">
        <v>25</v>
      </c>
      <c r="D1740" s="2" t="s">
        <v>30</v>
      </c>
      <c r="E1740" s="2" t="s">
        <v>67</v>
      </c>
      <c r="F1740" s="2" t="s">
        <v>150</v>
      </c>
      <c r="G1740" s="3">
        <v>45426</v>
      </c>
      <c r="H1740" s="3">
        <v>45451</v>
      </c>
      <c r="I1740" s="2">
        <v>25</v>
      </c>
      <c r="J1740" s="2" t="s">
        <v>140</v>
      </c>
      <c r="K1740" s="2" t="s">
        <v>167</v>
      </c>
      <c r="L1740" s="2" t="s">
        <v>142</v>
      </c>
      <c r="M1740" s="2" t="s">
        <v>75</v>
      </c>
      <c r="N1740" s="2" t="s">
        <v>62</v>
      </c>
      <c r="O1740" s="2" t="s">
        <v>406</v>
      </c>
      <c r="P1740" s="2">
        <v>290</v>
      </c>
      <c r="Q1740" s="2" t="s">
        <v>39</v>
      </c>
      <c r="R1740" s="2" t="s">
        <v>111</v>
      </c>
      <c r="S1740" s="2">
        <v>59968</v>
      </c>
      <c r="T1740" s="2">
        <v>47169</v>
      </c>
      <c r="U1740" s="2">
        <v>12799</v>
      </c>
      <c r="V1740" s="2">
        <v>46600</v>
      </c>
      <c r="W1740" s="2">
        <v>2689</v>
      </c>
      <c r="X1740" s="2">
        <v>7988</v>
      </c>
      <c r="Y1740" s="2" t="s">
        <v>41</v>
      </c>
      <c r="Z1740" s="2">
        <v>90</v>
      </c>
      <c r="AA1740" s="2">
        <v>4.5</v>
      </c>
      <c r="AB1740" s="2" t="s">
        <v>42</v>
      </c>
    </row>
    <row r="1741" spans="1:28" x14ac:dyDescent="0.25">
      <c r="A1741" s="4" t="s">
        <v>2528</v>
      </c>
      <c r="B1741" s="4" t="s">
        <v>683</v>
      </c>
      <c r="C1741" s="4">
        <v>81</v>
      </c>
      <c r="D1741" s="4" t="s">
        <v>55</v>
      </c>
      <c r="E1741" s="4" t="s">
        <v>154</v>
      </c>
      <c r="F1741" s="4" t="s">
        <v>114</v>
      </c>
      <c r="G1741" s="5">
        <v>44571</v>
      </c>
      <c r="H1741" s="5">
        <v>44599</v>
      </c>
      <c r="I1741" s="4">
        <v>28</v>
      </c>
      <c r="J1741" s="4" t="s">
        <v>33</v>
      </c>
      <c r="K1741" s="4" t="s">
        <v>278</v>
      </c>
      <c r="L1741" s="4" t="s">
        <v>279</v>
      </c>
      <c r="M1741" s="4" t="s">
        <v>130</v>
      </c>
      <c r="N1741" s="4" t="s">
        <v>109</v>
      </c>
      <c r="O1741" s="4" t="s">
        <v>365</v>
      </c>
      <c r="P1741" s="4">
        <v>371</v>
      </c>
      <c r="Q1741" s="4" t="s">
        <v>50</v>
      </c>
      <c r="R1741" s="4" t="s">
        <v>111</v>
      </c>
      <c r="S1741" s="4">
        <v>131671</v>
      </c>
      <c r="T1741" s="4">
        <v>98573</v>
      </c>
      <c r="U1741" s="4">
        <v>33098</v>
      </c>
      <c r="V1741" s="4">
        <v>101847</v>
      </c>
      <c r="W1741" s="4">
        <v>14672</v>
      </c>
      <c r="X1741" s="4">
        <v>11753</v>
      </c>
      <c r="Y1741" s="4" t="s">
        <v>41</v>
      </c>
      <c r="Z1741" s="4">
        <v>47</v>
      </c>
      <c r="AA1741" s="4">
        <v>4.3</v>
      </c>
      <c r="AB1741" s="4" t="s">
        <v>137</v>
      </c>
    </row>
    <row r="1742" spans="1:28" x14ac:dyDescent="0.25">
      <c r="A1742" s="2" t="s">
        <v>2529</v>
      </c>
      <c r="B1742" s="2" t="s">
        <v>1736</v>
      </c>
      <c r="C1742" s="2">
        <v>70</v>
      </c>
      <c r="D1742" s="2" t="s">
        <v>55</v>
      </c>
      <c r="E1742" s="2" t="s">
        <v>31</v>
      </c>
      <c r="F1742" s="2" t="s">
        <v>57</v>
      </c>
      <c r="G1742" s="3">
        <v>45146</v>
      </c>
      <c r="H1742" s="3">
        <v>45165</v>
      </c>
      <c r="I1742" s="2">
        <v>19</v>
      </c>
      <c r="J1742" s="2" t="s">
        <v>33</v>
      </c>
      <c r="K1742" s="2" t="s">
        <v>233</v>
      </c>
      <c r="L1742" s="2" t="s">
        <v>35</v>
      </c>
      <c r="M1742" s="2" t="s">
        <v>130</v>
      </c>
      <c r="N1742" s="2" t="s">
        <v>118</v>
      </c>
      <c r="O1742" s="2" t="s">
        <v>266</v>
      </c>
      <c r="P1742" s="2">
        <v>292</v>
      </c>
      <c r="Q1742" s="2" t="s">
        <v>103</v>
      </c>
      <c r="R1742" s="2" t="s">
        <v>136</v>
      </c>
      <c r="S1742" s="2">
        <v>53680</v>
      </c>
      <c r="T1742" s="2">
        <v>0</v>
      </c>
      <c r="U1742" s="2">
        <v>53680</v>
      </c>
      <c r="V1742" s="2">
        <v>31326</v>
      </c>
      <c r="W1742" s="2">
        <v>14039</v>
      </c>
      <c r="X1742" s="2">
        <v>4934</v>
      </c>
      <c r="Y1742" s="2" t="s">
        <v>91</v>
      </c>
      <c r="Z1742" s="2">
        <v>64</v>
      </c>
      <c r="AA1742" s="2">
        <v>2.4</v>
      </c>
      <c r="AB1742" s="2" t="s">
        <v>42</v>
      </c>
    </row>
    <row r="1743" spans="1:28" x14ac:dyDescent="0.25">
      <c r="A1743" s="4" t="s">
        <v>2530</v>
      </c>
      <c r="B1743" s="4" t="s">
        <v>683</v>
      </c>
      <c r="C1743" s="4">
        <v>29</v>
      </c>
      <c r="D1743" s="4" t="s">
        <v>55</v>
      </c>
      <c r="E1743" s="4" t="s">
        <v>154</v>
      </c>
      <c r="F1743" s="4" t="s">
        <v>32</v>
      </c>
      <c r="G1743" s="5">
        <v>44609</v>
      </c>
      <c r="H1743" s="5">
        <v>44625</v>
      </c>
      <c r="I1743" s="4">
        <v>16</v>
      </c>
      <c r="J1743" s="4" t="s">
        <v>140</v>
      </c>
      <c r="K1743" s="4" t="s">
        <v>141</v>
      </c>
      <c r="L1743" s="4" t="s">
        <v>142</v>
      </c>
      <c r="M1743" s="4" t="s">
        <v>75</v>
      </c>
      <c r="N1743" s="4" t="s">
        <v>37</v>
      </c>
      <c r="O1743" s="4" t="s">
        <v>63</v>
      </c>
      <c r="P1743" s="4">
        <v>49</v>
      </c>
      <c r="Q1743" s="4" t="s">
        <v>39</v>
      </c>
      <c r="R1743" s="4" t="s">
        <v>111</v>
      </c>
      <c r="S1743" s="4">
        <v>53963</v>
      </c>
      <c r="T1743" s="4">
        <v>45568</v>
      </c>
      <c r="U1743" s="4">
        <v>8395</v>
      </c>
      <c r="V1743" s="4">
        <v>30883</v>
      </c>
      <c r="W1743" s="4">
        <v>8129</v>
      </c>
      <c r="X1743" s="4">
        <v>11469</v>
      </c>
      <c r="Y1743" s="4" t="s">
        <v>41</v>
      </c>
      <c r="Z1743" s="4">
        <v>63</v>
      </c>
      <c r="AA1743" s="4">
        <v>3.5</v>
      </c>
      <c r="AB1743" s="4" t="s">
        <v>52</v>
      </c>
    </row>
    <row r="1744" spans="1:28" x14ac:dyDescent="0.25">
      <c r="A1744" s="2" t="s">
        <v>2531</v>
      </c>
      <c r="B1744" s="2" t="s">
        <v>479</v>
      </c>
      <c r="C1744" s="2">
        <v>20</v>
      </c>
      <c r="D1744" s="2" t="s">
        <v>55</v>
      </c>
      <c r="E1744" s="2" t="s">
        <v>45</v>
      </c>
      <c r="F1744" s="2" t="s">
        <v>94</v>
      </c>
      <c r="G1744" s="3">
        <v>44971</v>
      </c>
      <c r="H1744" s="3">
        <v>44990</v>
      </c>
      <c r="I1744" s="2">
        <v>19</v>
      </c>
      <c r="J1744" s="2" t="s">
        <v>73</v>
      </c>
      <c r="K1744" s="2" t="s">
        <v>74</v>
      </c>
      <c r="L1744" s="2" t="s">
        <v>73</v>
      </c>
      <c r="M1744" s="2" t="s">
        <v>130</v>
      </c>
      <c r="N1744" s="2" t="s">
        <v>109</v>
      </c>
      <c r="O1744" s="2" t="s">
        <v>461</v>
      </c>
      <c r="P1744" s="2">
        <v>325</v>
      </c>
      <c r="Q1744" s="2" t="s">
        <v>50</v>
      </c>
      <c r="R1744" s="2" t="s">
        <v>40</v>
      </c>
      <c r="S1744" s="2">
        <v>159664</v>
      </c>
      <c r="T1744" s="2">
        <v>90909</v>
      </c>
      <c r="U1744" s="2">
        <v>68755</v>
      </c>
      <c r="V1744" s="2">
        <v>129210</v>
      </c>
      <c r="W1744" s="2">
        <v>17874</v>
      </c>
      <c r="X1744" s="2">
        <v>9190</v>
      </c>
      <c r="Y1744" s="2" t="s">
        <v>41</v>
      </c>
      <c r="Z1744" s="2">
        <v>47</v>
      </c>
      <c r="AA1744" s="2">
        <v>3.8</v>
      </c>
      <c r="AB1744" s="2" t="s">
        <v>104</v>
      </c>
    </row>
    <row r="1745" spans="1:28" x14ac:dyDescent="0.25">
      <c r="A1745" s="4" t="s">
        <v>2532</v>
      </c>
      <c r="B1745" s="4" t="s">
        <v>1747</v>
      </c>
      <c r="C1745" s="4">
        <v>54</v>
      </c>
      <c r="D1745" s="4" t="s">
        <v>30</v>
      </c>
      <c r="E1745" s="4" t="s">
        <v>67</v>
      </c>
      <c r="F1745" s="4" t="s">
        <v>72</v>
      </c>
      <c r="G1745" s="5">
        <v>44963</v>
      </c>
      <c r="H1745" s="5">
        <v>44969</v>
      </c>
      <c r="I1745" s="4">
        <v>6</v>
      </c>
      <c r="J1745" s="4" t="s">
        <v>58</v>
      </c>
      <c r="K1745" s="4" t="s">
        <v>88</v>
      </c>
      <c r="L1745" s="4" t="s">
        <v>60</v>
      </c>
      <c r="M1745" s="4" t="s">
        <v>108</v>
      </c>
      <c r="N1745" s="4" t="s">
        <v>109</v>
      </c>
      <c r="O1745" s="4" t="s">
        <v>352</v>
      </c>
      <c r="P1745" s="4">
        <v>353</v>
      </c>
      <c r="Q1745" s="4" t="s">
        <v>39</v>
      </c>
      <c r="R1745" s="4" t="s">
        <v>40</v>
      </c>
      <c r="S1745" s="4">
        <v>94248</v>
      </c>
      <c r="T1745" s="4">
        <v>40043</v>
      </c>
      <c r="U1745" s="4">
        <v>54205</v>
      </c>
      <c r="V1745" s="4">
        <v>67912</v>
      </c>
      <c r="W1745" s="4">
        <v>14576</v>
      </c>
      <c r="X1745" s="4">
        <v>9328</v>
      </c>
      <c r="Y1745" s="4" t="s">
        <v>41</v>
      </c>
      <c r="Z1745" s="4">
        <v>61</v>
      </c>
      <c r="AA1745" s="4">
        <v>2.7</v>
      </c>
      <c r="AB1745" s="4" t="s">
        <v>52</v>
      </c>
    </row>
    <row r="1746" spans="1:28" x14ac:dyDescent="0.25">
      <c r="A1746" s="2" t="s">
        <v>2533</v>
      </c>
      <c r="B1746" s="2" t="s">
        <v>1085</v>
      </c>
      <c r="C1746" s="2">
        <v>31</v>
      </c>
      <c r="D1746" s="2" t="s">
        <v>30</v>
      </c>
      <c r="E1746" s="2" t="s">
        <v>45</v>
      </c>
      <c r="F1746" s="2" t="s">
        <v>150</v>
      </c>
      <c r="G1746" s="3">
        <v>44629</v>
      </c>
      <c r="H1746" s="3">
        <v>44635</v>
      </c>
      <c r="I1746" s="2">
        <v>6</v>
      </c>
      <c r="J1746" s="2" t="s">
        <v>140</v>
      </c>
      <c r="K1746" s="2" t="s">
        <v>141</v>
      </c>
      <c r="L1746" s="2" t="s">
        <v>142</v>
      </c>
      <c r="M1746" s="2" t="s">
        <v>130</v>
      </c>
      <c r="N1746" s="2" t="s">
        <v>62</v>
      </c>
      <c r="O1746" s="2" t="s">
        <v>189</v>
      </c>
      <c r="P1746" s="2">
        <v>42</v>
      </c>
      <c r="Q1746" s="2" t="s">
        <v>69</v>
      </c>
      <c r="R1746" s="2" t="s">
        <v>111</v>
      </c>
      <c r="S1746" s="2">
        <v>67370</v>
      </c>
      <c r="T1746" s="2">
        <v>57956</v>
      </c>
      <c r="U1746" s="2">
        <v>9414</v>
      </c>
      <c r="V1746" s="2">
        <v>39064</v>
      </c>
      <c r="W1746" s="2">
        <v>19482</v>
      </c>
      <c r="X1746" s="2">
        <v>5352</v>
      </c>
      <c r="Y1746" s="2" t="s">
        <v>91</v>
      </c>
      <c r="Z1746" s="2">
        <v>87</v>
      </c>
      <c r="AA1746" s="2">
        <v>3.2</v>
      </c>
      <c r="AB1746" s="2" t="s">
        <v>42</v>
      </c>
    </row>
    <row r="1747" spans="1:28" x14ac:dyDescent="0.25">
      <c r="A1747" s="4" t="s">
        <v>2534</v>
      </c>
      <c r="B1747" s="4" t="s">
        <v>491</v>
      </c>
      <c r="C1747" s="4">
        <v>63</v>
      </c>
      <c r="D1747" s="4" t="s">
        <v>55</v>
      </c>
      <c r="E1747" s="4" t="s">
        <v>45</v>
      </c>
      <c r="F1747" s="4" t="s">
        <v>32</v>
      </c>
      <c r="G1747" s="5">
        <v>45130</v>
      </c>
      <c r="H1747" s="5">
        <v>45134</v>
      </c>
      <c r="I1747" s="4">
        <v>4</v>
      </c>
      <c r="J1747" s="4" t="s">
        <v>58</v>
      </c>
      <c r="K1747" s="4" t="s">
        <v>59</v>
      </c>
      <c r="L1747" s="4" t="s">
        <v>60</v>
      </c>
      <c r="M1747" s="4" t="s">
        <v>101</v>
      </c>
      <c r="N1747" s="4" t="s">
        <v>62</v>
      </c>
      <c r="O1747" s="4" t="s">
        <v>1038</v>
      </c>
      <c r="P1747" s="4">
        <v>96</v>
      </c>
      <c r="Q1747" s="4" t="s">
        <v>39</v>
      </c>
      <c r="R1747" s="4" t="s">
        <v>90</v>
      </c>
      <c r="S1747" s="4">
        <v>176921</v>
      </c>
      <c r="T1747" s="4">
        <v>157442</v>
      </c>
      <c r="U1747" s="4">
        <v>19479</v>
      </c>
      <c r="V1747" s="4">
        <v>143566</v>
      </c>
      <c r="W1747" s="4">
        <v>15129</v>
      </c>
      <c r="X1747" s="4">
        <v>14229</v>
      </c>
      <c r="Y1747" s="4" t="s">
        <v>41</v>
      </c>
      <c r="Z1747" s="4">
        <v>80</v>
      </c>
      <c r="AA1747" s="4">
        <v>2.1</v>
      </c>
      <c r="AB1747" s="4" t="s">
        <v>137</v>
      </c>
    </row>
    <row r="1748" spans="1:28" x14ac:dyDescent="0.25">
      <c r="A1748" s="2" t="s">
        <v>2535</v>
      </c>
      <c r="B1748" s="2" t="s">
        <v>794</v>
      </c>
      <c r="C1748" s="2">
        <v>37</v>
      </c>
      <c r="D1748" s="2" t="s">
        <v>30</v>
      </c>
      <c r="E1748" s="2" t="s">
        <v>87</v>
      </c>
      <c r="F1748" s="2" t="s">
        <v>129</v>
      </c>
      <c r="G1748" s="3">
        <v>44667</v>
      </c>
      <c r="H1748" s="3">
        <v>44690</v>
      </c>
      <c r="I1748" s="2">
        <v>23</v>
      </c>
      <c r="J1748" s="2" t="s">
        <v>33</v>
      </c>
      <c r="K1748" s="2" t="s">
        <v>34</v>
      </c>
      <c r="L1748" s="2" t="s">
        <v>35</v>
      </c>
      <c r="M1748" s="2" t="s">
        <v>130</v>
      </c>
      <c r="N1748" s="2" t="s">
        <v>118</v>
      </c>
      <c r="O1748" s="2" t="s">
        <v>194</v>
      </c>
      <c r="P1748" s="2">
        <v>118</v>
      </c>
      <c r="Q1748" s="2" t="s">
        <v>50</v>
      </c>
      <c r="R1748" s="2" t="s">
        <v>40</v>
      </c>
      <c r="S1748" s="2">
        <v>168041</v>
      </c>
      <c r="T1748" s="2">
        <v>87093</v>
      </c>
      <c r="U1748" s="2">
        <v>80948</v>
      </c>
      <c r="V1748" s="2">
        <v>127755</v>
      </c>
      <c r="W1748" s="2">
        <v>28727</v>
      </c>
      <c r="X1748" s="2">
        <v>9639</v>
      </c>
      <c r="Y1748" s="2" t="s">
        <v>41</v>
      </c>
      <c r="Z1748" s="2">
        <v>81</v>
      </c>
      <c r="AA1748" s="2">
        <v>3.6</v>
      </c>
      <c r="AB1748" s="2" t="s">
        <v>137</v>
      </c>
    </row>
    <row r="1749" spans="1:28" x14ac:dyDescent="0.25">
      <c r="A1749" s="4" t="s">
        <v>2536</v>
      </c>
      <c r="B1749" s="4" t="s">
        <v>299</v>
      </c>
      <c r="C1749" s="4">
        <v>84</v>
      </c>
      <c r="D1749" s="4" t="s">
        <v>30</v>
      </c>
      <c r="E1749" s="4" t="s">
        <v>31</v>
      </c>
      <c r="F1749" s="4" t="s">
        <v>32</v>
      </c>
      <c r="G1749" s="5">
        <v>45140</v>
      </c>
      <c r="H1749" s="5">
        <v>45145</v>
      </c>
      <c r="I1749" s="4">
        <v>5</v>
      </c>
      <c r="J1749" s="4" t="s">
        <v>140</v>
      </c>
      <c r="K1749" s="4" t="s">
        <v>141</v>
      </c>
      <c r="L1749" s="4" t="s">
        <v>142</v>
      </c>
      <c r="M1749" s="4" t="s">
        <v>61</v>
      </c>
      <c r="N1749" s="4" t="s">
        <v>109</v>
      </c>
      <c r="O1749" s="4" t="s">
        <v>147</v>
      </c>
      <c r="P1749" s="4">
        <v>69</v>
      </c>
      <c r="Q1749" s="4" t="s">
        <v>50</v>
      </c>
      <c r="R1749" s="4" t="s">
        <v>40</v>
      </c>
      <c r="S1749" s="4">
        <v>138408</v>
      </c>
      <c r="T1749" s="4">
        <v>74090</v>
      </c>
      <c r="U1749" s="4">
        <v>64318</v>
      </c>
      <c r="V1749" s="4">
        <v>99393</v>
      </c>
      <c r="W1749" s="4">
        <v>26040</v>
      </c>
      <c r="X1749" s="4">
        <v>8569</v>
      </c>
      <c r="Y1749" s="4" t="s">
        <v>41</v>
      </c>
      <c r="Z1749" s="4">
        <v>69</v>
      </c>
      <c r="AA1749" s="4">
        <v>2.8</v>
      </c>
      <c r="AB1749" s="4" t="s">
        <v>137</v>
      </c>
    </row>
    <row r="1750" spans="1:28" x14ac:dyDescent="0.25">
      <c r="A1750" s="2" t="s">
        <v>2537</v>
      </c>
      <c r="B1750" s="2" t="s">
        <v>128</v>
      </c>
      <c r="C1750" s="2">
        <v>11</v>
      </c>
      <c r="D1750" s="2" t="s">
        <v>55</v>
      </c>
      <c r="E1750" s="2" t="s">
        <v>56</v>
      </c>
      <c r="F1750" s="2" t="s">
        <v>94</v>
      </c>
      <c r="G1750" s="3">
        <v>45638</v>
      </c>
      <c r="H1750" s="3">
        <v>45657</v>
      </c>
      <c r="I1750" s="2">
        <v>19</v>
      </c>
      <c r="J1750" s="2" t="s">
        <v>58</v>
      </c>
      <c r="K1750" s="2" t="s">
        <v>88</v>
      </c>
      <c r="L1750" s="2" t="s">
        <v>60</v>
      </c>
      <c r="M1750" s="2" t="s">
        <v>36</v>
      </c>
      <c r="N1750" s="2" t="s">
        <v>62</v>
      </c>
      <c r="O1750" s="2" t="s">
        <v>84</v>
      </c>
      <c r="P1750" s="2">
        <v>159</v>
      </c>
      <c r="Q1750" s="2" t="s">
        <v>103</v>
      </c>
      <c r="R1750" s="2" t="s">
        <v>90</v>
      </c>
      <c r="S1750" s="2">
        <v>97628</v>
      </c>
      <c r="T1750" s="2">
        <v>74136</v>
      </c>
      <c r="U1750" s="2">
        <v>23492</v>
      </c>
      <c r="V1750" s="2">
        <v>64578</v>
      </c>
      <c r="W1750" s="2">
        <v>24297</v>
      </c>
      <c r="X1750" s="2">
        <v>6700</v>
      </c>
      <c r="Y1750" s="2" t="s">
        <v>41</v>
      </c>
      <c r="Z1750" s="2">
        <v>65</v>
      </c>
      <c r="AA1750" s="2">
        <v>4.0999999999999996</v>
      </c>
      <c r="AB1750" s="2" t="s">
        <v>42</v>
      </c>
    </row>
    <row r="1751" spans="1:28" x14ac:dyDescent="0.25">
      <c r="A1751" s="4" t="s">
        <v>2538</v>
      </c>
      <c r="B1751" s="4" t="s">
        <v>370</v>
      </c>
      <c r="C1751" s="4">
        <v>69</v>
      </c>
      <c r="D1751" s="4" t="s">
        <v>30</v>
      </c>
      <c r="E1751" s="4" t="s">
        <v>154</v>
      </c>
      <c r="F1751" s="4" t="s">
        <v>57</v>
      </c>
      <c r="G1751" s="5">
        <v>45146</v>
      </c>
      <c r="H1751" s="5">
        <v>45161</v>
      </c>
      <c r="I1751" s="4">
        <v>15</v>
      </c>
      <c r="J1751" s="4" t="s">
        <v>33</v>
      </c>
      <c r="K1751" s="4" t="s">
        <v>47</v>
      </c>
      <c r="L1751" s="4" t="s">
        <v>48</v>
      </c>
      <c r="M1751" s="4" t="s">
        <v>75</v>
      </c>
      <c r="N1751" s="4" t="s">
        <v>109</v>
      </c>
      <c r="O1751" s="4" t="s">
        <v>434</v>
      </c>
      <c r="P1751" s="4">
        <v>406</v>
      </c>
      <c r="Q1751" s="4" t="s">
        <v>50</v>
      </c>
      <c r="R1751" s="4" t="s">
        <v>111</v>
      </c>
      <c r="S1751" s="4">
        <v>150866</v>
      </c>
      <c r="T1751" s="4">
        <v>116600</v>
      </c>
      <c r="U1751" s="4">
        <v>34266</v>
      </c>
      <c r="V1751" s="4">
        <v>129467</v>
      </c>
      <c r="W1751" s="4">
        <v>2834</v>
      </c>
      <c r="X1751" s="4">
        <v>14925</v>
      </c>
      <c r="Y1751" s="4" t="s">
        <v>41</v>
      </c>
      <c r="Z1751" s="4">
        <v>93</v>
      </c>
      <c r="AA1751" s="4">
        <v>2.7</v>
      </c>
      <c r="AB1751" s="4" t="s">
        <v>42</v>
      </c>
    </row>
    <row r="1752" spans="1:28" x14ac:dyDescent="0.25">
      <c r="A1752" s="2" t="s">
        <v>2539</v>
      </c>
      <c r="B1752" s="2" t="s">
        <v>1073</v>
      </c>
      <c r="C1752" s="2">
        <v>48</v>
      </c>
      <c r="D1752" s="2" t="s">
        <v>55</v>
      </c>
      <c r="E1752" s="2" t="s">
        <v>154</v>
      </c>
      <c r="F1752" s="2" t="s">
        <v>57</v>
      </c>
      <c r="G1752" s="3">
        <v>44869</v>
      </c>
      <c r="H1752" s="3">
        <v>44899</v>
      </c>
      <c r="I1752" s="2">
        <v>30</v>
      </c>
      <c r="J1752" s="2" t="s">
        <v>33</v>
      </c>
      <c r="K1752" s="2" t="s">
        <v>47</v>
      </c>
      <c r="L1752" s="2" t="s">
        <v>48</v>
      </c>
      <c r="M1752" s="2" t="s">
        <v>108</v>
      </c>
      <c r="N1752" s="2" t="s">
        <v>62</v>
      </c>
      <c r="O1752" s="2" t="s">
        <v>448</v>
      </c>
      <c r="P1752" s="2">
        <v>304</v>
      </c>
      <c r="Q1752" s="2" t="s">
        <v>50</v>
      </c>
      <c r="R1752" s="2" t="s">
        <v>111</v>
      </c>
      <c r="S1752" s="2">
        <v>156523</v>
      </c>
      <c r="T1752" s="2">
        <v>125117</v>
      </c>
      <c r="U1752" s="2">
        <v>31406</v>
      </c>
      <c r="V1752" s="2">
        <v>121681</v>
      </c>
      <c r="W1752" s="2">
        <v>22130</v>
      </c>
      <c r="X1752" s="2">
        <v>7909</v>
      </c>
      <c r="Y1752" s="2" t="s">
        <v>91</v>
      </c>
      <c r="Z1752" s="2">
        <v>88</v>
      </c>
      <c r="AA1752" s="2">
        <v>3.7</v>
      </c>
      <c r="AB1752" s="2" t="s">
        <v>137</v>
      </c>
    </row>
    <row r="1753" spans="1:28" x14ac:dyDescent="0.25">
      <c r="A1753" s="4" t="s">
        <v>2540</v>
      </c>
      <c r="B1753" s="4" t="s">
        <v>1107</v>
      </c>
      <c r="C1753" s="4">
        <v>15</v>
      </c>
      <c r="D1753" s="4" t="s">
        <v>55</v>
      </c>
      <c r="E1753" s="4" t="s">
        <v>45</v>
      </c>
      <c r="F1753" s="4" t="s">
        <v>72</v>
      </c>
      <c r="G1753" s="5">
        <v>45157</v>
      </c>
      <c r="H1753" s="5">
        <v>45182</v>
      </c>
      <c r="I1753" s="4">
        <v>25</v>
      </c>
      <c r="J1753" s="4" t="s">
        <v>33</v>
      </c>
      <c r="K1753" s="4" t="s">
        <v>47</v>
      </c>
      <c r="L1753" s="4" t="s">
        <v>48</v>
      </c>
      <c r="M1753" s="4" t="s">
        <v>143</v>
      </c>
      <c r="N1753" s="4" t="s">
        <v>62</v>
      </c>
      <c r="O1753" s="4" t="s">
        <v>135</v>
      </c>
      <c r="P1753" s="4">
        <v>172</v>
      </c>
      <c r="Q1753" s="4" t="s">
        <v>103</v>
      </c>
      <c r="R1753" s="4" t="s">
        <v>40</v>
      </c>
      <c r="S1753" s="4">
        <v>93795</v>
      </c>
      <c r="T1753" s="4">
        <v>39977</v>
      </c>
      <c r="U1753" s="4">
        <v>53818</v>
      </c>
      <c r="V1753" s="4">
        <v>65203</v>
      </c>
      <c r="W1753" s="4">
        <v>21727</v>
      </c>
      <c r="X1753" s="4">
        <v>5942</v>
      </c>
      <c r="Y1753" s="4" t="s">
        <v>41</v>
      </c>
      <c r="Z1753" s="4">
        <v>53</v>
      </c>
      <c r="AA1753" s="4">
        <v>3.5</v>
      </c>
      <c r="AB1753" s="4" t="s">
        <v>42</v>
      </c>
    </row>
    <row r="1754" spans="1:28" x14ac:dyDescent="0.25">
      <c r="A1754" s="2" t="s">
        <v>2541</v>
      </c>
      <c r="B1754" s="2" t="s">
        <v>1159</v>
      </c>
      <c r="C1754" s="2">
        <v>56</v>
      </c>
      <c r="D1754" s="2" t="s">
        <v>55</v>
      </c>
      <c r="E1754" s="2" t="s">
        <v>67</v>
      </c>
      <c r="F1754" s="2" t="s">
        <v>80</v>
      </c>
      <c r="G1754" s="3">
        <v>45160</v>
      </c>
      <c r="H1754" s="3">
        <v>45185</v>
      </c>
      <c r="I1754" s="2">
        <v>25</v>
      </c>
      <c r="J1754" s="2" t="s">
        <v>33</v>
      </c>
      <c r="K1754" s="2" t="s">
        <v>278</v>
      </c>
      <c r="L1754" s="2" t="s">
        <v>279</v>
      </c>
      <c r="M1754" s="2" t="s">
        <v>83</v>
      </c>
      <c r="N1754" s="2" t="s">
        <v>37</v>
      </c>
      <c r="O1754" s="2" t="s">
        <v>520</v>
      </c>
      <c r="P1754" s="2">
        <v>363</v>
      </c>
      <c r="Q1754" s="2" t="s">
        <v>103</v>
      </c>
      <c r="R1754" s="2" t="s">
        <v>51</v>
      </c>
      <c r="S1754" s="2">
        <v>89117</v>
      </c>
      <c r="T1754" s="2">
        <v>36190</v>
      </c>
      <c r="U1754" s="2">
        <v>52927</v>
      </c>
      <c r="V1754" s="2">
        <v>45291</v>
      </c>
      <c r="W1754" s="2">
        <v>27545</v>
      </c>
      <c r="X1754" s="2">
        <v>14674</v>
      </c>
      <c r="Y1754" s="2" t="s">
        <v>41</v>
      </c>
      <c r="Z1754" s="2">
        <v>81</v>
      </c>
      <c r="AA1754" s="2">
        <v>2.4</v>
      </c>
      <c r="AB1754" s="2" t="s">
        <v>104</v>
      </c>
    </row>
    <row r="1755" spans="1:28" x14ac:dyDescent="0.25">
      <c r="A1755" s="4" t="s">
        <v>2542</v>
      </c>
      <c r="B1755" s="4" t="s">
        <v>1338</v>
      </c>
      <c r="C1755" s="4">
        <v>27</v>
      </c>
      <c r="D1755" s="4" t="s">
        <v>30</v>
      </c>
      <c r="E1755" s="4" t="s">
        <v>67</v>
      </c>
      <c r="F1755" s="4" t="s">
        <v>72</v>
      </c>
      <c r="G1755" s="5">
        <v>44680</v>
      </c>
      <c r="H1755" s="5">
        <v>44693</v>
      </c>
      <c r="I1755" s="4">
        <v>13</v>
      </c>
      <c r="J1755" s="4" t="s">
        <v>123</v>
      </c>
      <c r="K1755" s="4" t="s">
        <v>124</v>
      </c>
      <c r="L1755" s="4" t="s">
        <v>125</v>
      </c>
      <c r="M1755" s="4" t="s">
        <v>36</v>
      </c>
      <c r="N1755" s="4" t="s">
        <v>118</v>
      </c>
      <c r="O1755" s="4" t="s">
        <v>343</v>
      </c>
      <c r="P1755" s="4">
        <v>301</v>
      </c>
      <c r="Q1755" s="4" t="s">
        <v>50</v>
      </c>
      <c r="R1755" s="4" t="s">
        <v>90</v>
      </c>
      <c r="S1755" s="4">
        <v>111723</v>
      </c>
      <c r="T1755" s="4">
        <v>85973</v>
      </c>
      <c r="U1755" s="4">
        <v>25750</v>
      </c>
      <c r="V1755" s="4">
        <v>71416</v>
      </c>
      <c r="W1755" s="4">
        <v>29411</v>
      </c>
      <c r="X1755" s="4">
        <v>10046</v>
      </c>
      <c r="Y1755" s="4" t="s">
        <v>41</v>
      </c>
      <c r="Z1755" s="4">
        <v>46</v>
      </c>
      <c r="AA1755" s="4">
        <v>3.9</v>
      </c>
      <c r="AB1755" s="4" t="s">
        <v>104</v>
      </c>
    </row>
    <row r="1756" spans="1:28" x14ac:dyDescent="0.25">
      <c r="A1756" s="2" t="s">
        <v>2543</v>
      </c>
      <c r="B1756" s="2" t="s">
        <v>1424</v>
      </c>
      <c r="C1756" s="2">
        <v>6</v>
      </c>
      <c r="D1756" s="2" t="s">
        <v>55</v>
      </c>
      <c r="E1756" s="2" t="s">
        <v>79</v>
      </c>
      <c r="F1756" s="2" t="s">
        <v>80</v>
      </c>
      <c r="G1756" s="3">
        <v>45616</v>
      </c>
      <c r="H1756" s="3">
        <v>45639</v>
      </c>
      <c r="I1756" s="2">
        <v>23</v>
      </c>
      <c r="J1756" s="2" t="s">
        <v>33</v>
      </c>
      <c r="K1756" s="2" t="s">
        <v>174</v>
      </c>
      <c r="L1756" s="2" t="s">
        <v>48</v>
      </c>
      <c r="M1756" s="2" t="s">
        <v>134</v>
      </c>
      <c r="N1756" s="2" t="s">
        <v>109</v>
      </c>
      <c r="O1756" s="2" t="s">
        <v>331</v>
      </c>
      <c r="P1756" s="2">
        <v>440</v>
      </c>
      <c r="Q1756" s="2" t="s">
        <v>50</v>
      </c>
      <c r="R1756" s="2" t="s">
        <v>51</v>
      </c>
      <c r="S1756" s="2">
        <v>130962</v>
      </c>
      <c r="T1756" s="2">
        <v>76711</v>
      </c>
      <c r="U1756" s="2">
        <v>54251</v>
      </c>
      <c r="V1756" s="2">
        <v>108305</v>
      </c>
      <c r="W1756" s="2">
        <v>14878</v>
      </c>
      <c r="X1756" s="2">
        <v>6227</v>
      </c>
      <c r="Y1756" s="2" t="s">
        <v>41</v>
      </c>
      <c r="Z1756" s="2">
        <v>52</v>
      </c>
      <c r="AA1756" s="2">
        <v>4.5999999999999996</v>
      </c>
      <c r="AB1756" s="2" t="s">
        <v>52</v>
      </c>
    </row>
    <row r="1757" spans="1:28" x14ac:dyDescent="0.25">
      <c r="A1757" s="4" t="s">
        <v>2544</v>
      </c>
      <c r="B1757" s="4" t="s">
        <v>665</v>
      </c>
      <c r="C1757" s="4">
        <v>20</v>
      </c>
      <c r="D1757" s="4" t="s">
        <v>30</v>
      </c>
      <c r="E1757" s="4" t="s">
        <v>154</v>
      </c>
      <c r="F1757" s="4" t="s">
        <v>80</v>
      </c>
      <c r="G1757" s="5">
        <v>44692</v>
      </c>
      <c r="H1757" s="5">
        <v>44698</v>
      </c>
      <c r="I1757" s="4">
        <v>6</v>
      </c>
      <c r="J1757" s="4" t="s">
        <v>115</v>
      </c>
      <c r="K1757" s="4" t="s">
        <v>160</v>
      </c>
      <c r="L1757" s="4" t="s">
        <v>117</v>
      </c>
      <c r="M1757" s="4" t="s">
        <v>61</v>
      </c>
      <c r="N1757" s="4" t="s">
        <v>109</v>
      </c>
      <c r="O1757" s="4" t="s">
        <v>248</v>
      </c>
      <c r="P1757" s="4">
        <v>484</v>
      </c>
      <c r="Q1757" s="4" t="s">
        <v>103</v>
      </c>
      <c r="R1757" s="4" t="s">
        <v>111</v>
      </c>
      <c r="S1757" s="4">
        <v>138247</v>
      </c>
      <c r="T1757" s="4">
        <v>103590</v>
      </c>
      <c r="U1757" s="4">
        <v>34657</v>
      </c>
      <c r="V1757" s="4">
        <v>102816</v>
      </c>
      <c r="W1757" s="4">
        <v>23135</v>
      </c>
      <c r="X1757" s="4">
        <v>7831</v>
      </c>
      <c r="Y1757" s="4" t="s">
        <v>41</v>
      </c>
      <c r="Z1757" s="4">
        <v>97</v>
      </c>
      <c r="AA1757" s="4">
        <v>4.2</v>
      </c>
      <c r="AB1757" s="4" t="s">
        <v>64</v>
      </c>
    </row>
    <row r="1758" spans="1:28" x14ac:dyDescent="0.25">
      <c r="A1758" s="2" t="s">
        <v>2545</v>
      </c>
      <c r="B1758" s="2" t="s">
        <v>987</v>
      </c>
      <c r="C1758" s="2">
        <v>73</v>
      </c>
      <c r="D1758" s="2" t="s">
        <v>30</v>
      </c>
      <c r="E1758" s="2" t="s">
        <v>45</v>
      </c>
      <c r="F1758" s="2" t="s">
        <v>57</v>
      </c>
      <c r="G1758" s="3">
        <v>44985</v>
      </c>
      <c r="H1758" s="3">
        <v>45007</v>
      </c>
      <c r="I1758" s="2">
        <v>22</v>
      </c>
      <c r="J1758" s="2" t="s">
        <v>202</v>
      </c>
      <c r="K1758" s="2" t="s">
        <v>203</v>
      </c>
      <c r="L1758" s="2" t="s">
        <v>204</v>
      </c>
      <c r="M1758" s="2" t="s">
        <v>134</v>
      </c>
      <c r="N1758" s="2" t="s">
        <v>37</v>
      </c>
      <c r="O1758" s="2" t="s">
        <v>520</v>
      </c>
      <c r="P1758" s="2">
        <v>132</v>
      </c>
      <c r="Q1758" s="2" t="s">
        <v>69</v>
      </c>
      <c r="R1758" s="2" t="s">
        <v>111</v>
      </c>
      <c r="S1758" s="2">
        <v>146408</v>
      </c>
      <c r="T1758" s="2">
        <v>125945</v>
      </c>
      <c r="U1758" s="2">
        <v>20463</v>
      </c>
      <c r="V1758" s="2">
        <v>130143</v>
      </c>
      <c r="W1758" s="2">
        <v>3458</v>
      </c>
      <c r="X1758" s="2">
        <v>10814</v>
      </c>
      <c r="Y1758" s="2" t="s">
        <v>91</v>
      </c>
      <c r="Z1758" s="2">
        <v>90</v>
      </c>
      <c r="AA1758" s="2">
        <v>3.2</v>
      </c>
      <c r="AB1758" s="2" t="s">
        <v>42</v>
      </c>
    </row>
    <row r="1759" spans="1:28" x14ac:dyDescent="0.25">
      <c r="A1759" s="4" t="s">
        <v>2546</v>
      </c>
      <c r="B1759" s="4" t="s">
        <v>364</v>
      </c>
      <c r="C1759" s="4">
        <v>66</v>
      </c>
      <c r="D1759" s="4" t="s">
        <v>30</v>
      </c>
      <c r="E1759" s="4" t="s">
        <v>67</v>
      </c>
      <c r="F1759" s="4" t="s">
        <v>114</v>
      </c>
      <c r="G1759" s="5">
        <v>45406</v>
      </c>
      <c r="H1759" s="5">
        <v>45426</v>
      </c>
      <c r="I1759" s="4">
        <v>20</v>
      </c>
      <c r="J1759" s="4" t="s">
        <v>33</v>
      </c>
      <c r="K1759" s="4" t="s">
        <v>174</v>
      </c>
      <c r="L1759" s="4" t="s">
        <v>48</v>
      </c>
      <c r="M1759" s="4" t="s">
        <v>83</v>
      </c>
      <c r="N1759" s="4" t="s">
        <v>109</v>
      </c>
      <c r="O1759" s="4" t="s">
        <v>178</v>
      </c>
      <c r="P1759" s="4">
        <v>62</v>
      </c>
      <c r="Q1759" s="4" t="s">
        <v>39</v>
      </c>
      <c r="R1759" s="4" t="s">
        <v>136</v>
      </c>
      <c r="S1759" s="4">
        <v>89284</v>
      </c>
      <c r="T1759" s="4">
        <v>0</v>
      </c>
      <c r="U1759" s="4">
        <v>89284</v>
      </c>
      <c r="V1759" s="4">
        <v>65362</v>
      </c>
      <c r="W1759" s="4">
        <v>13066</v>
      </c>
      <c r="X1759" s="4">
        <v>6890</v>
      </c>
      <c r="Y1759" s="4" t="s">
        <v>41</v>
      </c>
      <c r="Z1759" s="4">
        <v>91</v>
      </c>
      <c r="AA1759" s="4">
        <v>2.7</v>
      </c>
      <c r="AB1759" s="4" t="s">
        <v>104</v>
      </c>
    </row>
    <row r="1760" spans="1:28" x14ac:dyDescent="0.25">
      <c r="A1760" s="2" t="s">
        <v>2547</v>
      </c>
      <c r="B1760" s="2" t="s">
        <v>1638</v>
      </c>
      <c r="C1760" s="2">
        <v>49</v>
      </c>
      <c r="D1760" s="2" t="s">
        <v>55</v>
      </c>
      <c r="E1760" s="2" t="s">
        <v>67</v>
      </c>
      <c r="F1760" s="2" t="s">
        <v>72</v>
      </c>
      <c r="G1760" s="3">
        <v>45323</v>
      </c>
      <c r="H1760" s="3">
        <v>45346</v>
      </c>
      <c r="I1760" s="2">
        <v>23</v>
      </c>
      <c r="J1760" s="2" t="s">
        <v>140</v>
      </c>
      <c r="K1760" s="2" t="s">
        <v>141</v>
      </c>
      <c r="L1760" s="2" t="s">
        <v>142</v>
      </c>
      <c r="M1760" s="2" t="s">
        <v>95</v>
      </c>
      <c r="N1760" s="2" t="s">
        <v>37</v>
      </c>
      <c r="O1760" s="2" t="s">
        <v>448</v>
      </c>
      <c r="P1760" s="2">
        <v>106</v>
      </c>
      <c r="Q1760" s="2" t="s">
        <v>50</v>
      </c>
      <c r="R1760" s="2" t="s">
        <v>90</v>
      </c>
      <c r="S1760" s="2">
        <v>162962</v>
      </c>
      <c r="T1760" s="2">
        <v>134254</v>
      </c>
      <c r="U1760" s="2">
        <v>28708</v>
      </c>
      <c r="V1760" s="2">
        <v>129400</v>
      </c>
      <c r="W1760" s="2">
        <v>19357</v>
      </c>
      <c r="X1760" s="2">
        <v>12939</v>
      </c>
      <c r="Y1760" s="2" t="s">
        <v>41</v>
      </c>
      <c r="Z1760" s="2">
        <v>51</v>
      </c>
      <c r="AA1760" s="2">
        <v>3.6</v>
      </c>
      <c r="AB1760" s="2" t="s">
        <v>64</v>
      </c>
    </row>
    <row r="1761" spans="1:28" x14ac:dyDescent="0.25">
      <c r="A1761" s="4" t="s">
        <v>2548</v>
      </c>
      <c r="B1761" s="4" t="s">
        <v>2425</v>
      </c>
      <c r="C1761" s="4">
        <v>43</v>
      </c>
      <c r="D1761" s="4" t="s">
        <v>30</v>
      </c>
      <c r="E1761" s="4" t="s">
        <v>67</v>
      </c>
      <c r="F1761" s="4" t="s">
        <v>46</v>
      </c>
      <c r="G1761" s="5">
        <v>45412</v>
      </c>
      <c r="H1761" s="5">
        <v>45436</v>
      </c>
      <c r="I1761" s="4">
        <v>24</v>
      </c>
      <c r="J1761" s="4" t="s">
        <v>202</v>
      </c>
      <c r="K1761" s="4" t="s">
        <v>203</v>
      </c>
      <c r="L1761" s="4" t="s">
        <v>204</v>
      </c>
      <c r="M1761" s="4" t="s">
        <v>108</v>
      </c>
      <c r="N1761" s="4" t="s">
        <v>62</v>
      </c>
      <c r="O1761" s="4" t="s">
        <v>211</v>
      </c>
      <c r="P1761" s="4">
        <v>358</v>
      </c>
      <c r="Q1761" s="4" t="s">
        <v>39</v>
      </c>
      <c r="R1761" s="4" t="s">
        <v>111</v>
      </c>
      <c r="S1761" s="4">
        <v>88387</v>
      </c>
      <c r="T1761" s="4">
        <v>57700</v>
      </c>
      <c r="U1761" s="4">
        <v>30687</v>
      </c>
      <c r="V1761" s="4">
        <v>67006</v>
      </c>
      <c r="W1761" s="4">
        <v>4516</v>
      </c>
      <c r="X1761" s="4">
        <v>13131</v>
      </c>
      <c r="Y1761" s="4" t="s">
        <v>41</v>
      </c>
      <c r="Z1761" s="4">
        <v>68</v>
      </c>
      <c r="AA1761" s="4">
        <v>3</v>
      </c>
      <c r="AB1761" s="4" t="s">
        <v>52</v>
      </c>
    </row>
    <row r="1762" spans="1:28" x14ac:dyDescent="0.25">
      <c r="A1762" s="2" t="s">
        <v>2549</v>
      </c>
      <c r="B1762" s="2" t="s">
        <v>828</v>
      </c>
      <c r="C1762" s="2">
        <v>79</v>
      </c>
      <c r="D1762" s="2" t="s">
        <v>55</v>
      </c>
      <c r="E1762" s="2" t="s">
        <v>45</v>
      </c>
      <c r="F1762" s="2" t="s">
        <v>157</v>
      </c>
      <c r="G1762" s="3">
        <v>45251</v>
      </c>
      <c r="H1762" s="3">
        <v>45264</v>
      </c>
      <c r="I1762" s="2">
        <v>13</v>
      </c>
      <c r="J1762" s="2" t="s">
        <v>115</v>
      </c>
      <c r="K1762" s="2" t="s">
        <v>116</v>
      </c>
      <c r="L1762" s="2" t="s">
        <v>117</v>
      </c>
      <c r="M1762" s="2" t="s">
        <v>130</v>
      </c>
      <c r="N1762" s="2" t="s">
        <v>62</v>
      </c>
      <c r="O1762" s="2" t="s">
        <v>164</v>
      </c>
      <c r="P1762" s="2">
        <v>200</v>
      </c>
      <c r="Q1762" s="2" t="s">
        <v>39</v>
      </c>
      <c r="R1762" s="2" t="s">
        <v>90</v>
      </c>
      <c r="S1762" s="2">
        <v>44613</v>
      </c>
      <c r="T1762" s="2">
        <v>31972</v>
      </c>
      <c r="U1762" s="2">
        <v>12641</v>
      </c>
      <c r="V1762" s="2">
        <v>19107</v>
      </c>
      <c r="W1762" s="2">
        <v>12753</v>
      </c>
      <c r="X1762" s="2">
        <v>11621</v>
      </c>
      <c r="Y1762" s="2" t="s">
        <v>91</v>
      </c>
      <c r="Z1762" s="2">
        <v>72</v>
      </c>
      <c r="AA1762" s="2">
        <v>3.4</v>
      </c>
      <c r="AB1762" s="2" t="s">
        <v>104</v>
      </c>
    </row>
    <row r="1763" spans="1:28" x14ac:dyDescent="0.25">
      <c r="A1763" s="4" t="s">
        <v>2550</v>
      </c>
      <c r="B1763" s="4" t="s">
        <v>915</v>
      </c>
      <c r="C1763" s="4">
        <v>69</v>
      </c>
      <c r="D1763" s="4" t="s">
        <v>55</v>
      </c>
      <c r="E1763" s="4" t="s">
        <v>56</v>
      </c>
      <c r="F1763" s="4" t="s">
        <v>32</v>
      </c>
      <c r="G1763" s="5">
        <v>45307</v>
      </c>
      <c r="H1763" s="5">
        <v>45332</v>
      </c>
      <c r="I1763" s="4">
        <v>25</v>
      </c>
      <c r="J1763" s="4" t="s">
        <v>115</v>
      </c>
      <c r="K1763" s="4" t="s">
        <v>160</v>
      </c>
      <c r="L1763" s="4" t="s">
        <v>117</v>
      </c>
      <c r="M1763" s="4" t="s">
        <v>61</v>
      </c>
      <c r="N1763" s="4" t="s">
        <v>37</v>
      </c>
      <c r="O1763" s="4" t="s">
        <v>355</v>
      </c>
      <c r="P1763" s="4">
        <v>248</v>
      </c>
      <c r="Q1763" s="4" t="s">
        <v>39</v>
      </c>
      <c r="R1763" s="4" t="s">
        <v>51</v>
      </c>
      <c r="S1763" s="4">
        <v>125836</v>
      </c>
      <c r="T1763" s="4">
        <v>65154</v>
      </c>
      <c r="U1763" s="4">
        <v>60682</v>
      </c>
      <c r="V1763" s="4">
        <v>88074</v>
      </c>
      <c r="W1763" s="4">
        <v>20029</v>
      </c>
      <c r="X1763" s="4">
        <v>12776</v>
      </c>
      <c r="Y1763" s="4" t="s">
        <v>41</v>
      </c>
      <c r="Z1763" s="4">
        <v>84</v>
      </c>
      <c r="AA1763" s="4">
        <v>2.2000000000000002</v>
      </c>
      <c r="AB1763" s="4" t="s">
        <v>52</v>
      </c>
    </row>
    <row r="1764" spans="1:28" x14ac:dyDescent="0.25">
      <c r="A1764" s="2" t="s">
        <v>2551</v>
      </c>
      <c r="B1764" s="2" t="s">
        <v>2060</v>
      </c>
      <c r="C1764" s="2">
        <v>80</v>
      </c>
      <c r="D1764" s="2" t="s">
        <v>55</v>
      </c>
      <c r="E1764" s="2" t="s">
        <v>87</v>
      </c>
      <c r="F1764" s="2" t="s">
        <v>157</v>
      </c>
      <c r="G1764" s="3">
        <v>44935</v>
      </c>
      <c r="H1764" s="3">
        <v>44958</v>
      </c>
      <c r="I1764" s="2">
        <v>23</v>
      </c>
      <c r="J1764" s="2" t="s">
        <v>33</v>
      </c>
      <c r="K1764" s="2" t="s">
        <v>278</v>
      </c>
      <c r="L1764" s="2" t="s">
        <v>279</v>
      </c>
      <c r="M1764" s="2" t="s">
        <v>108</v>
      </c>
      <c r="N1764" s="2" t="s">
        <v>62</v>
      </c>
      <c r="O1764" s="2" t="s">
        <v>461</v>
      </c>
      <c r="P1764" s="2">
        <v>361</v>
      </c>
      <c r="Q1764" s="2" t="s">
        <v>39</v>
      </c>
      <c r="R1764" s="2" t="s">
        <v>111</v>
      </c>
      <c r="S1764" s="2">
        <v>22910</v>
      </c>
      <c r="T1764" s="2">
        <v>17690</v>
      </c>
      <c r="U1764" s="2">
        <v>5220</v>
      </c>
      <c r="V1764" s="2">
        <v>7481</v>
      </c>
      <c r="W1764" s="2">
        <v>2626</v>
      </c>
      <c r="X1764" s="2">
        <v>11261</v>
      </c>
      <c r="Y1764" s="2" t="s">
        <v>41</v>
      </c>
      <c r="Z1764" s="2">
        <v>84</v>
      </c>
      <c r="AA1764" s="2">
        <v>4.5</v>
      </c>
      <c r="AB1764" s="2" t="s">
        <v>64</v>
      </c>
    </row>
    <row r="1765" spans="1:28" x14ac:dyDescent="0.25">
      <c r="A1765" s="4" t="s">
        <v>2552</v>
      </c>
      <c r="B1765" s="4" t="s">
        <v>245</v>
      </c>
      <c r="C1765" s="4">
        <v>70</v>
      </c>
      <c r="D1765" s="4" t="s">
        <v>55</v>
      </c>
      <c r="E1765" s="4" t="s">
        <v>87</v>
      </c>
      <c r="F1765" s="4" t="s">
        <v>46</v>
      </c>
      <c r="G1765" s="5">
        <v>45423</v>
      </c>
      <c r="H1765" s="5">
        <v>45424</v>
      </c>
      <c r="I1765" s="4">
        <v>1</v>
      </c>
      <c r="J1765" s="4" t="s">
        <v>123</v>
      </c>
      <c r="K1765" s="4" t="s">
        <v>124</v>
      </c>
      <c r="L1765" s="4" t="s">
        <v>125</v>
      </c>
      <c r="M1765" s="4" t="s">
        <v>61</v>
      </c>
      <c r="N1765" s="4" t="s">
        <v>37</v>
      </c>
      <c r="O1765" s="4" t="s">
        <v>553</v>
      </c>
      <c r="P1765" s="4">
        <v>148</v>
      </c>
      <c r="Q1765" s="4" t="s">
        <v>69</v>
      </c>
      <c r="R1765" s="4" t="s">
        <v>136</v>
      </c>
      <c r="S1765" s="4">
        <v>156272</v>
      </c>
      <c r="T1765" s="4">
        <v>0</v>
      </c>
      <c r="U1765" s="4">
        <v>156272</v>
      </c>
      <c r="V1765" s="4">
        <v>135999</v>
      </c>
      <c r="W1765" s="4">
        <v>16795</v>
      </c>
      <c r="X1765" s="4">
        <v>1869</v>
      </c>
      <c r="Y1765" s="4" t="s">
        <v>41</v>
      </c>
      <c r="Z1765" s="4">
        <v>44</v>
      </c>
      <c r="AA1765" s="4">
        <v>3.6</v>
      </c>
      <c r="AB1765" s="4" t="s">
        <v>64</v>
      </c>
    </row>
    <row r="1766" spans="1:28" x14ac:dyDescent="0.25">
      <c r="A1766" s="2" t="s">
        <v>2553</v>
      </c>
      <c r="B1766" s="2" t="s">
        <v>672</v>
      </c>
      <c r="C1766" s="2">
        <v>13</v>
      </c>
      <c r="D1766" s="2" t="s">
        <v>30</v>
      </c>
      <c r="E1766" s="2" t="s">
        <v>67</v>
      </c>
      <c r="F1766" s="2" t="s">
        <v>157</v>
      </c>
      <c r="G1766" s="3">
        <v>45530</v>
      </c>
      <c r="H1766" s="3">
        <v>45544</v>
      </c>
      <c r="I1766" s="2">
        <v>14</v>
      </c>
      <c r="J1766" s="2" t="s">
        <v>58</v>
      </c>
      <c r="K1766" s="2" t="s">
        <v>88</v>
      </c>
      <c r="L1766" s="2" t="s">
        <v>60</v>
      </c>
      <c r="M1766" s="2" t="s">
        <v>75</v>
      </c>
      <c r="N1766" s="2" t="s">
        <v>109</v>
      </c>
      <c r="O1766" s="2" t="s">
        <v>647</v>
      </c>
      <c r="P1766" s="2">
        <v>355</v>
      </c>
      <c r="Q1766" s="2" t="s">
        <v>50</v>
      </c>
      <c r="R1766" s="2" t="s">
        <v>136</v>
      </c>
      <c r="S1766" s="2">
        <v>75226</v>
      </c>
      <c r="T1766" s="2">
        <v>0</v>
      </c>
      <c r="U1766" s="2">
        <v>75226</v>
      </c>
      <c r="V1766" s="2">
        <v>38985</v>
      </c>
      <c r="W1766" s="2">
        <v>23636</v>
      </c>
      <c r="X1766" s="2">
        <v>9458</v>
      </c>
      <c r="Y1766" s="2" t="s">
        <v>41</v>
      </c>
      <c r="Z1766" s="2">
        <v>82</v>
      </c>
      <c r="AA1766" s="2">
        <v>2.1</v>
      </c>
      <c r="AB1766" s="2" t="s">
        <v>137</v>
      </c>
    </row>
    <row r="1767" spans="1:28" x14ac:dyDescent="0.25">
      <c r="A1767" s="4" t="s">
        <v>2554</v>
      </c>
      <c r="B1767" s="4" t="s">
        <v>501</v>
      </c>
      <c r="C1767" s="4">
        <v>24</v>
      </c>
      <c r="D1767" s="4" t="s">
        <v>55</v>
      </c>
      <c r="E1767" s="4" t="s">
        <v>154</v>
      </c>
      <c r="F1767" s="4" t="s">
        <v>72</v>
      </c>
      <c r="G1767" s="5">
        <v>45018</v>
      </c>
      <c r="H1767" s="5">
        <v>45044</v>
      </c>
      <c r="I1767" s="4">
        <v>26</v>
      </c>
      <c r="J1767" s="4" t="s">
        <v>73</v>
      </c>
      <c r="K1767" s="4" t="s">
        <v>74</v>
      </c>
      <c r="L1767" s="4" t="s">
        <v>73</v>
      </c>
      <c r="M1767" s="4" t="s">
        <v>143</v>
      </c>
      <c r="N1767" s="4" t="s">
        <v>37</v>
      </c>
      <c r="O1767" s="4" t="s">
        <v>295</v>
      </c>
      <c r="P1767" s="4">
        <v>255</v>
      </c>
      <c r="Q1767" s="4" t="s">
        <v>69</v>
      </c>
      <c r="R1767" s="4" t="s">
        <v>136</v>
      </c>
      <c r="S1767" s="4">
        <v>85830</v>
      </c>
      <c r="T1767" s="4">
        <v>0</v>
      </c>
      <c r="U1767" s="4">
        <v>85830</v>
      </c>
      <c r="V1767" s="4">
        <v>55826</v>
      </c>
      <c r="W1767" s="4">
        <v>12493</v>
      </c>
      <c r="X1767" s="4">
        <v>13653</v>
      </c>
      <c r="Y1767" s="4" t="s">
        <v>41</v>
      </c>
      <c r="Z1767" s="4">
        <v>100</v>
      </c>
      <c r="AA1767" s="4">
        <v>2.5</v>
      </c>
      <c r="AB1767" s="4" t="s">
        <v>42</v>
      </c>
    </row>
    <row r="1768" spans="1:28" x14ac:dyDescent="0.25">
      <c r="A1768" s="2" t="s">
        <v>2555</v>
      </c>
      <c r="B1768" s="2" t="s">
        <v>1517</v>
      </c>
      <c r="C1768" s="2">
        <v>68</v>
      </c>
      <c r="D1768" s="2" t="s">
        <v>30</v>
      </c>
      <c r="E1768" s="2" t="s">
        <v>67</v>
      </c>
      <c r="F1768" s="2" t="s">
        <v>46</v>
      </c>
      <c r="G1768" s="3">
        <v>45299</v>
      </c>
      <c r="H1768" s="3">
        <v>45310</v>
      </c>
      <c r="I1768" s="2">
        <v>11</v>
      </c>
      <c r="J1768" s="2" t="s">
        <v>33</v>
      </c>
      <c r="K1768" s="2" t="s">
        <v>197</v>
      </c>
      <c r="L1768" s="2" t="s">
        <v>198</v>
      </c>
      <c r="M1768" s="2" t="s">
        <v>143</v>
      </c>
      <c r="N1768" s="2" t="s">
        <v>109</v>
      </c>
      <c r="O1768" s="2" t="s">
        <v>76</v>
      </c>
      <c r="P1768" s="2">
        <v>473</v>
      </c>
      <c r="Q1768" s="2" t="s">
        <v>69</v>
      </c>
      <c r="R1768" s="2" t="s">
        <v>51</v>
      </c>
      <c r="S1768" s="2">
        <v>135049</v>
      </c>
      <c r="T1768" s="2">
        <v>75344</v>
      </c>
      <c r="U1768" s="2">
        <v>59705</v>
      </c>
      <c r="V1768" s="2">
        <v>97647</v>
      </c>
      <c r="W1768" s="2">
        <v>24788</v>
      </c>
      <c r="X1768" s="2">
        <v>11711</v>
      </c>
      <c r="Y1768" s="2" t="s">
        <v>91</v>
      </c>
      <c r="Z1768" s="2">
        <v>74</v>
      </c>
      <c r="AA1768" s="2">
        <v>3.4</v>
      </c>
      <c r="AB1768" s="2" t="s">
        <v>137</v>
      </c>
    </row>
    <row r="1769" spans="1:28" x14ac:dyDescent="0.25">
      <c r="A1769" s="4" t="s">
        <v>2556</v>
      </c>
      <c r="B1769" s="4" t="s">
        <v>2557</v>
      </c>
      <c r="C1769" s="4">
        <v>49</v>
      </c>
      <c r="D1769" s="4" t="s">
        <v>55</v>
      </c>
      <c r="E1769" s="4" t="s">
        <v>45</v>
      </c>
      <c r="F1769" s="4" t="s">
        <v>94</v>
      </c>
      <c r="G1769" s="5">
        <v>44789</v>
      </c>
      <c r="H1769" s="5">
        <v>44810</v>
      </c>
      <c r="I1769" s="4">
        <v>21</v>
      </c>
      <c r="J1769" s="4" t="s">
        <v>123</v>
      </c>
      <c r="K1769" s="4" t="s">
        <v>251</v>
      </c>
      <c r="L1769" s="4" t="s">
        <v>125</v>
      </c>
      <c r="M1769" s="4" t="s">
        <v>75</v>
      </c>
      <c r="N1769" s="4" t="s">
        <v>62</v>
      </c>
      <c r="O1769" s="4" t="s">
        <v>76</v>
      </c>
      <c r="P1769" s="4">
        <v>288</v>
      </c>
      <c r="Q1769" s="4" t="s">
        <v>103</v>
      </c>
      <c r="R1769" s="4" t="s">
        <v>111</v>
      </c>
      <c r="S1769" s="4">
        <v>168600</v>
      </c>
      <c r="T1769" s="4">
        <v>126427</v>
      </c>
      <c r="U1769" s="4">
        <v>42173</v>
      </c>
      <c r="V1769" s="4">
        <v>133928</v>
      </c>
      <c r="W1769" s="4">
        <v>27336</v>
      </c>
      <c r="X1769" s="4">
        <v>4759</v>
      </c>
      <c r="Y1769" s="4" t="s">
        <v>91</v>
      </c>
      <c r="Z1769" s="4">
        <v>53</v>
      </c>
      <c r="AA1769" s="4">
        <v>3.3</v>
      </c>
      <c r="AB1769" s="4" t="s">
        <v>42</v>
      </c>
    </row>
    <row r="1770" spans="1:28" x14ac:dyDescent="0.25">
      <c r="A1770" s="2" t="s">
        <v>2558</v>
      </c>
      <c r="B1770" s="2" t="s">
        <v>858</v>
      </c>
      <c r="C1770" s="2">
        <v>29</v>
      </c>
      <c r="D1770" s="2" t="s">
        <v>30</v>
      </c>
      <c r="E1770" s="2" t="s">
        <v>79</v>
      </c>
      <c r="F1770" s="2" t="s">
        <v>114</v>
      </c>
      <c r="G1770" s="3">
        <v>45238</v>
      </c>
      <c r="H1770" s="3">
        <v>45246</v>
      </c>
      <c r="I1770" s="2">
        <v>8</v>
      </c>
      <c r="J1770" s="2" t="s">
        <v>73</v>
      </c>
      <c r="K1770" s="2" t="s">
        <v>74</v>
      </c>
      <c r="L1770" s="2" t="s">
        <v>73</v>
      </c>
      <c r="M1770" s="2" t="s">
        <v>134</v>
      </c>
      <c r="N1770" s="2" t="s">
        <v>37</v>
      </c>
      <c r="O1770" s="2" t="s">
        <v>119</v>
      </c>
      <c r="P1770" s="2">
        <v>381</v>
      </c>
      <c r="Q1770" s="2" t="s">
        <v>103</v>
      </c>
      <c r="R1770" s="2" t="s">
        <v>40</v>
      </c>
      <c r="S1770" s="2">
        <v>85449</v>
      </c>
      <c r="T1770" s="2">
        <v>38184</v>
      </c>
      <c r="U1770" s="2">
        <v>47265</v>
      </c>
      <c r="V1770" s="2">
        <v>57070</v>
      </c>
      <c r="W1770" s="2">
        <v>16712</v>
      </c>
      <c r="X1770" s="2">
        <v>9956</v>
      </c>
      <c r="Y1770" s="2" t="s">
        <v>41</v>
      </c>
      <c r="Z1770" s="2">
        <v>84</v>
      </c>
      <c r="AA1770" s="2">
        <v>3.3</v>
      </c>
      <c r="AB1770" s="2" t="s">
        <v>64</v>
      </c>
    </row>
    <row r="1771" spans="1:28" x14ac:dyDescent="0.25">
      <c r="A1771" s="4" t="s">
        <v>2559</v>
      </c>
      <c r="B1771" s="4" t="s">
        <v>1048</v>
      </c>
      <c r="C1771" s="4">
        <v>83</v>
      </c>
      <c r="D1771" s="4" t="s">
        <v>55</v>
      </c>
      <c r="E1771" s="4" t="s">
        <v>45</v>
      </c>
      <c r="F1771" s="4" t="s">
        <v>57</v>
      </c>
      <c r="G1771" s="5">
        <v>44933</v>
      </c>
      <c r="H1771" s="5">
        <v>44940</v>
      </c>
      <c r="I1771" s="4">
        <v>7</v>
      </c>
      <c r="J1771" s="4" t="s">
        <v>33</v>
      </c>
      <c r="K1771" s="4" t="s">
        <v>174</v>
      </c>
      <c r="L1771" s="4" t="s">
        <v>48</v>
      </c>
      <c r="M1771" s="4" t="s">
        <v>61</v>
      </c>
      <c r="N1771" s="4" t="s">
        <v>37</v>
      </c>
      <c r="O1771" s="4" t="s">
        <v>168</v>
      </c>
      <c r="P1771" s="4">
        <v>161</v>
      </c>
      <c r="Q1771" s="4" t="s">
        <v>69</v>
      </c>
      <c r="R1771" s="4" t="s">
        <v>136</v>
      </c>
      <c r="S1771" s="4">
        <v>66132</v>
      </c>
      <c r="T1771" s="4">
        <v>0</v>
      </c>
      <c r="U1771" s="4">
        <v>66132</v>
      </c>
      <c r="V1771" s="4">
        <v>48146</v>
      </c>
      <c r="W1771" s="4">
        <v>4778</v>
      </c>
      <c r="X1771" s="4">
        <v>10335</v>
      </c>
      <c r="Y1771" s="4" t="s">
        <v>91</v>
      </c>
      <c r="Z1771" s="4">
        <v>98</v>
      </c>
      <c r="AA1771" s="4">
        <v>3.9</v>
      </c>
      <c r="AB1771" s="4" t="s">
        <v>52</v>
      </c>
    </row>
    <row r="1772" spans="1:28" x14ac:dyDescent="0.25">
      <c r="A1772" s="2" t="s">
        <v>2560</v>
      </c>
      <c r="B1772" s="2" t="s">
        <v>488</v>
      </c>
      <c r="C1772" s="2">
        <v>58</v>
      </c>
      <c r="D1772" s="2" t="s">
        <v>55</v>
      </c>
      <c r="E1772" s="2" t="s">
        <v>87</v>
      </c>
      <c r="F1772" s="2" t="s">
        <v>72</v>
      </c>
      <c r="G1772" s="3">
        <v>45436</v>
      </c>
      <c r="H1772" s="3">
        <v>45442</v>
      </c>
      <c r="I1772" s="2">
        <v>6</v>
      </c>
      <c r="J1772" s="2" t="s">
        <v>33</v>
      </c>
      <c r="K1772" s="2" t="s">
        <v>233</v>
      </c>
      <c r="L1772" s="2" t="s">
        <v>35</v>
      </c>
      <c r="M1772" s="2" t="s">
        <v>134</v>
      </c>
      <c r="N1772" s="2" t="s">
        <v>118</v>
      </c>
      <c r="O1772" s="2" t="s">
        <v>271</v>
      </c>
      <c r="P1772" s="2">
        <v>231</v>
      </c>
      <c r="Q1772" s="2" t="s">
        <v>39</v>
      </c>
      <c r="R1772" s="2" t="s">
        <v>111</v>
      </c>
      <c r="S1772" s="2">
        <v>120260</v>
      </c>
      <c r="T1772" s="2">
        <v>99253</v>
      </c>
      <c r="U1772" s="2">
        <v>21007</v>
      </c>
      <c r="V1772" s="2">
        <v>103998</v>
      </c>
      <c r="W1772" s="2">
        <v>1526</v>
      </c>
      <c r="X1772" s="2">
        <v>9873</v>
      </c>
      <c r="Y1772" s="2" t="s">
        <v>41</v>
      </c>
      <c r="Z1772" s="2">
        <v>77</v>
      </c>
      <c r="AA1772" s="2">
        <v>2.2999999999999998</v>
      </c>
      <c r="AB1772" s="2" t="s">
        <v>42</v>
      </c>
    </row>
    <row r="1773" spans="1:28" x14ac:dyDescent="0.25">
      <c r="A1773" s="4" t="s">
        <v>2561</v>
      </c>
      <c r="B1773" s="4" t="s">
        <v>236</v>
      </c>
      <c r="C1773" s="4">
        <v>43</v>
      </c>
      <c r="D1773" s="4" t="s">
        <v>30</v>
      </c>
      <c r="E1773" s="4" t="s">
        <v>31</v>
      </c>
      <c r="F1773" s="4" t="s">
        <v>114</v>
      </c>
      <c r="G1773" s="5">
        <v>45454</v>
      </c>
      <c r="H1773" s="5">
        <v>45466</v>
      </c>
      <c r="I1773" s="4">
        <v>12</v>
      </c>
      <c r="J1773" s="4" t="s">
        <v>115</v>
      </c>
      <c r="K1773" s="4" t="s">
        <v>160</v>
      </c>
      <c r="L1773" s="4" t="s">
        <v>117</v>
      </c>
      <c r="M1773" s="4" t="s">
        <v>83</v>
      </c>
      <c r="N1773" s="4" t="s">
        <v>118</v>
      </c>
      <c r="O1773" s="4" t="s">
        <v>96</v>
      </c>
      <c r="P1773" s="4">
        <v>413</v>
      </c>
      <c r="Q1773" s="4" t="s">
        <v>50</v>
      </c>
      <c r="R1773" s="4" t="s">
        <v>51</v>
      </c>
      <c r="S1773" s="4">
        <v>136498</v>
      </c>
      <c r="T1773" s="4">
        <v>73136</v>
      </c>
      <c r="U1773" s="4">
        <v>63362</v>
      </c>
      <c r="V1773" s="4">
        <v>95794</v>
      </c>
      <c r="W1773" s="4">
        <v>22449</v>
      </c>
      <c r="X1773" s="4">
        <v>14788</v>
      </c>
      <c r="Y1773" s="4" t="s">
        <v>41</v>
      </c>
      <c r="Z1773" s="4">
        <v>91</v>
      </c>
      <c r="AA1773" s="4">
        <v>3.9</v>
      </c>
      <c r="AB1773" s="4" t="s">
        <v>42</v>
      </c>
    </row>
    <row r="1774" spans="1:28" x14ac:dyDescent="0.25">
      <c r="A1774" s="2" t="s">
        <v>2562</v>
      </c>
      <c r="B1774" s="2" t="s">
        <v>1275</v>
      </c>
      <c r="C1774" s="2">
        <v>38</v>
      </c>
      <c r="D1774" s="2" t="s">
        <v>30</v>
      </c>
      <c r="E1774" s="2" t="s">
        <v>56</v>
      </c>
      <c r="F1774" s="2" t="s">
        <v>114</v>
      </c>
      <c r="G1774" s="3">
        <v>45059</v>
      </c>
      <c r="H1774" s="3">
        <v>45087</v>
      </c>
      <c r="I1774" s="2">
        <v>28</v>
      </c>
      <c r="J1774" s="2" t="s">
        <v>33</v>
      </c>
      <c r="K1774" s="2" t="s">
        <v>278</v>
      </c>
      <c r="L1774" s="2" t="s">
        <v>279</v>
      </c>
      <c r="M1774" s="2" t="s">
        <v>143</v>
      </c>
      <c r="N1774" s="2" t="s">
        <v>118</v>
      </c>
      <c r="O1774" s="2" t="s">
        <v>119</v>
      </c>
      <c r="P1774" s="2">
        <v>245</v>
      </c>
      <c r="Q1774" s="2" t="s">
        <v>103</v>
      </c>
      <c r="R1774" s="2" t="s">
        <v>111</v>
      </c>
      <c r="S1774" s="2">
        <v>96031</v>
      </c>
      <c r="T1774" s="2">
        <v>59905</v>
      </c>
      <c r="U1774" s="2">
        <v>36126</v>
      </c>
      <c r="V1774" s="2">
        <v>77788</v>
      </c>
      <c r="W1774" s="2">
        <v>8766</v>
      </c>
      <c r="X1774" s="2">
        <v>7685</v>
      </c>
      <c r="Y1774" s="2" t="s">
        <v>41</v>
      </c>
      <c r="Z1774" s="2">
        <v>57</v>
      </c>
      <c r="AA1774" s="2">
        <v>3.5</v>
      </c>
      <c r="AB1774" s="2" t="s">
        <v>137</v>
      </c>
    </row>
    <row r="1775" spans="1:28" x14ac:dyDescent="0.25">
      <c r="A1775" s="4" t="s">
        <v>2563</v>
      </c>
      <c r="B1775" s="4" t="s">
        <v>437</v>
      </c>
      <c r="C1775" s="4">
        <v>14</v>
      </c>
      <c r="D1775" s="4" t="s">
        <v>55</v>
      </c>
      <c r="E1775" s="4" t="s">
        <v>87</v>
      </c>
      <c r="F1775" s="4" t="s">
        <v>80</v>
      </c>
      <c r="G1775" s="5">
        <v>45326</v>
      </c>
      <c r="H1775" s="5">
        <v>45342</v>
      </c>
      <c r="I1775" s="4">
        <v>16</v>
      </c>
      <c r="J1775" s="4" t="s">
        <v>33</v>
      </c>
      <c r="K1775" s="4" t="s">
        <v>278</v>
      </c>
      <c r="L1775" s="4" t="s">
        <v>279</v>
      </c>
      <c r="M1775" s="4" t="s">
        <v>61</v>
      </c>
      <c r="N1775" s="4" t="s">
        <v>109</v>
      </c>
      <c r="O1775" s="4" t="s">
        <v>530</v>
      </c>
      <c r="P1775" s="4">
        <v>21</v>
      </c>
      <c r="Q1775" s="4" t="s">
        <v>69</v>
      </c>
      <c r="R1775" s="4" t="s">
        <v>90</v>
      </c>
      <c r="S1775" s="4">
        <v>113977</v>
      </c>
      <c r="T1775" s="4">
        <v>78188</v>
      </c>
      <c r="U1775" s="4">
        <v>35789</v>
      </c>
      <c r="V1775" s="4">
        <v>89852</v>
      </c>
      <c r="W1775" s="4">
        <v>20306</v>
      </c>
      <c r="X1775" s="4">
        <v>701</v>
      </c>
      <c r="Y1775" s="4" t="s">
        <v>41</v>
      </c>
      <c r="Z1775" s="4">
        <v>68</v>
      </c>
      <c r="AA1775" s="4">
        <v>2.7</v>
      </c>
      <c r="AB1775" s="4" t="s">
        <v>52</v>
      </c>
    </row>
    <row r="1776" spans="1:28" x14ac:dyDescent="0.25">
      <c r="A1776" s="2" t="s">
        <v>2564</v>
      </c>
      <c r="B1776" s="2" t="s">
        <v>1586</v>
      </c>
      <c r="C1776" s="2">
        <v>41</v>
      </c>
      <c r="D1776" s="2" t="s">
        <v>55</v>
      </c>
      <c r="E1776" s="2" t="s">
        <v>45</v>
      </c>
      <c r="F1776" s="2" t="s">
        <v>72</v>
      </c>
      <c r="G1776" s="3">
        <v>44699</v>
      </c>
      <c r="H1776" s="3">
        <v>44718</v>
      </c>
      <c r="I1776" s="2">
        <v>19</v>
      </c>
      <c r="J1776" s="2" t="s">
        <v>73</v>
      </c>
      <c r="K1776" s="2" t="s">
        <v>74</v>
      </c>
      <c r="L1776" s="2" t="s">
        <v>73</v>
      </c>
      <c r="M1776" s="2" t="s">
        <v>134</v>
      </c>
      <c r="N1776" s="2" t="s">
        <v>109</v>
      </c>
      <c r="O1776" s="2" t="s">
        <v>538</v>
      </c>
      <c r="P1776" s="2">
        <v>65</v>
      </c>
      <c r="Q1776" s="2" t="s">
        <v>103</v>
      </c>
      <c r="R1776" s="2" t="s">
        <v>90</v>
      </c>
      <c r="S1776" s="2">
        <v>60406</v>
      </c>
      <c r="T1776" s="2">
        <v>40719</v>
      </c>
      <c r="U1776" s="2">
        <v>19687</v>
      </c>
      <c r="V1776" s="2">
        <v>40318</v>
      </c>
      <c r="W1776" s="2">
        <v>7174</v>
      </c>
      <c r="X1776" s="2">
        <v>10495</v>
      </c>
      <c r="Y1776" s="2" t="s">
        <v>41</v>
      </c>
      <c r="Z1776" s="2">
        <v>43</v>
      </c>
      <c r="AA1776" s="2">
        <v>4.3</v>
      </c>
      <c r="AB1776" s="2" t="s">
        <v>137</v>
      </c>
    </row>
    <row r="1777" spans="1:28" x14ac:dyDescent="0.25">
      <c r="A1777" s="4" t="s">
        <v>2565</v>
      </c>
      <c r="B1777" s="4" t="s">
        <v>709</v>
      </c>
      <c r="C1777" s="4">
        <v>30</v>
      </c>
      <c r="D1777" s="4" t="s">
        <v>30</v>
      </c>
      <c r="E1777" s="4" t="s">
        <v>31</v>
      </c>
      <c r="F1777" s="4" t="s">
        <v>80</v>
      </c>
      <c r="G1777" s="5">
        <v>45529</v>
      </c>
      <c r="H1777" s="5">
        <v>45540</v>
      </c>
      <c r="I1777" s="4">
        <v>11</v>
      </c>
      <c r="J1777" s="4" t="s">
        <v>33</v>
      </c>
      <c r="K1777" s="4" t="s">
        <v>278</v>
      </c>
      <c r="L1777" s="4" t="s">
        <v>279</v>
      </c>
      <c r="M1777" s="4" t="s">
        <v>130</v>
      </c>
      <c r="N1777" s="4" t="s">
        <v>37</v>
      </c>
      <c r="O1777" s="4" t="s">
        <v>340</v>
      </c>
      <c r="P1777" s="4">
        <v>96</v>
      </c>
      <c r="Q1777" s="4" t="s">
        <v>69</v>
      </c>
      <c r="R1777" s="4" t="s">
        <v>51</v>
      </c>
      <c r="S1777" s="4">
        <v>125356</v>
      </c>
      <c r="T1777" s="4">
        <v>71207</v>
      </c>
      <c r="U1777" s="4">
        <v>54149</v>
      </c>
      <c r="V1777" s="4">
        <v>110732</v>
      </c>
      <c r="W1777" s="4">
        <v>1003</v>
      </c>
      <c r="X1777" s="4">
        <v>9107</v>
      </c>
      <c r="Y1777" s="4" t="s">
        <v>41</v>
      </c>
      <c r="Z1777" s="4">
        <v>60</v>
      </c>
      <c r="AA1777" s="4">
        <v>3.9</v>
      </c>
      <c r="AB1777" s="4" t="s">
        <v>42</v>
      </c>
    </row>
    <row r="1778" spans="1:28" x14ac:dyDescent="0.25">
      <c r="A1778" s="2" t="s">
        <v>2566</v>
      </c>
      <c r="B1778" s="2" t="s">
        <v>590</v>
      </c>
      <c r="C1778" s="2">
        <v>23</v>
      </c>
      <c r="D1778" s="2" t="s">
        <v>30</v>
      </c>
      <c r="E1778" s="2" t="s">
        <v>31</v>
      </c>
      <c r="F1778" s="2" t="s">
        <v>150</v>
      </c>
      <c r="G1778" s="3">
        <v>45432</v>
      </c>
      <c r="H1778" s="3">
        <v>45440</v>
      </c>
      <c r="I1778" s="2">
        <v>8</v>
      </c>
      <c r="J1778" s="2" t="s">
        <v>33</v>
      </c>
      <c r="K1778" s="2" t="s">
        <v>197</v>
      </c>
      <c r="L1778" s="2" t="s">
        <v>198</v>
      </c>
      <c r="M1778" s="2" t="s">
        <v>83</v>
      </c>
      <c r="N1778" s="2" t="s">
        <v>37</v>
      </c>
      <c r="O1778" s="2" t="s">
        <v>89</v>
      </c>
      <c r="P1778" s="2">
        <v>329</v>
      </c>
      <c r="Q1778" s="2" t="s">
        <v>39</v>
      </c>
      <c r="R1778" s="2" t="s">
        <v>111</v>
      </c>
      <c r="S1778" s="2">
        <v>125913</v>
      </c>
      <c r="T1778" s="2">
        <v>100378</v>
      </c>
      <c r="U1778" s="2">
        <v>25535</v>
      </c>
      <c r="V1778" s="2">
        <v>105878</v>
      </c>
      <c r="W1778" s="2">
        <v>14497</v>
      </c>
      <c r="X1778" s="2">
        <v>946</v>
      </c>
      <c r="Y1778" s="2" t="s">
        <v>41</v>
      </c>
      <c r="Z1778" s="2">
        <v>72</v>
      </c>
      <c r="AA1778" s="2">
        <v>4.4000000000000004</v>
      </c>
      <c r="AB1778" s="2" t="s">
        <v>52</v>
      </c>
    </row>
    <row r="1779" spans="1:28" x14ac:dyDescent="0.25">
      <c r="A1779" s="4" t="s">
        <v>2567</v>
      </c>
      <c r="B1779" s="4" t="s">
        <v>1487</v>
      </c>
      <c r="C1779" s="4">
        <v>42</v>
      </c>
      <c r="D1779" s="4" t="s">
        <v>30</v>
      </c>
      <c r="E1779" s="4" t="s">
        <v>45</v>
      </c>
      <c r="F1779" s="4" t="s">
        <v>57</v>
      </c>
      <c r="G1779" s="5">
        <v>45470</v>
      </c>
      <c r="H1779" s="5">
        <v>45493</v>
      </c>
      <c r="I1779" s="4">
        <v>23</v>
      </c>
      <c r="J1779" s="4" t="s">
        <v>140</v>
      </c>
      <c r="K1779" s="4" t="s">
        <v>141</v>
      </c>
      <c r="L1779" s="4" t="s">
        <v>142</v>
      </c>
      <c r="M1779" s="4" t="s">
        <v>108</v>
      </c>
      <c r="N1779" s="4" t="s">
        <v>109</v>
      </c>
      <c r="O1779" s="4" t="s">
        <v>464</v>
      </c>
      <c r="P1779" s="4">
        <v>352</v>
      </c>
      <c r="Q1779" s="4" t="s">
        <v>69</v>
      </c>
      <c r="R1779" s="4" t="s">
        <v>90</v>
      </c>
      <c r="S1779" s="4">
        <v>148059</v>
      </c>
      <c r="T1779" s="4">
        <v>119472</v>
      </c>
      <c r="U1779" s="4">
        <v>28587</v>
      </c>
      <c r="V1779" s="4">
        <v>120721</v>
      </c>
      <c r="W1779" s="4">
        <v>21059</v>
      </c>
      <c r="X1779" s="4">
        <v>4289</v>
      </c>
      <c r="Y1779" s="4" t="s">
        <v>91</v>
      </c>
      <c r="Z1779" s="4">
        <v>62</v>
      </c>
      <c r="AA1779" s="4">
        <v>2.4</v>
      </c>
      <c r="AB1779" s="4" t="s">
        <v>42</v>
      </c>
    </row>
    <row r="1780" spans="1:28" x14ac:dyDescent="0.25">
      <c r="A1780" s="2" t="s">
        <v>2568</v>
      </c>
      <c r="B1780" s="2" t="s">
        <v>1535</v>
      </c>
      <c r="C1780" s="2">
        <v>42</v>
      </c>
      <c r="D1780" s="2" t="s">
        <v>30</v>
      </c>
      <c r="E1780" s="2" t="s">
        <v>31</v>
      </c>
      <c r="F1780" s="2" t="s">
        <v>57</v>
      </c>
      <c r="G1780" s="3">
        <v>45243</v>
      </c>
      <c r="H1780" s="3">
        <v>45263</v>
      </c>
      <c r="I1780" s="2">
        <v>20</v>
      </c>
      <c r="J1780" s="2" t="s">
        <v>58</v>
      </c>
      <c r="K1780" s="2" t="s">
        <v>59</v>
      </c>
      <c r="L1780" s="2" t="s">
        <v>60</v>
      </c>
      <c r="M1780" s="2" t="s">
        <v>95</v>
      </c>
      <c r="N1780" s="2" t="s">
        <v>37</v>
      </c>
      <c r="O1780" s="2" t="s">
        <v>227</v>
      </c>
      <c r="P1780" s="2">
        <v>35</v>
      </c>
      <c r="Q1780" s="2" t="s">
        <v>103</v>
      </c>
      <c r="R1780" s="2" t="s">
        <v>111</v>
      </c>
      <c r="S1780" s="2">
        <v>110604</v>
      </c>
      <c r="T1780" s="2">
        <v>71824</v>
      </c>
      <c r="U1780" s="2">
        <v>38780</v>
      </c>
      <c r="V1780" s="2">
        <v>88751</v>
      </c>
      <c r="W1780" s="2">
        <v>7661</v>
      </c>
      <c r="X1780" s="2">
        <v>10069</v>
      </c>
      <c r="Y1780" s="2" t="s">
        <v>41</v>
      </c>
      <c r="Z1780" s="2">
        <v>60</v>
      </c>
      <c r="AA1780" s="2">
        <v>3.7</v>
      </c>
      <c r="AB1780" s="2" t="s">
        <v>42</v>
      </c>
    </row>
    <row r="1781" spans="1:28" x14ac:dyDescent="0.25">
      <c r="A1781" s="4" t="s">
        <v>2569</v>
      </c>
      <c r="B1781" s="4" t="s">
        <v>240</v>
      </c>
      <c r="C1781" s="4">
        <v>63</v>
      </c>
      <c r="D1781" s="4" t="s">
        <v>55</v>
      </c>
      <c r="E1781" s="4" t="s">
        <v>79</v>
      </c>
      <c r="F1781" s="4" t="s">
        <v>57</v>
      </c>
      <c r="G1781" s="5">
        <v>45575</v>
      </c>
      <c r="H1781" s="5">
        <v>45586</v>
      </c>
      <c r="I1781" s="4">
        <v>11</v>
      </c>
      <c r="J1781" s="4" t="s">
        <v>33</v>
      </c>
      <c r="K1781" s="4" t="s">
        <v>47</v>
      </c>
      <c r="L1781" s="4" t="s">
        <v>48</v>
      </c>
      <c r="M1781" s="4" t="s">
        <v>75</v>
      </c>
      <c r="N1781" s="4" t="s">
        <v>62</v>
      </c>
      <c r="O1781" s="4" t="s">
        <v>248</v>
      </c>
      <c r="P1781" s="4">
        <v>380</v>
      </c>
      <c r="Q1781" s="4" t="s">
        <v>103</v>
      </c>
      <c r="R1781" s="4" t="s">
        <v>136</v>
      </c>
      <c r="S1781" s="4">
        <v>148188</v>
      </c>
      <c r="T1781" s="4">
        <v>0</v>
      </c>
      <c r="U1781" s="4">
        <v>148188</v>
      </c>
      <c r="V1781" s="4">
        <v>130100</v>
      </c>
      <c r="W1781" s="4">
        <v>5650</v>
      </c>
      <c r="X1781" s="4">
        <v>7666</v>
      </c>
      <c r="Y1781" s="4" t="s">
        <v>41</v>
      </c>
      <c r="Z1781" s="4">
        <v>79</v>
      </c>
      <c r="AA1781" s="4">
        <v>4.8</v>
      </c>
      <c r="AB1781" s="4" t="s">
        <v>104</v>
      </c>
    </row>
    <row r="1782" spans="1:28" x14ac:dyDescent="0.25">
      <c r="A1782" s="2" t="s">
        <v>2570</v>
      </c>
      <c r="B1782" s="2" t="s">
        <v>906</v>
      </c>
      <c r="C1782" s="2">
        <v>8</v>
      </c>
      <c r="D1782" s="2" t="s">
        <v>30</v>
      </c>
      <c r="E1782" s="2" t="s">
        <v>56</v>
      </c>
      <c r="F1782" s="2" t="s">
        <v>32</v>
      </c>
      <c r="G1782" s="3">
        <v>44655</v>
      </c>
      <c r="H1782" s="3">
        <v>44669</v>
      </c>
      <c r="I1782" s="2">
        <v>14</v>
      </c>
      <c r="J1782" s="2" t="s">
        <v>33</v>
      </c>
      <c r="K1782" s="2" t="s">
        <v>233</v>
      </c>
      <c r="L1782" s="2" t="s">
        <v>35</v>
      </c>
      <c r="M1782" s="2" t="s">
        <v>83</v>
      </c>
      <c r="N1782" s="2" t="s">
        <v>109</v>
      </c>
      <c r="O1782" s="2" t="s">
        <v>241</v>
      </c>
      <c r="P1782" s="2">
        <v>274</v>
      </c>
      <c r="Q1782" s="2" t="s">
        <v>69</v>
      </c>
      <c r="R1782" s="2" t="s">
        <v>136</v>
      </c>
      <c r="S1782" s="2">
        <v>134340</v>
      </c>
      <c r="T1782" s="2">
        <v>0</v>
      </c>
      <c r="U1782" s="2">
        <v>134340</v>
      </c>
      <c r="V1782" s="2">
        <v>106745</v>
      </c>
      <c r="W1782" s="2">
        <v>18940</v>
      </c>
      <c r="X1782" s="2">
        <v>4470</v>
      </c>
      <c r="Y1782" s="2" t="s">
        <v>41</v>
      </c>
      <c r="Z1782" s="2">
        <v>92</v>
      </c>
      <c r="AA1782" s="2">
        <v>4.8</v>
      </c>
      <c r="AB1782" s="2" t="s">
        <v>137</v>
      </c>
    </row>
    <row r="1783" spans="1:28" x14ac:dyDescent="0.25">
      <c r="A1783" s="4" t="s">
        <v>2571</v>
      </c>
      <c r="B1783" s="4" t="s">
        <v>805</v>
      </c>
      <c r="C1783" s="4">
        <v>47</v>
      </c>
      <c r="D1783" s="4" t="s">
        <v>55</v>
      </c>
      <c r="E1783" s="4" t="s">
        <v>87</v>
      </c>
      <c r="F1783" s="4" t="s">
        <v>72</v>
      </c>
      <c r="G1783" s="5">
        <v>44880</v>
      </c>
      <c r="H1783" s="5">
        <v>44884</v>
      </c>
      <c r="I1783" s="4">
        <v>4</v>
      </c>
      <c r="J1783" s="4" t="s">
        <v>58</v>
      </c>
      <c r="K1783" s="4" t="s">
        <v>59</v>
      </c>
      <c r="L1783" s="4" t="s">
        <v>60</v>
      </c>
      <c r="M1783" s="4" t="s">
        <v>143</v>
      </c>
      <c r="N1783" s="4" t="s">
        <v>118</v>
      </c>
      <c r="O1783" s="4" t="s">
        <v>199</v>
      </c>
      <c r="P1783" s="4">
        <v>243</v>
      </c>
      <c r="Q1783" s="4" t="s">
        <v>69</v>
      </c>
      <c r="R1783" s="4" t="s">
        <v>111</v>
      </c>
      <c r="S1783" s="4">
        <v>88103</v>
      </c>
      <c r="T1783" s="4">
        <v>71059</v>
      </c>
      <c r="U1783" s="4">
        <v>17044</v>
      </c>
      <c r="V1783" s="4">
        <v>68264</v>
      </c>
      <c r="W1783" s="4">
        <v>1082</v>
      </c>
      <c r="X1783" s="4">
        <v>14767</v>
      </c>
      <c r="Y1783" s="4" t="s">
        <v>41</v>
      </c>
      <c r="Z1783" s="4">
        <v>93</v>
      </c>
      <c r="AA1783" s="4">
        <v>4.9000000000000004</v>
      </c>
      <c r="AB1783" s="4" t="s">
        <v>52</v>
      </c>
    </row>
    <row r="1784" spans="1:28" x14ac:dyDescent="0.25">
      <c r="A1784" s="2" t="s">
        <v>2572</v>
      </c>
      <c r="B1784" s="2" t="s">
        <v>741</v>
      </c>
      <c r="C1784" s="2">
        <v>9</v>
      </c>
      <c r="D1784" s="2" t="s">
        <v>30</v>
      </c>
      <c r="E1784" s="2" t="s">
        <v>79</v>
      </c>
      <c r="F1784" s="2" t="s">
        <v>94</v>
      </c>
      <c r="G1784" s="3">
        <v>44980</v>
      </c>
      <c r="H1784" s="3">
        <v>45008</v>
      </c>
      <c r="I1784" s="2">
        <v>28</v>
      </c>
      <c r="J1784" s="2" t="s">
        <v>33</v>
      </c>
      <c r="K1784" s="2" t="s">
        <v>81</v>
      </c>
      <c r="L1784" s="2" t="s">
        <v>82</v>
      </c>
      <c r="M1784" s="2" t="s">
        <v>36</v>
      </c>
      <c r="N1784" s="2" t="s">
        <v>37</v>
      </c>
      <c r="O1784" s="2" t="s">
        <v>591</v>
      </c>
      <c r="P1784" s="2">
        <v>102</v>
      </c>
      <c r="Q1784" s="2" t="s">
        <v>103</v>
      </c>
      <c r="R1784" s="2" t="s">
        <v>111</v>
      </c>
      <c r="S1784" s="2">
        <v>124074</v>
      </c>
      <c r="T1784" s="2">
        <v>109221</v>
      </c>
      <c r="U1784" s="2">
        <v>14853</v>
      </c>
      <c r="V1784" s="2">
        <v>93073</v>
      </c>
      <c r="W1784" s="2">
        <v>22846</v>
      </c>
      <c r="X1784" s="2">
        <v>7279</v>
      </c>
      <c r="Y1784" s="2" t="s">
        <v>41</v>
      </c>
      <c r="Z1784" s="2">
        <v>63</v>
      </c>
      <c r="AA1784" s="2">
        <v>5</v>
      </c>
      <c r="AB1784" s="2" t="s">
        <v>52</v>
      </c>
    </row>
    <row r="1785" spans="1:28" x14ac:dyDescent="0.25">
      <c r="A1785" s="4" t="s">
        <v>2573</v>
      </c>
      <c r="B1785" s="4" t="s">
        <v>991</v>
      </c>
      <c r="C1785" s="4">
        <v>62</v>
      </c>
      <c r="D1785" s="4" t="s">
        <v>55</v>
      </c>
      <c r="E1785" s="4" t="s">
        <v>45</v>
      </c>
      <c r="F1785" s="4" t="s">
        <v>46</v>
      </c>
      <c r="G1785" s="5">
        <v>44767</v>
      </c>
      <c r="H1785" s="5">
        <v>44793</v>
      </c>
      <c r="I1785" s="4">
        <v>26</v>
      </c>
      <c r="J1785" s="4" t="s">
        <v>123</v>
      </c>
      <c r="K1785" s="4" t="s">
        <v>251</v>
      </c>
      <c r="L1785" s="4" t="s">
        <v>125</v>
      </c>
      <c r="M1785" s="4" t="s">
        <v>83</v>
      </c>
      <c r="N1785" s="4" t="s">
        <v>37</v>
      </c>
      <c r="O1785" s="4" t="s">
        <v>406</v>
      </c>
      <c r="P1785" s="4">
        <v>7</v>
      </c>
      <c r="Q1785" s="4" t="s">
        <v>50</v>
      </c>
      <c r="R1785" s="4" t="s">
        <v>90</v>
      </c>
      <c r="S1785" s="4">
        <v>80280</v>
      </c>
      <c r="T1785" s="4">
        <v>63846</v>
      </c>
      <c r="U1785" s="4">
        <v>16434</v>
      </c>
      <c r="V1785" s="4">
        <v>51880</v>
      </c>
      <c r="W1785" s="4">
        <v>11754</v>
      </c>
      <c r="X1785" s="4">
        <v>11779</v>
      </c>
      <c r="Y1785" s="4" t="s">
        <v>41</v>
      </c>
      <c r="Z1785" s="4">
        <v>75</v>
      </c>
      <c r="AA1785" s="4">
        <v>2.2000000000000002</v>
      </c>
      <c r="AB1785" s="4" t="s">
        <v>42</v>
      </c>
    </row>
    <row r="1786" spans="1:28" x14ac:dyDescent="0.25">
      <c r="A1786" s="2" t="s">
        <v>2574</v>
      </c>
      <c r="B1786" s="2" t="s">
        <v>427</v>
      </c>
      <c r="C1786" s="2">
        <v>46</v>
      </c>
      <c r="D1786" s="2" t="s">
        <v>30</v>
      </c>
      <c r="E1786" s="2" t="s">
        <v>154</v>
      </c>
      <c r="F1786" s="2" t="s">
        <v>32</v>
      </c>
      <c r="G1786" s="3">
        <v>45263</v>
      </c>
      <c r="H1786" s="3">
        <v>45279</v>
      </c>
      <c r="I1786" s="2">
        <v>16</v>
      </c>
      <c r="J1786" s="2" t="s">
        <v>202</v>
      </c>
      <c r="K1786" s="2" t="s">
        <v>225</v>
      </c>
      <c r="L1786" s="2" t="s">
        <v>226</v>
      </c>
      <c r="M1786" s="2" t="s">
        <v>95</v>
      </c>
      <c r="N1786" s="2" t="s">
        <v>37</v>
      </c>
      <c r="O1786" s="2" t="s">
        <v>548</v>
      </c>
      <c r="P1786" s="2">
        <v>270</v>
      </c>
      <c r="Q1786" s="2" t="s">
        <v>69</v>
      </c>
      <c r="R1786" s="2" t="s">
        <v>40</v>
      </c>
      <c r="S1786" s="2">
        <v>88884</v>
      </c>
      <c r="T1786" s="2">
        <v>37837</v>
      </c>
      <c r="U1786" s="2">
        <v>51047</v>
      </c>
      <c r="V1786" s="2">
        <v>80531</v>
      </c>
      <c r="W1786" s="2">
        <v>4740</v>
      </c>
      <c r="X1786" s="2">
        <v>768</v>
      </c>
      <c r="Y1786" s="2" t="s">
        <v>91</v>
      </c>
      <c r="Z1786" s="2">
        <v>69</v>
      </c>
      <c r="AA1786" s="2">
        <v>4.2</v>
      </c>
      <c r="AB1786" s="2" t="s">
        <v>52</v>
      </c>
    </row>
    <row r="1787" spans="1:28" x14ac:dyDescent="0.25">
      <c r="A1787" s="4" t="s">
        <v>2575</v>
      </c>
      <c r="B1787" s="4" t="s">
        <v>2301</v>
      </c>
      <c r="C1787" s="4">
        <v>19</v>
      </c>
      <c r="D1787" s="4" t="s">
        <v>30</v>
      </c>
      <c r="E1787" s="4" t="s">
        <v>67</v>
      </c>
      <c r="F1787" s="4" t="s">
        <v>57</v>
      </c>
      <c r="G1787" s="5">
        <v>45633</v>
      </c>
      <c r="H1787" s="5">
        <v>45655</v>
      </c>
      <c r="I1787" s="4">
        <v>22</v>
      </c>
      <c r="J1787" s="4" t="s">
        <v>33</v>
      </c>
      <c r="K1787" s="4" t="s">
        <v>34</v>
      </c>
      <c r="L1787" s="4" t="s">
        <v>35</v>
      </c>
      <c r="M1787" s="4" t="s">
        <v>36</v>
      </c>
      <c r="N1787" s="4" t="s">
        <v>62</v>
      </c>
      <c r="O1787" s="4" t="s">
        <v>222</v>
      </c>
      <c r="P1787" s="4">
        <v>323</v>
      </c>
      <c r="Q1787" s="4" t="s">
        <v>103</v>
      </c>
      <c r="R1787" s="4" t="s">
        <v>111</v>
      </c>
      <c r="S1787" s="4">
        <v>50930</v>
      </c>
      <c r="T1787" s="4">
        <v>30812</v>
      </c>
      <c r="U1787" s="4">
        <v>20118</v>
      </c>
      <c r="V1787" s="4">
        <v>28417</v>
      </c>
      <c r="W1787" s="4">
        <v>8568</v>
      </c>
      <c r="X1787" s="4">
        <v>11115</v>
      </c>
      <c r="Y1787" s="4" t="s">
        <v>41</v>
      </c>
      <c r="Z1787" s="4">
        <v>82</v>
      </c>
      <c r="AA1787" s="4">
        <v>4</v>
      </c>
      <c r="AB1787" s="4" t="s">
        <v>104</v>
      </c>
    </row>
    <row r="1788" spans="1:28" x14ac:dyDescent="0.25">
      <c r="A1788" s="2" t="s">
        <v>2576</v>
      </c>
      <c r="B1788" s="2" t="s">
        <v>680</v>
      </c>
      <c r="C1788" s="2">
        <v>44</v>
      </c>
      <c r="D1788" s="2" t="s">
        <v>30</v>
      </c>
      <c r="E1788" s="2" t="s">
        <v>79</v>
      </c>
      <c r="F1788" s="2" t="s">
        <v>57</v>
      </c>
      <c r="G1788" s="3">
        <v>44844</v>
      </c>
      <c r="H1788" s="3">
        <v>44849</v>
      </c>
      <c r="I1788" s="2">
        <v>5</v>
      </c>
      <c r="J1788" s="2" t="s">
        <v>33</v>
      </c>
      <c r="K1788" s="2" t="s">
        <v>174</v>
      </c>
      <c r="L1788" s="2" t="s">
        <v>48</v>
      </c>
      <c r="M1788" s="2" t="s">
        <v>108</v>
      </c>
      <c r="N1788" s="2" t="s">
        <v>62</v>
      </c>
      <c r="O1788" s="2" t="s">
        <v>63</v>
      </c>
      <c r="P1788" s="2">
        <v>311</v>
      </c>
      <c r="Q1788" s="2" t="s">
        <v>50</v>
      </c>
      <c r="R1788" s="2" t="s">
        <v>51</v>
      </c>
      <c r="S1788" s="2">
        <v>91331</v>
      </c>
      <c r="T1788" s="2">
        <v>56783</v>
      </c>
      <c r="U1788" s="2">
        <v>34548</v>
      </c>
      <c r="V1788" s="2">
        <v>68437</v>
      </c>
      <c r="W1788" s="2">
        <v>11880</v>
      </c>
      <c r="X1788" s="2">
        <v>7661</v>
      </c>
      <c r="Y1788" s="2" t="s">
        <v>41</v>
      </c>
      <c r="Z1788" s="2">
        <v>81</v>
      </c>
      <c r="AA1788" s="2">
        <v>4.5</v>
      </c>
      <c r="AB1788" s="2" t="s">
        <v>104</v>
      </c>
    </row>
    <row r="1789" spans="1:28" x14ac:dyDescent="0.25">
      <c r="A1789" s="4" t="s">
        <v>2577</v>
      </c>
      <c r="B1789" s="4" t="s">
        <v>870</v>
      </c>
      <c r="C1789" s="4">
        <v>55</v>
      </c>
      <c r="D1789" s="4" t="s">
        <v>55</v>
      </c>
      <c r="E1789" s="4" t="s">
        <v>31</v>
      </c>
      <c r="F1789" s="4" t="s">
        <v>114</v>
      </c>
      <c r="G1789" s="5">
        <v>45161</v>
      </c>
      <c r="H1789" s="5">
        <v>45177</v>
      </c>
      <c r="I1789" s="4">
        <v>16</v>
      </c>
      <c r="J1789" s="4" t="s">
        <v>140</v>
      </c>
      <c r="K1789" s="4" t="s">
        <v>141</v>
      </c>
      <c r="L1789" s="4" t="s">
        <v>142</v>
      </c>
      <c r="M1789" s="4" t="s">
        <v>134</v>
      </c>
      <c r="N1789" s="4" t="s">
        <v>118</v>
      </c>
      <c r="O1789" s="4" t="s">
        <v>434</v>
      </c>
      <c r="P1789" s="4">
        <v>470</v>
      </c>
      <c r="Q1789" s="4" t="s">
        <v>69</v>
      </c>
      <c r="R1789" s="4" t="s">
        <v>111</v>
      </c>
      <c r="S1789" s="4">
        <v>47991</v>
      </c>
      <c r="T1789" s="4">
        <v>32188</v>
      </c>
      <c r="U1789" s="4">
        <v>15803</v>
      </c>
      <c r="V1789" s="4">
        <v>15061</v>
      </c>
      <c r="W1789" s="4">
        <v>18169</v>
      </c>
      <c r="X1789" s="4">
        <v>12452</v>
      </c>
      <c r="Y1789" s="4" t="s">
        <v>91</v>
      </c>
      <c r="Z1789" s="4">
        <v>88</v>
      </c>
      <c r="AA1789" s="4">
        <v>4.3</v>
      </c>
      <c r="AB1789" s="4" t="s">
        <v>64</v>
      </c>
    </row>
    <row r="1790" spans="1:28" x14ac:dyDescent="0.25">
      <c r="A1790" s="2" t="s">
        <v>2578</v>
      </c>
      <c r="B1790" s="2" t="s">
        <v>1275</v>
      </c>
      <c r="C1790" s="2">
        <v>83</v>
      </c>
      <c r="D1790" s="2" t="s">
        <v>30</v>
      </c>
      <c r="E1790" s="2" t="s">
        <v>67</v>
      </c>
      <c r="F1790" s="2" t="s">
        <v>32</v>
      </c>
      <c r="G1790" s="3">
        <v>44634</v>
      </c>
      <c r="H1790" s="3">
        <v>44659</v>
      </c>
      <c r="I1790" s="2">
        <v>25</v>
      </c>
      <c r="J1790" s="2" t="s">
        <v>33</v>
      </c>
      <c r="K1790" s="2" t="s">
        <v>197</v>
      </c>
      <c r="L1790" s="2" t="s">
        <v>198</v>
      </c>
      <c r="M1790" s="2" t="s">
        <v>134</v>
      </c>
      <c r="N1790" s="2" t="s">
        <v>118</v>
      </c>
      <c r="O1790" s="2" t="s">
        <v>89</v>
      </c>
      <c r="P1790" s="2">
        <v>465</v>
      </c>
      <c r="Q1790" s="2" t="s">
        <v>69</v>
      </c>
      <c r="R1790" s="2" t="s">
        <v>136</v>
      </c>
      <c r="S1790" s="2">
        <v>196565</v>
      </c>
      <c r="T1790" s="2">
        <v>0</v>
      </c>
      <c r="U1790" s="2">
        <v>196565</v>
      </c>
      <c r="V1790" s="2">
        <v>149215</v>
      </c>
      <c r="W1790" s="2">
        <v>29435</v>
      </c>
      <c r="X1790" s="2">
        <v>12961</v>
      </c>
      <c r="Y1790" s="2" t="s">
        <v>41</v>
      </c>
      <c r="Z1790" s="2">
        <v>66</v>
      </c>
      <c r="AA1790" s="2">
        <v>3.5</v>
      </c>
      <c r="AB1790" s="2" t="s">
        <v>64</v>
      </c>
    </row>
    <row r="1791" spans="1:28" x14ac:dyDescent="0.25">
      <c r="A1791" s="4" t="s">
        <v>2579</v>
      </c>
      <c r="B1791" s="4" t="s">
        <v>1795</v>
      </c>
      <c r="C1791" s="4">
        <v>18</v>
      </c>
      <c r="D1791" s="4" t="s">
        <v>30</v>
      </c>
      <c r="E1791" s="4" t="s">
        <v>122</v>
      </c>
      <c r="F1791" s="4" t="s">
        <v>72</v>
      </c>
      <c r="G1791" s="5">
        <v>45333</v>
      </c>
      <c r="H1791" s="5">
        <v>45337</v>
      </c>
      <c r="I1791" s="4">
        <v>4</v>
      </c>
      <c r="J1791" s="4" t="s">
        <v>33</v>
      </c>
      <c r="K1791" s="4" t="s">
        <v>107</v>
      </c>
      <c r="L1791" s="4" t="s">
        <v>48</v>
      </c>
      <c r="M1791" s="4" t="s">
        <v>101</v>
      </c>
      <c r="N1791" s="4" t="s">
        <v>37</v>
      </c>
      <c r="O1791" s="4" t="s">
        <v>365</v>
      </c>
      <c r="P1791" s="4">
        <v>255</v>
      </c>
      <c r="Q1791" s="4" t="s">
        <v>69</v>
      </c>
      <c r="R1791" s="4" t="s">
        <v>51</v>
      </c>
      <c r="S1791" s="4">
        <v>151995</v>
      </c>
      <c r="T1791" s="4">
        <v>104538</v>
      </c>
      <c r="U1791" s="4">
        <v>47457</v>
      </c>
      <c r="V1791" s="4">
        <v>136356</v>
      </c>
      <c r="W1791" s="4">
        <v>4791</v>
      </c>
      <c r="X1791" s="4">
        <v>7020</v>
      </c>
      <c r="Y1791" s="4" t="s">
        <v>41</v>
      </c>
      <c r="Z1791" s="4">
        <v>46</v>
      </c>
      <c r="AA1791" s="4">
        <v>2.7</v>
      </c>
      <c r="AB1791" s="4" t="s">
        <v>104</v>
      </c>
    </row>
    <row r="1792" spans="1:28" x14ac:dyDescent="0.25">
      <c r="A1792" s="2" t="s">
        <v>2580</v>
      </c>
      <c r="B1792" s="2" t="s">
        <v>71</v>
      </c>
      <c r="C1792" s="2">
        <v>42</v>
      </c>
      <c r="D1792" s="2" t="s">
        <v>30</v>
      </c>
      <c r="E1792" s="2" t="s">
        <v>56</v>
      </c>
      <c r="F1792" s="2" t="s">
        <v>129</v>
      </c>
      <c r="G1792" s="3">
        <v>44758</v>
      </c>
      <c r="H1792" s="3">
        <v>44770</v>
      </c>
      <c r="I1792" s="2">
        <v>12</v>
      </c>
      <c r="J1792" s="2" t="s">
        <v>33</v>
      </c>
      <c r="K1792" s="2" t="s">
        <v>197</v>
      </c>
      <c r="L1792" s="2" t="s">
        <v>198</v>
      </c>
      <c r="M1792" s="2" t="s">
        <v>108</v>
      </c>
      <c r="N1792" s="2" t="s">
        <v>118</v>
      </c>
      <c r="O1792" s="2" t="s">
        <v>461</v>
      </c>
      <c r="P1792" s="2">
        <v>475</v>
      </c>
      <c r="Q1792" s="2" t="s">
        <v>103</v>
      </c>
      <c r="R1792" s="2" t="s">
        <v>111</v>
      </c>
      <c r="S1792" s="2">
        <v>68435</v>
      </c>
      <c r="T1792" s="2">
        <v>43354</v>
      </c>
      <c r="U1792" s="2">
        <v>25081</v>
      </c>
      <c r="V1792" s="2">
        <v>45229</v>
      </c>
      <c r="W1792" s="2">
        <v>13114</v>
      </c>
      <c r="X1792" s="2">
        <v>7695</v>
      </c>
      <c r="Y1792" s="2" t="s">
        <v>41</v>
      </c>
      <c r="Z1792" s="2">
        <v>54</v>
      </c>
      <c r="AA1792" s="2">
        <v>3.3</v>
      </c>
      <c r="AB1792" s="2" t="s">
        <v>64</v>
      </c>
    </row>
    <row r="1793" spans="1:28" x14ac:dyDescent="0.25">
      <c r="A1793" s="4" t="s">
        <v>2581</v>
      </c>
      <c r="B1793" s="4" t="s">
        <v>1543</v>
      </c>
      <c r="C1793" s="4">
        <v>80</v>
      </c>
      <c r="D1793" s="4" t="s">
        <v>30</v>
      </c>
      <c r="E1793" s="4" t="s">
        <v>67</v>
      </c>
      <c r="F1793" s="4" t="s">
        <v>129</v>
      </c>
      <c r="G1793" s="5">
        <v>44893</v>
      </c>
      <c r="H1793" s="5">
        <v>44919</v>
      </c>
      <c r="I1793" s="4">
        <v>26</v>
      </c>
      <c r="J1793" s="4" t="s">
        <v>33</v>
      </c>
      <c r="K1793" s="4" t="s">
        <v>278</v>
      </c>
      <c r="L1793" s="4" t="s">
        <v>279</v>
      </c>
      <c r="M1793" s="4" t="s">
        <v>83</v>
      </c>
      <c r="N1793" s="4" t="s">
        <v>118</v>
      </c>
      <c r="O1793" s="4" t="s">
        <v>119</v>
      </c>
      <c r="P1793" s="4">
        <v>187</v>
      </c>
      <c r="Q1793" s="4" t="s">
        <v>69</v>
      </c>
      <c r="R1793" s="4" t="s">
        <v>51</v>
      </c>
      <c r="S1793" s="4">
        <v>56763</v>
      </c>
      <c r="T1793" s="4">
        <v>33210</v>
      </c>
      <c r="U1793" s="4">
        <v>23553</v>
      </c>
      <c r="V1793" s="4">
        <v>20709</v>
      </c>
      <c r="W1793" s="4">
        <v>21672</v>
      </c>
      <c r="X1793" s="4">
        <v>9741</v>
      </c>
      <c r="Y1793" s="4" t="s">
        <v>41</v>
      </c>
      <c r="Z1793" s="4">
        <v>69</v>
      </c>
      <c r="AA1793" s="4">
        <v>4.7</v>
      </c>
      <c r="AB1793" s="4" t="s">
        <v>64</v>
      </c>
    </row>
    <row r="1794" spans="1:28" x14ac:dyDescent="0.25">
      <c r="A1794" s="2" t="s">
        <v>2582</v>
      </c>
      <c r="B1794" s="2" t="s">
        <v>1789</v>
      </c>
      <c r="C1794" s="2">
        <v>68</v>
      </c>
      <c r="D1794" s="2" t="s">
        <v>55</v>
      </c>
      <c r="E1794" s="2" t="s">
        <v>67</v>
      </c>
      <c r="F1794" s="2" t="s">
        <v>57</v>
      </c>
      <c r="G1794" s="3">
        <v>45130</v>
      </c>
      <c r="H1794" s="3">
        <v>45136</v>
      </c>
      <c r="I1794" s="2">
        <v>6</v>
      </c>
      <c r="J1794" s="2" t="s">
        <v>115</v>
      </c>
      <c r="K1794" s="2" t="s">
        <v>116</v>
      </c>
      <c r="L1794" s="2" t="s">
        <v>117</v>
      </c>
      <c r="M1794" s="2" t="s">
        <v>134</v>
      </c>
      <c r="N1794" s="2" t="s">
        <v>118</v>
      </c>
      <c r="O1794" s="2" t="s">
        <v>227</v>
      </c>
      <c r="P1794" s="2">
        <v>460</v>
      </c>
      <c r="Q1794" s="2" t="s">
        <v>103</v>
      </c>
      <c r="R1794" s="2" t="s">
        <v>136</v>
      </c>
      <c r="S1794" s="2">
        <v>50952</v>
      </c>
      <c r="T1794" s="2">
        <v>0</v>
      </c>
      <c r="U1794" s="2">
        <v>50952</v>
      </c>
      <c r="V1794" s="2">
        <v>14670</v>
      </c>
      <c r="W1794" s="2">
        <v>28792</v>
      </c>
      <c r="X1794" s="2">
        <v>4840</v>
      </c>
      <c r="Y1794" s="2" t="s">
        <v>41</v>
      </c>
      <c r="Z1794" s="2">
        <v>63</v>
      </c>
      <c r="AA1794" s="2">
        <v>2.6</v>
      </c>
      <c r="AB1794" s="2" t="s">
        <v>52</v>
      </c>
    </row>
    <row r="1795" spans="1:28" x14ac:dyDescent="0.25">
      <c r="A1795" s="4" t="s">
        <v>2583</v>
      </c>
      <c r="B1795" s="4" t="s">
        <v>542</v>
      </c>
      <c r="C1795" s="4">
        <v>69</v>
      </c>
      <c r="D1795" s="4" t="s">
        <v>55</v>
      </c>
      <c r="E1795" s="4" t="s">
        <v>67</v>
      </c>
      <c r="F1795" s="4" t="s">
        <v>72</v>
      </c>
      <c r="G1795" s="5">
        <v>45147</v>
      </c>
      <c r="H1795" s="5">
        <v>45171</v>
      </c>
      <c r="I1795" s="4">
        <v>24</v>
      </c>
      <c r="J1795" s="4" t="s">
        <v>58</v>
      </c>
      <c r="K1795" s="4" t="s">
        <v>88</v>
      </c>
      <c r="L1795" s="4" t="s">
        <v>60</v>
      </c>
      <c r="M1795" s="4" t="s">
        <v>36</v>
      </c>
      <c r="N1795" s="4" t="s">
        <v>62</v>
      </c>
      <c r="O1795" s="4" t="s">
        <v>102</v>
      </c>
      <c r="P1795" s="4">
        <v>286</v>
      </c>
      <c r="Q1795" s="4" t="s">
        <v>69</v>
      </c>
      <c r="R1795" s="4" t="s">
        <v>136</v>
      </c>
      <c r="S1795" s="4">
        <v>172618</v>
      </c>
      <c r="T1795" s="4">
        <v>0</v>
      </c>
      <c r="U1795" s="4">
        <v>172618</v>
      </c>
      <c r="V1795" s="4">
        <v>137640</v>
      </c>
      <c r="W1795" s="4">
        <v>16895</v>
      </c>
      <c r="X1795" s="4">
        <v>14073</v>
      </c>
      <c r="Y1795" s="4" t="s">
        <v>91</v>
      </c>
      <c r="Z1795" s="4">
        <v>78</v>
      </c>
      <c r="AA1795" s="4">
        <v>2.6</v>
      </c>
      <c r="AB1795" s="4" t="s">
        <v>42</v>
      </c>
    </row>
    <row r="1796" spans="1:28" x14ac:dyDescent="0.25">
      <c r="A1796" s="2" t="s">
        <v>2584</v>
      </c>
      <c r="B1796" s="2" t="s">
        <v>413</v>
      </c>
      <c r="C1796" s="2">
        <v>61</v>
      </c>
      <c r="D1796" s="2" t="s">
        <v>55</v>
      </c>
      <c r="E1796" s="2" t="s">
        <v>67</v>
      </c>
      <c r="F1796" s="2" t="s">
        <v>80</v>
      </c>
      <c r="G1796" s="3">
        <v>44899</v>
      </c>
      <c r="H1796" s="3">
        <v>44909</v>
      </c>
      <c r="I1796" s="2">
        <v>10</v>
      </c>
      <c r="J1796" s="2" t="s">
        <v>123</v>
      </c>
      <c r="K1796" s="2" t="s">
        <v>124</v>
      </c>
      <c r="L1796" s="2" t="s">
        <v>125</v>
      </c>
      <c r="M1796" s="2" t="s">
        <v>108</v>
      </c>
      <c r="N1796" s="2" t="s">
        <v>62</v>
      </c>
      <c r="O1796" s="2" t="s">
        <v>119</v>
      </c>
      <c r="P1796" s="2">
        <v>338</v>
      </c>
      <c r="Q1796" s="2" t="s">
        <v>69</v>
      </c>
      <c r="R1796" s="2" t="s">
        <v>136</v>
      </c>
      <c r="S1796" s="2">
        <v>146065</v>
      </c>
      <c r="T1796" s="2">
        <v>0</v>
      </c>
      <c r="U1796" s="2">
        <v>146065</v>
      </c>
      <c r="V1796" s="2">
        <v>119441</v>
      </c>
      <c r="W1796" s="2">
        <v>9569</v>
      </c>
      <c r="X1796" s="2">
        <v>14342</v>
      </c>
      <c r="Y1796" s="2" t="s">
        <v>91</v>
      </c>
      <c r="Z1796" s="2">
        <v>50</v>
      </c>
      <c r="AA1796" s="2">
        <v>3.3</v>
      </c>
      <c r="AB1796" s="2" t="s">
        <v>104</v>
      </c>
    </row>
    <row r="1797" spans="1:28" x14ac:dyDescent="0.25">
      <c r="A1797" s="4" t="s">
        <v>2585</v>
      </c>
      <c r="B1797" s="4" t="s">
        <v>629</v>
      </c>
      <c r="C1797" s="4">
        <v>29</v>
      </c>
      <c r="D1797" s="4" t="s">
        <v>30</v>
      </c>
      <c r="E1797" s="4" t="s">
        <v>154</v>
      </c>
      <c r="F1797" s="4" t="s">
        <v>80</v>
      </c>
      <c r="G1797" s="5">
        <v>45285</v>
      </c>
      <c r="H1797" s="5">
        <v>45296</v>
      </c>
      <c r="I1797" s="4">
        <v>11</v>
      </c>
      <c r="J1797" s="4" t="s">
        <v>115</v>
      </c>
      <c r="K1797" s="4" t="s">
        <v>116</v>
      </c>
      <c r="L1797" s="4" t="s">
        <v>117</v>
      </c>
      <c r="M1797" s="4" t="s">
        <v>75</v>
      </c>
      <c r="N1797" s="4" t="s">
        <v>109</v>
      </c>
      <c r="O1797" s="4" t="s">
        <v>571</v>
      </c>
      <c r="P1797" s="4">
        <v>369</v>
      </c>
      <c r="Q1797" s="4" t="s">
        <v>39</v>
      </c>
      <c r="R1797" s="4" t="s">
        <v>90</v>
      </c>
      <c r="S1797" s="4">
        <v>84153</v>
      </c>
      <c r="T1797" s="4">
        <v>72281</v>
      </c>
      <c r="U1797" s="4">
        <v>11872</v>
      </c>
      <c r="V1797" s="4">
        <v>59479</v>
      </c>
      <c r="W1797" s="4">
        <v>18477</v>
      </c>
      <c r="X1797" s="4">
        <v>4691</v>
      </c>
      <c r="Y1797" s="4" t="s">
        <v>41</v>
      </c>
      <c r="Z1797" s="4">
        <v>44</v>
      </c>
      <c r="AA1797" s="4">
        <v>4.5</v>
      </c>
      <c r="AB1797" s="4" t="s">
        <v>42</v>
      </c>
    </row>
    <row r="1798" spans="1:28" x14ac:dyDescent="0.25">
      <c r="A1798" s="2" t="s">
        <v>2586</v>
      </c>
      <c r="B1798" s="2" t="s">
        <v>1058</v>
      </c>
      <c r="C1798" s="2">
        <v>39</v>
      </c>
      <c r="D1798" s="2" t="s">
        <v>55</v>
      </c>
      <c r="E1798" s="2" t="s">
        <v>45</v>
      </c>
      <c r="F1798" s="2" t="s">
        <v>129</v>
      </c>
      <c r="G1798" s="3">
        <v>45547</v>
      </c>
      <c r="H1798" s="3">
        <v>45558</v>
      </c>
      <c r="I1798" s="2">
        <v>11</v>
      </c>
      <c r="J1798" s="2" t="s">
        <v>123</v>
      </c>
      <c r="K1798" s="2" t="s">
        <v>251</v>
      </c>
      <c r="L1798" s="2" t="s">
        <v>125</v>
      </c>
      <c r="M1798" s="2" t="s">
        <v>108</v>
      </c>
      <c r="N1798" s="2" t="s">
        <v>62</v>
      </c>
      <c r="O1798" s="2" t="s">
        <v>492</v>
      </c>
      <c r="P1798" s="2">
        <v>332</v>
      </c>
      <c r="Q1798" s="2" t="s">
        <v>39</v>
      </c>
      <c r="R1798" s="2" t="s">
        <v>90</v>
      </c>
      <c r="S1798" s="2">
        <v>135400</v>
      </c>
      <c r="T1798" s="2">
        <v>87386</v>
      </c>
      <c r="U1798" s="2">
        <v>48014</v>
      </c>
      <c r="V1798" s="2">
        <v>119976</v>
      </c>
      <c r="W1798" s="2">
        <v>6123</v>
      </c>
      <c r="X1798" s="2">
        <v>8213</v>
      </c>
      <c r="Y1798" s="2" t="s">
        <v>41</v>
      </c>
      <c r="Z1798" s="2">
        <v>59</v>
      </c>
      <c r="AA1798" s="2">
        <v>2.1</v>
      </c>
      <c r="AB1798" s="2" t="s">
        <v>64</v>
      </c>
    </row>
    <row r="1799" spans="1:28" x14ac:dyDescent="0.25">
      <c r="A1799" s="4" t="s">
        <v>2587</v>
      </c>
      <c r="B1799" s="4" t="s">
        <v>323</v>
      </c>
      <c r="C1799" s="4">
        <v>32</v>
      </c>
      <c r="D1799" s="4" t="s">
        <v>30</v>
      </c>
      <c r="E1799" s="4" t="s">
        <v>56</v>
      </c>
      <c r="F1799" s="4" t="s">
        <v>32</v>
      </c>
      <c r="G1799" s="5">
        <v>44872</v>
      </c>
      <c r="H1799" s="5">
        <v>44886</v>
      </c>
      <c r="I1799" s="4">
        <v>14</v>
      </c>
      <c r="J1799" s="4" t="s">
        <v>33</v>
      </c>
      <c r="K1799" s="4" t="s">
        <v>174</v>
      </c>
      <c r="L1799" s="4" t="s">
        <v>48</v>
      </c>
      <c r="M1799" s="4" t="s">
        <v>83</v>
      </c>
      <c r="N1799" s="4" t="s">
        <v>109</v>
      </c>
      <c r="O1799" s="4" t="s">
        <v>678</v>
      </c>
      <c r="P1799" s="4">
        <v>450</v>
      </c>
      <c r="Q1799" s="4" t="s">
        <v>103</v>
      </c>
      <c r="R1799" s="4" t="s">
        <v>40</v>
      </c>
      <c r="S1799" s="4">
        <v>154638</v>
      </c>
      <c r="T1799" s="4">
        <v>82219</v>
      </c>
      <c r="U1799" s="4">
        <v>72419</v>
      </c>
      <c r="V1799" s="4">
        <v>122656</v>
      </c>
      <c r="W1799" s="4">
        <v>15652</v>
      </c>
      <c r="X1799" s="4">
        <v>12312</v>
      </c>
      <c r="Y1799" s="4" t="s">
        <v>41</v>
      </c>
      <c r="Z1799" s="4">
        <v>79</v>
      </c>
      <c r="AA1799" s="4">
        <v>3</v>
      </c>
      <c r="AB1799" s="4" t="s">
        <v>42</v>
      </c>
    </row>
    <row r="1800" spans="1:28" x14ac:dyDescent="0.25">
      <c r="A1800" s="2" t="s">
        <v>2588</v>
      </c>
      <c r="B1800" s="2" t="s">
        <v>1191</v>
      </c>
      <c r="C1800" s="2">
        <v>20</v>
      </c>
      <c r="D1800" s="2" t="s">
        <v>30</v>
      </c>
      <c r="E1800" s="2" t="s">
        <v>67</v>
      </c>
      <c r="F1800" s="2" t="s">
        <v>94</v>
      </c>
      <c r="G1800" s="3">
        <v>45476</v>
      </c>
      <c r="H1800" s="3">
        <v>45497</v>
      </c>
      <c r="I1800" s="2">
        <v>21</v>
      </c>
      <c r="J1800" s="2" t="s">
        <v>33</v>
      </c>
      <c r="K1800" s="2" t="s">
        <v>107</v>
      </c>
      <c r="L1800" s="2" t="s">
        <v>48</v>
      </c>
      <c r="M1800" s="2" t="s">
        <v>101</v>
      </c>
      <c r="N1800" s="2" t="s">
        <v>109</v>
      </c>
      <c r="O1800" s="2" t="s">
        <v>326</v>
      </c>
      <c r="P1800" s="2">
        <v>138</v>
      </c>
      <c r="Q1800" s="2" t="s">
        <v>39</v>
      </c>
      <c r="R1800" s="2" t="s">
        <v>90</v>
      </c>
      <c r="S1800" s="2">
        <v>84273</v>
      </c>
      <c r="T1800" s="2">
        <v>66674</v>
      </c>
      <c r="U1800" s="2">
        <v>17599</v>
      </c>
      <c r="V1800" s="2">
        <v>57757</v>
      </c>
      <c r="W1800" s="2">
        <v>14666</v>
      </c>
      <c r="X1800" s="2">
        <v>8511</v>
      </c>
      <c r="Y1800" s="2" t="s">
        <v>41</v>
      </c>
      <c r="Z1800" s="2">
        <v>95</v>
      </c>
      <c r="AA1800" s="2">
        <v>4.5</v>
      </c>
      <c r="AB1800" s="2" t="s">
        <v>137</v>
      </c>
    </row>
    <row r="1801" spans="1:28" x14ac:dyDescent="0.25">
      <c r="A1801" s="4" t="s">
        <v>2589</v>
      </c>
      <c r="B1801" s="4" t="s">
        <v>576</v>
      </c>
      <c r="C1801" s="4">
        <v>38</v>
      </c>
      <c r="D1801" s="4" t="s">
        <v>55</v>
      </c>
      <c r="E1801" s="4" t="s">
        <v>45</v>
      </c>
      <c r="F1801" s="4" t="s">
        <v>32</v>
      </c>
      <c r="G1801" s="5">
        <v>45390</v>
      </c>
      <c r="H1801" s="5">
        <v>45411</v>
      </c>
      <c r="I1801" s="4">
        <v>21</v>
      </c>
      <c r="J1801" s="4" t="s">
        <v>33</v>
      </c>
      <c r="K1801" s="4" t="s">
        <v>81</v>
      </c>
      <c r="L1801" s="4" t="s">
        <v>82</v>
      </c>
      <c r="M1801" s="4" t="s">
        <v>75</v>
      </c>
      <c r="N1801" s="4" t="s">
        <v>109</v>
      </c>
      <c r="O1801" s="4" t="s">
        <v>548</v>
      </c>
      <c r="P1801" s="4">
        <v>98</v>
      </c>
      <c r="Q1801" s="4" t="s">
        <v>69</v>
      </c>
      <c r="R1801" s="4" t="s">
        <v>111</v>
      </c>
      <c r="S1801" s="4">
        <v>76069</v>
      </c>
      <c r="T1801" s="4">
        <v>65593</v>
      </c>
      <c r="U1801" s="4">
        <v>10476</v>
      </c>
      <c r="V1801" s="4">
        <v>37359</v>
      </c>
      <c r="W1801" s="4">
        <v>24368</v>
      </c>
      <c r="X1801" s="4">
        <v>12152</v>
      </c>
      <c r="Y1801" s="4" t="s">
        <v>41</v>
      </c>
      <c r="Z1801" s="4">
        <v>78</v>
      </c>
      <c r="AA1801" s="4">
        <v>2</v>
      </c>
      <c r="AB1801" s="4" t="s">
        <v>64</v>
      </c>
    </row>
    <row r="1802" spans="1:28" x14ac:dyDescent="0.25">
      <c r="A1802" s="2" t="s">
        <v>2590</v>
      </c>
      <c r="B1802" s="2" t="s">
        <v>1030</v>
      </c>
      <c r="C1802" s="2">
        <v>31</v>
      </c>
      <c r="D1802" s="2" t="s">
        <v>55</v>
      </c>
      <c r="E1802" s="2" t="s">
        <v>31</v>
      </c>
      <c r="F1802" s="2" t="s">
        <v>32</v>
      </c>
      <c r="G1802" s="3">
        <v>44770</v>
      </c>
      <c r="H1802" s="3">
        <v>44791</v>
      </c>
      <c r="I1802" s="2">
        <v>21</v>
      </c>
      <c r="J1802" s="2" t="s">
        <v>33</v>
      </c>
      <c r="K1802" s="2" t="s">
        <v>47</v>
      </c>
      <c r="L1802" s="2" t="s">
        <v>48</v>
      </c>
      <c r="M1802" s="2" t="s">
        <v>75</v>
      </c>
      <c r="N1802" s="2" t="s">
        <v>62</v>
      </c>
      <c r="O1802" s="2" t="s">
        <v>230</v>
      </c>
      <c r="P1802" s="2">
        <v>207</v>
      </c>
      <c r="Q1802" s="2" t="s">
        <v>50</v>
      </c>
      <c r="R1802" s="2" t="s">
        <v>51</v>
      </c>
      <c r="S1802" s="2">
        <v>22687</v>
      </c>
      <c r="T1802" s="2">
        <v>9995</v>
      </c>
      <c r="U1802" s="2">
        <v>12692</v>
      </c>
      <c r="V1802" s="2">
        <v>7970</v>
      </c>
      <c r="W1802" s="2">
        <v>6161</v>
      </c>
      <c r="X1802" s="2">
        <v>4588</v>
      </c>
      <c r="Y1802" s="2" t="s">
        <v>91</v>
      </c>
      <c r="Z1802" s="2">
        <v>47</v>
      </c>
      <c r="AA1802" s="2">
        <v>4.5999999999999996</v>
      </c>
      <c r="AB1802" s="2" t="s">
        <v>64</v>
      </c>
    </row>
    <row r="1803" spans="1:28" x14ac:dyDescent="0.25">
      <c r="A1803" s="4" t="s">
        <v>2591</v>
      </c>
      <c r="B1803" s="4" t="s">
        <v>2592</v>
      </c>
      <c r="C1803" s="4">
        <v>83</v>
      </c>
      <c r="D1803" s="4" t="s">
        <v>30</v>
      </c>
      <c r="E1803" s="4" t="s">
        <v>31</v>
      </c>
      <c r="F1803" s="4" t="s">
        <v>157</v>
      </c>
      <c r="G1803" s="5">
        <v>44787</v>
      </c>
      <c r="H1803" s="5">
        <v>44799</v>
      </c>
      <c r="I1803" s="4">
        <v>12</v>
      </c>
      <c r="J1803" s="4" t="s">
        <v>140</v>
      </c>
      <c r="K1803" s="4" t="s">
        <v>167</v>
      </c>
      <c r="L1803" s="4" t="s">
        <v>142</v>
      </c>
      <c r="M1803" s="4" t="s">
        <v>101</v>
      </c>
      <c r="N1803" s="4" t="s">
        <v>37</v>
      </c>
      <c r="O1803" s="4" t="s">
        <v>205</v>
      </c>
      <c r="P1803" s="4">
        <v>185</v>
      </c>
      <c r="Q1803" s="4" t="s">
        <v>103</v>
      </c>
      <c r="R1803" s="4" t="s">
        <v>40</v>
      </c>
      <c r="S1803" s="4">
        <v>105713</v>
      </c>
      <c r="T1803" s="4">
        <v>60673</v>
      </c>
      <c r="U1803" s="4">
        <v>45040</v>
      </c>
      <c r="V1803" s="4">
        <v>73181</v>
      </c>
      <c r="W1803" s="4">
        <v>27513</v>
      </c>
      <c r="X1803" s="4">
        <v>1918</v>
      </c>
      <c r="Y1803" s="4" t="s">
        <v>91</v>
      </c>
      <c r="Z1803" s="4">
        <v>83</v>
      </c>
      <c r="AA1803" s="4">
        <v>3.1</v>
      </c>
      <c r="AB1803" s="4" t="s">
        <v>137</v>
      </c>
    </row>
    <row r="1804" spans="1:28" x14ac:dyDescent="0.25">
      <c r="A1804" s="2" t="s">
        <v>2593</v>
      </c>
      <c r="B1804" s="2" t="s">
        <v>599</v>
      </c>
      <c r="C1804" s="2">
        <v>58</v>
      </c>
      <c r="D1804" s="2" t="s">
        <v>55</v>
      </c>
      <c r="E1804" s="2" t="s">
        <v>31</v>
      </c>
      <c r="F1804" s="2" t="s">
        <v>114</v>
      </c>
      <c r="G1804" s="3">
        <v>45285</v>
      </c>
      <c r="H1804" s="3">
        <v>45287</v>
      </c>
      <c r="I1804" s="2">
        <v>2</v>
      </c>
      <c r="J1804" s="2" t="s">
        <v>58</v>
      </c>
      <c r="K1804" s="2" t="s">
        <v>59</v>
      </c>
      <c r="L1804" s="2" t="s">
        <v>60</v>
      </c>
      <c r="M1804" s="2" t="s">
        <v>130</v>
      </c>
      <c r="N1804" s="2" t="s">
        <v>109</v>
      </c>
      <c r="O1804" s="2" t="s">
        <v>175</v>
      </c>
      <c r="P1804" s="2">
        <v>415</v>
      </c>
      <c r="Q1804" s="2" t="s">
        <v>39</v>
      </c>
      <c r="R1804" s="2" t="s">
        <v>136</v>
      </c>
      <c r="S1804" s="2">
        <v>166261</v>
      </c>
      <c r="T1804" s="2">
        <v>0</v>
      </c>
      <c r="U1804" s="2">
        <v>166261</v>
      </c>
      <c r="V1804" s="2">
        <v>134618</v>
      </c>
      <c r="W1804" s="2">
        <v>19094</v>
      </c>
      <c r="X1804" s="2">
        <v>10970</v>
      </c>
      <c r="Y1804" s="2" t="s">
        <v>91</v>
      </c>
      <c r="Z1804" s="2">
        <v>99</v>
      </c>
      <c r="AA1804" s="2">
        <v>4.9000000000000004</v>
      </c>
      <c r="AB1804" s="2" t="s">
        <v>104</v>
      </c>
    </row>
    <row r="1805" spans="1:28" x14ac:dyDescent="0.25">
      <c r="A1805" s="4" t="s">
        <v>2594</v>
      </c>
      <c r="B1805" s="4" t="s">
        <v>590</v>
      </c>
      <c r="C1805" s="4">
        <v>23</v>
      </c>
      <c r="D1805" s="4" t="s">
        <v>30</v>
      </c>
      <c r="E1805" s="4" t="s">
        <v>56</v>
      </c>
      <c r="F1805" s="4" t="s">
        <v>32</v>
      </c>
      <c r="G1805" s="5">
        <v>45252</v>
      </c>
      <c r="H1805" s="5">
        <v>45254</v>
      </c>
      <c r="I1805" s="4">
        <v>2</v>
      </c>
      <c r="J1805" s="4" t="s">
        <v>33</v>
      </c>
      <c r="K1805" s="4" t="s">
        <v>81</v>
      </c>
      <c r="L1805" s="4" t="s">
        <v>82</v>
      </c>
      <c r="M1805" s="4" t="s">
        <v>36</v>
      </c>
      <c r="N1805" s="4" t="s">
        <v>62</v>
      </c>
      <c r="O1805" s="4" t="s">
        <v>492</v>
      </c>
      <c r="P1805" s="4">
        <v>17</v>
      </c>
      <c r="Q1805" s="4" t="s">
        <v>69</v>
      </c>
      <c r="R1805" s="4" t="s">
        <v>136</v>
      </c>
      <c r="S1805" s="4">
        <v>174631</v>
      </c>
      <c r="T1805" s="4">
        <v>0</v>
      </c>
      <c r="U1805" s="4">
        <v>174631</v>
      </c>
      <c r="V1805" s="4">
        <v>130846</v>
      </c>
      <c r="W1805" s="4">
        <v>28667</v>
      </c>
      <c r="X1805" s="4">
        <v>10552</v>
      </c>
      <c r="Y1805" s="4" t="s">
        <v>41</v>
      </c>
      <c r="Z1805" s="4">
        <v>41</v>
      </c>
      <c r="AA1805" s="4">
        <v>3.2</v>
      </c>
      <c r="AB1805" s="4" t="s">
        <v>42</v>
      </c>
    </row>
    <row r="1806" spans="1:28" x14ac:dyDescent="0.25">
      <c r="A1806" s="2" t="s">
        <v>2595</v>
      </c>
      <c r="B1806" s="2" t="s">
        <v>325</v>
      </c>
      <c r="C1806" s="2">
        <v>13</v>
      </c>
      <c r="D1806" s="2" t="s">
        <v>55</v>
      </c>
      <c r="E1806" s="2" t="s">
        <v>87</v>
      </c>
      <c r="F1806" s="2" t="s">
        <v>80</v>
      </c>
      <c r="G1806" s="3">
        <v>44938</v>
      </c>
      <c r="H1806" s="3">
        <v>44966</v>
      </c>
      <c r="I1806" s="2">
        <v>28</v>
      </c>
      <c r="J1806" s="2" t="s">
        <v>33</v>
      </c>
      <c r="K1806" s="2" t="s">
        <v>81</v>
      </c>
      <c r="L1806" s="2" t="s">
        <v>82</v>
      </c>
      <c r="M1806" s="2" t="s">
        <v>108</v>
      </c>
      <c r="N1806" s="2" t="s">
        <v>37</v>
      </c>
      <c r="O1806" s="2" t="s">
        <v>497</v>
      </c>
      <c r="P1806" s="2">
        <v>274</v>
      </c>
      <c r="Q1806" s="2" t="s">
        <v>39</v>
      </c>
      <c r="R1806" s="2" t="s">
        <v>111</v>
      </c>
      <c r="S1806" s="2">
        <v>170540</v>
      </c>
      <c r="T1806" s="2">
        <v>130829</v>
      </c>
      <c r="U1806" s="2">
        <v>39711</v>
      </c>
      <c r="V1806" s="2">
        <v>149793</v>
      </c>
      <c r="W1806" s="2">
        <v>4045</v>
      </c>
      <c r="X1806" s="2">
        <v>12997</v>
      </c>
      <c r="Y1806" s="2" t="s">
        <v>41</v>
      </c>
      <c r="Z1806" s="2">
        <v>99</v>
      </c>
      <c r="AA1806" s="2">
        <v>2.5</v>
      </c>
      <c r="AB1806" s="2" t="s">
        <v>52</v>
      </c>
    </row>
    <row r="1807" spans="1:28" x14ac:dyDescent="0.25">
      <c r="A1807" s="4" t="s">
        <v>2596</v>
      </c>
      <c r="B1807" s="4" t="s">
        <v>2065</v>
      </c>
      <c r="C1807" s="4">
        <v>33</v>
      </c>
      <c r="D1807" s="4" t="s">
        <v>30</v>
      </c>
      <c r="E1807" s="4" t="s">
        <v>31</v>
      </c>
      <c r="F1807" s="4" t="s">
        <v>57</v>
      </c>
      <c r="G1807" s="5">
        <v>45638</v>
      </c>
      <c r="H1807" s="5">
        <v>45657</v>
      </c>
      <c r="I1807" s="4">
        <v>19</v>
      </c>
      <c r="J1807" s="4" t="s">
        <v>33</v>
      </c>
      <c r="K1807" s="4" t="s">
        <v>107</v>
      </c>
      <c r="L1807" s="4" t="s">
        <v>48</v>
      </c>
      <c r="M1807" s="4" t="s">
        <v>134</v>
      </c>
      <c r="N1807" s="4" t="s">
        <v>109</v>
      </c>
      <c r="O1807" s="4" t="s">
        <v>464</v>
      </c>
      <c r="P1807" s="4">
        <v>100</v>
      </c>
      <c r="Q1807" s="4" t="s">
        <v>69</v>
      </c>
      <c r="R1807" s="4" t="s">
        <v>51</v>
      </c>
      <c r="S1807" s="4">
        <v>52150</v>
      </c>
      <c r="T1807" s="4">
        <v>34088</v>
      </c>
      <c r="U1807" s="4">
        <v>18062</v>
      </c>
      <c r="V1807" s="4">
        <v>45646</v>
      </c>
      <c r="W1807" s="4">
        <v>1857</v>
      </c>
      <c r="X1807" s="4">
        <v>1352</v>
      </c>
      <c r="Y1807" s="4" t="s">
        <v>41</v>
      </c>
      <c r="Z1807" s="4">
        <v>65</v>
      </c>
      <c r="AA1807" s="4">
        <v>2.5</v>
      </c>
      <c r="AB1807" s="4" t="s">
        <v>104</v>
      </c>
    </row>
    <row r="1808" spans="1:28" x14ac:dyDescent="0.25">
      <c r="A1808" s="2" t="s">
        <v>2597</v>
      </c>
      <c r="B1808" s="2" t="s">
        <v>747</v>
      </c>
      <c r="C1808" s="2">
        <v>85</v>
      </c>
      <c r="D1808" s="2" t="s">
        <v>55</v>
      </c>
      <c r="E1808" s="2" t="s">
        <v>79</v>
      </c>
      <c r="F1808" s="2" t="s">
        <v>150</v>
      </c>
      <c r="G1808" s="3">
        <v>45146</v>
      </c>
      <c r="H1808" s="3">
        <v>45163</v>
      </c>
      <c r="I1808" s="2">
        <v>17</v>
      </c>
      <c r="J1808" s="2" t="s">
        <v>33</v>
      </c>
      <c r="K1808" s="2" t="s">
        <v>47</v>
      </c>
      <c r="L1808" s="2" t="s">
        <v>48</v>
      </c>
      <c r="M1808" s="2" t="s">
        <v>101</v>
      </c>
      <c r="N1808" s="2" t="s">
        <v>109</v>
      </c>
      <c r="O1808" s="2" t="s">
        <v>199</v>
      </c>
      <c r="P1808" s="2">
        <v>87</v>
      </c>
      <c r="Q1808" s="2" t="s">
        <v>103</v>
      </c>
      <c r="R1808" s="2" t="s">
        <v>40</v>
      </c>
      <c r="S1808" s="2">
        <v>157384</v>
      </c>
      <c r="T1808" s="2">
        <v>70162</v>
      </c>
      <c r="U1808" s="2">
        <v>87222</v>
      </c>
      <c r="V1808" s="2">
        <v>144709</v>
      </c>
      <c r="W1808" s="2">
        <v>4840</v>
      </c>
      <c r="X1808" s="2">
        <v>5909</v>
      </c>
      <c r="Y1808" s="2" t="s">
        <v>41</v>
      </c>
      <c r="Z1808" s="2">
        <v>53</v>
      </c>
      <c r="AA1808" s="2">
        <v>2.5</v>
      </c>
      <c r="AB1808" s="2" t="s">
        <v>42</v>
      </c>
    </row>
    <row r="1809" spans="1:28" x14ac:dyDescent="0.25">
      <c r="A1809" s="4" t="s">
        <v>2598</v>
      </c>
      <c r="B1809" s="4" t="s">
        <v>849</v>
      </c>
      <c r="C1809" s="4">
        <v>46</v>
      </c>
      <c r="D1809" s="4" t="s">
        <v>30</v>
      </c>
      <c r="E1809" s="4" t="s">
        <v>122</v>
      </c>
      <c r="F1809" s="4" t="s">
        <v>157</v>
      </c>
      <c r="G1809" s="5">
        <v>45169</v>
      </c>
      <c r="H1809" s="5">
        <v>45188</v>
      </c>
      <c r="I1809" s="4">
        <v>19</v>
      </c>
      <c r="J1809" s="4" t="s">
        <v>73</v>
      </c>
      <c r="K1809" s="4" t="s">
        <v>74</v>
      </c>
      <c r="L1809" s="4" t="s">
        <v>73</v>
      </c>
      <c r="M1809" s="4" t="s">
        <v>134</v>
      </c>
      <c r="N1809" s="4" t="s">
        <v>37</v>
      </c>
      <c r="O1809" s="4" t="s">
        <v>461</v>
      </c>
      <c r="P1809" s="4">
        <v>121</v>
      </c>
      <c r="Q1809" s="4" t="s">
        <v>69</v>
      </c>
      <c r="R1809" s="4" t="s">
        <v>51</v>
      </c>
      <c r="S1809" s="4">
        <v>176388</v>
      </c>
      <c r="T1809" s="4">
        <v>89658</v>
      </c>
      <c r="U1809" s="4">
        <v>86730</v>
      </c>
      <c r="V1809" s="4">
        <v>145772</v>
      </c>
      <c r="W1809" s="4">
        <v>14166</v>
      </c>
      <c r="X1809" s="4">
        <v>13400</v>
      </c>
      <c r="Y1809" s="4" t="s">
        <v>41</v>
      </c>
      <c r="Z1809" s="4">
        <v>74</v>
      </c>
      <c r="AA1809" s="4">
        <v>2.2000000000000002</v>
      </c>
      <c r="AB1809" s="4" t="s">
        <v>137</v>
      </c>
    </row>
    <row r="1810" spans="1:28" x14ac:dyDescent="0.25">
      <c r="A1810" s="2" t="s">
        <v>2599</v>
      </c>
      <c r="B1810" s="2" t="s">
        <v>2057</v>
      </c>
      <c r="C1810" s="2">
        <v>27</v>
      </c>
      <c r="D1810" s="2" t="s">
        <v>30</v>
      </c>
      <c r="E1810" s="2" t="s">
        <v>67</v>
      </c>
      <c r="F1810" s="2" t="s">
        <v>32</v>
      </c>
      <c r="G1810" s="3">
        <v>45380</v>
      </c>
      <c r="H1810" s="3">
        <v>45394</v>
      </c>
      <c r="I1810" s="2">
        <v>14</v>
      </c>
      <c r="J1810" s="2" t="s">
        <v>33</v>
      </c>
      <c r="K1810" s="2" t="s">
        <v>233</v>
      </c>
      <c r="L1810" s="2" t="s">
        <v>35</v>
      </c>
      <c r="M1810" s="2" t="s">
        <v>61</v>
      </c>
      <c r="N1810" s="2" t="s">
        <v>37</v>
      </c>
      <c r="O1810" s="2" t="s">
        <v>222</v>
      </c>
      <c r="P1810" s="2">
        <v>327</v>
      </c>
      <c r="Q1810" s="2" t="s">
        <v>50</v>
      </c>
      <c r="R1810" s="2" t="s">
        <v>90</v>
      </c>
      <c r="S1810" s="2">
        <v>117651</v>
      </c>
      <c r="T1810" s="2">
        <v>79203</v>
      </c>
      <c r="U1810" s="2">
        <v>38448</v>
      </c>
      <c r="V1810" s="2">
        <v>78437</v>
      </c>
      <c r="W1810" s="2">
        <v>28249</v>
      </c>
      <c r="X1810" s="2">
        <v>6008</v>
      </c>
      <c r="Y1810" s="2" t="s">
        <v>41</v>
      </c>
      <c r="Z1810" s="2">
        <v>42</v>
      </c>
      <c r="AA1810" s="2">
        <v>2</v>
      </c>
      <c r="AB1810" s="2" t="s">
        <v>137</v>
      </c>
    </row>
    <row r="1811" spans="1:28" x14ac:dyDescent="0.25">
      <c r="A1811" s="4" t="s">
        <v>2600</v>
      </c>
      <c r="B1811" s="4" t="s">
        <v>856</v>
      </c>
      <c r="C1811" s="4">
        <v>9</v>
      </c>
      <c r="D1811" s="4" t="s">
        <v>55</v>
      </c>
      <c r="E1811" s="4" t="s">
        <v>31</v>
      </c>
      <c r="F1811" s="4" t="s">
        <v>157</v>
      </c>
      <c r="G1811" s="5">
        <v>45470</v>
      </c>
      <c r="H1811" s="5">
        <v>45496</v>
      </c>
      <c r="I1811" s="4">
        <v>26</v>
      </c>
      <c r="J1811" s="4" t="s">
        <v>140</v>
      </c>
      <c r="K1811" s="4" t="s">
        <v>141</v>
      </c>
      <c r="L1811" s="4" t="s">
        <v>142</v>
      </c>
      <c r="M1811" s="4" t="s">
        <v>36</v>
      </c>
      <c r="N1811" s="4" t="s">
        <v>109</v>
      </c>
      <c r="O1811" s="4" t="s">
        <v>379</v>
      </c>
      <c r="P1811" s="4">
        <v>362</v>
      </c>
      <c r="Q1811" s="4" t="s">
        <v>69</v>
      </c>
      <c r="R1811" s="4" t="s">
        <v>136</v>
      </c>
      <c r="S1811" s="4">
        <v>69218</v>
      </c>
      <c r="T1811" s="4">
        <v>0</v>
      </c>
      <c r="U1811" s="4">
        <v>69218</v>
      </c>
      <c r="V1811" s="4">
        <v>55579</v>
      </c>
      <c r="W1811" s="4">
        <v>7864</v>
      </c>
      <c r="X1811" s="4">
        <v>4374</v>
      </c>
      <c r="Y1811" s="4" t="s">
        <v>41</v>
      </c>
      <c r="Z1811" s="4">
        <v>63</v>
      </c>
      <c r="AA1811" s="4">
        <v>4</v>
      </c>
      <c r="AB1811" s="4" t="s">
        <v>42</v>
      </c>
    </row>
    <row r="1812" spans="1:28" x14ac:dyDescent="0.25">
      <c r="A1812" s="2" t="s">
        <v>2601</v>
      </c>
      <c r="B1812" s="2" t="s">
        <v>1381</v>
      </c>
      <c r="C1812" s="2">
        <v>7</v>
      </c>
      <c r="D1812" s="2" t="s">
        <v>55</v>
      </c>
      <c r="E1812" s="2" t="s">
        <v>122</v>
      </c>
      <c r="F1812" s="2" t="s">
        <v>157</v>
      </c>
      <c r="G1812" s="3">
        <v>45201</v>
      </c>
      <c r="H1812" s="3">
        <v>45214</v>
      </c>
      <c r="I1812" s="2">
        <v>13</v>
      </c>
      <c r="J1812" s="2" t="s">
        <v>123</v>
      </c>
      <c r="K1812" s="2" t="s">
        <v>251</v>
      </c>
      <c r="L1812" s="2" t="s">
        <v>125</v>
      </c>
      <c r="M1812" s="2" t="s">
        <v>101</v>
      </c>
      <c r="N1812" s="2" t="s">
        <v>109</v>
      </c>
      <c r="O1812" s="2" t="s">
        <v>627</v>
      </c>
      <c r="P1812" s="2">
        <v>96</v>
      </c>
      <c r="Q1812" s="2" t="s">
        <v>69</v>
      </c>
      <c r="R1812" s="2" t="s">
        <v>111</v>
      </c>
      <c r="S1812" s="2">
        <v>72722</v>
      </c>
      <c r="T1812" s="2">
        <v>44823</v>
      </c>
      <c r="U1812" s="2">
        <v>27899</v>
      </c>
      <c r="V1812" s="2">
        <v>48615</v>
      </c>
      <c r="W1812" s="2">
        <v>6706</v>
      </c>
      <c r="X1812" s="2">
        <v>13762</v>
      </c>
      <c r="Y1812" s="2" t="s">
        <v>41</v>
      </c>
      <c r="Z1812" s="2">
        <v>44</v>
      </c>
      <c r="AA1812" s="2">
        <v>5</v>
      </c>
      <c r="AB1812" s="2" t="s">
        <v>52</v>
      </c>
    </row>
    <row r="1813" spans="1:28" x14ac:dyDescent="0.25">
      <c r="A1813" s="4" t="s">
        <v>2602</v>
      </c>
      <c r="B1813" s="4" t="s">
        <v>245</v>
      </c>
      <c r="C1813" s="4">
        <v>56</v>
      </c>
      <c r="D1813" s="4" t="s">
        <v>55</v>
      </c>
      <c r="E1813" s="4" t="s">
        <v>31</v>
      </c>
      <c r="F1813" s="4" t="s">
        <v>157</v>
      </c>
      <c r="G1813" s="5">
        <v>45338</v>
      </c>
      <c r="H1813" s="5">
        <v>45342</v>
      </c>
      <c r="I1813" s="4">
        <v>4</v>
      </c>
      <c r="J1813" s="4" t="s">
        <v>58</v>
      </c>
      <c r="K1813" s="4" t="s">
        <v>59</v>
      </c>
      <c r="L1813" s="4" t="s">
        <v>60</v>
      </c>
      <c r="M1813" s="4" t="s">
        <v>75</v>
      </c>
      <c r="N1813" s="4" t="s">
        <v>109</v>
      </c>
      <c r="O1813" s="4" t="s">
        <v>365</v>
      </c>
      <c r="P1813" s="4">
        <v>4</v>
      </c>
      <c r="Q1813" s="4" t="s">
        <v>69</v>
      </c>
      <c r="R1813" s="4" t="s">
        <v>111</v>
      </c>
      <c r="S1813" s="4">
        <v>60459</v>
      </c>
      <c r="T1813" s="4">
        <v>47195</v>
      </c>
      <c r="U1813" s="4">
        <v>13264</v>
      </c>
      <c r="V1813" s="4">
        <v>27469</v>
      </c>
      <c r="W1813" s="4">
        <v>23645</v>
      </c>
      <c r="X1813" s="4">
        <v>7854</v>
      </c>
      <c r="Y1813" s="4" t="s">
        <v>41</v>
      </c>
      <c r="Z1813" s="4">
        <v>60</v>
      </c>
      <c r="AA1813" s="4">
        <v>3.4</v>
      </c>
      <c r="AB1813" s="4" t="s">
        <v>52</v>
      </c>
    </row>
    <row r="1814" spans="1:28" x14ac:dyDescent="0.25">
      <c r="A1814" s="2" t="s">
        <v>2603</v>
      </c>
      <c r="B1814" s="2" t="s">
        <v>1341</v>
      </c>
      <c r="C1814" s="2">
        <v>19</v>
      </c>
      <c r="D1814" s="2" t="s">
        <v>30</v>
      </c>
      <c r="E1814" s="2" t="s">
        <v>122</v>
      </c>
      <c r="F1814" s="2" t="s">
        <v>94</v>
      </c>
      <c r="G1814" s="3">
        <v>44712</v>
      </c>
      <c r="H1814" s="3">
        <v>44732</v>
      </c>
      <c r="I1814" s="2">
        <v>20</v>
      </c>
      <c r="J1814" s="2" t="s">
        <v>123</v>
      </c>
      <c r="K1814" s="2" t="s">
        <v>251</v>
      </c>
      <c r="L1814" s="2" t="s">
        <v>125</v>
      </c>
      <c r="M1814" s="2" t="s">
        <v>95</v>
      </c>
      <c r="N1814" s="2" t="s">
        <v>37</v>
      </c>
      <c r="O1814" s="2" t="s">
        <v>256</v>
      </c>
      <c r="P1814" s="2">
        <v>327</v>
      </c>
      <c r="Q1814" s="2" t="s">
        <v>50</v>
      </c>
      <c r="R1814" s="2" t="s">
        <v>40</v>
      </c>
      <c r="S1814" s="2">
        <v>132764</v>
      </c>
      <c r="T1814" s="2">
        <v>56572</v>
      </c>
      <c r="U1814" s="2">
        <v>76192</v>
      </c>
      <c r="V1814" s="2">
        <v>114365</v>
      </c>
      <c r="W1814" s="2">
        <v>8400</v>
      </c>
      <c r="X1814" s="2">
        <v>6476</v>
      </c>
      <c r="Y1814" s="2" t="s">
        <v>41</v>
      </c>
      <c r="Z1814" s="2">
        <v>55</v>
      </c>
      <c r="AA1814" s="2">
        <v>3.1</v>
      </c>
      <c r="AB1814" s="2" t="s">
        <v>52</v>
      </c>
    </row>
    <row r="1815" spans="1:28" x14ac:dyDescent="0.25">
      <c r="A1815" s="4" t="s">
        <v>2604</v>
      </c>
      <c r="B1815" s="4" t="s">
        <v>774</v>
      </c>
      <c r="C1815" s="4">
        <v>8</v>
      </c>
      <c r="D1815" s="4" t="s">
        <v>55</v>
      </c>
      <c r="E1815" s="4" t="s">
        <v>154</v>
      </c>
      <c r="F1815" s="4" t="s">
        <v>94</v>
      </c>
      <c r="G1815" s="5">
        <v>45332</v>
      </c>
      <c r="H1815" s="5">
        <v>45348</v>
      </c>
      <c r="I1815" s="4">
        <v>16</v>
      </c>
      <c r="J1815" s="4" t="s">
        <v>33</v>
      </c>
      <c r="K1815" s="4" t="s">
        <v>34</v>
      </c>
      <c r="L1815" s="4" t="s">
        <v>35</v>
      </c>
      <c r="M1815" s="4" t="s">
        <v>108</v>
      </c>
      <c r="N1815" s="4" t="s">
        <v>37</v>
      </c>
      <c r="O1815" s="4" t="s">
        <v>68</v>
      </c>
      <c r="P1815" s="4">
        <v>12</v>
      </c>
      <c r="Q1815" s="4" t="s">
        <v>39</v>
      </c>
      <c r="R1815" s="4" t="s">
        <v>136</v>
      </c>
      <c r="S1815" s="4">
        <v>66922</v>
      </c>
      <c r="T1815" s="4">
        <v>0</v>
      </c>
      <c r="U1815" s="4">
        <v>66922</v>
      </c>
      <c r="V1815" s="4">
        <v>48937</v>
      </c>
      <c r="W1815" s="4">
        <v>7333</v>
      </c>
      <c r="X1815" s="4">
        <v>6501</v>
      </c>
      <c r="Y1815" s="4" t="s">
        <v>41</v>
      </c>
      <c r="Z1815" s="4">
        <v>58</v>
      </c>
      <c r="AA1815" s="4">
        <v>2.2000000000000002</v>
      </c>
      <c r="AB1815" s="4" t="s">
        <v>52</v>
      </c>
    </row>
    <row r="1816" spans="1:28" x14ac:dyDescent="0.25">
      <c r="A1816" s="2" t="s">
        <v>2605</v>
      </c>
      <c r="B1816" s="2" t="s">
        <v>381</v>
      </c>
      <c r="C1816" s="2">
        <v>52</v>
      </c>
      <c r="D1816" s="2" t="s">
        <v>30</v>
      </c>
      <c r="E1816" s="2" t="s">
        <v>56</v>
      </c>
      <c r="F1816" s="2" t="s">
        <v>150</v>
      </c>
      <c r="G1816" s="3">
        <v>45252</v>
      </c>
      <c r="H1816" s="3">
        <v>45259</v>
      </c>
      <c r="I1816" s="2">
        <v>7</v>
      </c>
      <c r="J1816" s="2" t="s">
        <v>140</v>
      </c>
      <c r="K1816" s="2" t="s">
        <v>141</v>
      </c>
      <c r="L1816" s="2" t="s">
        <v>142</v>
      </c>
      <c r="M1816" s="2" t="s">
        <v>83</v>
      </c>
      <c r="N1816" s="2" t="s">
        <v>37</v>
      </c>
      <c r="O1816" s="2" t="s">
        <v>355</v>
      </c>
      <c r="P1816" s="2">
        <v>202</v>
      </c>
      <c r="Q1816" s="2" t="s">
        <v>69</v>
      </c>
      <c r="R1816" s="2" t="s">
        <v>136</v>
      </c>
      <c r="S1816" s="2">
        <v>173207</v>
      </c>
      <c r="T1816" s="2">
        <v>0</v>
      </c>
      <c r="U1816" s="2">
        <v>173207</v>
      </c>
      <c r="V1816" s="2">
        <v>143129</v>
      </c>
      <c r="W1816" s="2">
        <v>16223</v>
      </c>
      <c r="X1816" s="2">
        <v>9062</v>
      </c>
      <c r="Y1816" s="2" t="s">
        <v>41</v>
      </c>
      <c r="Z1816" s="2">
        <v>85</v>
      </c>
      <c r="AA1816" s="2">
        <v>2.2999999999999998</v>
      </c>
      <c r="AB1816" s="2" t="s">
        <v>42</v>
      </c>
    </row>
    <row r="1817" spans="1:28" x14ac:dyDescent="0.25">
      <c r="A1817" s="4" t="s">
        <v>2606</v>
      </c>
      <c r="B1817" s="4" t="s">
        <v>832</v>
      </c>
      <c r="C1817" s="4">
        <v>17</v>
      </c>
      <c r="D1817" s="4" t="s">
        <v>30</v>
      </c>
      <c r="E1817" s="4" t="s">
        <v>56</v>
      </c>
      <c r="F1817" s="4" t="s">
        <v>80</v>
      </c>
      <c r="G1817" s="5">
        <v>44794</v>
      </c>
      <c r="H1817" s="5">
        <v>44797</v>
      </c>
      <c r="I1817" s="4">
        <v>3</v>
      </c>
      <c r="J1817" s="4" t="s">
        <v>202</v>
      </c>
      <c r="K1817" s="4" t="s">
        <v>203</v>
      </c>
      <c r="L1817" s="4" t="s">
        <v>204</v>
      </c>
      <c r="M1817" s="4" t="s">
        <v>143</v>
      </c>
      <c r="N1817" s="4" t="s">
        <v>118</v>
      </c>
      <c r="O1817" s="4" t="s">
        <v>241</v>
      </c>
      <c r="P1817" s="4">
        <v>150</v>
      </c>
      <c r="Q1817" s="4" t="s">
        <v>50</v>
      </c>
      <c r="R1817" s="4" t="s">
        <v>136</v>
      </c>
      <c r="S1817" s="4">
        <v>109670</v>
      </c>
      <c r="T1817" s="4">
        <v>0</v>
      </c>
      <c r="U1817" s="4">
        <v>109670</v>
      </c>
      <c r="V1817" s="4">
        <v>85046</v>
      </c>
      <c r="W1817" s="4">
        <v>14646</v>
      </c>
      <c r="X1817" s="4">
        <v>7702</v>
      </c>
      <c r="Y1817" s="4" t="s">
        <v>91</v>
      </c>
      <c r="Z1817" s="4">
        <v>83</v>
      </c>
      <c r="AA1817" s="4">
        <v>4.8</v>
      </c>
      <c r="AB1817" s="4" t="s">
        <v>137</v>
      </c>
    </row>
    <row r="1818" spans="1:28" x14ac:dyDescent="0.25">
      <c r="A1818" s="2" t="s">
        <v>2607</v>
      </c>
      <c r="B1818" s="2" t="s">
        <v>1503</v>
      </c>
      <c r="C1818" s="2">
        <v>38</v>
      </c>
      <c r="D1818" s="2" t="s">
        <v>55</v>
      </c>
      <c r="E1818" s="2" t="s">
        <v>122</v>
      </c>
      <c r="F1818" s="2" t="s">
        <v>114</v>
      </c>
      <c r="G1818" s="3">
        <v>45385</v>
      </c>
      <c r="H1818" s="3">
        <v>45405</v>
      </c>
      <c r="I1818" s="2">
        <v>20</v>
      </c>
      <c r="J1818" s="2" t="s">
        <v>33</v>
      </c>
      <c r="K1818" s="2" t="s">
        <v>47</v>
      </c>
      <c r="L1818" s="2" t="s">
        <v>48</v>
      </c>
      <c r="M1818" s="2" t="s">
        <v>95</v>
      </c>
      <c r="N1818" s="2" t="s">
        <v>62</v>
      </c>
      <c r="O1818" s="2" t="s">
        <v>673</v>
      </c>
      <c r="P1818" s="2">
        <v>244</v>
      </c>
      <c r="Q1818" s="2" t="s">
        <v>69</v>
      </c>
      <c r="R1818" s="2" t="s">
        <v>40</v>
      </c>
      <c r="S1818" s="2">
        <v>76616</v>
      </c>
      <c r="T1818" s="2">
        <v>52094</v>
      </c>
      <c r="U1818" s="2">
        <v>24522</v>
      </c>
      <c r="V1818" s="2">
        <v>71628</v>
      </c>
      <c r="W1818" s="2">
        <v>1243</v>
      </c>
      <c r="X1818" s="2">
        <v>2502</v>
      </c>
      <c r="Y1818" s="2" t="s">
        <v>41</v>
      </c>
      <c r="Z1818" s="2">
        <v>98</v>
      </c>
      <c r="AA1818" s="2">
        <v>2.2999999999999998</v>
      </c>
      <c r="AB1818" s="2" t="s">
        <v>104</v>
      </c>
    </row>
    <row r="1819" spans="1:28" x14ac:dyDescent="0.25">
      <c r="A1819" s="4" t="s">
        <v>2608</v>
      </c>
      <c r="B1819" s="4" t="s">
        <v>752</v>
      </c>
      <c r="C1819" s="4">
        <v>31</v>
      </c>
      <c r="D1819" s="4" t="s">
        <v>55</v>
      </c>
      <c r="E1819" s="4" t="s">
        <v>56</v>
      </c>
      <c r="F1819" s="4" t="s">
        <v>157</v>
      </c>
      <c r="G1819" s="5">
        <v>44819</v>
      </c>
      <c r="H1819" s="5">
        <v>44834</v>
      </c>
      <c r="I1819" s="4">
        <v>15</v>
      </c>
      <c r="J1819" s="4" t="s">
        <v>115</v>
      </c>
      <c r="K1819" s="4" t="s">
        <v>160</v>
      </c>
      <c r="L1819" s="4" t="s">
        <v>117</v>
      </c>
      <c r="M1819" s="4" t="s">
        <v>61</v>
      </c>
      <c r="N1819" s="4" t="s">
        <v>62</v>
      </c>
      <c r="O1819" s="4" t="s">
        <v>205</v>
      </c>
      <c r="P1819" s="4">
        <v>233</v>
      </c>
      <c r="Q1819" s="4" t="s">
        <v>39</v>
      </c>
      <c r="R1819" s="4" t="s">
        <v>90</v>
      </c>
      <c r="S1819" s="4">
        <v>92301</v>
      </c>
      <c r="T1819" s="4">
        <v>65284</v>
      </c>
      <c r="U1819" s="4">
        <v>27017</v>
      </c>
      <c r="V1819" s="4">
        <v>69065</v>
      </c>
      <c r="W1819" s="4">
        <v>11416</v>
      </c>
      <c r="X1819" s="4">
        <v>8202</v>
      </c>
      <c r="Y1819" s="4" t="s">
        <v>41</v>
      </c>
      <c r="Z1819" s="4">
        <v>56</v>
      </c>
      <c r="AA1819" s="4">
        <v>2</v>
      </c>
      <c r="AB1819" s="4" t="s">
        <v>104</v>
      </c>
    </row>
    <row r="1820" spans="1:28" x14ac:dyDescent="0.25">
      <c r="A1820" s="2" t="s">
        <v>2609</v>
      </c>
      <c r="B1820" s="2" t="s">
        <v>1037</v>
      </c>
      <c r="C1820" s="2">
        <v>45</v>
      </c>
      <c r="D1820" s="2" t="s">
        <v>30</v>
      </c>
      <c r="E1820" s="2" t="s">
        <v>154</v>
      </c>
      <c r="F1820" s="2" t="s">
        <v>114</v>
      </c>
      <c r="G1820" s="3">
        <v>44679</v>
      </c>
      <c r="H1820" s="3">
        <v>44702</v>
      </c>
      <c r="I1820" s="2">
        <v>23</v>
      </c>
      <c r="J1820" s="2" t="s">
        <v>33</v>
      </c>
      <c r="K1820" s="2" t="s">
        <v>107</v>
      </c>
      <c r="L1820" s="2" t="s">
        <v>48</v>
      </c>
      <c r="M1820" s="2" t="s">
        <v>143</v>
      </c>
      <c r="N1820" s="2" t="s">
        <v>118</v>
      </c>
      <c r="O1820" s="2" t="s">
        <v>580</v>
      </c>
      <c r="P1820" s="2">
        <v>216</v>
      </c>
      <c r="Q1820" s="2" t="s">
        <v>50</v>
      </c>
      <c r="R1820" s="2" t="s">
        <v>40</v>
      </c>
      <c r="S1820" s="2">
        <v>115774</v>
      </c>
      <c r="T1820" s="2">
        <v>56832</v>
      </c>
      <c r="U1820" s="2">
        <v>58942</v>
      </c>
      <c r="V1820" s="2">
        <v>76102</v>
      </c>
      <c r="W1820" s="2">
        <v>25979</v>
      </c>
      <c r="X1820" s="2">
        <v>11780</v>
      </c>
      <c r="Y1820" s="2" t="s">
        <v>41</v>
      </c>
      <c r="Z1820" s="2">
        <v>93</v>
      </c>
      <c r="AA1820" s="2">
        <v>2.2000000000000002</v>
      </c>
      <c r="AB1820" s="2" t="s">
        <v>104</v>
      </c>
    </row>
    <row r="1821" spans="1:28" x14ac:dyDescent="0.25">
      <c r="A1821" s="4" t="s">
        <v>2610</v>
      </c>
      <c r="B1821" s="4" t="s">
        <v>482</v>
      </c>
      <c r="C1821" s="4">
        <v>45</v>
      </c>
      <c r="D1821" s="4" t="s">
        <v>30</v>
      </c>
      <c r="E1821" s="4" t="s">
        <v>67</v>
      </c>
      <c r="F1821" s="4" t="s">
        <v>114</v>
      </c>
      <c r="G1821" s="5">
        <v>44857</v>
      </c>
      <c r="H1821" s="5">
        <v>44866</v>
      </c>
      <c r="I1821" s="4">
        <v>9</v>
      </c>
      <c r="J1821" s="4" t="s">
        <v>202</v>
      </c>
      <c r="K1821" s="4" t="s">
        <v>225</v>
      </c>
      <c r="L1821" s="4" t="s">
        <v>226</v>
      </c>
      <c r="M1821" s="4" t="s">
        <v>143</v>
      </c>
      <c r="N1821" s="4" t="s">
        <v>109</v>
      </c>
      <c r="O1821" s="4" t="s">
        <v>184</v>
      </c>
      <c r="P1821" s="4">
        <v>459</v>
      </c>
      <c r="Q1821" s="4" t="s">
        <v>50</v>
      </c>
      <c r="R1821" s="4" t="s">
        <v>40</v>
      </c>
      <c r="S1821" s="4">
        <v>57073</v>
      </c>
      <c r="T1821" s="4">
        <v>38591</v>
      </c>
      <c r="U1821" s="4">
        <v>18482</v>
      </c>
      <c r="V1821" s="4">
        <v>24211</v>
      </c>
      <c r="W1821" s="4">
        <v>27102</v>
      </c>
      <c r="X1821" s="4">
        <v>1798</v>
      </c>
      <c r="Y1821" s="4" t="s">
        <v>41</v>
      </c>
      <c r="Z1821" s="4">
        <v>43</v>
      </c>
      <c r="AA1821" s="4">
        <v>2.7</v>
      </c>
      <c r="AB1821" s="4" t="s">
        <v>42</v>
      </c>
    </row>
    <row r="1822" spans="1:28" x14ac:dyDescent="0.25">
      <c r="A1822" s="2" t="s">
        <v>2611</v>
      </c>
      <c r="B1822" s="2" t="s">
        <v>463</v>
      </c>
      <c r="C1822" s="2">
        <v>17</v>
      </c>
      <c r="D1822" s="2" t="s">
        <v>30</v>
      </c>
      <c r="E1822" s="2" t="s">
        <v>154</v>
      </c>
      <c r="F1822" s="2" t="s">
        <v>32</v>
      </c>
      <c r="G1822" s="3">
        <v>45133</v>
      </c>
      <c r="H1822" s="3">
        <v>45163</v>
      </c>
      <c r="I1822" s="2">
        <v>30</v>
      </c>
      <c r="J1822" s="2" t="s">
        <v>33</v>
      </c>
      <c r="K1822" s="2" t="s">
        <v>81</v>
      </c>
      <c r="L1822" s="2" t="s">
        <v>82</v>
      </c>
      <c r="M1822" s="2" t="s">
        <v>95</v>
      </c>
      <c r="N1822" s="2" t="s">
        <v>109</v>
      </c>
      <c r="O1822" s="2" t="s">
        <v>178</v>
      </c>
      <c r="P1822" s="2">
        <v>147</v>
      </c>
      <c r="Q1822" s="2" t="s">
        <v>103</v>
      </c>
      <c r="R1822" s="2" t="s">
        <v>136</v>
      </c>
      <c r="S1822" s="2">
        <v>112687</v>
      </c>
      <c r="T1822" s="2">
        <v>0</v>
      </c>
      <c r="U1822" s="2">
        <v>112687</v>
      </c>
      <c r="V1822" s="2">
        <v>90131</v>
      </c>
      <c r="W1822" s="2">
        <v>7171</v>
      </c>
      <c r="X1822" s="2">
        <v>12972</v>
      </c>
      <c r="Y1822" s="2" t="s">
        <v>91</v>
      </c>
      <c r="Z1822" s="2">
        <v>67</v>
      </c>
      <c r="AA1822" s="2">
        <v>4.3</v>
      </c>
      <c r="AB1822" s="2" t="s">
        <v>52</v>
      </c>
    </row>
    <row r="1823" spans="1:28" x14ac:dyDescent="0.25">
      <c r="A1823" s="4" t="s">
        <v>2612</v>
      </c>
      <c r="B1823" s="4" t="s">
        <v>836</v>
      </c>
      <c r="C1823" s="4">
        <v>6</v>
      </c>
      <c r="D1823" s="4" t="s">
        <v>30</v>
      </c>
      <c r="E1823" s="4" t="s">
        <v>122</v>
      </c>
      <c r="F1823" s="4" t="s">
        <v>80</v>
      </c>
      <c r="G1823" s="5">
        <v>45151</v>
      </c>
      <c r="H1823" s="5">
        <v>45155</v>
      </c>
      <c r="I1823" s="4">
        <v>4</v>
      </c>
      <c r="J1823" s="4" t="s">
        <v>33</v>
      </c>
      <c r="K1823" s="4" t="s">
        <v>34</v>
      </c>
      <c r="L1823" s="4" t="s">
        <v>35</v>
      </c>
      <c r="M1823" s="4" t="s">
        <v>83</v>
      </c>
      <c r="N1823" s="4" t="s">
        <v>62</v>
      </c>
      <c r="O1823" s="4" t="s">
        <v>168</v>
      </c>
      <c r="P1823" s="4">
        <v>329</v>
      </c>
      <c r="Q1823" s="4" t="s">
        <v>103</v>
      </c>
      <c r="R1823" s="4" t="s">
        <v>40</v>
      </c>
      <c r="S1823" s="4">
        <v>70672</v>
      </c>
      <c r="T1823" s="4">
        <v>48336</v>
      </c>
      <c r="U1823" s="4">
        <v>22336</v>
      </c>
      <c r="V1823" s="4">
        <v>32573</v>
      </c>
      <c r="W1823" s="4">
        <v>25802</v>
      </c>
      <c r="X1823" s="4">
        <v>11700</v>
      </c>
      <c r="Y1823" s="4" t="s">
        <v>41</v>
      </c>
      <c r="Z1823" s="4">
        <v>94</v>
      </c>
      <c r="AA1823" s="4">
        <v>4.0999999999999996</v>
      </c>
      <c r="AB1823" s="4" t="s">
        <v>137</v>
      </c>
    </row>
    <row r="1824" spans="1:28" x14ac:dyDescent="0.25">
      <c r="A1824" s="2" t="s">
        <v>2613</v>
      </c>
      <c r="B1824" s="2" t="s">
        <v>1993</v>
      </c>
      <c r="C1824" s="2">
        <v>78</v>
      </c>
      <c r="D1824" s="2" t="s">
        <v>30</v>
      </c>
      <c r="E1824" s="2" t="s">
        <v>87</v>
      </c>
      <c r="F1824" s="2" t="s">
        <v>114</v>
      </c>
      <c r="G1824" s="3">
        <v>44671</v>
      </c>
      <c r="H1824" s="3">
        <v>44675</v>
      </c>
      <c r="I1824" s="2">
        <v>4</v>
      </c>
      <c r="J1824" s="2" t="s">
        <v>33</v>
      </c>
      <c r="K1824" s="2" t="s">
        <v>99</v>
      </c>
      <c r="L1824" s="2" t="s">
        <v>100</v>
      </c>
      <c r="M1824" s="2" t="s">
        <v>61</v>
      </c>
      <c r="N1824" s="2" t="s">
        <v>62</v>
      </c>
      <c r="O1824" s="2" t="s">
        <v>438</v>
      </c>
      <c r="P1824" s="2">
        <v>357</v>
      </c>
      <c r="Q1824" s="2" t="s">
        <v>50</v>
      </c>
      <c r="R1824" s="2" t="s">
        <v>136</v>
      </c>
      <c r="S1824" s="2">
        <v>106419</v>
      </c>
      <c r="T1824" s="2">
        <v>0</v>
      </c>
      <c r="U1824" s="2">
        <v>106419</v>
      </c>
      <c r="V1824" s="2">
        <v>79312</v>
      </c>
      <c r="W1824" s="2">
        <v>17005</v>
      </c>
      <c r="X1824" s="2">
        <v>5520</v>
      </c>
      <c r="Y1824" s="2" t="s">
        <v>41</v>
      </c>
      <c r="Z1824" s="2">
        <v>57</v>
      </c>
      <c r="AA1824" s="2">
        <v>4.0999999999999996</v>
      </c>
      <c r="AB1824" s="2" t="s">
        <v>52</v>
      </c>
    </row>
    <row r="1825" spans="1:28" x14ac:dyDescent="0.25">
      <c r="A1825" s="4" t="s">
        <v>2614</v>
      </c>
      <c r="B1825" s="4" t="s">
        <v>2425</v>
      </c>
      <c r="C1825" s="4">
        <v>65</v>
      </c>
      <c r="D1825" s="4" t="s">
        <v>55</v>
      </c>
      <c r="E1825" s="4" t="s">
        <v>67</v>
      </c>
      <c r="F1825" s="4" t="s">
        <v>72</v>
      </c>
      <c r="G1825" s="5">
        <v>45540</v>
      </c>
      <c r="H1825" s="5">
        <v>45542</v>
      </c>
      <c r="I1825" s="4">
        <v>2</v>
      </c>
      <c r="J1825" s="4" t="s">
        <v>33</v>
      </c>
      <c r="K1825" s="4" t="s">
        <v>34</v>
      </c>
      <c r="L1825" s="4" t="s">
        <v>35</v>
      </c>
      <c r="M1825" s="4" t="s">
        <v>75</v>
      </c>
      <c r="N1825" s="4" t="s">
        <v>118</v>
      </c>
      <c r="O1825" s="4" t="s">
        <v>406</v>
      </c>
      <c r="P1825" s="4">
        <v>429</v>
      </c>
      <c r="Q1825" s="4" t="s">
        <v>39</v>
      </c>
      <c r="R1825" s="4" t="s">
        <v>90</v>
      </c>
      <c r="S1825" s="4">
        <v>176662</v>
      </c>
      <c r="T1825" s="4">
        <v>108583</v>
      </c>
      <c r="U1825" s="4">
        <v>68079</v>
      </c>
      <c r="V1825" s="4">
        <v>131795</v>
      </c>
      <c r="W1825" s="4">
        <v>27116</v>
      </c>
      <c r="X1825" s="4">
        <v>14632</v>
      </c>
      <c r="Y1825" s="4" t="s">
        <v>41</v>
      </c>
      <c r="Z1825" s="4">
        <v>90</v>
      </c>
      <c r="AA1825" s="4">
        <v>3.7</v>
      </c>
      <c r="AB1825" s="4" t="s">
        <v>137</v>
      </c>
    </row>
    <row r="1826" spans="1:28" x14ac:dyDescent="0.25">
      <c r="A1826" s="2" t="s">
        <v>2615</v>
      </c>
      <c r="B1826" s="2" t="s">
        <v>2109</v>
      </c>
      <c r="C1826" s="2">
        <v>19</v>
      </c>
      <c r="D1826" s="2" t="s">
        <v>30</v>
      </c>
      <c r="E1826" s="2" t="s">
        <v>67</v>
      </c>
      <c r="F1826" s="2" t="s">
        <v>94</v>
      </c>
      <c r="G1826" s="3">
        <v>45478</v>
      </c>
      <c r="H1826" s="3">
        <v>45487</v>
      </c>
      <c r="I1826" s="2">
        <v>9</v>
      </c>
      <c r="J1826" s="2" t="s">
        <v>123</v>
      </c>
      <c r="K1826" s="2" t="s">
        <v>251</v>
      </c>
      <c r="L1826" s="2" t="s">
        <v>125</v>
      </c>
      <c r="M1826" s="2" t="s">
        <v>95</v>
      </c>
      <c r="N1826" s="2" t="s">
        <v>109</v>
      </c>
      <c r="O1826" s="2" t="s">
        <v>464</v>
      </c>
      <c r="P1826" s="2">
        <v>168</v>
      </c>
      <c r="Q1826" s="2" t="s">
        <v>50</v>
      </c>
      <c r="R1826" s="2" t="s">
        <v>90</v>
      </c>
      <c r="S1826" s="2">
        <v>125206</v>
      </c>
      <c r="T1826" s="2">
        <v>93987</v>
      </c>
      <c r="U1826" s="2">
        <v>31219</v>
      </c>
      <c r="V1826" s="2">
        <v>96776</v>
      </c>
      <c r="W1826" s="2">
        <v>16829</v>
      </c>
      <c r="X1826" s="2">
        <v>9847</v>
      </c>
      <c r="Y1826" s="2" t="s">
        <v>41</v>
      </c>
      <c r="Z1826" s="2">
        <v>68</v>
      </c>
      <c r="AA1826" s="2">
        <v>4.2</v>
      </c>
      <c r="AB1826" s="2" t="s">
        <v>137</v>
      </c>
    </row>
    <row r="1827" spans="1:28" x14ac:dyDescent="0.25">
      <c r="A1827" s="4" t="s">
        <v>2616</v>
      </c>
      <c r="B1827" s="4" t="s">
        <v>1974</v>
      </c>
      <c r="C1827" s="4">
        <v>11</v>
      </c>
      <c r="D1827" s="4" t="s">
        <v>30</v>
      </c>
      <c r="E1827" s="4" t="s">
        <v>31</v>
      </c>
      <c r="F1827" s="4" t="s">
        <v>72</v>
      </c>
      <c r="G1827" s="5">
        <v>44914</v>
      </c>
      <c r="H1827" s="5">
        <v>44924</v>
      </c>
      <c r="I1827" s="4">
        <v>10</v>
      </c>
      <c r="J1827" s="4" t="s">
        <v>202</v>
      </c>
      <c r="K1827" s="4" t="s">
        <v>203</v>
      </c>
      <c r="L1827" s="4" t="s">
        <v>204</v>
      </c>
      <c r="M1827" s="4" t="s">
        <v>36</v>
      </c>
      <c r="N1827" s="4" t="s">
        <v>62</v>
      </c>
      <c r="O1827" s="4" t="s">
        <v>950</v>
      </c>
      <c r="P1827" s="4">
        <v>442</v>
      </c>
      <c r="Q1827" s="4" t="s">
        <v>50</v>
      </c>
      <c r="R1827" s="4" t="s">
        <v>90</v>
      </c>
      <c r="S1827" s="4">
        <v>128868</v>
      </c>
      <c r="T1827" s="4">
        <v>97146</v>
      </c>
      <c r="U1827" s="4">
        <v>31722</v>
      </c>
      <c r="V1827" s="4">
        <v>104937</v>
      </c>
      <c r="W1827" s="4">
        <v>6816</v>
      </c>
      <c r="X1827" s="4">
        <v>12618</v>
      </c>
      <c r="Y1827" s="4" t="s">
        <v>41</v>
      </c>
      <c r="Z1827" s="4">
        <v>79</v>
      </c>
      <c r="AA1827" s="4">
        <v>2.1</v>
      </c>
      <c r="AB1827" s="4" t="s">
        <v>42</v>
      </c>
    </row>
    <row r="1828" spans="1:28" x14ac:dyDescent="0.25">
      <c r="A1828" s="2" t="s">
        <v>2617</v>
      </c>
      <c r="B1828" s="2" t="s">
        <v>1398</v>
      </c>
      <c r="C1828" s="2">
        <v>55</v>
      </c>
      <c r="D1828" s="2" t="s">
        <v>55</v>
      </c>
      <c r="E1828" s="2" t="s">
        <v>56</v>
      </c>
      <c r="F1828" s="2" t="s">
        <v>157</v>
      </c>
      <c r="G1828" s="3">
        <v>44869</v>
      </c>
      <c r="H1828" s="3">
        <v>44891</v>
      </c>
      <c r="I1828" s="2">
        <v>22</v>
      </c>
      <c r="J1828" s="2" t="s">
        <v>33</v>
      </c>
      <c r="K1828" s="2" t="s">
        <v>34</v>
      </c>
      <c r="L1828" s="2" t="s">
        <v>35</v>
      </c>
      <c r="M1828" s="2" t="s">
        <v>101</v>
      </c>
      <c r="N1828" s="2" t="s">
        <v>118</v>
      </c>
      <c r="O1828" s="2" t="s">
        <v>147</v>
      </c>
      <c r="P1828" s="2">
        <v>450</v>
      </c>
      <c r="Q1828" s="2" t="s">
        <v>39</v>
      </c>
      <c r="R1828" s="2" t="s">
        <v>40</v>
      </c>
      <c r="S1828" s="2">
        <v>72723</v>
      </c>
      <c r="T1828" s="2">
        <v>36274</v>
      </c>
      <c r="U1828" s="2">
        <v>36449</v>
      </c>
      <c r="V1828" s="2">
        <v>59963</v>
      </c>
      <c r="W1828" s="2">
        <v>8910</v>
      </c>
      <c r="X1828" s="2">
        <v>1832</v>
      </c>
      <c r="Y1828" s="2" t="s">
        <v>41</v>
      </c>
      <c r="Z1828" s="2">
        <v>48</v>
      </c>
      <c r="AA1828" s="2">
        <v>3</v>
      </c>
      <c r="AB1828" s="2" t="s">
        <v>64</v>
      </c>
    </row>
    <row r="1829" spans="1:28" x14ac:dyDescent="0.25">
      <c r="A1829" s="4" t="s">
        <v>2618</v>
      </c>
      <c r="B1829" s="4" t="s">
        <v>297</v>
      </c>
      <c r="C1829" s="4">
        <v>59</v>
      </c>
      <c r="D1829" s="4" t="s">
        <v>55</v>
      </c>
      <c r="E1829" s="4" t="s">
        <v>67</v>
      </c>
      <c r="F1829" s="4" t="s">
        <v>129</v>
      </c>
      <c r="G1829" s="5">
        <v>45505</v>
      </c>
      <c r="H1829" s="5">
        <v>45528</v>
      </c>
      <c r="I1829" s="4">
        <v>23</v>
      </c>
      <c r="J1829" s="4" t="s">
        <v>33</v>
      </c>
      <c r="K1829" s="4" t="s">
        <v>34</v>
      </c>
      <c r="L1829" s="4" t="s">
        <v>35</v>
      </c>
      <c r="M1829" s="4" t="s">
        <v>36</v>
      </c>
      <c r="N1829" s="4" t="s">
        <v>109</v>
      </c>
      <c r="O1829" s="4" t="s">
        <v>455</v>
      </c>
      <c r="P1829" s="4">
        <v>255</v>
      </c>
      <c r="Q1829" s="4" t="s">
        <v>103</v>
      </c>
      <c r="R1829" s="4" t="s">
        <v>40</v>
      </c>
      <c r="S1829" s="4">
        <v>60543</v>
      </c>
      <c r="T1829" s="4">
        <v>28440</v>
      </c>
      <c r="U1829" s="4">
        <v>32103</v>
      </c>
      <c r="V1829" s="4">
        <v>42741</v>
      </c>
      <c r="W1829" s="4">
        <v>7604</v>
      </c>
      <c r="X1829" s="4">
        <v>5669</v>
      </c>
      <c r="Y1829" s="4" t="s">
        <v>41</v>
      </c>
      <c r="Z1829" s="4">
        <v>56</v>
      </c>
      <c r="AA1829" s="4">
        <v>2.5</v>
      </c>
      <c r="AB1829" s="4" t="s">
        <v>104</v>
      </c>
    </row>
    <row r="1830" spans="1:28" x14ac:dyDescent="0.25">
      <c r="A1830" s="2" t="s">
        <v>2619</v>
      </c>
      <c r="B1830" s="2" t="s">
        <v>1517</v>
      </c>
      <c r="C1830" s="2">
        <v>24</v>
      </c>
      <c r="D1830" s="2" t="s">
        <v>55</v>
      </c>
      <c r="E1830" s="2" t="s">
        <v>79</v>
      </c>
      <c r="F1830" s="2" t="s">
        <v>129</v>
      </c>
      <c r="G1830" s="3">
        <v>44633</v>
      </c>
      <c r="H1830" s="3">
        <v>44648</v>
      </c>
      <c r="I1830" s="2">
        <v>15</v>
      </c>
      <c r="J1830" s="2" t="s">
        <v>33</v>
      </c>
      <c r="K1830" s="2" t="s">
        <v>233</v>
      </c>
      <c r="L1830" s="2" t="s">
        <v>35</v>
      </c>
      <c r="M1830" s="2" t="s">
        <v>83</v>
      </c>
      <c r="N1830" s="2" t="s">
        <v>118</v>
      </c>
      <c r="O1830" s="2" t="s">
        <v>49</v>
      </c>
      <c r="P1830" s="2">
        <v>333</v>
      </c>
      <c r="Q1830" s="2" t="s">
        <v>103</v>
      </c>
      <c r="R1830" s="2" t="s">
        <v>90</v>
      </c>
      <c r="S1830" s="2">
        <v>93085</v>
      </c>
      <c r="T1830" s="2">
        <v>83149</v>
      </c>
      <c r="U1830" s="2">
        <v>9936</v>
      </c>
      <c r="V1830" s="2">
        <v>80363</v>
      </c>
      <c r="W1830" s="2">
        <v>5701</v>
      </c>
      <c r="X1830" s="2">
        <v>6109</v>
      </c>
      <c r="Y1830" s="2" t="s">
        <v>41</v>
      </c>
      <c r="Z1830" s="2">
        <v>76</v>
      </c>
      <c r="AA1830" s="2">
        <v>2.4</v>
      </c>
      <c r="AB1830" s="2" t="s">
        <v>52</v>
      </c>
    </row>
    <row r="1831" spans="1:28" x14ac:dyDescent="0.25">
      <c r="A1831" s="4" t="s">
        <v>2620</v>
      </c>
      <c r="B1831" s="4" t="s">
        <v>874</v>
      </c>
      <c r="C1831" s="4">
        <v>78</v>
      </c>
      <c r="D1831" s="4" t="s">
        <v>30</v>
      </c>
      <c r="E1831" s="4" t="s">
        <v>45</v>
      </c>
      <c r="F1831" s="4" t="s">
        <v>94</v>
      </c>
      <c r="G1831" s="5">
        <v>45568</v>
      </c>
      <c r="H1831" s="5">
        <v>45584</v>
      </c>
      <c r="I1831" s="4">
        <v>16</v>
      </c>
      <c r="J1831" s="4" t="s">
        <v>33</v>
      </c>
      <c r="K1831" s="4" t="s">
        <v>233</v>
      </c>
      <c r="L1831" s="4" t="s">
        <v>35</v>
      </c>
      <c r="M1831" s="4" t="s">
        <v>61</v>
      </c>
      <c r="N1831" s="4" t="s">
        <v>37</v>
      </c>
      <c r="O1831" s="4" t="s">
        <v>455</v>
      </c>
      <c r="P1831" s="4">
        <v>251</v>
      </c>
      <c r="Q1831" s="4" t="s">
        <v>39</v>
      </c>
      <c r="R1831" s="4" t="s">
        <v>111</v>
      </c>
      <c r="S1831" s="4">
        <v>117420</v>
      </c>
      <c r="T1831" s="4">
        <v>88790</v>
      </c>
      <c r="U1831" s="4">
        <v>28630</v>
      </c>
      <c r="V1831" s="4">
        <v>96287</v>
      </c>
      <c r="W1831" s="4">
        <v>15871</v>
      </c>
      <c r="X1831" s="4">
        <v>2940</v>
      </c>
      <c r="Y1831" s="4" t="s">
        <v>41</v>
      </c>
      <c r="Z1831" s="4">
        <v>67</v>
      </c>
      <c r="AA1831" s="4">
        <v>4.9000000000000004</v>
      </c>
      <c r="AB1831" s="4" t="s">
        <v>104</v>
      </c>
    </row>
    <row r="1832" spans="1:28" x14ac:dyDescent="0.25">
      <c r="A1832" s="2" t="s">
        <v>2621</v>
      </c>
      <c r="B1832" s="2" t="s">
        <v>1568</v>
      </c>
      <c r="C1832" s="2">
        <v>24</v>
      </c>
      <c r="D1832" s="2" t="s">
        <v>55</v>
      </c>
      <c r="E1832" s="2" t="s">
        <v>31</v>
      </c>
      <c r="F1832" s="2" t="s">
        <v>80</v>
      </c>
      <c r="G1832" s="3">
        <v>44774</v>
      </c>
      <c r="H1832" s="3">
        <v>44778</v>
      </c>
      <c r="I1832" s="2">
        <v>4</v>
      </c>
      <c r="J1832" s="2" t="s">
        <v>202</v>
      </c>
      <c r="K1832" s="2" t="s">
        <v>203</v>
      </c>
      <c r="L1832" s="2" t="s">
        <v>204</v>
      </c>
      <c r="M1832" s="2" t="s">
        <v>61</v>
      </c>
      <c r="N1832" s="2" t="s">
        <v>62</v>
      </c>
      <c r="O1832" s="2" t="s">
        <v>76</v>
      </c>
      <c r="P1832" s="2">
        <v>244</v>
      </c>
      <c r="Q1832" s="2" t="s">
        <v>50</v>
      </c>
      <c r="R1832" s="2" t="s">
        <v>40</v>
      </c>
      <c r="S1832" s="2">
        <v>141278</v>
      </c>
      <c r="T1832" s="2">
        <v>64061</v>
      </c>
      <c r="U1832" s="2">
        <v>77217</v>
      </c>
      <c r="V1832" s="2">
        <v>102768</v>
      </c>
      <c r="W1832" s="2">
        <v>26065</v>
      </c>
      <c r="X1832" s="2">
        <v>11582</v>
      </c>
      <c r="Y1832" s="2" t="s">
        <v>41</v>
      </c>
      <c r="Z1832" s="2">
        <v>76</v>
      </c>
      <c r="AA1832" s="2">
        <v>2.8</v>
      </c>
      <c r="AB1832" s="2" t="s">
        <v>42</v>
      </c>
    </row>
    <row r="1833" spans="1:28" x14ac:dyDescent="0.25">
      <c r="A1833" s="4" t="s">
        <v>2622</v>
      </c>
      <c r="B1833" s="4" t="s">
        <v>532</v>
      </c>
      <c r="C1833" s="4">
        <v>18</v>
      </c>
      <c r="D1833" s="4" t="s">
        <v>55</v>
      </c>
      <c r="E1833" s="4" t="s">
        <v>31</v>
      </c>
      <c r="F1833" s="4" t="s">
        <v>129</v>
      </c>
      <c r="G1833" s="5">
        <v>44820</v>
      </c>
      <c r="H1833" s="5">
        <v>44826</v>
      </c>
      <c r="I1833" s="4">
        <v>6</v>
      </c>
      <c r="J1833" s="4" t="s">
        <v>73</v>
      </c>
      <c r="K1833" s="4" t="s">
        <v>74</v>
      </c>
      <c r="L1833" s="4" t="s">
        <v>73</v>
      </c>
      <c r="M1833" s="4" t="s">
        <v>130</v>
      </c>
      <c r="N1833" s="4" t="s">
        <v>37</v>
      </c>
      <c r="O1833" s="4" t="s">
        <v>266</v>
      </c>
      <c r="P1833" s="4">
        <v>386</v>
      </c>
      <c r="Q1833" s="4" t="s">
        <v>50</v>
      </c>
      <c r="R1833" s="4" t="s">
        <v>111</v>
      </c>
      <c r="S1833" s="4">
        <v>62590</v>
      </c>
      <c r="T1833" s="4">
        <v>41445</v>
      </c>
      <c r="U1833" s="4">
        <v>21145</v>
      </c>
      <c r="V1833" s="4">
        <v>20527</v>
      </c>
      <c r="W1833" s="4">
        <v>26170</v>
      </c>
      <c r="X1833" s="4">
        <v>12900</v>
      </c>
      <c r="Y1833" s="4" t="s">
        <v>41</v>
      </c>
      <c r="Z1833" s="4">
        <v>46</v>
      </c>
      <c r="AA1833" s="4">
        <v>2.7</v>
      </c>
      <c r="AB1833" s="4" t="s">
        <v>104</v>
      </c>
    </row>
    <row r="1834" spans="1:28" x14ac:dyDescent="0.25">
      <c r="A1834" s="2" t="s">
        <v>2623</v>
      </c>
      <c r="B1834" s="2" t="s">
        <v>297</v>
      </c>
      <c r="C1834" s="2">
        <v>76</v>
      </c>
      <c r="D1834" s="2" t="s">
        <v>30</v>
      </c>
      <c r="E1834" s="2" t="s">
        <v>31</v>
      </c>
      <c r="F1834" s="2" t="s">
        <v>150</v>
      </c>
      <c r="G1834" s="3">
        <v>44909</v>
      </c>
      <c r="H1834" s="3">
        <v>44913</v>
      </c>
      <c r="I1834" s="2">
        <v>4</v>
      </c>
      <c r="J1834" s="2" t="s">
        <v>73</v>
      </c>
      <c r="K1834" s="2" t="s">
        <v>74</v>
      </c>
      <c r="L1834" s="2" t="s">
        <v>73</v>
      </c>
      <c r="M1834" s="2" t="s">
        <v>108</v>
      </c>
      <c r="N1834" s="2" t="s">
        <v>109</v>
      </c>
      <c r="O1834" s="2" t="s">
        <v>571</v>
      </c>
      <c r="P1834" s="2">
        <v>333</v>
      </c>
      <c r="Q1834" s="2" t="s">
        <v>69</v>
      </c>
      <c r="R1834" s="2" t="s">
        <v>51</v>
      </c>
      <c r="S1834" s="2">
        <v>43915</v>
      </c>
      <c r="T1834" s="2">
        <v>23447</v>
      </c>
      <c r="U1834" s="2">
        <v>20468</v>
      </c>
      <c r="V1834" s="2">
        <v>6710</v>
      </c>
      <c r="W1834" s="2">
        <v>21226</v>
      </c>
      <c r="X1834" s="2">
        <v>13766</v>
      </c>
      <c r="Y1834" s="2" t="s">
        <v>41</v>
      </c>
      <c r="Z1834" s="2">
        <v>79</v>
      </c>
      <c r="AA1834" s="2">
        <v>2.7</v>
      </c>
      <c r="AB1834" s="2" t="s">
        <v>137</v>
      </c>
    </row>
    <row r="1835" spans="1:28" x14ac:dyDescent="0.25">
      <c r="A1835" s="4" t="s">
        <v>2624</v>
      </c>
      <c r="B1835" s="4" t="s">
        <v>999</v>
      </c>
      <c r="C1835" s="4">
        <v>43</v>
      </c>
      <c r="D1835" s="4" t="s">
        <v>30</v>
      </c>
      <c r="E1835" s="4" t="s">
        <v>31</v>
      </c>
      <c r="F1835" s="4" t="s">
        <v>94</v>
      </c>
      <c r="G1835" s="5">
        <v>44568</v>
      </c>
      <c r="H1835" s="5">
        <v>44575</v>
      </c>
      <c r="I1835" s="4">
        <v>7</v>
      </c>
      <c r="J1835" s="4" t="s">
        <v>33</v>
      </c>
      <c r="K1835" s="4" t="s">
        <v>107</v>
      </c>
      <c r="L1835" s="4" t="s">
        <v>48</v>
      </c>
      <c r="M1835" s="4" t="s">
        <v>83</v>
      </c>
      <c r="N1835" s="4" t="s">
        <v>109</v>
      </c>
      <c r="O1835" s="4" t="s">
        <v>205</v>
      </c>
      <c r="P1835" s="4">
        <v>50</v>
      </c>
      <c r="Q1835" s="4" t="s">
        <v>39</v>
      </c>
      <c r="R1835" s="4" t="s">
        <v>40</v>
      </c>
      <c r="S1835" s="4">
        <v>138805</v>
      </c>
      <c r="T1835" s="4">
        <v>79460</v>
      </c>
      <c r="U1835" s="4">
        <v>59345</v>
      </c>
      <c r="V1835" s="4">
        <v>121755</v>
      </c>
      <c r="W1835" s="4">
        <v>3005</v>
      </c>
      <c r="X1835" s="4">
        <v>11496</v>
      </c>
      <c r="Y1835" s="4" t="s">
        <v>41</v>
      </c>
      <c r="Z1835" s="4">
        <v>59</v>
      </c>
      <c r="AA1835" s="4">
        <v>4.5</v>
      </c>
      <c r="AB1835" s="4" t="s">
        <v>52</v>
      </c>
    </row>
    <row r="1836" spans="1:28" x14ac:dyDescent="0.25">
      <c r="A1836" s="2" t="s">
        <v>2625</v>
      </c>
      <c r="B1836" s="2" t="s">
        <v>739</v>
      </c>
      <c r="C1836" s="2">
        <v>61</v>
      </c>
      <c r="D1836" s="2" t="s">
        <v>30</v>
      </c>
      <c r="E1836" s="2" t="s">
        <v>122</v>
      </c>
      <c r="F1836" s="2" t="s">
        <v>57</v>
      </c>
      <c r="G1836" s="3">
        <v>45219</v>
      </c>
      <c r="H1836" s="3">
        <v>45249</v>
      </c>
      <c r="I1836" s="2">
        <v>30</v>
      </c>
      <c r="J1836" s="2" t="s">
        <v>73</v>
      </c>
      <c r="K1836" s="2" t="s">
        <v>74</v>
      </c>
      <c r="L1836" s="2" t="s">
        <v>73</v>
      </c>
      <c r="M1836" s="2" t="s">
        <v>95</v>
      </c>
      <c r="N1836" s="2" t="s">
        <v>109</v>
      </c>
      <c r="O1836" s="2" t="s">
        <v>168</v>
      </c>
      <c r="P1836" s="2">
        <v>283</v>
      </c>
      <c r="Q1836" s="2" t="s">
        <v>69</v>
      </c>
      <c r="R1836" s="2" t="s">
        <v>90</v>
      </c>
      <c r="S1836" s="2">
        <v>154306</v>
      </c>
      <c r="T1836" s="2">
        <v>118722</v>
      </c>
      <c r="U1836" s="2">
        <v>35584</v>
      </c>
      <c r="V1836" s="2">
        <v>139001</v>
      </c>
      <c r="W1836" s="2">
        <v>1898</v>
      </c>
      <c r="X1836" s="2">
        <v>11440</v>
      </c>
      <c r="Y1836" s="2" t="s">
        <v>41</v>
      </c>
      <c r="Z1836" s="2">
        <v>73</v>
      </c>
      <c r="AA1836" s="2">
        <v>5</v>
      </c>
      <c r="AB1836" s="2" t="s">
        <v>104</v>
      </c>
    </row>
    <row r="1837" spans="1:28" x14ac:dyDescent="0.25">
      <c r="A1837" s="4" t="s">
        <v>2626</v>
      </c>
      <c r="B1837" s="4" t="s">
        <v>838</v>
      </c>
      <c r="C1837" s="4">
        <v>73</v>
      </c>
      <c r="D1837" s="4" t="s">
        <v>30</v>
      </c>
      <c r="E1837" s="4" t="s">
        <v>87</v>
      </c>
      <c r="F1837" s="4" t="s">
        <v>150</v>
      </c>
      <c r="G1837" s="5">
        <v>44901</v>
      </c>
      <c r="H1837" s="5">
        <v>44912</v>
      </c>
      <c r="I1837" s="4">
        <v>11</v>
      </c>
      <c r="J1837" s="4" t="s">
        <v>202</v>
      </c>
      <c r="K1837" s="4" t="s">
        <v>225</v>
      </c>
      <c r="L1837" s="4" t="s">
        <v>226</v>
      </c>
      <c r="M1837" s="4" t="s">
        <v>95</v>
      </c>
      <c r="N1837" s="4" t="s">
        <v>109</v>
      </c>
      <c r="O1837" s="4" t="s">
        <v>227</v>
      </c>
      <c r="P1837" s="4">
        <v>191</v>
      </c>
      <c r="Q1837" s="4" t="s">
        <v>103</v>
      </c>
      <c r="R1837" s="4" t="s">
        <v>136</v>
      </c>
      <c r="S1837" s="4">
        <v>60228</v>
      </c>
      <c r="T1837" s="4">
        <v>0</v>
      </c>
      <c r="U1837" s="4">
        <v>60228</v>
      </c>
      <c r="V1837" s="4">
        <v>31296</v>
      </c>
      <c r="W1837" s="4">
        <v>11522</v>
      </c>
      <c r="X1837" s="4">
        <v>14987</v>
      </c>
      <c r="Y1837" s="4" t="s">
        <v>41</v>
      </c>
      <c r="Z1837" s="4">
        <v>42</v>
      </c>
      <c r="AA1837" s="4">
        <v>3.3</v>
      </c>
      <c r="AB1837" s="4" t="s">
        <v>104</v>
      </c>
    </row>
    <row r="1838" spans="1:28" x14ac:dyDescent="0.25">
      <c r="A1838" s="2" t="s">
        <v>2627</v>
      </c>
      <c r="B1838" s="2" t="s">
        <v>408</v>
      </c>
      <c r="C1838" s="2">
        <v>58</v>
      </c>
      <c r="D1838" s="2" t="s">
        <v>30</v>
      </c>
      <c r="E1838" s="2" t="s">
        <v>122</v>
      </c>
      <c r="F1838" s="2" t="s">
        <v>114</v>
      </c>
      <c r="G1838" s="3">
        <v>44998</v>
      </c>
      <c r="H1838" s="3">
        <v>45023</v>
      </c>
      <c r="I1838" s="2">
        <v>25</v>
      </c>
      <c r="J1838" s="2" t="s">
        <v>73</v>
      </c>
      <c r="K1838" s="2" t="s">
        <v>74</v>
      </c>
      <c r="L1838" s="2" t="s">
        <v>73</v>
      </c>
      <c r="M1838" s="2" t="s">
        <v>36</v>
      </c>
      <c r="N1838" s="2" t="s">
        <v>62</v>
      </c>
      <c r="O1838" s="2" t="s">
        <v>376</v>
      </c>
      <c r="P1838" s="2">
        <v>54</v>
      </c>
      <c r="Q1838" s="2" t="s">
        <v>50</v>
      </c>
      <c r="R1838" s="2" t="s">
        <v>136</v>
      </c>
      <c r="S1838" s="2">
        <v>77318</v>
      </c>
      <c r="T1838" s="2">
        <v>0</v>
      </c>
      <c r="U1838" s="2">
        <v>77318</v>
      </c>
      <c r="V1838" s="2">
        <v>62728</v>
      </c>
      <c r="W1838" s="2">
        <v>1837</v>
      </c>
      <c r="X1838" s="2">
        <v>10247</v>
      </c>
      <c r="Y1838" s="2" t="s">
        <v>41</v>
      </c>
      <c r="Z1838" s="2">
        <v>86</v>
      </c>
      <c r="AA1838" s="2">
        <v>2.2999999999999998</v>
      </c>
      <c r="AB1838" s="2" t="s">
        <v>64</v>
      </c>
    </row>
    <row r="1839" spans="1:28" x14ac:dyDescent="0.25">
      <c r="A1839" s="4" t="s">
        <v>2628</v>
      </c>
      <c r="B1839" s="4" t="s">
        <v>139</v>
      </c>
      <c r="C1839" s="4">
        <v>34</v>
      </c>
      <c r="D1839" s="4" t="s">
        <v>30</v>
      </c>
      <c r="E1839" s="4" t="s">
        <v>87</v>
      </c>
      <c r="F1839" s="4" t="s">
        <v>72</v>
      </c>
      <c r="G1839" s="5">
        <v>44720</v>
      </c>
      <c r="H1839" s="5">
        <v>44735</v>
      </c>
      <c r="I1839" s="4">
        <v>15</v>
      </c>
      <c r="J1839" s="4" t="s">
        <v>123</v>
      </c>
      <c r="K1839" s="4" t="s">
        <v>251</v>
      </c>
      <c r="L1839" s="4" t="s">
        <v>125</v>
      </c>
      <c r="M1839" s="4" t="s">
        <v>83</v>
      </c>
      <c r="N1839" s="4" t="s">
        <v>109</v>
      </c>
      <c r="O1839" s="4" t="s">
        <v>184</v>
      </c>
      <c r="P1839" s="4">
        <v>50</v>
      </c>
      <c r="Q1839" s="4" t="s">
        <v>39</v>
      </c>
      <c r="R1839" s="4" t="s">
        <v>90</v>
      </c>
      <c r="S1839" s="4">
        <v>30532</v>
      </c>
      <c r="T1839" s="4">
        <v>19506</v>
      </c>
      <c r="U1839" s="4">
        <v>11026</v>
      </c>
      <c r="V1839" s="4">
        <v>8818</v>
      </c>
      <c r="W1839" s="4">
        <v>10397</v>
      </c>
      <c r="X1839" s="4">
        <v>6579</v>
      </c>
      <c r="Y1839" s="4" t="s">
        <v>41</v>
      </c>
      <c r="Z1839" s="4">
        <v>91</v>
      </c>
      <c r="AA1839" s="4">
        <v>2.2999999999999998</v>
      </c>
      <c r="AB1839" s="4" t="s">
        <v>64</v>
      </c>
    </row>
    <row r="1840" spans="1:28" x14ac:dyDescent="0.25">
      <c r="A1840" s="2" t="s">
        <v>2629</v>
      </c>
      <c r="B1840" s="2" t="s">
        <v>2510</v>
      </c>
      <c r="C1840" s="2">
        <v>62</v>
      </c>
      <c r="D1840" s="2" t="s">
        <v>30</v>
      </c>
      <c r="E1840" s="2" t="s">
        <v>154</v>
      </c>
      <c r="F1840" s="2" t="s">
        <v>46</v>
      </c>
      <c r="G1840" s="3">
        <v>45445</v>
      </c>
      <c r="H1840" s="3">
        <v>45463</v>
      </c>
      <c r="I1840" s="2">
        <v>18</v>
      </c>
      <c r="J1840" s="2" t="s">
        <v>140</v>
      </c>
      <c r="K1840" s="2" t="s">
        <v>167</v>
      </c>
      <c r="L1840" s="2" t="s">
        <v>142</v>
      </c>
      <c r="M1840" s="2" t="s">
        <v>61</v>
      </c>
      <c r="N1840" s="2" t="s">
        <v>109</v>
      </c>
      <c r="O1840" s="2" t="s">
        <v>222</v>
      </c>
      <c r="P1840" s="2">
        <v>32</v>
      </c>
      <c r="Q1840" s="2" t="s">
        <v>103</v>
      </c>
      <c r="R1840" s="2" t="s">
        <v>136</v>
      </c>
      <c r="S1840" s="2">
        <v>72110</v>
      </c>
      <c r="T1840" s="2">
        <v>0</v>
      </c>
      <c r="U1840" s="2">
        <v>72110</v>
      </c>
      <c r="V1840" s="2">
        <v>40232</v>
      </c>
      <c r="W1840" s="2">
        <v>19859</v>
      </c>
      <c r="X1840" s="2">
        <v>11322</v>
      </c>
      <c r="Y1840" s="2" t="s">
        <v>41</v>
      </c>
      <c r="Z1840" s="2">
        <v>97</v>
      </c>
      <c r="AA1840" s="2">
        <v>2.7</v>
      </c>
      <c r="AB1840" s="2" t="s">
        <v>137</v>
      </c>
    </row>
    <row r="1841" spans="1:28" x14ac:dyDescent="0.25">
      <c r="A1841" s="4" t="s">
        <v>2630</v>
      </c>
      <c r="B1841" s="4" t="s">
        <v>1231</v>
      </c>
      <c r="C1841" s="4">
        <v>21</v>
      </c>
      <c r="D1841" s="4" t="s">
        <v>55</v>
      </c>
      <c r="E1841" s="4" t="s">
        <v>87</v>
      </c>
      <c r="F1841" s="4" t="s">
        <v>129</v>
      </c>
      <c r="G1841" s="5">
        <v>44632</v>
      </c>
      <c r="H1841" s="5">
        <v>44652</v>
      </c>
      <c r="I1841" s="4">
        <v>20</v>
      </c>
      <c r="J1841" s="4" t="s">
        <v>58</v>
      </c>
      <c r="K1841" s="4" t="s">
        <v>88</v>
      </c>
      <c r="L1841" s="4" t="s">
        <v>60</v>
      </c>
      <c r="M1841" s="4" t="s">
        <v>75</v>
      </c>
      <c r="N1841" s="4" t="s">
        <v>62</v>
      </c>
      <c r="O1841" s="4" t="s">
        <v>627</v>
      </c>
      <c r="P1841" s="4">
        <v>357</v>
      </c>
      <c r="Q1841" s="4" t="s">
        <v>50</v>
      </c>
      <c r="R1841" s="4" t="s">
        <v>90</v>
      </c>
      <c r="S1841" s="4">
        <v>163740</v>
      </c>
      <c r="T1841" s="4">
        <v>124751</v>
      </c>
      <c r="U1841" s="4">
        <v>38989</v>
      </c>
      <c r="V1841" s="4">
        <v>145800</v>
      </c>
      <c r="W1841" s="4">
        <v>4234</v>
      </c>
      <c r="X1841" s="4">
        <v>9812</v>
      </c>
      <c r="Y1841" s="4" t="s">
        <v>41</v>
      </c>
      <c r="Z1841" s="4">
        <v>99</v>
      </c>
      <c r="AA1841" s="4">
        <v>4.2</v>
      </c>
      <c r="AB1841" s="4" t="s">
        <v>52</v>
      </c>
    </row>
    <row r="1842" spans="1:28" x14ac:dyDescent="0.25">
      <c r="A1842" s="2" t="s">
        <v>2631</v>
      </c>
      <c r="B1842" s="2" t="s">
        <v>1153</v>
      </c>
      <c r="C1842" s="2">
        <v>46</v>
      </c>
      <c r="D1842" s="2" t="s">
        <v>30</v>
      </c>
      <c r="E1842" s="2" t="s">
        <v>56</v>
      </c>
      <c r="F1842" s="2" t="s">
        <v>150</v>
      </c>
      <c r="G1842" s="3">
        <v>45101</v>
      </c>
      <c r="H1842" s="3">
        <v>45111</v>
      </c>
      <c r="I1842" s="2">
        <v>10</v>
      </c>
      <c r="J1842" s="2" t="s">
        <v>123</v>
      </c>
      <c r="K1842" s="2" t="s">
        <v>124</v>
      </c>
      <c r="L1842" s="2" t="s">
        <v>125</v>
      </c>
      <c r="M1842" s="2" t="s">
        <v>95</v>
      </c>
      <c r="N1842" s="2" t="s">
        <v>118</v>
      </c>
      <c r="O1842" s="2" t="s">
        <v>300</v>
      </c>
      <c r="P1842" s="2">
        <v>463</v>
      </c>
      <c r="Q1842" s="2" t="s">
        <v>69</v>
      </c>
      <c r="R1842" s="2" t="s">
        <v>136</v>
      </c>
      <c r="S1842" s="2">
        <v>116403</v>
      </c>
      <c r="T1842" s="2">
        <v>0</v>
      </c>
      <c r="U1842" s="2">
        <v>116403</v>
      </c>
      <c r="V1842" s="2">
        <v>90414</v>
      </c>
      <c r="W1842" s="2">
        <v>14756</v>
      </c>
      <c r="X1842" s="2">
        <v>8435</v>
      </c>
      <c r="Y1842" s="2" t="s">
        <v>91</v>
      </c>
      <c r="Z1842" s="2">
        <v>90</v>
      </c>
      <c r="AA1842" s="2">
        <v>2.5</v>
      </c>
      <c r="AB1842" s="2" t="s">
        <v>104</v>
      </c>
    </row>
    <row r="1843" spans="1:28" x14ac:dyDescent="0.25">
      <c r="A1843" s="4" t="s">
        <v>2632</v>
      </c>
      <c r="B1843" s="4" t="s">
        <v>573</v>
      </c>
      <c r="C1843" s="4">
        <v>68</v>
      </c>
      <c r="D1843" s="4" t="s">
        <v>30</v>
      </c>
      <c r="E1843" s="4" t="s">
        <v>31</v>
      </c>
      <c r="F1843" s="4" t="s">
        <v>57</v>
      </c>
      <c r="G1843" s="5">
        <v>44611</v>
      </c>
      <c r="H1843" s="5">
        <v>44614</v>
      </c>
      <c r="I1843" s="4">
        <v>3</v>
      </c>
      <c r="J1843" s="4" t="s">
        <v>73</v>
      </c>
      <c r="K1843" s="4" t="s">
        <v>74</v>
      </c>
      <c r="L1843" s="4" t="s">
        <v>73</v>
      </c>
      <c r="M1843" s="4" t="s">
        <v>36</v>
      </c>
      <c r="N1843" s="4" t="s">
        <v>118</v>
      </c>
      <c r="O1843" s="4" t="s">
        <v>300</v>
      </c>
      <c r="P1843" s="4">
        <v>378</v>
      </c>
      <c r="Q1843" s="4" t="s">
        <v>69</v>
      </c>
      <c r="R1843" s="4" t="s">
        <v>111</v>
      </c>
      <c r="S1843" s="4">
        <v>143072</v>
      </c>
      <c r="T1843" s="4">
        <v>122022</v>
      </c>
      <c r="U1843" s="4">
        <v>21050</v>
      </c>
      <c r="V1843" s="4">
        <v>130502</v>
      </c>
      <c r="W1843" s="4">
        <v>1626</v>
      </c>
      <c r="X1843" s="4">
        <v>9853</v>
      </c>
      <c r="Y1843" s="4" t="s">
        <v>41</v>
      </c>
      <c r="Z1843" s="4">
        <v>57</v>
      </c>
      <c r="AA1843" s="4">
        <v>4.9000000000000004</v>
      </c>
      <c r="AB1843" s="4" t="s">
        <v>52</v>
      </c>
    </row>
    <row r="1844" spans="1:28" x14ac:dyDescent="0.25">
      <c r="A1844" s="2" t="s">
        <v>2633</v>
      </c>
      <c r="B1844" s="2" t="s">
        <v>2060</v>
      </c>
      <c r="C1844" s="2">
        <v>37</v>
      </c>
      <c r="D1844" s="2" t="s">
        <v>55</v>
      </c>
      <c r="E1844" s="2" t="s">
        <v>122</v>
      </c>
      <c r="F1844" s="2" t="s">
        <v>57</v>
      </c>
      <c r="G1844" s="3">
        <v>44644</v>
      </c>
      <c r="H1844" s="3">
        <v>44673</v>
      </c>
      <c r="I1844" s="2">
        <v>29</v>
      </c>
      <c r="J1844" s="2" t="s">
        <v>58</v>
      </c>
      <c r="K1844" s="2" t="s">
        <v>59</v>
      </c>
      <c r="L1844" s="2" t="s">
        <v>60</v>
      </c>
      <c r="M1844" s="2" t="s">
        <v>130</v>
      </c>
      <c r="N1844" s="2" t="s">
        <v>118</v>
      </c>
      <c r="O1844" s="2" t="s">
        <v>63</v>
      </c>
      <c r="P1844" s="2">
        <v>435</v>
      </c>
      <c r="Q1844" s="2" t="s">
        <v>50</v>
      </c>
      <c r="R1844" s="2" t="s">
        <v>136</v>
      </c>
      <c r="S1844" s="2">
        <v>151102</v>
      </c>
      <c r="T1844" s="2">
        <v>0</v>
      </c>
      <c r="U1844" s="2">
        <v>151102</v>
      </c>
      <c r="V1844" s="2">
        <v>126100</v>
      </c>
      <c r="W1844" s="2">
        <v>13617</v>
      </c>
      <c r="X1844" s="2">
        <v>9157</v>
      </c>
      <c r="Y1844" s="2" t="s">
        <v>41</v>
      </c>
      <c r="Z1844" s="2">
        <v>74</v>
      </c>
      <c r="AA1844" s="2">
        <v>4.4000000000000004</v>
      </c>
      <c r="AB1844" s="2" t="s">
        <v>52</v>
      </c>
    </row>
    <row r="1845" spans="1:28" x14ac:dyDescent="0.25">
      <c r="A1845" s="4" t="s">
        <v>2634</v>
      </c>
      <c r="B1845" s="4" t="s">
        <v>1535</v>
      </c>
      <c r="C1845" s="4">
        <v>57</v>
      </c>
      <c r="D1845" s="4" t="s">
        <v>55</v>
      </c>
      <c r="E1845" s="4" t="s">
        <v>79</v>
      </c>
      <c r="F1845" s="4" t="s">
        <v>94</v>
      </c>
      <c r="G1845" s="5">
        <v>44852</v>
      </c>
      <c r="H1845" s="5">
        <v>44880</v>
      </c>
      <c r="I1845" s="4">
        <v>28</v>
      </c>
      <c r="J1845" s="4" t="s">
        <v>58</v>
      </c>
      <c r="K1845" s="4" t="s">
        <v>59</v>
      </c>
      <c r="L1845" s="4" t="s">
        <v>60</v>
      </c>
      <c r="M1845" s="4" t="s">
        <v>108</v>
      </c>
      <c r="N1845" s="4" t="s">
        <v>109</v>
      </c>
      <c r="O1845" s="4" t="s">
        <v>416</v>
      </c>
      <c r="P1845" s="4">
        <v>217</v>
      </c>
      <c r="Q1845" s="4" t="s">
        <v>69</v>
      </c>
      <c r="R1845" s="4" t="s">
        <v>90</v>
      </c>
      <c r="S1845" s="4">
        <v>79319</v>
      </c>
      <c r="T1845" s="4">
        <v>61927</v>
      </c>
      <c r="U1845" s="4">
        <v>17392</v>
      </c>
      <c r="V1845" s="4">
        <v>55440</v>
      </c>
      <c r="W1845" s="4">
        <v>18378</v>
      </c>
      <c r="X1845" s="4">
        <v>1147</v>
      </c>
      <c r="Y1845" s="4" t="s">
        <v>41</v>
      </c>
      <c r="Z1845" s="4">
        <v>45</v>
      </c>
      <c r="AA1845" s="4">
        <v>5</v>
      </c>
      <c r="AB1845" s="4" t="s">
        <v>104</v>
      </c>
    </row>
    <row r="1846" spans="1:28" x14ac:dyDescent="0.25">
      <c r="A1846" s="2" t="s">
        <v>2635</v>
      </c>
      <c r="B1846" s="2" t="s">
        <v>1248</v>
      </c>
      <c r="C1846" s="2">
        <v>54</v>
      </c>
      <c r="D1846" s="2" t="s">
        <v>30</v>
      </c>
      <c r="E1846" s="2" t="s">
        <v>154</v>
      </c>
      <c r="F1846" s="2" t="s">
        <v>80</v>
      </c>
      <c r="G1846" s="3">
        <v>44684</v>
      </c>
      <c r="H1846" s="3">
        <v>44702</v>
      </c>
      <c r="I1846" s="2">
        <v>18</v>
      </c>
      <c r="J1846" s="2" t="s">
        <v>33</v>
      </c>
      <c r="K1846" s="2" t="s">
        <v>34</v>
      </c>
      <c r="L1846" s="2" t="s">
        <v>35</v>
      </c>
      <c r="M1846" s="2" t="s">
        <v>101</v>
      </c>
      <c r="N1846" s="2" t="s">
        <v>118</v>
      </c>
      <c r="O1846" s="2" t="s">
        <v>464</v>
      </c>
      <c r="P1846" s="2">
        <v>158</v>
      </c>
      <c r="Q1846" s="2" t="s">
        <v>39</v>
      </c>
      <c r="R1846" s="2" t="s">
        <v>90</v>
      </c>
      <c r="S1846" s="2">
        <v>104134</v>
      </c>
      <c r="T1846" s="2">
        <v>86719</v>
      </c>
      <c r="U1846" s="2">
        <v>17415</v>
      </c>
      <c r="V1846" s="2">
        <v>93656</v>
      </c>
      <c r="W1846" s="2">
        <v>1705</v>
      </c>
      <c r="X1846" s="2">
        <v>7695</v>
      </c>
      <c r="Y1846" s="2" t="s">
        <v>41</v>
      </c>
      <c r="Z1846" s="2">
        <v>80</v>
      </c>
      <c r="AA1846" s="2">
        <v>3.3</v>
      </c>
      <c r="AB1846" s="2" t="s">
        <v>52</v>
      </c>
    </row>
    <row r="1847" spans="1:28" x14ac:dyDescent="0.25">
      <c r="A1847" s="4" t="s">
        <v>2636</v>
      </c>
      <c r="B1847" s="4" t="s">
        <v>511</v>
      </c>
      <c r="C1847" s="4">
        <v>54</v>
      </c>
      <c r="D1847" s="4" t="s">
        <v>55</v>
      </c>
      <c r="E1847" s="4" t="s">
        <v>56</v>
      </c>
      <c r="F1847" s="4" t="s">
        <v>57</v>
      </c>
      <c r="G1847" s="5">
        <v>45030</v>
      </c>
      <c r="H1847" s="5">
        <v>45055</v>
      </c>
      <c r="I1847" s="4">
        <v>25</v>
      </c>
      <c r="J1847" s="4" t="s">
        <v>123</v>
      </c>
      <c r="K1847" s="4" t="s">
        <v>124</v>
      </c>
      <c r="L1847" s="4" t="s">
        <v>125</v>
      </c>
      <c r="M1847" s="4" t="s">
        <v>36</v>
      </c>
      <c r="N1847" s="4" t="s">
        <v>37</v>
      </c>
      <c r="O1847" s="4" t="s">
        <v>448</v>
      </c>
      <c r="P1847" s="4">
        <v>30</v>
      </c>
      <c r="Q1847" s="4" t="s">
        <v>39</v>
      </c>
      <c r="R1847" s="4" t="s">
        <v>136</v>
      </c>
      <c r="S1847" s="4">
        <v>104883</v>
      </c>
      <c r="T1847" s="4">
        <v>0</v>
      </c>
      <c r="U1847" s="4">
        <v>104883</v>
      </c>
      <c r="V1847" s="4">
        <v>85554</v>
      </c>
      <c r="W1847" s="4">
        <v>13312</v>
      </c>
      <c r="X1847" s="4">
        <v>2132</v>
      </c>
      <c r="Y1847" s="4" t="s">
        <v>41</v>
      </c>
      <c r="Z1847" s="4">
        <v>98</v>
      </c>
      <c r="AA1847" s="4">
        <v>2.9</v>
      </c>
      <c r="AB1847" s="4" t="s">
        <v>137</v>
      </c>
    </row>
    <row r="1848" spans="1:28" x14ac:dyDescent="0.25">
      <c r="A1848" s="2" t="s">
        <v>2637</v>
      </c>
      <c r="B1848" s="2" t="s">
        <v>952</v>
      </c>
      <c r="C1848" s="2">
        <v>41</v>
      </c>
      <c r="D1848" s="2" t="s">
        <v>30</v>
      </c>
      <c r="E1848" s="2" t="s">
        <v>154</v>
      </c>
      <c r="F1848" s="2" t="s">
        <v>46</v>
      </c>
      <c r="G1848" s="3">
        <v>45193</v>
      </c>
      <c r="H1848" s="3">
        <v>45196</v>
      </c>
      <c r="I1848" s="2">
        <v>3</v>
      </c>
      <c r="J1848" s="2" t="s">
        <v>33</v>
      </c>
      <c r="K1848" s="2" t="s">
        <v>99</v>
      </c>
      <c r="L1848" s="2" t="s">
        <v>100</v>
      </c>
      <c r="M1848" s="2" t="s">
        <v>143</v>
      </c>
      <c r="N1848" s="2" t="s">
        <v>62</v>
      </c>
      <c r="O1848" s="2" t="s">
        <v>199</v>
      </c>
      <c r="P1848" s="2">
        <v>443</v>
      </c>
      <c r="Q1848" s="2" t="s">
        <v>103</v>
      </c>
      <c r="R1848" s="2" t="s">
        <v>40</v>
      </c>
      <c r="S1848" s="2">
        <v>116178</v>
      </c>
      <c r="T1848" s="2">
        <v>73219</v>
      </c>
      <c r="U1848" s="2">
        <v>42959</v>
      </c>
      <c r="V1848" s="2">
        <v>76265</v>
      </c>
      <c r="W1848" s="2">
        <v>25441</v>
      </c>
      <c r="X1848" s="2">
        <v>11687</v>
      </c>
      <c r="Y1848" s="2" t="s">
        <v>41</v>
      </c>
      <c r="Z1848" s="2">
        <v>78</v>
      </c>
      <c r="AA1848" s="2">
        <v>4.5</v>
      </c>
      <c r="AB1848" s="2" t="s">
        <v>64</v>
      </c>
    </row>
    <row r="1849" spans="1:28" x14ac:dyDescent="0.25">
      <c r="A1849" s="4" t="s">
        <v>2638</v>
      </c>
      <c r="B1849" s="4" t="s">
        <v>540</v>
      </c>
      <c r="C1849" s="4">
        <v>63</v>
      </c>
      <c r="D1849" s="4" t="s">
        <v>30</v>
      </c>
      <c r="E1849" s="4" t="s">
        <v>56</v>
      </c>
      <c r="F1849" s="4" t="s">
        <v>46</v>
      </c>
      <c r="G1849" s="5">
        <v>45175</v>
      </c>
      <c r="H1849" s="5">
        <v>45192</v>
      </c>
      <c r="I1849" s="4">
        <v>17</v>
      </c>
      <c r="J1849" s="4" t="s">
        <v>33</v>
      </c>
      <c r="K1849" s="4" t="s">
        <v>278</v>
      </c>
      <c r="L1849" s="4" t="s">
        <v>279</v>
      </c>
      <c r="M1849" s="4" t="s">
        <v>130</v>
      </c>
      <c r="N1849" s="4" t="s">
        <v>62</v>
      </c>
      <c r="O1849" s="4" t="s">
        <v>326</v>
      </c>
      <c r="P1849" s="4">
        <v>197</v>
      </c>
      <c r="Q1849" s="4" t="s">
        <v>50</v>
      </c>
      <c r="R1849" s="4" t="s">
        <v>51</v>
      </c>
      <c r="S1849" s="4">
        <v>92251</v>
      </c>
      <c r="T1849" s="4">
        <v>54733</v>
      </c>
      <c r="U1849" s="4">
        <v>37518</v>
      </c>
      <c r="V1849" s="4">
        <v>71864</v>
      </c>
      <c r="W1849" s="4">
        <v>14276</v>
      </c>
      <c r="X1849" s="4">
        <v>4344</v>
      </c>
      <c r="Y1849" s="4" t="s">
        <v>41</v>
      </c>
      <c r="Z1849" s="4">
        <v>87</v>
      </c>
      <c r="AA1849" s="4">
        <v>4.5</v>
      </c>
      <c r="AB1849" s="4" t="s">
        <v>42</v>
      </c>
    </row>
    <row r="1850" spans="1:28" x14ac:dyDescent="0.25">
      <c r="A1850" s="2" t="s">
        <v>2639</v>
      </c>
      <c r="B1850" s="2" t="s">
        <v>370</v>
      </c>
      <c r="C1850" s="2">
        <v>7</v>
      </c>
      <c r="D1850" s="2" t="s">
        <v>30</v>
      </c>
      <c r="E1850" s="2" t="s">
        <v>31</v>
      </c>
      <c r="F1850" s="2" t="s">
        <v>150</v>
      </c>
      <c r="G1850" s="3">
        <v>45375</v>
      </c>
      <c r="H1850" s="3">
        <v>45397</v>
      </c>
      <c r="I1850" s="2">
        <v>22</v>
      </c>
      <c r="J1850" s="2" t="s">
        <v>33</v>
      </c>
      <c r="K1850" s="2" t="s">
        <v>174</v>
      </c>
      <c r="L1850" s="2" t="s">
        <v>48</v>
      </c>
      <c r="M1850" s="2" t="s">
        <v>134</v>
      </c>
      <c r="N1850" s="2" t="s">
        <v>37</v>
      </c>
      <c r="O1850" s="2" t="s">
        <v>102</v>
      </c>
      <c r="P1850" s="2">
        <v>272</v>
      </c>
      <c r="Q1850" s="2" t="s">
        <v>69</v>
      </c>
      <c r="R1850" s="2" t="s">
        <v>136</v>
      </c>
      <c r="S1850" s="2">
        <v>96300</v>
      </c>
      <c r="T1850" s="2">
        <v>0</v>
      </c>
      <c r="U1850" s="2">
        <v>96300</v>
      </c>
      <c r="V1850" s="2">
        <v>70072</v>
      </c>
      <c r="W1850" s="2">
        <v>9984</v>
      </c>
      <c r="X1850" s="2">
        <v>14532</v>
      </c>
      <c r="Y1850" s="2" t="s">
        <v>41</v>
      </c>
      <c r="Z1850" s="2">
        <v>76</v>
      </c>
      <c r="AA1850" s="2">
        <v>2.2999999999999998</v>
      </c>
      <c r="AB1850" s="2" t="s">
        <v>42</v>
      </c>
    </row>
    <row r="1851" spans="1:28" x14ac:dyDescent="0.25">
      <c r="A1851" s="4" t="s">
        <v>2640</v>
      </c>
      <c r="B1851" s="4" t="s">
        <v>1437</v>
      </c>
      <c r="C1851" s="4">
        <v>59</v>
      </c>
      <c r="D1851" s="4" t="s">
        <v>55</v>
      </c>
      <c r="E1851" s="4" t="s">
        <v>87</v>
      </c>
      <c r="F1851" s="4" t="s">
        <v>46</v>
      </c>
      <c r="G1851" s="5">
        <v>45466</v>
      </c>
      <c r="H1851" s="5">
        <v>45480</v>
      </c>
      <c r="I1851" s="4">
        <v>14</v>
      </c>
      <c r="J1851" s="4" t="s">
        <v>33</v>
      </c>
      <c r="K1851" s="4" t="s">
        <v>107</v>
      </c>
      <c r="L1851" s="4" t="s">
        <v>48</v>
      </c>
      <c r="M1851" s="4" t="s">
        <v>108</v>
      </c>
      <c r="N1851" s="4" t="s">
        <v>37</v>
      </c>
      <c r="O1851" s="4" t="s">
        <v>321</v>
      </c>
      <c r="P1851" s="4">
        <v>42</v>
      </c>
      <c r="Q1851" s="4" t="s">
        <v>69</v>
      </c>
      <c r="R1851" s="4" t="s">
        <v>51</v>
      </c>
      <c r="S1851" s="4">
        <v>74486</v>
      </c>
      <c r="T1851" s="4">
        <v>48534</v>
      </c>
      <c r="U1851" s="4">
        <v>25952</v>
      </c>
      <c r="V1851" s="4">
        <v>54735</v>
      </c>
      <c r="W1851" s="4">
        <v>12953</v>
      </c>
      <c r="X1851" s="4">
        <v>3181</v>
      </c>
      <c r="Y1851" s="4" t="s">
        <v>91</v>
      </c>
      <c r="Z1851" s="4">
        <v>76</v>
      </c>
      <c r="AA1851" s="4">
        <v>4</v>
      </c>
      <c r="AB1851" s="4" t="s">
        <v>42</v>
      </c>
    </row>
    <row r="1852" spans="1:28" x14ac:dyDescent="0.25">
      <c r="A1852" s="2" t="s">
        <v>2641</v>
      </c>
      <c r="B1852" s="2" t="s">
        <v>1091</v>
      </c>
      <c r="C1852" s="2">
        <v>62</v>
      </c>
      <c r="D1852" s="2" t="s">
        <v>30</v>
      </c>
      <c r="E1852" s="2" t="s">
        <v>87</v>
      </c>
      <c r="F1852" s="2" t="s">
        <v>57</v>
      </c>
      <c r="G1852" s="3">
        <v>45649</v>
      </c>
      <c r="H1852" s="3">
        <v>45657</v>
      </c>
      <c r="I1852" s="2">
        <v>8</v>
      </c>
      <c r="J1852" s="2" t="s">
        <v>58</v>
      </c>
      <c r="K1852" s="2" t="s">
        <v>88</v>
      </c>
      <c r="L1852" s="2" t="s">
        <v>60</v>
      </c>
      <c r="M1852" s="2" t="s">
        <v>83</v>
      </c>
      <c r="N1852" s="2" t="s">
        <v>118</v>
      </c>
      <c r="O1852" s="2" t="s">
        <v>520</v>
      </c>
      <c r="P1852" s="2">
        <v>14</v>
      </c>
      <c r="Q1852" s="2" t="s">
        <v>50</v>
      </c>
      <c r="R1852" s="2" t="s">
        <v>111</v>
      </c>
      <c r="S1852" s="2">
        <v>104244</v>
      </c>
      <c r="T1852" s="2">
        <v>77712</v>
      </c>
      <c r="U1852" s="2">
        <v>26532</v>
      </c>
      <c r="V1852" s="2">
        <v>60720</v>
      </c>
      <c r="W1852" s="2">
        <v>27099</v>
      </c>
      <c r="X1852" s="2">
        <v>12520</v>
      </c>
      <c r="Y1852" s="2" t="s">
        <v>41</v>
      </c>
      <c r="Z1852" s="2">
        <v>94</v>
      </c>
      <c r="AA1852" s="2">
        <v>2.8</v>
      </c>
      <c r="AB1852" s="2" t="s">
        <v>137</v>
      </c>
    </row>
    <row r="1853" spans="1:28" x14ac:dyDescent="0.25">
      <c r="A1853" s="4" t="s">
        <v>2642</v>
      </c>
      <c r="B1853" s="4" t="s">
        <v>511</v>
      </c>
      <c r="C1853" s="4">
        <v>19</v>
      </c>
      <c r="D1853" s="4" t="s">
        <v>30</v>
      </c>
      <c r="E1853" s="4" t="s">
        <v>122</v>
      </c>
      <c r="F1853" s="4" t="s">
        <v>80</v>
      </c>
      <c r="G1853" s="5">
        <v>45484</v>
      </c>
      <c r="H1853" s="5">
        <v>45512</v>
      </c>
      <c r="I1853" s="4">
        <v>28</v>
      </c>
      <c r="J1853" s="4" t="s">
        <v>33</v>
      </c>
      <c r="K1853" s="4" t="s">
        <v>107</v>
      </c>
      <c r="L1853" s="4" t="s">
        <v>48</v>
      </c>
      <c r="M1853" s="4" t="s">
        <v>143</v>
      </c>
      <c r="N1853" s="4" t="s">
        <v>118</v>
      </c>
      <c r="O1853" s="4" t="s">
        <v>396</v>
      </c>
      <c r="P1853" s="4">
        <v>185</v>
      </c>
      <c r="Q1853" s="4" t="s">
        <v>50</v>
      </c>
      <c r="R1853" s="4" t="s">
        <v>136</v>
      </c>
      <c r="S1853" s="4">
        <v>99277</v>
      </c>
      <c r="T1853" s="4">
        <v>0</v>
      </c>
      <c r="U1853" s="4">
        <v>99277</v>
      </c>
      <c r="V1853" s="4">
        <v>72121</v>
      </c>
      <c r="W1853" s="4">
        <v>21240</v>
      </c>
      <c r="X1853" s="4">
        <v>5123</v>
      </c>
      <c r="Y1853" s="4" t="s">
        <v>41</v>
      </c>
      <c r="Z1853" s="4">
        <v>90</v>
      </c>
      <c r="AA1853" s="4">
        <v>3.9</v>
      </c>
      <c r="AB1853" s="4" t="s">
        <v>42</v>
      </c>
    </row>
    <row r="1854" spans="1:28" x14ac:dyDescent="0.25">
      <c r="A1854" s="2" t="s">
        <v>2643</v>
      </c>
      <c r="B1854" s="2" t="s">
        <v>552</v>
      </c>
      <c r="C1854" s="2">
        <v>46</v>
      </c>
      <c r="D1854" s="2" t="s">
        <v>30</v>
      </c>
      <c r="E1854" s="2" t="s">
        <v>45</v>
      </c>
      <c r="F1854" s="2" t="s">
        <v>129</v>
      </c>
      <c r="G1854" s="3">
        <v>45320</v>
      </c>
      <c r="H1854" s="3">
        <v>45333</v>
      </c>
      <c r="I1854" s="2">
        <v>13</v>
      </c>
      <c r="J1854" s="2" t="s">
        <v>115</v>
      </c>
      <c r="K1854" s="2" t="s">
        <v>160</v>
      </c>
      <c r="L1854" s="2" t="s">
        <v>117</v>
      </c>
      <c r="M1854" s="2" t="s">
        <v>134</v>
      </c>
      <c r="N1854" s="2" t="s">
        <v>118</v>
      </c>
      <c r="O1854" s="2" t="s">
        <v>492</v>
      </c>
      <c r="P1854" s="2">
        <v>183</v>
      </c>
      <c r="Q1854" s="2" t="s">
        <v>50</v>
      </c>
      <c r="R1854" s="2" t="s">
        <v>136</v>
      </c>
      <c r="S1854" s="2">
        <v>160902</v>
      </c>
      <c r="T1854" s="2">
        <v>0</v>
      </c>
      <c r="U1854" s="2">
        <v>160902</v>
      </c>
      <c r="V1854" s="2">
        <v>129098</v>
      </c>
      <c r="W1854" s="2">
        <v>13791</v>
      </c>
      <c r="X1854" s="2">
        <v>14155</v>
      </c>
      <c r="Y1854" s="2" t="s">
        <v>41</v>
      </c>
      <c r="Z1854" s="2">
        <v>92</v>
      </c>
      <c r="AA1854" s="2">
        <v>3</v>
      </c>
      <c r="AB1854" s="2" t="s">
        <v>52</v>
      </c>
    </row>
    <row r="1855" spans="1:28" x14ac:dyDescent="0.25">
      <c r="A1855" s="4" t="s">
        <v>2644</v>
      </c>
      <c r="B1855" s="4" t="s">
        <v>1895</v>
      </c>
      <c r="C1855" s="4">
        <v>47</v>
      </c>
      <c r="D1855" s="4" t="s">
        <v>55</v>
      </c>
      <c r="E1855" s="4" t="s">
        <v>45</v>
      </c>
      <c r="F1855" s="4" t="s">
        <v>32</v>
      </c>
      <c r="G1855" s="5">
        <v>44582</v>
      </c>
      <c r="H1855" s="5">
        <v>44604</v>
      </c>
      <c r="I1855" s="4">
        <v>22</v>
      </c>
      <c r="J1855" s="4" t="s">
        <v>33</v>
      </c>
      <c r="K1855" s="4" t="s">
        <v>107</v>
      </c>
      <c r="L1855" s="4" t="s">
        <v>48</v>
      </c>
      <c r="M1855" s="4" t="s">
        <v>83</v>
      </c>
      <c r="N1855" s="4" t="s">
        <v>37</v>
      </c>
      <c r="O1855" s="4" t="s">
        <v>340</v>
      </c>
      <c r="P1855" s="4">
        <v>321</v>
      </c>
      <c r="Q1855" s="4" t="s">
        <v>39</v>
      </c>
      <c r="R1855" s="4" t="s">
        <v>111</v>
      </c>
      <c r="S1855" s="4">
        <v>137243</v>
      </c>
      <c r="T1855" s="4">
        <v>118608</v>
      </c>
      <c r="U1855" s="4">
        <v>18635</v>
      </c>
      <c r="V1855" s="4">
        <v>106993</v>
      </c>
      <c r="W1855" s="4">
        <v>19736</v>
      </c>
      <c r="X1855" s="4">
        <v>5857</v>
      </c>
      <c r="Y1855" s="4" t="s">
        <v>41</v>
      </c>
      <c r="Z1855" s="4">
        <v>100</v>
      </c>
      <c r="AA1855" s="4">
        <v>4.2</v>
      </c>
      <c r="AB1855" s="4" t="s">
        <v>42</v>
      </c>
    </row>
    <row r="1856" spans="1:28" x14ac:dyDescent="0.25">
      <c r="A1856" s="2" t="s">
        <v>2645</v>
      </c>
      <c r="B1856" s="2" t="s">
        <v>149</v>
      </c>
      <c r="C1856" s="2">
        <v>59</v>
      </c>
      <c r="D1856" s="2" t="s">
        <v>30</v>
      </c>
      <c r="E1856" s="2" t="s">
        <v>122</v>
      </c>
      <c r="F1856" s="2" t="s">
        <v>32</v>
      </c>
      <c r="G1856" s="3">
        <v>45401</v>
      </c>
      <c r="H1856" s="3">
        <v>45431</v>
      </c>
      <c r="I1856" s="2">
        <v>30</v>
      </c>
      <c r="J1856" s="2" t="s">
        <v>33</v>
      </c>
      <c r="K1856" s="2" t="s">
        <v>81</v>
      </c>
      <c r="L1856" s="2" t="s">
        <v>82</v>
      </c>
      <c r="M1856" s="2" t="s">
        <v>75</v>
      </c>
      <c r="N1856" s="2" t="s">
        <v>62</v>
      </c>
      <c r="O1856" s="2" t="s">
        <v>331</v>
      </c>
      <c r="P1856" s="2">
        <v>223</v>
      </c>
      <c r="Q1856" s="2" t="s">
        <v>50</v>
      </c>
      <c r="R1856" s="2" t="s">
        <v>136</v>
      </c>
      <c r="S1856" s="2">
        <v>167306</v>
      </c>
      <c r="T1856" s="2">
        <v>0</v>
      </c>
      <c r="U1856" s="2">
        <v>167306</v>
      </c>
      <c r="V1856" s="2">
        <v>146808</v>
      </c>
      <c r="W1856" s="2">
        <v>6651</v>
      </c>
      <c r="X1856" s="2">
        <v>11009</v>
      </c>
      <c r="Y1856" s="2" t="s">
        <v>41</v>
      </c>
      <c r="Z1856" s="2">
        <v>63</v>
      </c>
      <c r="AA1856" s="2">
        <v>2.1</v>
      </c>
      <c r="AB1856" s="2" t="s">
        <v>137</v>
      </c>
    </row>
    <row r="1857" spans="1:28" x14ac:dyDescent="0.25">
      <c r="A1857" s="4" t="s">
        <v>2646</v>
      </c>
      <c r="B1857" s="4" t="s">
        <v>2243</v>
      </c>
      <c r="C1857" s="4">
        <v>18</v>
      </c>
      <c r="D1857" s="4" t="s">
        <v>30</v>
      </c>
      <c r="E1857" s="4" t="s">
        <v>45</v>
      </c>
      <c r="F1857" s="4" t="s">
        <v>32</v>
      </c>
      <c r="G1857" s="5">
        <v>45541</v>
      </c>
      <c r="H1857" s="5">
        <v>45557</v>
      </c>
      <c r="I1857" s="4">
        <v>16</v>
      </c>
      <c r="J1857" s="4" t="s">
        <v>33</v>
      </c>
      <c r="K1857" s="4" t="s">
        <v>107</v>
      </c>
      <c r="L1857" s="4" t="s">
        <v>48</v>
      </c>
      <c r="M1857" s="4" t="s">
        <v>134</v>
      </c>
      <c r="N1857" s="4" t="s">
        <v>109</v>
      </c>
      <c r="O1857" s="4" t="s">
        <v>110</v>
      </c>
      <c r="P1857" s="4">
        <v>55</v>
      </c>
      <c r="Q1857" s="4" t="s">
        <v>103</v>
      </c>
      <c r="R1857" s="4" t="s">
        <v>136</v>
      </c>
      <c r="S1857" s="4">
        <v>48178</v>
      </c>
      <c r="T1857" s="4">
        <v>0</v>
      </c>
      <c r="U1857" s="4">
        <v>48178</v>
      </c>
      <c r="V1857" s="4">
        <v>21942</v>
      </c>
      <c r="W1857" s="4">
        <v>20215</v>
      </c>
      <c r="X1857" s="4">
        <v>2330</v>
      </c>
      <c r="Y1857" s="4" t="s">
        <v>41</v>
      </c>
      <c r="Z1857" s="4">
        <v>83</v>
      </c>
      <c r="AA1857" s="4">
        <v>3.3</v>
      </c>
      <c r="AB1857" s="4" t="s">
        <v>52</v>
      </c>
    </row>
    <row r="1858" spans="1:28" x14ac:dyDescent="0.25">
      <c r="A1858" s="2" t="s">
        <v>2647</v>
      </c>
      <c r="B1858" s="2" t="s">
        <v>1198</v>
      </c>
      <c r="C1858" s="2">
        <v>27</v>
      </c>
      <c r="D1858" s="2" t="s">
        <v>30</v>
      </c>
      <c r="E1858" s="2" t="s">
        <v>154</v>
      </c>
      <c r="F1858" s="2" t="s">
        <v>80</v>
      </c>
      <c r="G1858" s="3">
        <v>44635</v>
      </c>
      <c r="H1858" s="3">
        <v>44639</v>
      </c>
      <c r="I1858" s="2">
        <v>4</v>
      </c>
      <c r="J1858" s="2" t="s">
        <v>115</v>
      </c>
      <c r="K1858" s="2" t="s">
        <v>116</v>
      </c>
      <c r="L1858" s="2" t="s">
        <v>117</v>
      </c>
      <c r="M1858" s="2" t="s">
        <v>36</v>
      </c>
      <c r="N1858" s="2" t="s">
        <v>118</v>
      </c>
      <c r="O1858" s="2" t="s">
        <v>431</v>
      </c>
      <c r="P1858" s="2">
        <v>244</v>
      </c>
      <c r="Q1858" s="2" t="s">
        <v>69</v>
      </c>
      <c r="R1858" s="2" t="s">
        <v>111</v>
      </c>
      <c r="S1858" s="2">
        <v>149093</v>
      </c>
      <c r="T1858" s="2">
        <v>110847</v>
      </c>
      <c r="U1858" s="2">
        <v>38246</v>
      </c>
      <c r="V1858" s="2">
        <v>138595</v>
      </c>
      <c r="W1858" s="2">
        <v>5650</v>
      </c>
      <c r="X1858" s="2">
        <v>3910</v>
      </c>
      <c r="Y1858" s="2" t="s">
        <v>91</v>
      </c>
      <c r="Z1858" s="2">
        <v>73</v>
      </c>
      <c r="AA1858" s="2">
        <v>2.2000000000000002</v>
      </c>
      <c r="AB1858" s="2" t="s">
        <v>64</v>
      </c>
    </row>
    <row r="1859" spans="1:28" x14ac:dyDescent="0.25">
      <c r="A1859" s="4" t="s">
        <v>2648</v>
      </c>
      <c r="B1859" s="4" t="s">
        <v>1131</v>
      </c>
      <c r="C1859" s="4">
        <v>79</v>
      </c>
      <c r="D1859" s="4" t="s">
        <v>55</v>
      </c>
      <c r="E1859" s="4" t="s">
        <v>154</v>
      </c>
      <c r="F1859" s="4" t="s">
        <v>32</v>
      </c>
      <c r="G1859" s="5">
        <v>45545</v>
      </c>
      <c r="H1859" s="5">
        <v>45555</v>
      </c>
      <c r="I1859" s="4">
        <v>10</v>
      </c>
      <c r="J1859" s="4" t="s">
        <v>73</v>
      </c>
      <c r="K1859" s="4" t="s">
        <v>74</v>
      </c>
      <c r="L1859" s="4" t="s">
        <v>73</v>
      </c>
      <c r="M1859" s="4" t="s">
        <v>108</v>
      </c>
      <c r="N1859" s="4" t="s">
        <v>109</v>
      </c>
      <c r="O1859" s="4" t="s">
        <v>211</v>
      </c>
      <c r="P1859" s="4">
        <v>145</v>
      </c>
      <c r="Q1859" s="4" t="s">
        <v>69</v>
      </c>
      <c r="R1859" s="4" t="s">
        <v>51</v>
      </c>
      <c r="S1859" s="4">
        <v>25470</v>
      </c>
      <c r="T1859" s="4">
        <v>15328</v>
      </c>
      <c r="U1859" s="4">
        <v>10142</v>
      </c>
      <c r="V1859" s="4">
        <v>5991</v>
      </c>
      <c r="W1859" s="4">
        <v>3958</v>
      </c>
      <c r="X1859" s="4">
        <v>11914</v>
      </c>
      <c r="Y1859" s="4" t="s">
        <v>41</v>
      </c>
      <c r="Z1859" s="4">
        <v>98</v>
      </c>
      <c r="AA1859" s="4">
        <v>3.8</v>
      </c>
      <c r="AB1859" s="4" t="s">
        <v>104</v>
      </c>
    </row>
    <row r="1860" spans="1:28" x14ac:dyDescent="0.25">
      <c r="A1860" s="2" t="s">
        <v>2649</v>
      </c>
      <c r="B1860" s="2" t="s">
        <v>545</v>
      </c>
      <c r="C1860" s="2">
        <v>78</v>
      </c>
      <c r="D1860" s="2" t="s">
        <v>30</v>
      </c>
      <c r="E1860" s="2" t="s">
        <v>67</v>
      </c>
      <c r="F1860" s="2" t="s">
        <v>46</v>
      </c>
      <c r="G1860" s="3">
        <v>44642</v>
      </c>
      <c r="H1860" s="3">
        <v>44650</v>
      </c>
      <c r="I1860" s="2">
        <v>8</v>
      </c>
      <c r="J1860" s="2" t="s">
        <v>202</v>
      </c>
      <c r="K1860" s="2" t="s">
        <v>203</v>
      </c>
      <c r="L1860" s="2" t="s">
        <v>204</v>
      </c>
      <c r="M1860" s="2" t="s">
        <v>75</v>
      </c>
      <c r="N1860" s="2" t="s">
        <v>109</v>
      </c>
      <c r="O1860" s="2" t="s">
        <v>96</v>
      </c>
      <c r="P1860" s="2">
        <v>307</v>
      </c>
      <c r="Q1860" s="2" t="s">
        <v>69</v>
      </c>
      <c r="R1860" s="2" t="s">
        <v>136</v>
      </c>
      <c r="S1860" s="2">
        <v>145170</v>
      </c>
      <c r="T1860" s="2">
        <v>0</v>
      </c>
      <c r="U1860" s="2">
        <v>145170</v>
      </c>
      <c r="V1860" s="2">
        <v>118939</v>
      </c>
      <c r="W1860" s="2">
        <v>12705</v>
      </c>
      <c r="X1860" s="2">
        <v>10168</v>
      </c>
      <c r="Y1860" s="2" t="s">
        <v>91</v>
      </c>
      <c r="Z1860" s="2">
        <v>45</v>
      </c>
      <c r="AA1860" s="2">
        <v>4</v>
      </c>
      <c r="AB1860" s="2" t="s">
        <v>104</v>
      </c>
    </row>
    <row r="1861" spans="1:28" x14ac:dyDescent="0.25">
      <c r="A1861" s="4" t="s">
        <v>2650</v>
      </c>
      <c r="B1861" s="4" t="s">
        <v>413</v>
      </c>
      <c r="C1861" s="4">
        <v>34</v>
      </c>
      <c r="D1861" s="4" t="s">
        <v>55</v>
      </c>
      <c r="E1861" s="4" t="s">
        <v>45</v>
      </c>
      <c r="F1861" s="4" t="s">
        <v>72</v>
      </c>
      <c r="G1861" s="5">
        <v>45350</v>
      </c>
      <c r="H1861" s="5">
        <v>45364</v>
      </c>
      <c r="I1861" s="4">
        <v>14</v>
      </c>
      <c r="J1861" s="4" t="s">
        <v>33</v>
      </c>
      <c r="K1861" s="4" t="s">
        <v>81</v>
      </c>
      <c r="L1861" s="4" t="s">
        <v>82</v>
      </c>
      <c r="M1861" s="4" t="s">
        <v>134</v>
      </c>
      <c r="N1861" s="4" t="s">
        <v>109</v>
      </c>
      <c r="O1861" s="4" t="s">
        <v>89</v>
      </c>
      <c r="P1861" s="4">
        <v>486</v>
      </c>
      <c r="Q1861" s="4" t="s">
        <v>50</v>
      </c>
      <c r="R1861" s="4" t="s">
        <v>40</v>
      </c>
      <c r="S1861" s="4">
        <v>95918</v>
      </c>
      <c r="T1861" s="4">
        <v>63705</v>
      </c>
      <c r="U1861" s="4">
        <v>32213</v>
      </c>
      <c r="V1861" s="4">
        <v>59475</v>
      </c>
      <c r="W1861" s="4">
        <v>24626</v>
      </c>
      <c r="X1861" s="4">
        <v>8391</v>
      </c>
      <c r="Y1861" s="4" t="s">
        <v>41</v>
      </c>
      <c r="Z1861" s="4">
        <v>96</v>
      </c>
      <c r="AA1861" s="4">
        <v>5</v>
      </c>
      <c r="AB1861" s="4" t="s">
        <v>64</v>
      </c>
    </row>
    <row r="1862" spans="1:28" x14ac:dyDescent="0.25">
      <c r="A1862" s="2" t="s">
        <v>2651</v>
      </c>
      <c r="B1862" s="2" t="s">
        <v>2592</v>
      </c>
      <c r="C1862" s="2">
        <v>43</v>
      </c>
      <c r="D1862" s="2" t="s">
        <v>30</v>
      </c>
      <c r="E1862" s="2" t="s">
        <v>31</v>
      </c>
      <c r="F1862" s="2" t="s">
        <v>150</v>
      </c>
      <c r="G1862" s="3">
        <v>45543</v>
      </c>
      <c r="H1862" s="3">
        <v>45551</v>
      </c>
      <c r="I1862" s="2">
        <v>8</v>
      </c>
      <c r="J1862" s="2" t="s">
        <v>58</v>
      </c>
      <c r="K1862" s="2" t="s">
        <v>59</v>
      </c>
      <c r="L1862" s="2" t="s">
        <v>60</v>
      </c>
      <c r="M1862" s="2" t="s">
        <v>95</v>
      </c>
      <c r="N1862" s="2" t="s">
        <v>62</v>
      </c>
      <c r="O1862" s="2" t="s">
        <v>151</v>
      </c>
      <c r="P1862" s="2">
        <v>418</v>
      </c>
      <c r="Q1862" s="2" t="s">
        <v>39</v>
      </c>
      <c r="R1862" s="2" t="s">
        <v>111</v>
      </c>
      <c r="S1862" s="2">
        <v>160275</v>
      </c>
      <c r="T1862" s="2">
        <v>144028</v>
      </c>
      <c r="U1862" s="2">
        <v>16247</v>
      </c>
      <c r="V1862" s="2">
        <v>129491</v>
      </c>
      <c r="W1862" s="2">
        <v>26897</v>
      </c>
      <c r="X1862" s="2">
        <v>2738</v>
      </c>
      <c r="Y1862" s="2" t="s">
        <v>41</v>
      </c>
      <c r="Z1862" s="2">
        <v>92</v>
      </c>
      <c r="AA1862" s="2">
        <v>2.2000000000000002</v>
      </c>
      <c r="AB1862" s="2" t="s">
        <v>64</v>
      </c>
    </row>
    <row r="1863" spans="1:28" x14ac:dyDescent="0.25">
      <c r="A1863" s="4" t="s">
        <v>2652</v>
      </c>
      <c r="B1863" s="4" t="s">
        <v>2198</v>
      </c>
      <c r="C1863" s="4">
        <v>47</v>
      </c>
      <c r="D1863" s="4" t="s">
        <v>30</v>
      </c>
      <c r="E1863" s="4" t="s">
        <v>31</v>
      </c>
      <c r="F1863" s="4" t="s">
        <v>129</v>
      </c>
      <c r="G1863" s="5">
        <v>45431</v>
      </c>
      <c r="H1863" s="5">
        <v>45446</v>
      </c>
      <c r="I1863" s="4">
        <v>15</v>
      </c>
      <c r="J1863" s="4" t="s">
        <v>33</v>
      </c>
      <c r="K1863" s="4" t="s">
        <v>233</v>
      </c>
      <c r="L1863" s="4" t="s">
        <v>35</v>
      </c>
      <c r="M1863" s="4" t="s">
        <v>143</v>
      </c>
      <c r="N1863" s="4" t="s">
        <v>118</v>
      </c>
      <c r="O1863" s="4" t="s">
        <v>84</v>
      </c>
      <c r="P1863" s="4">
        <v>126</v>
      </c>
      <c r="Q1863" s="4" t="s">
        <v>103</v>
      </c>
      <c r="R1863" s="4" t="s">
        <v>40</v>
      </c>
      <c r="S1863" s="4">
        <v>144285</v>
      </c>
      <c r="T1863" s="4">
        <v>90710</v>
      </c>
      <c r="U1863" s="4">
        <v>53575</v>
      </c>
      <c r="V1863" s="4">
        <v>108435</v>
      </c>
      <c r="W1863" s="4">
        <v>19296</v>
      </c>
      <c r="X1863" s="4">
        <v>12275</v>
      </c>
      <c r="Y1863" s="4" t="s">
        <v>41</v>
      </c>
      <c r="Z1863" s="4">
        <v>96</v>
      </c>
      <c r="AA1863" s="4">
        <v>2.7</v>
      </c>
      <c r="AB1863" s="4" t="s">
        <v>42</v>
      </c>
    </row>
    <row r="1864" spans="1:28" x14ac:dyDescent="0.25">
      <c r="A1864" s="2" t="s">
        <v>2653</v>
      </c>
      <c r="B1864" s="2" t="s">
        <v>325</v>
      </c>
      <c r="C1864" s="2">
        <v>77</v>
      </c>
      <c r="D1864" s="2" t="s">
        <v>30</v>
      </c>
      <c r="E1864" s="2" t="s">
        <v>56</v>
      </c>
      <c r="F1864" s="2" t="s">
        <v>129</v>
      </c>
      <c r="G1864" s="3">
        <v>45640</v>
      </c>
      <c r="H1864" s="3">
        <v>45654</v>
      </c>
      <c r="I1864" s="2">
        <v>14</v>
      </c>
      <c r="J1864" s="2" t="s">
        <v>33</v>
      </c>
      <c r="K1864" s="2" t="s">
        <v>107</v>
      </c>
      <c r="L1864" s="2" t="s">
        <v>48</v>
      </c>
      <c r="M1864" s="2" t="s">
        <v>75</v>
      </c>
      <c r="N1864" s="2" t="s">
        <v>37</v>
      </c>
      <c r="O1864" s="2" t="s">
        <v>119</v>
      </c>
      <c r="P1864" s="2">
        <v>255</v>
      </c>
      <c r="Q1864" s="2" t="s">
        <v>103</v>
      </c>
      <c r="R1864" s="2" t="s">
        <v>51</v>
      </c>
      <c r="S1864" s="2">
        <v>35556</v>
      </c>
      <c r="T1864" s="2">
        <v>18949</v>
      </c>
      <c r="U1864" s="2">
        <v>16607</v>
      </c>
      <c r="V1864" s="2">
        <v>26879</v>
      </c>
      <c r="W1864" s="2">
        <v>2704</v>
      </c>
      <c r="X1864" s="2">
        <v>5326</v>
      </c>
      <c r="Y1864" s="2" t="s">
        <v>41</v>
      </c>
      <c r="Z1864" s="2">
        <v>94</v>
      </c>
      <c r="AA1864" s="2">
        <v>4.4000000000000004</v>
      </c>
      <c r="AB1864" s="2" t="s">
        <v>42</v>
      </c>
    </row>
    <row r="1865" spans="1:28" x14ac:dyDescent="0.25">
      <c r="A1865" s="4" t="s">
        <v>2654</v>
      </c>
      <c r="B1865" s="4" t="s">
        <v>255</v>
      </c>
      <c r="C1865" s="4">
        <v>53</v>
      </c>
      <c r="D1865" s="4" t="s">
        <v>30</v>
      </c>
      <c r="E1865" s="4" t="s">
        <v>154</v>
      </c>
      <c r="F1865" s="4" t="s">
        <v>46</v>
      </c>
      <c r="G1865" s="5">
        <v>44767</v>
      </c>
      <c r="H1865" s="5">
        <v>44791</v>
      </c>
      <c r="I1865" s="4">
        <v>24</v>
      </c>
      <c r="J1865" s="4" t="s">
        <v>33</v>
      </c>
      <c r="K1865" s="4" t="s">
        <v>47</v>
      </c>
      <c r="L1865" s="4" t="s">
        <v>48</v>
      </c>
      <c r="M1865" s="4" t="s">
        <v>61</v>
      </c>
      <c r="N1865" s="4" t="s">
        <v>62</v>
      </c>
      <c r="O1865" s="4" t="s">
        <v>214</v>
      </c>
      <c r="P1865" s="4">
        <v>73</v>
      </c>
      <c r="Q1865" s="4" t="s">
        <v>69</v>
      </c>
      <c r="R1865" s="4" t="s">
        <v>136</v>
      </c>
      <c r="S1865" s="4">
        <v>22272</v>
      </c>
      <c r="T1865" s="4">
        <v>0</v>
      </c>
      <c r="U1865" s="4">
        <v>22272</v>
      </c>
      <c r="V1865" s="4">
        <v>10292</v>
      </c>
      <c r="W1865" s="4">
        <v>9646</v>
      </c>
      <c r="X1865" s="4">
        <v>1769</v>
      </c>
      <c r="Y1865" s="4" t="s">
        <v>41</v>
      </c>
      <c r="Z1865" s="4">
        <v>46</v>
      </c>
      <c r="AA1865" s="4">
        <v>3.7</v>
      </c>
      <c r="AB1865" s="4" t="s">
        <v>64</v>
      </c>
    </row>
    <row r="1866" spans="1:28" x14ac:dyDescent="0.25">
      <c r="A1866" s="2" t="s">
        <v>2655</v>
      </c>
      <c r="B1866" s="2" t="s">
        <v>1915</v>
      </c>
      <c r="C1866" s="2">
        <v>36</v>
      </c>
      <c r="D1866" s="2" t="s">
        <v>55</v>
      </c>
      <c r="E1866" s="2" t="s">
        <v>87</v>
      </c>
      <c r="F1866" s="2" t="s">
        <v>57</v>
      </c>
      <c r="G1866" s="3">
        <v>44930</v>
      </c>
      <c r="H1866" s="3">
        <v>44944</v>
      </c>
      <c r="I1866" s="2">
        <v>14</v>
      </c>
      <c r="J1866" s="2" t="s">
        <v>58</v>
      </c>
      <c r="K1866" s="2" t="s">
        <v>88</v>
      </c>
      <c r="L1866" s="2" t="s">
        <v>60</v>
      </c>
      <c r="M1866" s="2" t="s">
        <v>75</v>
      </c>
      <c r="N1866" s="2" t="s">
        <v>62</v>
      </c>
      <c r="O1866" s="2" t="s">
        <v>211</v>
      </c>
      <c r="P1866" s="2">
        <v>203</v>
      </c>
      <c r="Q1866" s="2" t="s">
        <v>39</v>
      </c>
      <c r="R1866" s="2" t="s">
        <v>136</v>
      </c>
      <c r="S1866" s="2">
        <v>94312</v>
      </c>
      <c r="T1866" s="2">
        <v>0</v>
      </c>
      <c r="U1866" s="2">
        <v>94312</v>
      </c>
      <c r="V1866" s="2">
        <v>88322</v>
      </c>
      <c r="W1866" s="2">
        <v>1981</v>
      </c>
      <c r="X1866" s="2">
        <v>1793</v>
      </c>
      <c r="Y1866" s="2" t="s">
        <v>41</v>
      </c>
      <c r="Z1866" s="2">
        <v>97</v>
      </c>
      <c r="AA1866" s="2">
        <v>2.2000000000000002</v>
      </c>
      <c r="AB1866" s="2" t="s">
        <v>104</v>
      </c>
    </row>
    <row r="1867" spans="1:28" x14ac:dyDescent="0.25">
      <c r="A1867" s="4" t="s">
        <v>2656</v>
      </c>
      <c r="B1867" s="4" t="s">
        <v>923</v>
      </c>
      <c r="C1867" s="4">
        <v>46</v>
      </c>
      <c r="D1867" s="4" t="s">
        <v>30</v>
      </c>
      <c r="E1867" s="4" t="s">
        <v>45</v>
      </c>
      <c r="F1867" s="4" t="s">
        <v>114</v>
      </c>
      <c r="G1867" s="5">
        <v>45469</v>
      </c>
      <c r="H1867" s="5">
        <v>45496</v>
      </c>
      <c r="I1867" s="4">
        <v>27</v>
      </c>
      <c r="J1867" s="4" t="s">
        <v>73</v>
      </c>
      <c r="K1867" s="4" t="s">
        <v>74</v>
      </c>
      <c r="L1867" s="4" t="s">
        <v>73</v>
      </c>
      <c r="M1867" s="4" t="s">
        <v>61</v>
      </c>
      <c r="N1867" s="4" t="s">
        <v>37</v>
      </c>
      <c r="O1867" s="4" t="s">
        <v>38</v>
      </c>
      <c r="P1867" s="4">
        <v>371</v>
      </c>
      <c r="Q1867" s="4" t="s">
        <v>69</v>
      </c>
      <c r="R1867" s="4" t="s">
        <v>111</v>
      </c>
      <c r="S1867" s="4">
        <v>101613</v>
      </c>
      <c r="T1867" s="4">
        <v>88562</v>
      </c>
      <c r="U1867" s="4">
        <v>13051</v>
      </c>
      <c r="V1867" s="4">
        <v>77150</v>
      </c>
      <c r="W1867" s="4">
        <v>19586</v>
      </c>
      <c r="X1867" s="4">
        <v>3622</v>
      </c>
      <c r="Y1867" s="4" t="s">
        <v>41</v>
      </c>
      <c r="Z1867" s="4">
        <v>66</v>
      </c>
      <c r="AA1867" s="4">
        <v>4.9000000000000004</v>
      </c>
      <c r="AB1867" s="4" t="s">
        <v>137</v>
      </c>
    </row>
    <row r="1868" spans="1:28" x14ac:dyDescent="0.25">
      <c r="A1868" s="2" t="s">
        <v>2657</v>
      </c>
      <c r="B1868" s="2" t="s">
        <v>874</v>
      </c>
      <c r="C1868" s="2">
        <v>28</v>
      </c>
      <c r="D1868" s="2" t="s">
        <v>55</v>
      </c>
      <c r="E1868" s="2" t="s">
        <v>87</v>
      </c>
      <c r="F1868" s="2" t="s">
        <v>32</v>
      </c>
      <c r="G1868" s="3">
        <v>45490</v>
      </c>
      <c r="H1868" s="3">
        <v>45497</v>
      </c>
      <c r="I1868" s="2">
        <v>7</v>
      </c>
      <c r="J1868" s="2" t="s">
        <v>73</v>
      </c>
      <c r="K1868" s="2" t="s">
        <v>74</v>
      </c>
      <c r="L1868" s="2" t="s">
        <v>73</v>
      </c>
      <c r="M1868" s="2" t="s">
        <v>83</v>
      </c>
      <c r="N1868" s="2" t="s">
        <v>62</v>
      </c>
      <c r="O1868" s="2" t="s">
        <v>76</v>
      </c>
      <c r="P1868" s="2">
        <v>51</v>
      </c>
      <c r="Q1868" s="2" t="s">
        <v>50</v>
      </c>
      <c r="R1868" s="2" t="s">
        <v>51</v>
      </c>
      <c r="S1868" s="2">
        <v>68785</v>
      </c>
      <c r="T1868" s="2">
        <v>44581</v>
      </c>
      <c r="U1868" s="2">
        <v>24204</v>
      </c>
      <c r="V1868" s="2">
        <v>50037</v>
      </c>
      <c r="W1868" s="2">
        <v>14557</v>
      </c>
      <c r="X1868" s="2">
        <v>3063</v>
      </c>
      <c r="Y1868" s="2" t="s">
        <v>41</v>
      </c>
      <c r="Z1868" s="2">
        <v>79</v>
      </c>
      <c r="AA1868" s="2">
        <v>4.5999999999999996</v>
      </c>
      <c r="AB1868" s="2" t="s">
        <v>64</v>
      </c>
    </row>
    <row r="1869" spans="1:28" x14ac:dyDescent="0.25">
      <c r="A1869" s="4" t="s">
        <v>2658</v>
      </c>
      <c r="B1869" s="4" t="s">
        <v>1331</v>
      </c>
      <c r="C1869" s="4">
        <v>6</v>
      </c>
      <c r="D1869" s="4" t="s">
        <v>55</v>
      </c>
      <c r="E1869" s="4" t="s">
        <v>67</v>
      </c>
      <c r="F1869" s="4" t="s">
        <v>157</v>
      </c>
      <c r="G1869" s="5">
        <v>44989</v>
      </c>
      <c r="H1869" s="5">
        <v>45006</v>
      </c>
      <c r="I1869" s="4">
        <v>17</v>
      </c>
      <c r="J1869" s="4" t="s">
        <v>115</v>
      </c>
      <c r="K1869" s="4" t="s">
        <v>116</v>
      </c>
      <c r="L1869" s="4" t="s">
        <v>117</v>
      </c>
      <c r="M1869" s="4" t="s">
        <v>134</v>
      </c>
      <c r="N1869" s="4" t="s">
        <v>37</v>
      </c>
      <c r="O1869" s="4" t="s">
        <v>368</v>
      </c>
      <c r="P1869" s="4">
        <v>88</v>
      </c>
      <c r="Q1869" s="4" t="s">
        <v>50</v>
      </c>
      <c r="R1869" s="4" t="s">
        <v>90</v>
      </c>
      <c r="S1869" s="4">
        <v>96214</v>
      </c>
      <c r="T1869" s="4">
        <v>78565</v>
      </c>
      <c r="U1869" s="4">
        <v>17649</v>
      </c>
      <c r="V1869" s="4">
        <v>76000</v>
      </c>
      <c r="W1869" s="4">
        <v>9177</v>
      </c>
      <c r="X1869" s="4">
        <v>6093</v>
      </c>
      <c r="Y1869" s="4" t="s">
        <v>41</v>
      </c>
      <c r="Z1869" s="4">
        <v>93</v>
      </c>
      <c r="AA1869" s="4">
        <v>3.4</v>
      </c>
      <c r="AB1869" s="4" t="s">
        <v>104</v>
      </c>
    </row>
    <row r="1870" spans="1:28" x14ac:dyDescent="0.25">
      <c r="A1870" s="2" t="s">
        <v>2659</v>
      </c>
      <c r="B1870" s="2" t="s">
        <v>999</v>
      </c>
      <c r="C1870" s="2">
        <v>8</v>
      </c>
      <c r="D1870" s="2" t="s">
        <v>55</v>
      </c>
      <c r="E1870" s="2" t="s">
        <v>79</v>
      </c>
      <c r="F1870" s="2" t="s">
        <v>80</v>
      </c>
      <c r="G1870" s="3">
        <v>44669</v>
      </c>
      <c r="H1870" s="3">
        <v>44672</v>
      </c>
      <c r="I1870" s="2">
        <v>3</v>
      </c>
      <c r="J1870" s="2" t="s">
        <v>33</v>
      </c>
      <c r="K1870" s="2" t="s">
        <v>47</v>
      </c>
      <c r="L1870" s="2" t="s">
        <v>48</v>
      </c>
      <c r="M1870" s="2" t="s">
        <v>36</v>
      </c>
      <c r="N1870" s="2" t="s">
        <v>62</v>
      </c>
      <c r="O1870" s="2" t="s">
        <v>950</v>
      </c>
      <c r="P1870" s="2">
        <v>313</v>
      </c>
      <c r="Q1870" s="2" t="s">
        <v>103</v>
      </c>
      <c r="R1870" s="2" t="s">
        <v>90</v>
      </c>
      <c r="S1870" s="2">
        <v>70616</v>
      </c>
      <c r="T1870" s="2">
        <v>59293</v>
      </c>
      <c r="U1870" s="2">
        <v>11323</v>
      </c>
      <c r="V1870" s="2">
        <v>44610</v>
      </c>
      <c r="W1870" s="2">
        <v>16791</v>
      </c>
      <c r="X1870" s="2">
        <v>7155</v>
      </c>
      <c r="Y1870" s="2" t="s">
        <v>41</v>
      </c>
      <c r="Z1870" s="2">
        <v>57</v>
      </c>
      <c r="AA1870" s="2">
        <v>4.4000000000000004</v>
      </c>
      <c r="AB1870" s="2" t="s">
        <v>137</v>
      </c>
    </row>
    <row r="1871" spans="1:28" x14ac:dyDescent="0.25">
      <c r="A1871" s="4" t="s">
        <v>2660</v>
      </c>
      <c r="B1871" s="4" t="s">
        <v>1471</v>
      </c>
      <c r="C1871" s="4">
        <v>60</v>
      </c>
      <c r="D1871" s="4" t="s">
        <v>30</v>
      </c>
      <c r="E1871" s="4" t="s">
        <v>122</v>
      </c>
      <c r="F1871" s="4" t="s">
        <v>80</v>
      </c>
      <c r="G1871" s="5">
        <v>45087</v>
      </c>
      <c r="H1871" s="5">
        <v>45117</v>
      </c>
      <c r="I1871" s="4">
        <v>30</v>
      </c>
      <c r="J1871" s="4" t="s">
        <v>202</v>
      </c>
      <c r="K1871" s="4" t="s">
        <v>225</v>
      </c>
      <c r="L1871" s="4" t="s">
        <v>226</v>
      </c>
      <c r="M1871" s="4" t="s">
        <v>108</v>
      </c>
      <c r="N1871" s="4" t="s">
        <v>109</v>
      </c>
      <c r="O1871" s="4" t="s">
        <v>416</v>
      </c>
      <c r="P1871" s="4">
        <v>180</v>
      </c>
      <c r="Q1871" s="4" t="s">
        <v>69</v>
      </c>
      <c r="R1871" s="4" t="s">
        <v>136</v>
      </c>
      <c r="S1871" s="4">
        <v>65573</v>
      </c>
      <c r="T1871" s="4">
        <v>0</v>
      </c>
      <c r="U1871" s="4">
        <v>65573</v>
      </c>
      <c r="V1871" s="4">
        <v>49339</v>
      </c>
      <c r="W1871" s="4">
        <v>6880</v>
      </c>
      <c r="X1871" s="4">
        <v>5572</v>
      </c>
      <c r="Y1871" s="4" t="s">
        <v>41</v>
      </c>
      <c r="Z1871" s="4">
        <v>88</v>
      </c>
      <c r="AA1871" s="4">
        <v>2.2000000000000002</v>
      </c>
      <c r="AB1871" s="4" t="s">
        <v>42</v>
      </c>
    </row>
    <row r="1872" spans="1:28" x14ac:dyDescent="0.25">
      <c r="A1872" s="2" t="s">
        <v>2661</v>
      </c>
      <c r="B1872" s="2" t="s">
        <v>1680</v>
      </c>
      <c r="C1872" s="2">
        <v>69</v>
      </c>
      <c r="D1872" s="2" t="s">
        <v>30</v>
      </c>
      <c r="E1872" s="2" t="s">
        <v>56</v>
      </c>
      <c r="F1872" s="2" t="s">
        <v>150</v>
      </c>
      <c r="G1872" s="3">
        <v>45253</v>
      </c>
      <c r="H1872" s="3">
        <v>45281</v>
      </c>
      <c r="I1872" s="2">
        <v>28</v>
      </c>
      <c r="J1872" s="2" t="s">
        <v>140</v>
      </c>
      <c r="K1872" s="2" t="s">
        <v>167</v>
      </c>
      <c r="L1872" s="2" t="s">
        <v>142</v>
      </c>
      <c r="M1872" s="2" t="s">
        <v>75</v>
      </c>
      <c r="N1872" s="2" t="s">
        <v>109</v>
      </c>
      <c r="O1872" s="2" t="s">
        <v>189</v>
      </c>
      <c r="P1872" s="2">
        <v>56</v>
      </c>
      <c r="Q1872" s="2" t="s">
        <v>69</v>
      </c>
      <c r="R1872" s="2" t="s">
        <v>136</v>
      </c>
      <c r="S1872" s="2">
        <v>48934</v>
      </c>
      <c r="T1872" s="2">
        <v>0</v>
      </c>
      <c r="U1872" s="2">
        <v>48934</v>
      </c>
      <c r="V1872" s="2">
        <v>30463</v>
      </c>
      <c r="W1872" s="2">
        <v>13539</v>
      </c>
      <c r="X1872" s="2">
        <v>1409</v>
      </c>
      <c r="Y1872" s="2" t="s">
        <v>41</v>
      </c>
      <c r="Z1872" s="2">
        <v>41</v>
      </c>
      <c r="AA1872" s="2">
        <v>4.8</v>
      </c>
      <c r="AB1872" s="2" t="s">
        <v>42</v>
      </c>
    </row>
    <row r="1873" spans="1:28" x14ac:dyDescent="0.25">
      <c r="A1873" s="4" t="s">
        <v>2662</v>
      </c>
      <c r="B1873" s="4" t="s">
        <v>392</v>
      </c>
      <c r="C1873" s="4">
        <v>50</v>
      </c>
      <c r="D1873" s="4" t="s">
        <v>30</v>
      </c>
      <c r="E1873" s="4" t="s">
        <v>122</v>
      </c>
      <c r="F1873" s="4" t="s">
        <v>94</v>
      </c>
      <c r="G1873" s="5">
        <v>44910</v>
      </c>
      <c r="H1873" s="5">
        <v>44923</v>
      </c>
      <c r="I1873" s="4">
        <v>13</v>
      </c>
      <c r="J1873" s="4" t="s">
        <v>33</v>
      </c>
      <c r="K1873" s="4" t="s">
        <v>174</v>
      </c>
      <c r="L1873" s="4" t="s">
        <v>48</v>
      </c>
      <c r="M1873" s="4" t="s">
        <v>108</v>
      </c>
      <c r="N1873" s="4" t="s">
        <v>118</v>
      </c>
      <c r="O1873" s="4" t="s">
        <v>428</v>
      </c>
      <c r="P1873" s="4">
        <v>139</v>
      </c>
      <c r="Q1873" s="4" t="s">
        <v>50</v>
      </c>
      <c r="R1873" s="4" t="s">
        <v>90</v>
      </c>
      <c r="S1873" s="4">
        <v>107879</v>
      </c>
      <c r="T1873" s="4">
        <v>84927</v>
      </c>
      <c r="U1873" s="4">
        <v>22952</v>
      </c>
      <c r="V1873" s="4">
        <v>83380</v>
      </c>
      <c r="W1873" s="4">
        <v>10142</v>
      </c>
      <c r="X1873" s="4">
        <v>12732</v>
      </c>
      <c r="Y1873" s="4" t="s">
        <v>41</v>
      </c>
      <c r="Z1873" s="4">
        <v>89</v>
      </c>
      <c r="AA1873" s="4">
        <v>2.4</v>
      </c>
      <c r="AB1873" s="4" t="s">
        <v>137</v>
      </c>
    </row>
    <row r="1874" spans="1:28" x14ac:dyDescent="0.25">
      <c r="A1874" s="2" t="s">
        <v>2663</v>
      </c>
      <c r="B1874" s="2" t="s">
        <v>747</v>
      </c>
      <c r="C1874" s="2">
        <v>72</v>
      </c>
      <c r="D1874" s="2" t="s">
        <v>55</v>
      </c>
      <c r="E1874" s="2" t="s">
        <v>45</v>
      </c>
      <c r="F1874" s="2" t="s">
        <v>57</v>
      </c>
      <c r="G1874" s="3">
        <v>44694</v>
      </c>
      <c r="H1874" s="3">
        <v>44705</v>
      </c>
      <c r="I1874" s="2">
        <v>11</v>
      </c>
      <c r="J1874" s="2" t="s">
        <v>33</v>
      </c>
      <c r="K1874" s="2" t="s">
        <v>34</v>
      </c>
      <c r="L1874" s="2" t="s">
        <v>35</v>
      </c>
      <c r="M1874" s="2" t="s">
        <v>83</v>
      </c>
      <c r="N1874" s="2" t="s">
        <v>37</v>
      </c>
      <c r="O1874" s="2" t="s">
        <v>571</v>
      </c>
      <c r="P1874" s="2">
        <v>262</v>
      </c>
      <c r="Q1874" s="2" t="s">
        <v>50</v>
      </c>
      <c r="R1874" s="2" t="s">
        <v>51</v>
      </c>
      <c r="S1874" s="2">
        <v>130841</v>
      </c>
      <c r="T1874" s="2">
        <v>62337</v>
      </c>
      <c r="U1874" s="2">
        <v>68504</v>
      </c>
      <c r="V1874" s="2">
        <v>121456</v>
      </c>
      <c r="W1874" s="2">
        <v>2409</v>
      </c>
      <c r="X1874" s="2">
        <v>5305</v>
      </c>
      <c r="Y1874" s="2" t="s">
        <v>41</v>
      </c>
      <c r="Z1874" s="2">
        <v>76</v>
      </c>
      <c r="AA1874" s="2">
        <v>4</v>
      </c>
      <c r="AB1874" s="2" t="s">
        <v>104</v>
      </c>
    </row>
    <row r="1875" spans="1:28" x14ac:dyDescent="0.25">
      <c r="A1875" s="4" t="s">
        <v>2664</v>
      </c>
      <c r="B1875" s="4" t="s">
        <v>1046</v>
      </c>
      <c r="C1875" s="4">
        <v>5</v>
      </c>
      <c r="D1875" s="4" t="s">
        <v>30</v>
      </c>
      <c r="E1875" s="4" t="s">
        <v>67</v>
      </c>
      <c r="F1875" s="4" t="s">
        <v>94</v>
      </c>
      <c r="G1875" s="5">
        <v>44722</v>
      </c>
      <c r="H1875" s="5">
        <v>44737</v>
      </c>
      <c r="I1875" s="4">
        <v>15</v>
      </c>
      <c r="J1875" s="4" t="s">
        <v>123</v>
      </c>
      <c r="K1875" s="4" t="s">
        <v>251</v>
      </c>
      <c r="L1875" s="4" t="s">
        <v>125</v>
      </c>
      <c r="M1875" s="4" t="s">
        <v>108</v>
      </c>
      <c r="N1875" s="4" t="s">
        <v>62</v>
      </c>
      <c r="O1875" s="4" t="s">
        <v>543</v>
      </c>
      <c r="P1875" s="4">
        <v>219</v>
      </c>
      <c r="Q1875" s="4" t="s">
        <v>50</v>
      </c>
      <c r="R1875" s="4" t="s">
        <v>51</v>
      </c>
      <c r="S1875" s="4">
        <v>148742</v>
      </c>
      <c r="T1875" s="4">
        <v>86090</v>
      </c>
      <c r="U1875" s="4">
        <v>62652</v>
      </c>
      <c r="V1875" s="4">
        <v>128838</v>
      </c>
      <c r="W1875" s="4">
        <v>6051</v>
      </c>
      <c r="X1875" s="4">
        <v>11505</v>
      </c>
      <c r="Y1875" s="4" t="s">
        <v>41</v>
      </c>
      <c r="Z1875" s="4">
        <v>69</v>
      </c>
      <c r="AA1875" s="4">
        <v>3.2</v>
      </c>
      <c r="AB1875" s="4" t="s">
        <v>104</v>
      </c>
    </row>
    <row r="1876" spans="1:28" x14ac:dyDescent="0.25">
      <c r="A1876" s="2" t="s">
        <v>2665</v>
      </c>
      <c r="B1876" s="2" t="s">
        <v>1660</v>
      </c>
      <c r="C1876" s="2">
        <v>45</v>
      </c>
      <c r="D1876" s="2" t="s">
        <v>30</v>
      </c>
      <c r="E1876" s="2" t="s">
        <v>56</v>
      </c>
      <c r="F1876" s="2" t="s">
        <v>150</v>
      </c>
      <c r="G1876" s="3">
        <v>44733</v>
      </c>
      <c r="H1876" s="3">
        <v>44744</v>
      </c>
      <c r="I1876" s="2">
        <v>11</v>
      </c>
      <c r="J1876" s="2" t="s">
        <v>33</v>
      </c>
      <c r="K1876" s="2" t="s">
        <v>197</v>
      </c>
      <c r="L1876" s="2" t="s">
        <v>198</v>
      </c>
      <c r="M1876" s="2" t="s">
        <v>83</v>
      </c>
      <c r="N1876" s="2" t="s">
        <v>37</v>
      </c>
      <c r="O1876" s="2" t="s">
        <v>396</v>
      </c>
      <c r="P1876" s="2">
        <v>353</v>
      </c>
      <c r="Q1876" s="2" t="s">
        <v>103</v>
      </c>
      <c r="R1876" s="2" t="s">
        <v>136</v>
      </c>
      <c r="S1876" s="2">
        <v>75908</v>
      </c>
      <c r="T1876" s="2">
        <v>0</v>
      </c>
      <c r="U1876" s="2">
        <v>75908</v>
      </c>
      <c r="V1876" s="2">
        <v>34067</v>
      </c>
      <c r="W1876" s="2">
        <v>24277</v>
      </c>
      <c r="X1876" s="2">
        <v>12666</v>
      </c>
      <c r="Y1876" s="2" t="s">
        <v>41</v>
      </c>
      <c r="Z1876" s="2">
        <v>40</v>
      </c>
      <c r="AA1876" s="2">
        <v>4.7</v>
      </c>
      <c r="AB1876" s="2" t="s">
        <v>137</v>
      </c>
    </row>
    <row r="1877" spans="1:28" x14ac:dyDescent="0.25">
      <c r="A1877" s="4" t="s">
        <v>2666</v>
      </c>
      <c r="B1877" s="4" t="s">
        <v>2667</v>
      </c>
      <c r="C1877" s="4">
        <v>27</v>
      </c>
      <c r="D1877" s="4" t="s">
        <v>30</v>
      </c>
      <c r="E1877" s="4" t="s">
        <v>45</v>
      </c>
      <c r="F1877" s="4" t="s">
        <v>80</v>
      </c>
      <c r="G1877" s="5">
        <v>45497</v>
      </c>
      <c r="H1877" s="5">
        <v>45511</v>
      </c>
      <c r="I1877" s="4">
        <v>14</v>
      </c>
      <c r="J1877" s="4" t="s">
        <v>33</v>
      </c>
      <c r="K1877" s="4" t="s">
        <v>34</v>
      </c>
      <c r="L1877" s="4" t="s">
        <v>35</v>
      </c>
      <c r="M1877" s="4" t="s">
        <v>108</v>
      </c>
      <c r="N1877" s="4" t="s">
        <v>37</v>
      </c>
      <c r="O1877" s="4" t="s">
        <v>373</v>
      </c>
      <c r="P1877" s="4">
        <v>222</v>
      </c>
      <c r="Q1877" s="4" t="s">
        <v>103</v>
      </c>
      <c r="R1877" s="4" t="s">
        <v>111</v>
      </c>
      <c r="S1877" s="4">
        <v>66763</v>
      </c>
      <c r="T1877" s="4">
        <v>56048</v>
      </c>
      <c r="U1877" s="4">
        <v>10715</v>
      </c>
      <c r="V1877" s="4">
        <v>39400</v>
      </c>
      <c r="W1877" s="4">
        <v>23546</v>
      </c>
      <c r="X1877" s="4">
        <v>2012</v>
      </c>
      <c r="Y1877" s="4" t="s">
        <v>41</v>
      </c>
      <c r="Z1877" s="4">
        <v>88</v>
      </c>
      <c r="AA1877" s="4">
        <v>2.7</v>
      </c>
      <c r="AB1877" s="4" t="s">
        <v>42</v>
      </c>
    </row>
    <row r="1878" spans="1:28" x14ac:dyDescent="0.25">
      <c r="A1878" s="2" t="s">
        <v>2668</v>
      </c>
      <c r="B1878" s="2" t="s">
        <v>985</v>
      </c>
      <c r="C1878" s="2">
        <v>38</v>
      </c>
      <c r="D1878" s="2" t="s">
        <v>55</v>
      </c>
      <c r="E1878" s="2" t="s">
        <v>122</v>
      </c>
      <c r="F1878" s="2" t="s">
        <v>72</v>
      </c>
      <c r="G1878" s="3">
        <v>44871</v>
      </c>
      <c r="H1878" s="3">
        <v>44875</v>
      </c>
      <c r="I1878" s="2">
        <v>4</v>
      </c>
      <c r="J1878" s="2" t="s">
        <v>58</v>
      </c>
      <c r="K1878" s="2" t="s">
        <v>88</v>
      </c>
      <c r="L1878" s="2" t="s">
        <v>60</v>
      </c>
      <c r="M1878" s="2" t="s">
        <v>83</v>
      </c>
      <c r="N1878" s="2" t="s">
        <v>109</v>
      </c>
      <c r="O1878" s="2" t="s">
        <v>379</v>
      </c>
      <c r="P1878" s="2">
        <v>249</v>
      </c>
      <c r="Q1878" s="2" t="s">
        <v>39</v>
      </c>
      <c r="R1878" s="2" t="s">
        <v>40</v>
      </c>
      <c r="S1878" s="2">
        <v>154891</v>
      </c>
      <c r="T1878" s="2">
        <v>98440</v>
      </c>
      <c r="U1878" s="2">
        <v>56451</v>
      </c>
      <c r="V1878" s="2">
        <v>115840</v>
      </c>
      <c r="W1878" s="2">
        <v>28156</v>
      </c>
      <c r="X1878" s="2">
        <v>8099</v>
      </c>
      <c r="Y1878" s="2" t="s">
        <v>91</v>
      </c>
      <c r="Z1878" s="2">
        <v>73</v>
      </c>
      <c r="AA1878" s="2">
        <v>4</v>
      </c>
      <c r="AB1878" s="2" t="s">
        <v>104</v>
      </c>
    </row>
    <row r="1879" spans="1:28" x14ac:dyDescent="0.25">
      <c r="A1879" s="4" t="s">
        <v>2669</v>
      </c>
      <c r="B1879" s="4" t="s">
        <v>972</v>
      </c>
      <c r="C1879" s="4">
        <v>49</v>
      </c>
      <c r="D1879" s="4" t="s">
        <v>30</v>
      </c>
      <c r="E1879" s="4" t="s">
        <v>79</v>
      </c>
      <c r="F1879" s="4" t="s">
        <v>150</v>
      </c>
      <c r="G1879" s="5">
        <v>45362</v>
      </c>
      <c r="H1879" s="5">
        <v>45381</v>
      </c>
      <c r="I1879" s="4">
        <v>19</v>
      </c>
      <c r="J1879" s="4" t="s">
        <v>33</v>
      </c>
      <c r="K1879" s="4" t="s">
        <v>99</v>
      </c>
      <c r="L1879" s="4" t="s">
        <v>100</v>
      </c>
      <c r="M1879" s="4" t="s">
        <v>130</v>
      </c>
      <c r="N1879" s="4" t="s">
        <v>62</v>
      </c>
      <c r="O1879" s="4" t="s">
        <v>560</v>
      </c>
      <c r="P1879" s="4">
        <v>176</v>
      </c>
      <c r="Q1879" s="4" t="s">
        <v>103</v>
      </c>
      <c r="R1879" s="4" t="s">
        <v>40</v>
      </c>
      <c r="S1879" s="4">
        <v>47321</v>
      </c>
      <c r="T1879" s="4">
        <v>20292</v>
      </c>
      <c r="U1879" s="4">
        <v>27029</v>
      </c>
      <c r="V1879" s="4">
        <v>20945</v>
      </c>
      <c r="W1879" s="4">
        <v>18436</v>
      </c>
      <c r="X1879" s="4">
        <v>4041</v>
      </c>
      <c r="Y1879" s="4" t="s">
        <v>91</v>
      </c>
      <c r="Z1879" s="4">
        <v>75</v>
      </c>
      <c r="AA1879" s="4">
        <v>3.6</v>
      </c>
      <c r="AB1879" s="4" t="s">
        <v>64</v>
      </c>
    </row>
    <row r="1880" spans="1:28" x14ac:dyDescent="0.25">
      <c r="A1880" s="2" t="s">
        <v>2670</v>
      </c>
      <c r="B1880" s="2" t="s">
        <v>1736</v>
      </c>
      <c r="C1880" s="2">
        <v>9</v>
      </c>
      <c r="D1880" s="2" t="s">
        <v>55</v>
      </c>
      <c r="E1880" s="2" t="s">
        <v>67</v>
      </c>
      <c r="F1880" s="2" t="s">
        <v>129</v>
      </c>
      <c r="G1880" s="3">
        <v>44658</v>
      </c>
      <c r="H1880" s="3">
        <v>44682</v>
      </c>
      <c r="I1880" s="2">
        <v>24</v>
      </c>
      <c r="J1880" s="2" t="s">
        <v>115</v>
      </c>
      <c r="K1880" s="2" t="s">
        <v>116</v>
      </c>
      <c r="L1880" s="2" t="s">
        <v>117</v>
      </c>
      <c r="M1880" s="2" t="s">
        <v>83</v>
      </c>
      <c r="N1880" s="2" t="s">
        <v>62</v>
      </c>
      <c r="O1880" s="2" t="s">
        <v>627</v>
      </c>
      <c r="P1880" s="2">
        <v>475</v>
      </c>
      <c r="Q1880" s="2" t="s">
        <v>50</v>
      </c>
      <c r="R1880" s="2" t="s">
        <v>51</v>
      </c>
      <c r="S1880" s="2">
        <v>143536</v>
      </c>
      <c r="T1880" s="2">
        <v>71109</v>
      </c>
      <c r="U1880" s="2">
        <v>72427</v>
      </c>
      <c r="V1880" s="2">
        <v>97207</v>
      </c>
      <c r="W1880" s="2">
        <v>29999</v>
      </c>
      <c r="X1880" s="2">
        <v>14965</v>
      </c>
      <c r="Y1880" s="2" t="s">
        <v>41</v>
      </c>
      <c r="Z1880" s="2">
        <v>97</v>
      </c>
      <c r="AA1880" s="2">
        <v>3.1</v>
      </c>
      <c r="AB1880" s="2" t="s">
        <v>104</v>
      </c>
    </row>
    <row r="1881" spans="1:28" x14ac:dyDescent="0.25">
      <c r="A1881" s="4" t="s">
        <v>2671</v>
      </c>
      <c r="B1881" s="4" t="s">
        <v>1309</v>
      </c>
      <c r="C1881" s="4">
        <v>24</v>
      </c>
      <c r="D1881" s="4" t="s">
        <v>30</v>
      </c>
      <c r="E1881" s="4" t="s">
        <v>45</v>
      </c>
      <c r="F1881" s="4" t="s">
        <v>94</v>
      </c>
      <c r="G1881" s="5">
        <v>45374</v>
      </c>
      <c r="H1881" s="5">
        <v>45404</v>
      </c>
      <c r="I1881" s="4">
        <v>30</v>
      </c>
      <c r="J1881" s="4" t="s">
        <v>115</v>
      </c>
      <c r="K1881" s="4" t="s">
        <v>160</v>
      </c>
      <c r="L1881" s="4" t="s">
        <v>117</v>
      </c>
      <c r="M1881" s="4" t="s">
        <v>130</v>
      </c>
      <c r="N1881" s="4" t="s">
        <v>109</v>
      </c>
      <c r="O1881" s="4" t="s">
        <v>248</v>
      </c>
      <c r="P1881" s="4">
        <v>442</v>
      </c>
      <c r="Q1881" s="4" t="s">
        <v>103</v>
      </c>
      <c r="R1881" s="4" t="s">
        <v>51</v>
      </c>
      <c r="S1881" s="4">
        <v>143992</v>
      </c>
      <c r="T1881" s="4">
        <v>84329</v>
      </c>
      <c r="U1881" s="4">
        <v>59663</v>
      </c>
      <c r="V1881" s="4">
        <v>132972</v>
      </c>
      <c r="W1881" s="4">
        <v>7160</v>
      </c>
      <c r="X1881" s="4">
        <v>2864</v>
      </c>
      <c r="Y1881" s="4" t="s">
        <v>41</v>
      </c>
      <c r="Z1881" s="4">
        <v>95</v>
      </c>
      <c r="AA1881" s="4">
        <v>2.8</v>
      </c>
      <c r="AB1881" s="4" t="s">
        <v>104</v>
      </c>
    </row>
    <row r="1882" spans="1:28" x14ac:dyDescent="0.25">
      <c r="A1882" s="2" t="s">
        <v>2672</v>
      </c>
      <c r="B1882" s="2" t="s">
        <v>240</v>
      </c>
      <c r="C1882" s="2">
        <v>7</v>
      </c>
      <c r="D1882" s="2" t="s">
        <v>30</v>
      </c>
      <c r="E1882" s="2" t="s">
        <v>79</v>
      </c>
      <c r="F1882" s="2" t="s">
        <v>57</v>
      </c>
      <c r="G1882" s="3">
        <v>45461</v>
      </c>
      <c r="H1882" s="3">
        <v>45479</v>
      </c>
      <c r="I1882" s="2">
        <v>18</v>
      </c>
      <c r="J1882" s="2" t="s">
        <v>33</v>
      </c>
      <c r="K1882" s="2" t="s">
        <v>107</v>
      </c>
      <c r="L1882" s="2" t="s">
        <v>48</v>
      </c>
      <c r="M1882" s="2" t="s">
        <v>75</v>
      </c>
      <c r="N1882" s="2" t="s">
        <v>37</v>
      </c>
      <c r="O1882" s="2" t="s">
        <v>135</v>
      </c>
      <c r="P1882" s="2">
        <v>469</v>
      </c>
      <c r="Q1882" s="2" t="s">
        <v>39</v>
      </c>
      <c r="R1882" s="2" t="s">
        <v>136</v>
      </c>
      <c r="S1882" s="2">
        <v>63800</v>
      </c>
      <c r="T1882" s="2">
        <v>0</v>
      </c>
      <c r="U1882" s="2">
        <v>63800</v>
      </c>
      <c r="V1882" s="2">
        <v>35739</v>
      </c>
      <c r="W1882" s="2">
        <v>25729</v>
      </c>
      <c r="X1882" s="2">
        <v>1416</v>
      </c>
      <c r="Y1882" s="2" t="s">
        <v>41</v>
      </c>
      <c r="Z1882" s="2">
        <v>67</v>
      </c>
      <c r="AA1882" s="2">
        <v>3.2</v>
      </c>
      <c r="AB1882" s="2" t="s">
        <v>42</v>
      </c>
    </row>
    <row r="1883" spans="1:28" x14ac:dyDescent="0.25">
      <c r="A1883" s="4" t="s">
        <v>2673</v>
      </c>
      <c r="B1883" s="4" t="s">
        <v>2060</v>
      </c>
      <c r="C1883" s="4">
        <v>41</v>
      </c>
      <c r="D1883" s="4" t="s">
        <v>55</v>
      </c>
      <c r="E1883" s="4" t="s">
        <v>31</v>
      </c>
      <c r="F1883" s="4" t="s">
        <v>57</v>
      </c>
      <c r="G1883" s="5">
        <v>44573</v>
      </c>
      <c r="H1883" s="5">
        <v>44582</v>
      </c>
      <c r="I1883" s="4">
        <v>9</v>
      </c>
      <c r="J1883" s="4" t="s">
        <v>33</v>
      </c>
      <c r="K1883" s="4" t="s">
        <v>81</v>
      </c>
      <c r="L1883" s="4" t="s">
        <v>82</v>
      </c>
      <c r="M1883" s="4" t="s">
        <v>61</v>
      </c>
      <c r="N1883" s="4" t="s">
        <v>118</v>
      </c>
      <c r="O1883" s="4" t="s">
        <v>368</v>
      </c>
      <c r="P1883" s="4">
        <v>363</v>
      </c>
      <c r="Q1883" s="4" t="s">
        <v>103</v>
      </c>
      <c r="R1883" s="4" t="s">
        <v>90</v>
      </c>
      <c r="S1883" s="4">
        <v>127921</v>
      </c>
      <c r="T1883" s="4">
        <v>94801</v>
      </c>
      <c r="U1883" s="4">
        <v>33120</v>
      </c>
      <c r="V1883" s="4">
        <v>105614</v>
      </c>
      <c r="W1883" s="4">
        <v>10041</v>
      </c>
      <c r="X1883" s="4">
        <v>9760</v>
      </c>
      <c r="Y1883" s="4" t="s">
        <v>41</v>
      </c>
      <c r="Z1883" s="4">
        <v>40</v>
      </c>
      <c r="AA1883" s="4">
        <v>2.9</v>
      </c>
      <c r="AB1883" s="4" t="s">
        <v>137</v>
      </c>
    </row>
    <row r="1884" spans="1:28" x14ac:dyDescent="0.25">
      <c r="A1884" s="2" t="s">
        <v>2674</v>
      </c>
      <c r="B1884" s="2" t="s">
        <v>559</v>
      </c>
      <c r="C1884" s="2">
        <v>11</v>
      </c>
      <c r="D1884" s="2" t="s">
        <v>30</v>
      </c>
      <c r="E1884" s="2" t="s">
        <v>31</v>
      </c>
      <c r="F1884" s="2" t="s">
        <v>57</v>
      </c>
      <c r="G1884" s="3">
        <v>45100</v>
      </c>
      <c r="H1884" s="3">
        <v>45116</v>
      </c>
      <c r="I1884" s="2">
        <v>16</v>
      </c>
      <c r="J1884" s="2" t="s">
        <v>123</v>
      </c>
      <c r="K1884" s="2" t="s">
        <v>251</v>
      </c>
      <c r="L1884" s="2" t="s">
        <v>125</v>
      </c>
      <c r="M1884" s="2" t="s">
        <v>83</v>
      </c>
      <c r="N1884" s="2" t="s">
        <v>62</v>
      </c>
      <c r="O1884" s="2" t="s">
        <v>331</v>
      </c>
      <c r="P1884" s="2">
        <v>218</v>
      </c>
      <c r="Q1884" s="2" t="s">
        <v>50</v>
      </c>
      <c r="R1884" s="2" t="s">
        <v>136</v>
      </c>
      <c r="S1884" s="2">
        <v>43398</v>
      </c>
      <c r="T1884" s="2">
        <v>0</v>
      </c>
      <c r="U1884" s="2">
        <v>43398</v>
      </c>
      <c r="V1884" s="2">
        <v>34774</v>
      </c>
      <c r="W1884" s="2">
        <v>7162</v>
      </c>
      <c r="X1884" s="2">
        <v>571</v>
      </c>
      <c r="Y1884" s="2" t="s">
        <v>41</v>
      </c>
      <c r="Z1884" s="2">
        <v>80</v>
      </c>
      <c r="AA1884" s="2">
        <v>4.4000000000000004</v>
      </c>
      <c r="AB1884" s="2" t="s">
        <v>104</v>
      </c>
    </row>
    <row r="1885" spans="1:28" x14ac:dyDescent="0.25">
      <c r="A1885" s="4" t="s">
        <v>2675</v>
      </c>
      <c r="B1885" s="4" t="s">
        <v>559</v>
      </c>
      <c r="C1885" s="4">
        <v>74</v>
      </c>
      <c r="D1885" s="4" t="s">
        <v>30</v>
      </c>
      <c r="E1885" s="4" t="s">
        <v>87</v>
      </c>
      <c r="F1885" s="4" t="s">
        <v>80</v>
      </c>
      <c r="G1885" s="5">
        <v>45173</v>
      </c>
      <c r="H1885" s="5">
        <v>45189</v>
      </c>
      <c r="I1885" s="4">
        <v>16</v>
      </c>
      <c r="J1885" s="4" t="s">
        <v>115</v>
      </c>
      <c r="K1885" s="4" t="s">
        <v>160</v>
      </c>
      <c r="L1885" s="4" t="s">
        <v>117</v>
      </c>
      <c r="M1885" s="4" t="s">
        <v>75</v>
      </c>
      <c r="N1885" s="4" t="s">
        <v>62</v>
      </c>
      <c r="O1885" s="4" t="s">
        <v>492</v>
      </c>
      <c r="P1885" s="4">
        <v>93</v>
      </c>
      <c r="Q1885" s="4" t="s">
        <v>103</v>
      </c>
      <c r="R1885" s="4" t="s">
        <v>136</v>
      </c>
      <c r="S1885" s="4">
        <v>32731</v>
      </c>
      <c r="T1885" s="4">
        <v>0</v>
      </c>
      <c r="U1885" s="4">
        <v>32731</v>
      </c>
      <c r="V1885" s="4">
        <v>11386</v>
      </c>
      <c r="W1885" s="4">
        <v>13543</v>
      </c>
      <c r="X1885" s="4">
        <v>3120</v>
      </c>
      <c r="Y1885" s="4" t="s">
        <v>41</v>
      </c>
      <c r="Z1885" s="4">
        <v>60</v>
      </c>
      <c r="AA1885" s="4">
        <v>4.4000000000000004</v>
      </c>
      <c r="AB1885" s="4" t="s">
        <v>137</v>
      </c>
    </row>
    <row r="1886" spans="1:28" x14ac:dyDescent="0.25">
      <c r="A1886" s="2" t="s">
        <v>2676</v>
      </c>
      <c r="B1886" s="2" t="s">
        <v>1535</v>
      </c>
      <c r="C1886" s="2">
        <v>45</v>
      </c>
      <c r="D1886" s="2" t="s">
        <v>55</v>
      </c>
      <c r="E1886" s="2" t="s">
        <v>154</v>
      </c>
      <c r="F1886" s="2" t="s">
        <v>57</v>
      </c>
      <c r="G1886" s="3">
        <v>45320</v>
      </c>
      <c r="H1886" s="3">
        <v>45343</v>
      </c>
      <c r="I1886" s="2">
        <v>23</v>
      </c>
      <c r="J1886" s="2" t="s">
        <v>140</v>
      </c>
      <c r="K1886" s="2" t="s">
        <v>141</v>
      </c>
      <c r="L1886" s="2" t="s">
        <v>142</v>
      </c>
      <c r="M1886" s="2" t="s">
        <v>95</v>
      </c>
      <c r="N1886" s="2" t="s">
        <v>62</v>
      </c>
      <c r="O1886" s="2" t="s">
        <v>222</v>
      </c>
      <c r="P1886" s="2">
        <v>460</v>
      </c>
      <c r="Q1886" s="2" t="s">
        <v>69</v>
      </c>
      <c r="R1886" s="2" t="s">
        <v>90</v>
      </c>
      <c r="S1886" s="2">
        <v>71861</v>
      </c>
      <c r="T1886" s="2">
        <v>53208</v>
      </c>
      <c r="U1886" s="2">
        <v>18653</v>
      </c>
      <c r="V1886" s="2">
        <v>54422</v>
      </c>
      <c r="W1886" s="2">
        <v>11796</v>
      </c>
      <c r="X1886" s="2">
        <v>3072</v>
      </c>
      <c r="Y1886" s="2" t="s">
        <v>91</v>
      </c>
      <c r="Z1886" s="2">
        <v>68</v>
      </c>
      <c r="AA1886" s="2">
        <v>3.7</v>
      </c>
      <c r="AB1886" s="2" t="s">
        <v>137</v>
      </c>
    </row>
    <row r="1887" spans="1:28" x14ac:dyDescent="0.25">
      <c r="A1887" s="4" t="s">
        <v>2677</v>
      </c>
      <c r="B1887" s="4" t="s">
        <v>1058</v>
      </c>
      <c r="C1887" s="4">
        <v>6</v>
      </c>
      <c r="D1887" s="4" t="s">
        <v>30</v>
      </c>
      <c r="E1887" s="4" t="s">
        <v>56</v>
      </c>
      <c r="F1887" s="4" t="s">
        <v>32</v>
      </c>
      <c r="G1887" s="5">
        <v>44808</v>
      </c>
      <c r="H1887" s="5">
        <v>44837</v>
      </c>
      <c r="I1887" s="4">
        <v>29</v>
      </c>
      <c r="J1887" s="4" t="s">
        <v>202</v>
      </c>
      <c r="K1887" s="4" t="s">
        <v>225</v>
      </c>
      <c r="L1887" s="4" t="s">
        <v>226</v>
      </c>
      <c r="M1887" s="4" t="s">
        <v>36</v>
      </c>
      <c r="N1887" s="4" t="s">
        <v>62</v>
      </c>
      <c r="O1887" s="4" t="s">
        <v>282</v>
      </c>
      <c r="P1887" s="4">
        <v>421</v>
      </c>
      <c r="Q1887" s="4" t="s">
        <v>50</v>
      </c>
      <c r="R1887" s="4" t="s">
        <v>90</v>
      </c>
      <c r="S1887" s="4">
        <v>52771</v>
      </c>
      <c r="T1887" s="4">
        <v>39461</v>
      </c>
      <c r="U1887" s="4">
        <v>13310</v>
      </c>
      <c r="V1887" s="4">
        <v>38338</v>
      </c>
      <c r="W1887" s="4">
        <v>1723</v>
      </c>
      <c r="X1887" s="4">
        <v>12184</v>
      </c>
      <c r="Y1887" s="4" t="s">
        <v>41</v>
      </c>
      <c r="Z1887" s="4">
        <v>42</v>
      </c>
      <c r="AA1887" s="4">
        <v>4.9000000000000004</v>
      </c>
      <c r="AB1887" s="4" t="s">
        <v>52</v>
      </c>
    </row>
    <row r="1888" spans="1:28" x14ac:dyDescent="0.25">
      <c r="A1888" s="2" t="s">
        <v>2678</v>
      </c>
      <c r="B1888" s="2" t="s">
        <v>1789</v>
      </c>
      <c r="C1888" s="2">
        <v>59</v>
      </c>
      <c r="D1888" s="2" t="s">
        <v>55</v>
      </c>
      <c r="E1888" s="2" t="s">
        <v>31</v>
      </c>
      <c r="F1888" s="2" t="s">
        <v>129</v>
      </c>
      <c r="G1888" s="3">
        <v>45530</v>
      </c>
      <c r="H1888" s="3">
        <v>45544</v>
      </c>
      <c r="I1888" s="2">
        <v>14</v>
      </c>
      <c r="J1888" s="2" t="s">
        <v>33</v>
      </c>
      <c r="K1888" s="2" t="s">
        <v>233</v>
      </c>
      <c r="L1888" s="2" t="s">
        <v>35</v>
      </c>
      <c r="M1888" s="2" t="s">
        <v>108</v>
      </c>
      <c r="N1888" s="2" t="s">
        <v>118</v>
      </c>
      <c r="O1888" s="2" t="s">
        <v>256</v>
      </c>
      <c r="P1888" s="2">
        <v>262</v>
      </c>
      <c r="Q1888" s="2" t="s">
        <v>103</v>
      </c>
      <c r="R1888" s="2" t="s">
        <v>51</v>
      </c>
      <c r="S1888" s="2">
        <v>72139</v>
      </c>
      <c r="T1888" s="2">
        <v>43450</v>
      </c>
      <c r="U1888" s="2">
        <v>28689</v>
      </c>
      <c r="V1888" s="2">
        <v>58232</v>
      </c>
      <c r="W1888" s="2">
        <v>2377</v>
      </c>
      <c r="X1888" s="2">
        <v>9795</v>
      </c>
      <c r="Y1888" s="2" t="s">
        <v>41</v>
      </c>
      <c r="Z1888" s="2">
        <v>53</v>
      </c>
      <c r="AA1888" s="2">
        <v>3.8</v>
      </c>
      <c r="AB1888" s="2" t="s">
        <v>137</v>
      </c>
    </row>
    <row r="1889" spans="1:28" x14ac:dyDescent="0.25">
      <c r="A1889" s="4" t="s">
        <v>2679</v>
      </c>
      <c r="B1889" s="4" t="s">
        <v>970</v>
      </c>
      <c r="C1889" s="4">
        <v>57</v>
      </c>
      <c r="D1889" s="4" t="s">
        <v>55</v>
      </c>
      <c r="E1889" s="4" t="s">
        <v>67</v>
      </c>
      <c r="F1889" s="4" t="s">
        <v>57</v>
      </c>
      <c r="G1889" s="5">
        <v>45460</v>
      </c>
      <c r="H1889" s="5">
        <v>45463</v>
      </c>
      <c r="I1889" s="4">
        <v>3</v>
      </c>
      <c r="J1889" s="4" t="s">
        <v>140</v>
      </c>
      <c r="K1889" s="4" t="s">
        <v>141</v>
      </c>
      <c r="L1889" s="4" t="s">
        <v>142</v>
      </c>
      <c r="M1889" s="4" t="s">
        <v>36</v>
      </c>
      <c r="N1889" s="4" t="s">
        <v>109</v>
      </c>
      <c r="O1889" s="4" t="s">
        <v>256</v>
      </c>
      <c r="P1889" s="4">
        <v>313</v>
      </c>
      <c r="Q1889" s="4" t="s">
        <v>50</v>
      </c>
      <c r="R1889" s="4" t="s">
        <v>51</v>
      </c>
      <c r="S1889" s="4">
        <v>47307</v>
      </c>
      <c r="T1889" s="4">
        <v>26518</v>
      </c>
      <c r="U1889" s="4">
        <v>20789</v>
      </c>
      <c r="V1889" s="4">
        <v>27688</v>
      </c>
      <c r="W1889" s="4">
        <v>5486</v>
      </c>
      <c r="X1889" s="4">
        <v>11070</v>
      </c>
      <c r="Y1889" s="4" t="s">
        <v>41</v>
      </c>
      <c r="Z1889" s="4">
        <v>76</v>
      </c>
      <c r="AA1889" s="4">
        <v>2.7</v>
      </c>
      <c r="AB1889" s="4" t="s">
        <v>137</v>
      </c>
    </row>
    <row r="1890" spans="1:28" x14ac:dyDescent="0.25">
      <c r="A1890" s="2" t="s">
        <v>2680</v>
      </c>
      <c r="B1890" s="2" t="s">
        <v>898</v>
      </c>
      <c r="C1890" s="2">
        <v>41</v>
      </c>
      <c r="D1890" s="2" t="s">
        <v>55</v>
      </c>
      <c r="E1890" s="2" t="s">
        <v>67</v>
      </c>
      <c r="F1890" s="2" t="s">
        <v>46</v>
      </c>
      <c r="G1890" s="3">
        <v>44987</v>
      </c>
      <c r="H1890" s="3">
        <v>45001</v>
      </c>
      <c r="I1890" s="2">
        <v>14</v>
      </c>
      <c r="J1890" s="2" t="s">
        <v>58</v>
      </c>
      <c r="K1890" s="2" t="s">
        <v>88</v>
      </c>
      <c r="L1890" s="2" t="s">
        <v>60</v>
      </c>
      <c r="M1890" s="2" t="s">
        <v>36</v>
      </c>
      <c r="N1890" s="2" t="s">
        <v>118</v>
      </c>
      <c r="O1890" s="2" t="s">
        <v>379</v>
      </c>
      <c r="P1890" s="2">
        <v>500</v>
      </c>
      <c r="Q1890" s="2" t="s">
        <v>50</v>
      </c>
      <c r="R1890" s="2" t="s">
        <v>136</v>
      </c>
      <c r="S1890" s="2">
        <v>148795</v>
      </c>
      <c r="T1890" s="2">
        <v>0</v>
      </c>
      <c r="U1890" s="2">
        <v>148795</v>
      </c>
      <c r="V1890" s="2">
        <v>115287</v>
      </c>
      <c r="W1890" s="2">
        <v>19085</v>
      </c>
      <c r="X1890" s="2">
        <v>12962</v>
      </c>
      <c r="Y1890" s="2" t="s">
        <v>41</v>
      </c>
      <c r="Z1890" s="2">
        <v>88</v>
      </c>
      <c r="AA1890" s="2">
        <v>3.6</v>
      </c>
      <c r="AB1890" s="2" t="s">
        <v>52</v>
      </c>
    </row>
    <row r="1891" spans="1:28" x14ac:dyDescent="0.25">
      <c r="A1891" s="4" t="s">
        <v>2681</v>
      </c>
      <c r="B1891" s="4" t="s">
        <v>183</v>
      </c>
      <c r="C1891" s="4">
        <v>53</v>
      </c>
      <c r="D1891" s="4" t="s">
        <v>55</v>
      </c>
      <c r="E1891" s="4" t="s">
        <v>56</v>
      </c>
      <c r="F1891" s="4" t="s">
        <v>94</v>
      </c>
      <c r="G1891" s="5">
        <v>45478</v>
      </c>
      <c r="H1891" s="5">
        <v>45498</v>
      </c>
      <c r="I1891" s="4">
        <v>20</v>
      </c>
      <c r="J1891" s="4" t="s">
        <v>33</v>
      </c>
      <c r="K1891" s="4" t="s">
        <v>99</v>
      </c>
      <c r="L1891" s="4" t="s">
        <v>100</v>
      </c>
      <c r="M1891" s="4" t="s">
        <v>83</v>
      </c>
      <c r="N1891" s="4" t="s">
        <v>37</v>
      </c>
      <c r="O1891" s="4" t="s">
        <v>595</v>
      </c>
      <c r="P1891" s="4">
        <v>500</v>
      </c>
      <c r="Q1891" s="4" t="s">
        <v>69</v>
      </c>
      <c r="R1891" s="4" t="s">
        <v>40</v>
      </c>
      <c r="S1891" s="4">
        <v>65167</v>
      </c>
      <c r="T1891" s="4">
        <v>41911</v>
      </c>
      <c r="U1891" s="4">
        <v>23256</v>
      </c>
      <c r="V1891" s="4">
        <v>57029</v>
      </c>
      <c r="W1891" s="4">
        <v>1256</v>
      </c>
      <c r="X1891" s="4">
        <v>5107</v>
      </c>
      <c r="Y1891" s="4" t="s">
        <v>41</v>
      </c>
      <c r="Z1891" s="4">
        <v>92</v>
      </c>
      <c r="AA1891" s="4">
        <v>2.7</v>
      </c>
      <c r="AB1891" s="4" t="s">
        <v>42</v>
      </c>
    </row>
    <row r="1892" spans="1:28" x14ac:dyDescent="0.25">
      <c r="A1892" s="2" t="s">
        <v>2682</v>
      </c>
      <c r="B1892" s="2" t="s">
        <v>253</v>
      </c>
      <c r="C1892" s="2">
        <v>18</v>
      </c>
      <c r="D1892" s="2" t="s">
        <v>30</v>
      </c>
      <c r="E1892" s="2" t="s">
        <v>122</v>
      </c>
      <c r="F1892" s="2" t="s">
        <v>129</v>
      </c>
      <c r="G1892" s="3">
        <v>45226</v>
      </c>
      <c r="H1892" s="3">
        <v>45227</v>
      </c>
      <c r="I1892" s="2">
        <v>1</v>
      </c>
      <c r="J1892" s="2" t="s">
        <v>33</v>
      </c>
      <c r="K1892" s="2" t="s">
        <v>233</v>
      </c>
      <c r="L1892" s="2" t="s">
        <v>35</v>
      </c>
      <c r="M1892" s="2" t="s">
        <v>83</v>
      </c>
      <c r="N1892" s="2" t="s">
        <v>62</v>
      </c>
      <c r="O1892" s="2" t="s">
        <v>246</v>
      </c>
      <c r="P1892" s="2">
        <v>13</v>
      </c>
      <c r="Q1892" s="2" t="s">
        <v>50</v>
      </c>
      <c r="R1892" s="2" t="s">
        <v>40</v>
      </c>
      <c r="S1892" s="2">
        <v>174202</v>
      </c>
      <c r="T1892" s="2">
        <v>96600</v>
      </c>
      <c r="U1892" s="2">
        <v>77602</v>
      </c>
      <c r="V1892" s="2">
        <v>148201</v>
      </c>
      <c r="W1892" s="2">
        <v>15271</v>
      </c>
      <c r="X1892" s="2">
        <v>6718</v>
      </c>
      <c r="Y1892" s="2" t="s">
        <v>41</v>
      </c>
      <c r="Z1892" s="2">
        <v>91</v>
      </c>
      <c r="AA1892" s="2">
        <v>3.5</v>
      </c>
      <c r="AB1892" s="2" t="s">
        <v>64</v>
      </c>
    </row>
    <row r="1893" spans="1:28" x14ac:dyDescent="0.25">
      <c r="A1893" s="4" t="s">
        <v>2683</v>
      </c>
      <c r="B1893" s="4" t="s">
        <v>1799</v>
      </c>
      <c r="C1893" s="4">
        <v>25</v>
      </c>
      <c r="D1893" s="4" t="s">
        <v>30</v>
      </c>
      <c r="E1893" s="4" t="s">
        <v>45</v>
      </c>
      <c r="F1893" s="4" t="s">
        <v>150</v>
      </c>
      <c r="G1893" s="5">
        <v>45598</v>
      </c>
      <c r="H1893" s="5">
        <v>45618</v>
      </c>
      <c r="I1893" s="4">
        <v>20</v>
      </c>
      <c r="J1893" s="4" t="s">
        <v>33</v>
      </c>
      <c r="K1893" s="4" t="s">
        <v>81</v>
      </c>
      <c r="L1893" s="4" t="s">
        <v>82</v>
      </c>
      <c r="M1893" s="4" t="s">
        <v>61</v>
      </c>
      <c r="N1893" s="4" t="s">
        <v>37</v>
      </c>
      <c r="O1893" s="4" t="s">
        <v>214</v>
      </c>
      <c r="P1893" s="4">
        <v>183</v>
      </c>
      <c r="Q1893" s="4" t="s">
        <v>39</v>
      </c>
      <c r="R1893" s="4" t="s">
        <v>111</v>
      </c>
      <c r="S1893" s="4">
        <v>80352</v>
      </c>
      <c r="T1893" s="4">
        <v>71741</v>
      </c>
      <c r="U1893" s="4">
        <v>8611</v>
      </c>
      <c r="V1893" s="4">
        <v>55733</v>
      </c>
      <c r="W1893" s="4">
        <v>18364</v>
      </c>
      <c r="X1893" s="4">
        <v>1448</v>
      </c>
      <c r="Y1893" s="4" t="s">
        <v>91</v>
      </c>
      <c r="Z1893" s="4">
        <v>52</v>
      </c>
      <c r="AA1893" s="4">
        <v>4.5999999999999996</v>
      </c>
      <c r="AB1893" s="4" t="s">
        <v>104</v>
      </c>
    </row>
    <row r="1894" spans="1:28" x14ac:dyDescent="0.25">
      <c r="A1894" s="2" t="s">
        <v>2684</v>
      </c>
      <c r="B1894" s="2" t="s">
        <v>1222</v>
      </c>
      <c r="C1894" s="2">
        <v>8</v>
      </c>
      <c r="D1894" s="2" t="s">
        <v>55</v>
      </c>
      <c r="E1894" s="2" t="s">
        <v>154</v>
      </c>
      <c r="F1894" s="2" t="s">
        <v>46</v>
      </c>
      <c r="G1894" s="3">
        <v>45512</v>
      </c>
      <c r="H1894" s="3">
        <v>45528</v>
      </c>
      <c r="I1894" s="2">
        <v>16</v>
      </c>
      <c r="J1894" s="2" t="s">
        <v>33</v>
      </c>
      <c r="K1894" s="2" t="s">
        <v>197</v>
      </c>
      <c r="L1894" s="2" t="s">
        <v>198</v>
      </c>
      <c r="M1894" s="2" t="s">
        <v>95</v>
      </c>
      <c r="N1894" s="2" t="s">
        <v>62</v>
      </c>
      <c r="O1894" s="2" t="s">
        <v>144</v>
      </c>
      <c r="P1894" s="2">
        <v>71</v>
      </c>
      <c r="Q1894" s="2" t="s">
        <v>69</v>
      </c>
      <c r="R1894" s="2" t="s">
        <v>90</v>
      </c>
      <c r="S1894" s="2">
        <v>175179</v>
      </c>
      <c r="T1894" s="2">
        <v>149226</v>
      </c>
      <c r="U1894" s="2">
        <v>25953</v>
      </c>
      <c r="V1894" s="2">
        <v>137909</v>
      </c>
      <c r="W1894" s="2">
        <v>22634</v>
      </c>
      <c r="X1894" s="2">
        <v>10745</v>
      </c>
      <c r="Y1894" s="2" t="s">
        <v>41</v>
      </c>
      <c r="Z1894" s="2">
        <v>73</v>
      </c>
      <c r="AA1894" s="2">
        <v>4.8</v>
      </c>
      <c r="AB1894" s="2" t="s">
        <v>64</v>
      </c>
    </row>
    <row r="1895" spans="1:28" x14ac:dyDescent="0.25">
      <c r="A1895" s="4" t="s">
        <v>2685</v>
      </c>
      <c r="B1895" s="4" t="s">
        <v>1125</v>
      </c>
      <c r="C1895" s="4">
        <v>59</v>
      </c>
      <c r="D1895" s="4" t="s">
        <v>30</v>
      </c>
      <c r="E1895" s="4" t="s">
        <v>122</v>
      </c>
      <c r="F1895" s="4" t="s">
        <v>57</v>
      </c>
      <c r="G1895" s="5">
        <v>45336</v>
      </c>
      <c r="H1895" s="5">
        <v>45361</v>
      </c>
      <c r="I1895" s="4">
        <v>25</v>
      </c>
      <c r="J1895" s="4" t="s">
        <v>115</v>
      </c>
      <c r="K1895" s="4" t="s">
        <v>116</v>
      </c>
      <c r="L1895" s="4" t="s">
        <v>117</v>
      </c>
      <c r="M1895" s="4" t="s">
        <v>75</v>
      </c>
      <c r="N1895" s="4" t="s">
        <v>62</v>
      </c>
      <c r="O1895" s="4" t="s">
        <v>331</v>
      </c>
      <c r="P1895" s="4">
        <v>302</v>
      </c>
      <c r="Q1895" s="4" t="s">
        <v>69</v>
      </c>
      <c r="R1895" s="4" t="s">
        <v>136</v>
      </c>
      <c r="S1895" s="4">
        <v>69222</v>
      </c>
      <c r="T1895" s="4">
        <v>0</v>
      </c>
      <c r="U1895" s="4">
        <v>69222</v>
      </c>
      <c r="V1895" s="4">
        <v>47842</v>
      </c>
      <c r="W1895" s="4">
        <v>13107</v>
      </c>
      <c r="X1895" s="4">
        <v>3315</v>
      </c>
      <c r="Y1895" s="4" t="s">
        <v>41</v>
      </c>
      <c r="Z1895" s="4">
        <v>64</v>
      </c>
      <c r="AA1895" s="4">
        <v>3</v>
      </c>
      <c r="AB1895" s="4" t="s">
        <v>104</v>
      </c>
    </row>
    <row r="1896" spans="1:28" x14ac:dyDescent="0.25">
      <c r="A1896" s="2" t="s">
        <v>2686</v>
      </c>
      <c r="B1896" s="2" t="s">
        <v>191</v>
      </c>
      <c r="C1896" s="2">
        <v>14</v>
      </c>
      <c r="D1896" s="2" t="s">
        <v>30</v>
      </c>
      <c r="E1896" s="2" t="s">
        <v>154</v>
      </c>
      <c r="F1896" s="2" t="s">
        <v>129</v>
      </c>
      <c r="G1896" s="3">
        <v>45146</v>
      </c>
      <c r="H1896" s="3">
        <v>45150</v>
      </c>
      <c r="I1896" s="2">
        <v>4</v>
      </c>
      <c r="J1896" s="2" t="s">
        <v>33</v>
      </c>
      <c r="K1896" s="2" t="s">
        <v>233</v>
      </c>
      <c r="L1896" s="2" t="s">
        <v>35</v>
      </c>
      <c r="M1896" s="2" t="s">
        <v>83</v>
      </c>
      <c r="N1896" s="2" t="s">
        <v>37</v>
      </c>
      <c r="O1896" s="2" t="s">
        <v>1038</v>
      </c>
      <c r="P1896" s="2">
        <v>64</v>
      </c>
      <c r="Q1896" s="2" t="s">
        <v>69</v>
      </c>
      <c r="R1896" s="2" t="s">
        <v>51</v>
      </c>
      <c r="S1896" s="2">
        <v>46373</v>
      </c>
      <c r="T1896" s="2">
        <v>26323</v>
      </c>
      <c r="U1896" s="2">
        <v>20050</v>
      </c>
      <c r="V1896" s="2">
        <v>21328</v>
      </c>
      <c r="W1896" s="2">
        <v>18405</v>
      </c>
      <c r="X1896" s="2">
        <v>3975</v>
      </c>
      <c r="Y1896" s="2" t="s">
        <v>91</v>
      </c>
      <c r="Z1896" s="2">
        <v>74</v>
      </c>
      <c r="AA1896" s="2">
        <v>4.7</v>
      </c>
      <c r="AB1896" s="2" t="s">
        <v>52</v>
      </c>
    </row>
    <row r="1897" spans="1:28" x14ac:dyDescent="0.25">
      <c r="A1897" s="4" t="s">
        <v>2687</v>
      </c>
      <c r="B1897" s="4" t="s">
        <v>1680</v>
      </c>
      <c r="C1897" s="4">
        <v>37</v>
      </c>
      <c r="D1897" s="4" t="s">
        <v>30</v>
      </c>
      <c r="E1897" s="4" t="s">
        <v>122</v>
      </c>
      <c r="F1897" s="4" t="s">
        <v>46</v>
      </c>
      <c r="G1897" s="5">
        <v>45655</v>
      </c>
      <c r="H1897" s="5">
        <v>45657</v>
      </c>
      <c r="I1897" s="4">
        <v>2</v>
      </c>
      <c r="J1897" s="4" t="s">
        <v>115</v>
      </c>
      <c r="K1897" s="4" t="s">
        <v>160</v>
      </c>
      <c r="L1897" s="4" t="s">
        <v>117</v>
      </c>
      <c r="M1897" s="4" t="s">
        <v>108</v>
      </c>
      <c r="N1897" s="4" t="s">
        <v>118</v>
      </c>
      <c r="O1897" s="4" t="s">
        <v>144</v>
      </c>
      <c r="P1897" s="4">
        <v>470</v>
      </c>
      <c r="Q1897" s="4" t="s">
        <v>103</v>
      </c>
      <c r="R1897" s="4" t="s">
        <v>40</v>
      </c>
      <c r="S1897" s="4">
        <v>114194</v>
      </c>
      <c r="T1897" s="4">
        <v>53096</v>
      </c>
      <c r="U1897" s="4">
        <v>61098</v>
      </c>
      <c r="V1897" s="4">
        <v>106420</v>
      </c>
      <c r="W1897" s="4">
        <v>2962</v>
      </c>
      <c r="X1897" s="4">
        <v>3494</v>
      </c>
      <c r="Y1897" s="4" t="s">
        <v>41</v>
      </c>
      <c r="Z1897" s="4">
        <v>72</v>
      </c>
      <c r="AA1897" s="4">
        <v>4.0999999999999996</v>
      </c>
      <c r="AB1897" s="4" t="s">
        <v>137</v>
      </c>
    </row>
    <row r="1898" spans="1:28" x14ac:dyDescent="0.25">
      <c r="A1898" s="2" t="s">
        <v>2688</v>
      </c>
      <c r="B1898" s="2" t="s">
        <v>2234</v>
      </c>
      <c r="C1898" s="2">
        <v>58</v>
      </c>
      <c r="D1898" s="2" t="s">
        <v>30</v>
      </c>
      <c r="E1898" s="2" t="s">
        <v>122</v>
      </c>
      <c r="F1898" s="2" t="s">
        <v>80</v>
      </c>
      <c r="G1898" s="3">
        <v>45537</v>
      </c>
      <c r="H1898" s="3">
        <v>45558</v>
      </c>
      <c r="I1898" s="2">
        <v>21</v>
      </c>
      <c r="J1898" s="2" t="s">
        <v>58</v>
      </c>
      <c r="K1898" s="2" t="s">
        <v>59</v>
      </c>
      <c r="L1898" s="2" t="s">
        <v>60</v>
      </c>
      <c r="M1898" s="2" t="s">
        <v>130</v>
      </c>
      <c r="N1898" s="2" t="s">
        <v>37</v>
      </c>
      <c r="O1898" s="2" t="s">
        <v>214</v>
      </c>
      <c r="P1898" s="2">
        <v>432</v>
      </c>
      <c r="Q1898" s="2" t="s">
        <v>39</v>
      </c>
      <c r="R1898" s="2" t="s">
        <v>111</v>
      </c>
      <c r="S1898" s="2">
        <v>163305</v>
      </c>
      <c r="T1898" s="2">
        <v>132573</v>
      </c>
      <c r="U1898" s="2">
        <v>30732</v>
      </c>
      <c r="V1898" s="2">
        <v>142373</v>
      </c>
      <c r="W1898" s="2">
        <v>6668</v>
      </c>
      <c r="X1898" s="2">
        <v>11025</v>
      </c>
      <c r="Y1898" s="2" t="s">
        <v>41</v>
      </c>
      <c r="Z1898" s="2">
        <v>68</v>
      </c>
      <c r="AA1898" s="2">
        <v>2.2999999999999998</v>
      </c>
      <c r="AB1898" s="2" t="s">
        <v>137</v>
      </c>
    </row>
    <row r="1899" spans="1:28" x14ac:dyDescent="0.25">
      <c r="A1899" s="4" t="s">
        <v>2689</v>
      </c>
      <c r="B1899" s="4" t="s">
        <v>2690</v>
      </c>
      <c r="C1899" s="4">
        <v>72</v>
      </c>
      <c r="D1899" s="4" t="s">
        <v>30</v>
      </c>
      <c r="E1899" s="4" t="s">
        <v>122</v>
      </c>
      <c r="F1899" s="4" t="s">
        <v>46</v>
      </c>
      <c r="G1899" s="5">
        <v>44726</v>
      </c>
      <c r="H1899" s="5">
        <v>44737</v>
      </c>
      <c r="I1899" s="4">
        <v>11</v>
      </c>
      <c r="J1899" s="4" t="s">
        <v>33</v>
      </c>
      <c r="K1899" s="4" t="s">
        <v>47</v>
      </c>
      <c r="L1899" s="4" t="s">
        <v>48</v>
      </c>
      <c r="M1899" s="4" t="s">
        <v>75</v>
      </c>
      <c r="N1899" s="4" t="s">
        <v>62</v>
      </c>
      <c r="O1899" s="4" t="s">
        <v>102</v>
      </c>
      <c r="P1899" s="4">
        <v>103</v>
      </c>
      <c r="Q1899" s="4" t="s">
        <v>69</v>
      </c>
      <c r="R1899" s="4" t="s">
        <v>136</v>
      </c>
      <c r="S1899" s="4">
        <v>72403</v>
      </c>
      <c r="T1899" s="4">
        <v>0</v>
      </c>
      <c r="U1899" s="4">
        <v>72403</v>
      </c>
      <c r="V1899" s="4">
        <v>48801</v>
      </c>
      <c r="W1899" s="4">
        <v>4913</v>
      </c>
      <c r="X1899" s="4">
        <v>14274</v>
      </c>
      <c r="Y1899" s="4" t="s">
        <v>41</v>
      </c>
      <c r="Z1899" s="4">
        <v>64</v>
      </c>
      <c r="AA1899" s="4">
        <v>4.9000000000000004</v>
      </c>
      <c r="AB1899" s="4" t="s">
        <v>52</v>
      </c>
    </row>
    <row r="1900" spans="1:28" x14ac:dyDescent="0.25">
      <c r="A1900" s="2" t="s">
        <v>2691</v>
      </c>
      <c r="B1900" s="2" t="s">
        <v>1471</v>
      </c>
      <c r="C1900" s="2">
        <v>82</v>
      </c>
      <c r="D1900" s="2" t="s">
        <v>30</v>
      </c>
      <c r="E1900" s="2" t="s">
        <v>79</v>
      </c>
      <c r="F1900" s="2" t="s">
        <v>32</v>
      </c>
      <c r="G1900" s="3">
        <v>44964</v>
      </c>
      <c r="H1900" s="3">
        <v>44991</v>
      </c>
      <c r="I1900" s="2">
        <v>27</v>
      </c>
      <c r="J1900" s="2" t="s">
        <v>33</v>
      </c>
      <c r="K1900" s="2" t="s">
        <v>34</v>
      </c>
      <c r="L1900" s="2" t="s">
        <v>35</v>
      </c>
      <c r="M1900" s="2" t="s">
        <v>75</v>
      </c>
      <c r="N1900" s="2" t="s">
        <v>109</v>
      </c>
      <c r="O1900" s="2" t="s">
        <v>256</v>
      </c>
      <c r="P1900" s="2">
        <v>370</v>
      </c>
      <c r="Q1900" s="2" t="s">
        <v>69</v>
      </c>
      <c r="R1900" s="2" t="s">
        <v>136</v>
      </c>
      <c r="S1900" s="2">
        <v>153809</v>
      </c>
      <c r="T1900" s="2">
        <v>0</v>
      </c>
      <c r="U1900" s="2">
        <v>153809</v>
      </c>
      <c r="V1900" s="2">
        <v>130198</v>
      </c>
      <c r="W1900" s="2">
        <v>14385</v>
      </c>
      <c r="X1900" s="2">
        <v>7622</v>
      </c>
      <c r="Y1900" s="2" t="s">
        <v>91</v>
      </c>
      <c r="Z1900" s="2">
        <v>59</v>
      </c>
      <c r="AA1900" s="2">
        <v>4.5</v>
      </c>
      <c r="AB1900" s="2" t="s">
        <v>137</v>
      </c>
    </row>
    <row r="1901" spans="1:28" x14ac:dyDescent="0.25">
      <c r="A1901" s="4" t="s">
        <v>2692</v>
      </c>
      <c r="B1901" s="4" t="s">
        <v>1216</v>
      </c>
      <c r="C1901" s="4">
        <v>56</v>
      </c>
      <c r="D1901" s="4" t="s">
        <v>30</v>
      </c>
      <c r="E1901" s="4" t="s">
        <v>122</v>
      </c>
      <c r="F1901" s="4" t="s">
        <v>157</v>
      </c>
      <c r="G1901" s="5">
        <v>45242</v>
      </c>
      <c r="H1901" s="5">
        <v>45257</v>
      </c>
      <c r="I1901" s="4">
        <v>15</v>
      </c>
      <c r="J1901" s="4" t="s">
        <v>33</v>
      </c>
      <c r="K1901" s="4" t="s">
        <v>107</v>
      </c>
      <c r="L1901" s="4" t="s">
        <v>48</v>
      </c>
      <c r="M1901" s="4" t="s">
        <v>108</v>
      </c>
      <c r="N1901" s="4" t="s">
        <v>37</v>
      </c>
      <c r="O1901" s="4" t="s">
        <v>509</v>
      </c>
      <c r="P1901" s="4">
        <v>308</v>
      </c>
      <c r="Q1901" s="4" t="s">
        <v>103</v>
      </c>
      <c r="R1901" s="4" t="s">
        <v>51</v>
      </c>
      <c r="S1901" s="4">
        <v>127416</v>
      </c>
      <c r="T1901" s="4">
        <v>75091</v>
      </c>
      <c r="U1901" s="4">
        <v>52325</v>
      </c>
      <c r="V1901" s="4">
        <v>87997</v>
      </c>
      <c r="W1901" s="4">
        <v>28607</v>
      </c>
      <c r="X1901" s="4">
        <v>7503</v>
      </c>
      <c r="Y1901" s="4" t="s">
        <v>41</v>
      </c>
      <c r="Z1901" s="4">
        <v>61</v>
      </c>
      <c r="AA1901" s="4">
        <v>4</v>
      </c>
      <c r="AB1901" s="4" t="s">
        <v>52</v>
      </c>
    </row>
    <row r="1902" spans="1:28" x14ac:dyDescent="0.25">
      <c r="A1902" s="2" t="s">
        <v>2693</v>
      </c>
      <c r="B1902" s="2" t="s">
        <v>876</v>
      </c>
      <c r="C1902" s="2">
        <v>47</v>
      </c>
      <c r="D1902" s="2" t="s">
        <v>30</v>
      </c>
      <c r="E1902" s="2" t="s">
        <v>67</v>
      </c>
      <c r="F1902" s="2" t="s">
        <v>150</v>
      </c>
      <c r="G1902" s="3">
        <v>44919</v>
      </c>
      <c r="H1902" s="3">
        <v>44939</v>
      </c>
      <c r="I1902" s="2">
        <v>20</v>
      </c>
      <c r="J1902" s="2" t="s">
        <v>123</v>
      </c>
      <c r="K1902" s="2" t="s">
        <v>124</v>
      </c>
      <c r="L1902" s="2" t="s">
        <v>125</v>
      </c>
      <c r="M1902" s="2" t="s">
        <v>101</v>
      </c>
      <c r="N1902" s="2" t="s">
        <v>62</v>
      </c>
      <c r="O1902" s="2" t="s">
        <v>591</v>
      </c>
      <c r="P1902" s="2">
        <v>70</v>
      </c>
      <c r="Q1902" s="2" t="s">
        <v>103</v>
      </c>
      <c r="R1902" s="2" t="s">
        <v>111</v>
      </c>
      <c r="S1902" s="2">
        <v>86845</v>
      </c>
      <c r="T1902" s="2">
        <v>54684</v>
      </c>
      <c r="U1902" s="2">
        <v>32161</v>
      </c>
      <c r="V1902" s="2">
        <v>76121</v>
      </c>
      <c r="W1902" s="2">
        <v>2431</v>
      </c>
      <c r="X1902" s="2">
        <v>7601</v>
      </c>
      <c r="Y1902" s="2" t="s">
        <v>41</v>
      </c>
      <c r="Z1902" s="2">
        <v>56</v>
      </c>
      <c r="AA1902" s="2">
        <v>2.2999999999999998</v>
      </c>
      <c r="AB1902" s="2" t="s">
        <v>42</v>
      </c>
    </row>
    <row r="1903" spans="1:28" x14ac:dyDescent="0.25">
      <c r="A1903" s="4" t="s">
        <v>2694</v>
      </c>
      <c r="B1903" s="4" t="s">
        <v>133</v>
      </c>
      <c r="C1903" s="4">
        <v>34</v>
      </c>
      <c r="D1903" s="4" t="s">
        <v>30</v>
      </c>
      <c r="E1903" s="4" t="s">
        <v>31</v>
      </c>
      <c r="F1903" s="4" t="s">
        <v>32</v>
      </c>
      <c r="G1903" s="5">
        <v>44838</v>
      </c>
      <c r="H1903" s="5">
        <v>44864</v>
      </c>
      <c r="I1903" s="4">
        <v>26</v>
      </c>
      <c r="J1903" s="4" t="s">
        <v>115</v>
      </c>
      <c r="K1903" s="4" t="s">
        <v>160</v>
      </c>
      <c r="L1903" s="4" t="s">
        <v>117</v>
      </c>
      <c r="M1903" s="4" t="s">
        <v>101</v>
      </c>
      <c r="N1903" s="4" t="s">
        <v>37</v>
      </c>
      <c r="O1903" s="4" t="s">
        <v>560</v>
      </c>
      <c r="P1903" s="4">
        <v>184</v>
      </c>
      <c r="Q1903" s="4" t="s">
        <v>50</v>
      </c>
      <c r="R1903" s="4" t="s">
        <v>111</v>
      </c>
      <c r="S1903" s="4">
        <v>170999</v>
      </c>
      <c r="T1903" s="4">
        <v>131481</v>
      </c>
      <c r="U1903" s="4">
        <v>39518</v>
      </c>
      <c r="V1903" s="4">
        <v>136332</v>
      </c>
      <c r="W1903" s="4">
        <v>25236</v>
      </c>
      <c r="X1903" s="4">
        <v>7402</v>
      </c>
      <c r="Y1903" s="4" t="s">
        <v>41</v>
      </c>
      <c r="Z1903" s="4">
        <v>45</v>
      </c>
      <c r="AA1903" s="4">
        <v>2.2000000000000002</v>
      </c>
      <c r="AB1903" s="4" t="s">
        <v>52</v>
      </c>
    </row>
    <row r="1904" spans="1:28" x14ac:dyDescent="0.25">
      <c r="A1904" s="2" t="s">
        <v>2695</v>
      </c>
      <c r="B1904" s="2" t="s">
        <v>1825</v>
      </c>
      <c r="C1904" s="2">
        <v>68</v>
      </c>
      <c r="D1904" s="2" t="s">
        <v>30</v>
      </c>
      <c r="E1904" s="2" t="s">
        <v>122</v>
      </c>
      <c r="F1904" s="2" t="s">
        <v>94</v>
      </c>
      <c r="G1904" s="3">
        <v>45201</v>
      </c>
      <c r="H1904" s="3">
        <v>45208</v>
      </c>
      <c r="I1904" s="2">
        <v>7</v>
      </c>
      <c r="J1904" s="2" t="s">
        <v>33</v>
      </c>
      <c r="K1904" s="2" t="s">
        <v>174</v>
      </c>
      <c r="L1904" s="2" t="s">
        <v>48</v>
      </c>
      <c r="M1904" s="2" t="s">
        <v>134</v>
      </c>
      <c r="N1904" s="2" t="s">
        <v>109</v>
      </c>
      <c r="O1904" s="2" t="s">
        <v>175</v>
      </c>
      <c r="P1904" s="2">
        <v>247</v>
      </c>
      <c r="Q1904" s="2" t="s">
        <v>39</v>
      </c>
      <c r="R1904" s="2" t="s">
        <v>136</v>
      </c>
      <c r="S1904" s="2">
        <v>36074</v>
      </c>
      <c r="T1904" s="2">
        <v>0</v>
      </c>
      <c r="U1904" s="2">
        <v>36074</v>
      </c>
      <c r="V1904" s="2">
        <v>6066</v>
      </c>
      <c r="W1904" s="2">
        <v>22218</v>
      </c>
      <c r="X1904" s="2">
        <v>7033</v>
      </c>
      <c r="Y1904" s="2" t="s">
        <v>91</v>
      </c>
      <c r="Z1904" s="2">
        <v>44</v>
      </c>
      <c r="AA1904" s="2">
        <v>2.4</v>
      </c>
      <c r="AB1904" s="2" t="s">
        <v>137</v>
      </c>
    </row>
    <row r="1905" spans="1:28" x14ac:dyDescent="0.25">
      <c r="A1905" s="4" t="s">
        <v>2696</v>
      </c>
      <c r="B1905" s="4" t="s">
        <v>625</v>
      </c>
      <c r="C1905" s="4">
        <v>54</v>
      </c>
      <c r="D1905" s="4" t="s">
        <v>55</v>
      </c>
      <c r="E1905" s="4" t="s">
        <v>67</v>
      </c>
      <c r="F1905" s="4" t="s">
        <v>157</v>
      </c>
      <c r="G1905" s="5">
        <v>45145</v>
      </c>
      <c r="H1905" s="5">
        <v>45165</v>
      </c>
      <c r="I1905" s="4">
        <v>20</v>
      </c>
      <c r="J1905" s="4" t="s">
        <v>33</v>
      </c>
      <c r="K1905" s="4" t="s">
        <v>197</v>
      </c>
      <c r="L1905" s="4" t="s">
        <v>198</v>
      </c>
      <c r="M1905" s="4" t="s">
        <v>36</v>
      </c>
      <c r="N1905" s="4" t="s">
        <v>62</v>
      </c>
      <c r="O1905" s="4" t="s">
        <v>321</v>
      </c>
      <c r="P1905" s="4">
        <v>55</v>
      </c>
      <c r="Q1905" s="4" t="s">
        <v>103</v>
      </c>
      <c r="R1905" s="4" t="s">
        <v>111</v>
      </c>
      <c r="S1905" s="4">
        <v>141125</v>
      </c>
      <c r="T1905" s="4">
        <v>97753</v>
      </c>
      <c r="U1905" s="4">
        <v>43372</v>
      </c>
      <c r="V1905" s="4">
        <v>98223</v>
      </c>
      <c r="W1905" s="4">
        <v>28345</v>
      </c>
      <c r="X1905" s="4">
        <v>11411</v>
      </c>
      <c r="Y1905" s="4" t="s">
        <v>41</v>
      </c>
      <c r="Z1905" s="4">
        <v>99</v>
      </c>
      <c r="AA1905" s="4">
        <v>4.2</v>
      </c>
      <c r="AB1905" s="4" t="s">
        <v>104</v>
      </c>
    </row>
    <row r="1906" spans="1:28" x14ac:dyDescent="0.25">
      <c r="A1906" s="2" t="s">
        <v>2697</v>
      </c>
      <c r="B1906" s="2" t="s">
        <v>384</v>
      </c>
      <c r="C1906" s="2">
        <v>65</v>
      </c>
      <c r="D1906" s="2" t="s">
        <v>30</v>
      </c>
      <c r="E1906" s="2" t="s">
        <v>67</v>
      </c>
      <c r="F1906" s="2" t="s">
        <v>129</v>
      </c>
      <c r="G1906" s="3">
        <v>45567</v>
      </c>
      <c r="H1906" s="3">
        <v>45591</v>
      </c>
      <c r="I1906" s="2">
        <v>24</v>
      </c>
      <c r="J1906" s="2" t="s">
        <v>58</v>
      </c>
      <c r="K1906" s="2" t="s">
        <v>59</v>
      </c>
      <c r="L1906" s="2" t="s">
        <v>60</v>
      </c>
      <c r="M1906" s="2" t="s">
        <v>130</v>
      </c>
      <c r="N1906" s="2" t="s">
        <v>118</v>
      </c>
      <c r="O1906" s="2" t="s">
        <v>560</v>
      </c>
      <c r="P1906" s="2">
        <v>175</v>
      </c>
      <c r="Q1906" s="2" t="s">
        <v>103</v>
      </c>
      <c r="R1906" s="2" t="s">
        <v>40</v>
      </c>
      <c r="S1906" s="2">
        <v>52463</v>
      </c>
      <c r="T1906" s="2">
        <v>23470</v>
      </c>
      <c r="U1906" s="2">
        <v>28993</v>
      </c>
      <c r="V1906" s="2">
        <v>19810</v>
      </c>
      <c r="W1906" s="2">
        <v>17353</v>
      </c>
      <c r="X1906" s="2">
        <v>13176</v>
      </c>
      <c r="Y1906" s="2" t="s">
        <v>41</v>
      </c>
      <c r="Z1906" s="2">
        <v>65</v>
      </c>
      <c r="AA1906" s="2">
        <v>3.1</v>
      </c>
      <c r="AB1906" s="2" t="s">
        <v>137</v>
      </c>
    </row>
    <row r="1907" spans="1:28" x14ac:dyDescent="0.25">
      <c r="A1907" s="4" t="s">
        <v>2698</v>
      </c>
      <c r="B1907" s="4" t="s">
        <v>405</v>
      </c>
      <c r="C1907" s="4">
        <v>10</v>
      </c>
      <c r="D1907" s="4" t="s">
        <v>30</v>
      </c>
      <c r="E1907" s="4" t="s">
        <v>122</v>
      </c>
      <c r="F1907" s="4" t="s">
        <v>94</v>
      </c>
      <c r="G1907" s="5">
        <v>45389</v>
      </c>
      <c r="H1907" s="5">
        <v>45414</v>
      </c>
      <c r="I1907" s="4">
        <v>25</v>
      </c>
      <c r="J1907" s="4" t="s">
        <v>202</v>
      </c>
      <c r="K1907" s="4" t="s">
        <v>203</v>
      </c>
      <c r="L1907" s="4" t="s">
        <v>204</v>
      </c>
      <c r="M1907" s="4" t="s">
        <v>83</v>
      </c>
      <c r="N1907" s="4" t="s">
        <v>62</v>
      </c>
      <c r="O1907" s="4" t="s">
        <v>168</v>
      </c>
      <c r="P1907" s="4">
        <v>1</v>
      </c>
      <c r="Q1907" s="4" t="s">
        <v>39</v>
      </c>
      <c r="R1907" s="4" t="s">
        <v>136</v>
      </c>
      <c r="S1907" s="4">
        <v>25402</v>
      </c>
      <c r="T1907" s="4">
        <v>0</v>
      </c>
      <c r="U1907" s="4">
        <v>25402</v>
      </c>
      <c r="V1907" s="4">
        <v>13788</v>
      </c>
      <c r="W1907" s="4">
        <v>1735</v>
      </c>
      <c r="X1907" s="4">
        <v>7170</v>
      </c>
      <c r="Y1907" s="4" t="s">
        <v>41</v>
      </c>
      <c r="Z1907" s="4">
        <v>69</v>
      </c>
      <c r="AA1907" s="4">
        <v>5</v>
      </c>
      <c r="AB1907" s="4" t="s">
        <v>52</v>
      </c>
    </row>
    <row r="1908" spans="1:28" x14ac:dyDescent="0.25">
      <c r="A1908" s="2" t="s">
        <v>2699</v>
      </c>
      <c r="B1908" s="2" t="s">
        <v>294</v>
      </c>
      <c r="C1908" s="2">
        <v>78</v>
      </c>
      <c r="D1908" s="2" t="s">
        <v>30</v>
      </c>
      <c r="E1908" s="2" t="s">
        <v>67</v>
      </c>
      <c r="F1908" s="2" t="s">
        <v>80</v>
      </c>
      <c r="G1908" s="3">
        <v>44849</v>
      </c>
      <c r="H1908" s="3">
        <v>44879</v>
      </c>
      <c r="I1908" s="2">
        <v>30</v>
      </c>
      <c r="J1908" s="2" t="s">
        <v>33</v>
      </c>
      <c r="K1908" s="2" t="s">
        <v>81</v>
      </c>
      <c r="L1908" s="2" t="s">
        <v>82</v>
      </c>
      <c r="M1908" s="2" t="s">
        <v>130</v>
      </c>
      <c r="N1908" s="2" t="s">
        <v>118</v>
      </c>
      <c r="O1908" s="2" t="s">
        <v>168</v>
      </c>
      <c r="P1908" s="2">
        <v>256</v>
      </c>
      <c r="Q1908" s="2" t="s">
        <v>103</v>
      </c>
      <c r="R1908" s="2" t="s">
        <v>136</v>
      </c>
      <c r="S1908" s="2">
        <v>37382</v>
      </c>
      <c r="T1908" s="2">
        <v>0</v>
      </c>
      <c r="U1908" s="2">
        <v>37382</v>
      </c>
      <c r="V1908" s="2">
        <v>25848</v>
      </c>
      <c r="W1908" s="2">
        <v>3676</v>
      </c>
      <c r="X1908" s="2">
        <v>7237</v>
      </c>
      <c r="Y1908" s="2" t="s">
        <v>41</v>
      </c>
      <c r="Z1908" s="2">
        <v>63</v>
      </c>
      <c r="AA1908" s="2">
        <v>4.0999999999999996</v>
      </c>
      <c r="AB1908" s="2" t="s">
        <v>52</v>
      </c>
    </row>
    <row r="1909" spans="1:28" x14ac:dyDescent="0.25">
      <c r="A1909" s="4" t="s">
        <v>2700</v>
      </c>
      <c r="B1909" s="4" t="s">
        <v>960</v>
      </c>
      <c r="C1909" s="4">
        <v>73</v>
      </c>
      <c r="D1909" s="4" t="s">
        <v>30</v>
      </c>
      <c r="E1909" s="4" t="s">
        <v>45</v>
      </c>
      <c r="F1909" s="4" t="s">
        <v>80</v>
      </c>
      <c r="G1909" s="5">
        <v>45572</v>
      </c>
      <c r="H1909" s="5">
        <v>45602</v>
      </c>
      <c r="I1909" s="4">
        <v>30</v>
      </c>
      <c r="J1909" s="4" t="s">
        <v>33</v>
      </c>
      <c r="K1909" s="4" t="s">
        <v>47</v>
      </c>
      <c r="L1909" s="4" t="s">
        <v>48</v>
      </c>
      <c r="M1909" s="4" t="s">
        <v>143</v>
      </c>
      <c r="N1909" s="4" t="s">
        <v>62</v>
      </c>
      <c r="O1909" s="4" t="s">
        <v>438</v>
      </c>
      <c r="P1909" s="4">
        <v>345</v>
      </c>
      <c r="Q1909" s="4" t="s">
        <v>50</v>
      </c>
      <c r="R1909" s="4" t="s">
        <v>136</v>
      </c>
      <c r="S1909" s="4">
        <v>85787</v>
      </c>
      <c r="T1909" s="4">
        <v>0</v>
      </c>
      <c r="U1909" s="4">
        <v>85787</v>
      </c>
      <c r="V1909" s="4">
        <v>47900</v>
      </c>
      <c r="W1909" s="4">
        <v>26865</v>
      </c>
      <c r="X1909" s="4">
        <v>9173</v>
      </c>
      <c r="Y1909" s="4" t="s">
        <v>41</v>
      </c>
      <c r="Z1909" s="4">
        <v>43</v>
      </c>
      <c r="AA1909" s="4">
        <v>4.4000000000000004</v>
      </c>
      <c r="AB1909" s="4" t="s">
        <v>104</v>
      </c>
    </row>
    <row r="1910" spans="1:28" x14ac:dyDescent="0.25">
      <c r="A1910" s="2" t="s">
        <v>2701</v>
      </c>
      <c r="B1910" s="2" t="s">
        <v>1316</v>
      </c>
      <c r="C1910" s="2">
        <v>34</v>
      </c>
      <c r="D1910" s="2" t="s">
        <v>55</v>
      </c>
      <c r="E1910" s="2" t="s">
        <v>31</v>
      </c>
      <c r="F1910" s="2" t="s">
        <v>129</v>
      </c>
      <c r="G1910" s="3">
        <v>45575</v>
      </c>
      <c r="H1910" s="3">
        <v>45590</v>
      </c>
      <c r="I1910" s="2">
        <v>15</v>
      </c>
      <c r="J1910" s="2" t="s">
        <v>140</v>
      </c>
      <c r="K1910" s="2" t="s">
        <v>167</v>
      </c>
      <c r="L1910" s="2" t="s">
        <v>142</v>
      </c>
      <c r="M1910" s="2" t="s">
        <v>134</v>
      </c>
      <c r="N1910" s="2" t="s">
        <v>109</v>
      </c>
      <c r="O1910" s="2" t="s">
        <v>678</v>
      </c>
      <c r="P1910" s="2">
        <v>304</v>
      </c>
      <c r="Q1910" s="2" t="s">
        <v>50</v>
      </c>
      <c r="R1910" s="2" t="s">
        <v>136</v>
      </c>
      <c r="S1910" s="2">
        <v>155001</v>
      </c>
      <c r="T1910" s="2">
        <v>0</v>
      </c>
      <c r="U1910" s="2">
        <v>155001</v>
      </c>
      <c r="V1910" s="2">
        <v>124681</v>
      </c>
      <c r="W1910" s="2">
        <v>18213</v>
      </c>
      <c r="X1910" s="2">
        <v>7521</v>
      </c>
      <c r="Y1910" s="2" t="s">
        <v>41</v>
      </c>
      <c r="Z1910" s="2">
        <v>86</v>
      </c>
      <c r="AA1910" s="2">
        <v>2.8</v>
      </c>
      <c r="AB1910" s="2" t="s">
        <v>104</v>
      </c>
    </row>
    <row r="1911" spans="1:28" x14ac:dyDescent="0.25">
      <c r="A1911" s="4" t="s">
        <v>2702</v>
      </c>
      <c r="B1911" s="4" t="s">
        <v>689</v>
      </c>
      <c r="C1911" s="4">
        <v>63</v>
      </c>
      <c r="D1911" s="4" t="s">
        <v>55</v>
      </c>
      <c r="E1911" s="4" t="s">
        <v>79</v>
      </c>
      <c r="F1911" s="4" t="s">
        <v>114</v>
      </c>
      <c r="G1911" s="5">
        <v>45123</v>
      </c>
      <c r="H1911" s="5">
        <v>45153</v>
      </c>
      <c r="I1911" s="4">
        <v>30</v>
      </c>
      <c r="J1911" s="4" t="s">
        <v>33</v>
      </c>
      <c r="K1911" s="4" t="s">
        <v>233</v>
      </c>
      <c r="L1911" s="4" t="s">
        <v>35</v>
      </c>
      <c r="M1911" s="4" t="s">
        <v>143</v>
      </c>
      <c r="N1911" s="4" t="s">
        <v>109</v>
      </c>
      <c r="O1911" s="4" t="s">
        <v>438</v>
      </c>
      <c r="P1911" s="4">
        <v>289</v>
      </c>
      <c r="Q1911" s="4" t="s">
        <v>69</v>
      </c>
      <c r="R1911" s="4" t="s">
        <v>111</v>
      </c>
      <c r="S1911" s="4">
        <v>159305</v>
      </c>
      <c r="T1911" s="4">
        <v>96624</v>
      </c>
      <c r="U1911" s="4">
        <v>62681</v>
      </c>
      <c r="V1911" s="4">
        <v>123143</v>
      </c>
      <c r="W1911" s="4">
        <v>21572</v>
      </c>
      <c r="X1911" s="4">
        <v>13480</v>
      </c>
      <c r="Y1911" s="4" t="s">
        <v>41</v>
      </c>
      <c r="Z1911" s="4">
        <v>68</v>
      </c>
      <c r="AA1911" s="4">
        <v>3.7</v>
      </c>
      <c r="AB1911" s="4" t="s">
        <v>52</v>
      </c>
    </row>
    <row r="1912" spans="1:28" x14ac:dyDescent="0.25">
      <c r="A1912" s="2" t="s">
        <v>2703</v>
      </c>
      <c r="B1912" s="2" t="s">
        <v>265</v>
      </c>
      <c r="C1912" s="2">
        <v>70</v>
      </c>
      <c r="D1912" s="2" t="s">
        <v>55</v>
      </c>
      <c r="E1912" s="2" t="s">
        <v>31</v>
      </c>
      <c r="F1912" s="2" t="s">
        <v>157</v>
      </c>
      <c r="G1912" s="3">
        <v>45338</v>
      </c>
      <c r="H1912" s="3">
        <v>45359</v>
      </c>
      <c r="I1912" s="2">
        <v>21</v>
      </c>
      <c r="J1912" s="2" t="s">
        <v>140</v>
      </c>
      <c r="K1912" s="2" t="s">
        <v>167</v>
      </c>
      <c r="L1912" s="2" t="s">
        <v>142</v>
      </c>
      <c r="M1912" s="2" t="s">
        <v>36</v>
      </c>
      <c r="N1912" s="2" t="s">
        <v>109</v>
      </c>
      <c r="O1912" s="2" t="s">
        <v>217</v>
      </c>
      <c r="P1912" s="2">
        <v>217</v>
      </c>
      <c r="Q1912" s="2" t="s">
        <v>50</v>
      </c>
      <c r="R1912" s="2" t="s">
        <v>51</v>
      </c>
      <c r="S1912" s="2">
        <v>126312</v>
      </c>
      <c r="T1912" s="2">
        <v>87187</v>
      </c>
      <c r="U1912" s="2">
        <v>39125</v>
      </c>
      <c r="V1912" s="2">
        <v>96397</v>
      </c>
      <c r="W1912" s="2">
        <v>20806</v>
      </c>
      <c r="X1912" s="2">
        <v>8197</v>
      </c>
      <c r="Y1912" s="2" t="s">
        <v>41</v>
      </c>
      <c r="Z1912" s="2">
        <v>51</v>
      </c>
      <c r="AA1912" s="2">
        <v>2.9</v>
      </c>
      <c r="AB1912" s="2" t="s">
        <v>42</v>
      </c>
    </row>
    <row r="1913" spans="1:28" x14ac:dyDescent="0.25">
      <c r="A1913" s="4" t="s">
        <v>2704</v>
      </c>
      <c r="B1913" s="4" t="s">
        <v>776</v>
      </c>
      <c r="C1913" s="4">
        <v>48</v>
      </c>
      <c r="D1913" s="4" t="s">
        <v>30</v>
      </c>
      <c r="E1913" s="4" t="s">
        <v>87</v>
      </c>
      <c r="F1913" s="4" t="s">
        <v>72</v>
      </c>
      <c r="G1913" s="5">
        <v>44743</v>
      </c>
      <c r="H1913" s="5">
        <v>44755</v>
      </c>
      <c r="I1913" s="4">
        <v>12</v>
      </c>
      <c r="J1913" s="4" t="s">
        <v>202</v>
      </c>
      <c r="K1913" s="4" t="s">
        <v>225</v>
      </c>
      <c r="L1913" s="4" t="s">
        <v>226</v>
      </c>
      <c r="M1913" s="4" t="s">
        <v>61</v>
      </c>
      <c r="N1913" s="4" t="s">
        <v>118</v>
      </c>
      <c r="O1913" s="4" t="s">
        <v>68</v>
      </c>
      <c r="P1913" s="4">
        <v>180</v>
      </c>
      <c r="Q1913" s="4" t="s">
        <v>69</v>
      </c>
      <c r="R1913" s="4" t="s">
        <v>40</v>
      </c>
      <c r="S1913" s="4">
        <v>80367</v>
      </c>
      <c r="T1913" s="4">
        <v>38783</v>
      </c>
      <c r="U1913" s="4">
        <v>41584</v>
      </c>
      <c r="V1913" s="4">
        <v>63446</v>
      </c>
      <c r="W1913" s="4">
        <v>10398</v>
      </c>
      <c r="X1913" s="4">
        <v>3851</v>
      </c>
      <c r="Y1913" s="4" t="s">
        <v>41</v>
      </c>
      <c r="Z1913" s="4">
        <v>69</v>
      </c>
      <c r="AA1913" s="4">
        <v>4.0999999999999996</v>
      </c>
      <c r="AB1913" s="4" t="s">
        <v>42</v>
      </c>
    </row>
    <row r="1914" spans="1:28" x14ac:dyDescent="0.25">
      <c r="A1914" s="2" t="s">
        <v>2705</v>
      </c>
      <c r="B1914" s="2" t="s">
        <v>2178</v>
      </c>
      <c r="C1914" s="2">
        <v>58</v>
      </c>
      <c r="D1914" s="2" t="s">
        <v>55</v>
      </c>
      <c r="E1914" s="2" t="s">
        <v>56</v>
      </c>
      <c r="F1914" s="2" t="s">
        <v>32</v>
      </c>
      <c r="G1914" s="3">
        <v>45235</v>
      </c>
      <c r="H1914" s="3">
        <v>45255</v>
      </c>
      <c r="I1914" s="2">
        <v>20</v>
      </c>
      <c r="J1914" s="2" t="s">
        <v>58</v>
      </c>
      <c r="K1914" s="2" t="s">
        <v>59</v>
      </c>
      <c r="L1914" s="2" t="s">
        <v>60</v>
      </c>
      <c r="M1914" s="2" t="s">
        <v>95</v>
      </c>
      <c r="N1914" s="2" t="s">
        <v>37</v>
      </c>
      <c r="O1914" s="2" t="s">
        <v>492</v>
      </c>
      <c r="P1914" s="2">
        <v>439</v>
      </c>
      <c r="Q1914" s="2" t="s">
        <v>50</v>
      </c>
      <c r="R1914" s="2" t="s">
        <v>51</v>
      </c>
      <c r="S1914" s="2">
        <v>46170</v>
      </c>
      <c r="T1914" s="2">
        <v>32275</v>
      </c>
      <c r="U1914" s="2">
        <v>13895</v>
      </c>
      <c r="V1914" s="2">
        <v>10387</v>
      </c>
      <c r="W1914" s="2">
        <v>25327</v>
      </c>
      <c r="X1914" s="2">
        <v>8242</v>
      </c>
      <c r="Y1914" s="2" t="s">
        <v>41</v>
      </c>
      <c r="Z1914" s="2">
        <v>47</v>
      </c>
      <c r="AA1914" s="2">
        <v>2.5</v>
      </c>
      <c r="AB1914" s="2" t="s">
        <v>64</v>
      </c>
    </row>
    <row r="1915" spans="1:28" x14ac:dyDescent="0.25">
      <c r="A1915" s="4" t="s">
        <v>2706</v>
      </c>
      <c r="B1915" s="4" t="s">
        <v>357</v>
      </c>
      <c r="C1915" s="4">
        <v>14</v>
      </c>
      <c r="D1915" s="4" t="s">
        <v>55</v>
      </c>
      <c r="E1915" s="4" t="s">
        <v>67</v>
      </c>
      <c r="F1915" s="4" t="s">
        <v>46</v>
      </c>
      <c r="G1915" s="5">
        <v>44873</v>
      </c>
      <c r="H1915" s="5">
        <v>44877</v>
      </c>
      <c r="I1915" s="4">
        <v>4</v>
      </c>
      <c r="J1915" s="4" t="s">
        <v>202</v>
      </c>
      <c r="K1915" s="4" t="s">
        <v>225</v>
      </c>
      <c r="L1915" s="4" t="s">
        <v>226</v>
      </c>
      <c r="M1915" s="4" t="s">
        <v>95</v>
      </c>
      <c r="N1915" s="4" t="s">
        <v>118</v>
      </c>
      <c r="O1915" s="4" t="s">
        <v>110</v>
      </c>
      <c r="P1915" s="4">
        <v>500</v>
      </c>
      <c r="Q1915" s="4" t="s">
        <v>39</v>
      </c>
      <c r="R1915" s="4" t="s">
        <v>111</v>
      </c>
      <c r="S1915" s="4">
        <v>136629</v>
      </c>
      <c r="T1915" s="4">
        <v>97140</v>
      </c>
      <c r="U1915" s="4">
        <v>39489</v>
      </c>
      <c r="V1915" s="4">
        <v>124466</v>
      </c>
      <c r="W1915" s="4">
        <v>2698</v>
      </c>
      <c r="X1915" s="4">
        <v>8488</v>
      </c>
      <c r="Y1915" s="4" t="s">
        <v>91</v>
      </c>
      <c r="Z1915" s="4">
        <v>41</v>
      </c>
      <c r="AA1915" s="4">
        <v>3.9</v>
      </c>
      <c r="AB1915" s="4" t="s">
        <v>104</v>
      </c>
    </row>
    <row r="1916" spans="1:28" x14ac:dyDescent="0.25">
      <c r="A1916" s="2" t="s">
        <v>2707</v>
      </c>
      <c r="B1916" s="2" t="s">
        <v>284</v>
      </c>
      <c r="C1916" s="2">
        <v>21</v>
      </c>
      <c r="D1916" s="2" t="s">
        <v>30</v>
      </c>
      <c r="E1916" s="2" t="s">
        <v>31</v>
      </c>
      <c r="F1916" s="2" t="s">
        <v>129</v>
      </c>
      <c r="G1916" s="3">
        <v>45470</v>
      </c>
      <c r="H1916" s="3">
        <v>45483</v>
      </c>
      <c r="I1916" s="2">
        <v>13</v>
      </c>
      <c r="J1916" s="2" t="s">
        <v>123</v>
      </c>
      <c r="K1916" s="2" t="s">
        <v>124</v>
      </c>
      <c r="L1916" s="2" t="s">
        <v>125</v>
      </c>
      <c r="M1916" s="2" t="s">
        <v>61</v>
      </c>
      <c r="N1916" s="2" t="s">
        <v>109</v>
      </c>
      <c r="O1916" s="2" t="s">
        <v>390</v>
      </c>
      <c r="P1916" s="2">
        <v>232</v>
      </c>
      <c r="Q1916" s="2" t="s">
        <v>39</v>
      </c>
      <c r="R1916" s="2" t="s">
        <v>90</v>
      </c>
      <c r="S1916" s="2">
        <v>165936</v>
      </c>
      <c r="T1916" s="2">
        <v>112272</v>
      </c>
      <c r="U1916" s="2">
        <v>53664</v>
      </c>
      <c r="V1916" s="2">
        <v>135031</v>
      </c>
      <c r="W1916" s="2">
        <v>20869</v>
      </c>
      <c r="X1916" s="2">
        <v>9106</v>
      </c>
      <c r="Y1916" s="2" t="s">
        <v>41</v>
      </c>
      <c r="Z1916" s="2">
        <v>70</v>
      </c>
      <c r="AA1916" s="2">
        <v>3.5</v>
      </c>
      <c r="AB1916" s="2" t="s">
        <v>64</v>
      </c>
    </row>
    <row r="1917" spans="1:28" x14ac:dyDescent="0.25">
      <c r="A1917" s="4" t="s">
        <v>2708</v>
      </c>
      <c r="B1917" s="4" t="s">
        <v>433</v>
      </c>
      <c r="C1917" s="4">
        <v>71</v>
      </c>
      <c r="D1917" s="4" t="s">
        <v>30</v>
      </c>
      <c r="E1917" s="4" t="s">
        <v>87</v>
      </c>
      <c r="F1917" s="4" t="s">
        <v>80</v>
      </c>
      <c r="G1917" s="5">
        <v>44895</v>
      </c>
      <c r="H1917" s="5">
        <v>44918</v>
      </c>
      <c r="I1917" s="4">
        <v>23</v>
      </c>
      <c r="J1917" s="4" t="s">
        <v>115</v>
      </c>
      <c r="K1917" s="4" t="s">
        <v>160</v>
      </c>
      <c r="L1917" s="4" t="s">
        <v>117</v>
      </c>
      <c r="M1917" s="4" t="s">
        <v>101</v>
      </c>
      <c r="N1917" s="4" t="s">
        <v>37</v>
      </c>
      <c r="O1917" s="4" t="s">
        <v>126</v>
      </c>
      <c r="P1917" s="4">
        <v>290</v>
      </c>
      <c r="Q1917" s="4" t="s">
        <v>69</v>
      </c>
      <c r="R1917" s="4" t="s">
        <v>51</v>
      </c>
      <c r="S1917" s="4">
        <v>104378</v>
      </c>
      <c r="T1917" s="4">
        <v>45121</v>
      </c>
      <c r="U1917" s="4">
        <v>59257</v>
      </c>
      <c r="V1917" s="4">
        <v>83785</v>
      </c>
      <c r="W1917" s="4">
        <v>12860</v>
      </c>
      <c r="X1917" s="4">
        <v>5040</v>
      </c>
      <c r="Y1917" s="4" t="s">
        <v>41</v>
      </c>
      <c r="Z1917" s="4">
        <v>77</v>
      </c>
      <c r="AA1917" s="4">
        <v>3.6</v>
      </c>
      <c r="AB1917" s="4" t="s">
        <v>64</v>
      </c>
    </row>
    <row r="1918" spans="1:28" x14ac:dyDescent="0.25">
      <c r="A1918" s="2" t="s">
        <v>2709</v>
      </c>
      <c r="B1918" s="2" t="s">
        <v>297</v>
      </c>
      <c r="C1918" s="2">
        <v>62</v>
      </c>
      <c r="D1918" s="2" t="s">
        <v>55</v>
      </c>
      <c r="E1918" s="2" t="s">
        <v>154</v>
      </c>
      <c r="F1918" s="2" t="s">
        <v>114</v>
      </c>
      <c r="G1918" s="3">
        <v>44862</v>
      </c>
      <c r="H1918" s="3">
        <v>44886</v>
      </c>
      <c r="I1918" s="2">
        <v>24</v>
      </c>
      <c r="J1918" s="2" t="s">
        <v>33</v>
      </c>
      <c r="K1918" s="2" t="s">
        <v>233</v>
      </c>
      <c r="L1918" s="2" t="s">
        <v>35</v>
      </c>
      <c r="M1918" s="2" t="s">
        <v>36</v>
      </c>
      <c r="N1918" s="2" t="s">
        <v>37</v>
      </c>
      <c r="O1918" s="2" t="s">
        <v>282</v>
      </c>
      <c r="P1918" s="2">
        <v>162</v>
      </c>
      <c r="Q1918" s="2" t="s">
        <v>50</v>
      </c>
      <c r="R1918" s="2" t="s">
        <v>40</v>
      </c>
      <c r="S1918" s="2">
        <v>154338</v>
      </c>
      <c r="T1918" s="2">
        <v>100220</v>
      </c>
      <c r="U1918" s="2">
        <v>54118</v>
      </c>
      <c r="V1918" s="2">
        <v>131267</v>
      </c>
      <c r="W1918" s="2">
        <v>10308</v>
      </c>
      <c r="X1918" s="2">
        <v>7812</v>
      </c>
      <c r="Y1918" s="2" t="s">
        <v>41</v>
      </c>
      <c r="Z1918" s="2">
        <v>46</v>
      </c>
      <c r="AA1918" s="2">
        <v>3.1</v>
      </c>
      <c r="AB1918" s="2" t="s">
        <v>52</v>
      </c>
    </row>
    <row r="1919" spans="1:28" x14ac:dyDescent="0.25">
      <c r="A1919" s="4" t="s">
        <v>2710</v>
      </c>
      <c r="B1919" s="4" t="s">
        <v>1184</v>
      </c>
      <c r="C1919" s="4">
        <v>29</v>
      </c>
      <c r="D1919" s="4" t="s">
        <v>55</v>
      </c>
      <c r="E1919" s="4" t="s">
        <v>56</v>
      </c>
      <c r="F1919" s="4" t="s">
        <v>150</v>
      </c>
      <c r="G1919" s="5">
        <v>45028</v>
      </c>
      <c r="H1919" s="5">
        <v>45031</v>
      </c>
      <c r="I1919" s="4">
        <v>3</v>
      </c>
      <c r="J1919" s="4" t="s">
        <v>115</v>
      </c>
      <c r="K1919" s="4" t="s">
        <v>160</v>
      </c>
      <c r="L1919" s="4" t="s">
        <v>117</v>
      </c>
      <c r="M1919" s="4" t="s">
        <v>83</v>
      </c>
      <c r="N1919" s="4" t="s">
        <v>118</v>
      </c>
      <c r="O1919" s="4" t="s">
        <v>376</v>
      </c>
      <c r="P1919" s="4">
        <v>316</v>
      </c>
      <c r="Q1919" s="4" t="s">
        <v>103</v>
      </c>
      <c r="R1919" s="4" t="s">
        <v>90</v>
      </c>
      <c r="S1919" s="4">
        <v>147600</v>
      </c>
      <c r="T1919" s="4">
        <v>94870</v>
      </c>
      <c r="U1919" s="4">
        <v>52730</v>
      </c>
      <c r="V1919" s="4">
        <v>126842</v>
      </c>
      <c r="W1919" s="4">
        <v>13434</v>
      </c>
      <c r="X1919" s="4">
        <v>6410</v>
      </c>
      <c r="Y1919" s="4" t="s">
        <v>41</v>
      </c>
      <c r="Z1919" s="4">
        <v>91</v>
      </c>
      <c r="AA1919" s="4">
        <v>2.1</v>
      </c>
      <c r="AB1919" s="4" t="s">
        <v>104</v>
      </c>
    </row>
    <row r="1920" spans="1:28" x14ac:dyDescent="0.25">
      <c r="A1920" s="2" t="s">
        <v>2711</v>
      </c>
      <c r="B1920" s="2" t="s">
        <v>2712</v>
      </c>
      <c r="C1920" s="2">
        <v>72</v>
      </c>
      <c r="D1920" s="2" t="s">
        <v>30</v>
      </c>
      <c r="E1920" s="2" t="s">
        <v>79</v>
      </c>
      <c r="F1920" s="2" t="s">
        <v>72</v>
      </c>
      <c r="G1920" s="3">
        <v>45292</v>
      </c>
      <c r="H1920" s="3">
        <v>45321</v>
      </c>
      <c r="I1920" s="2">
        <v>29</v>
      </c>
      <c r="J1920" s="2" t="s">
        <v>202</v>
      </c>
      <c r="K1920" s="2" t="s">
        <v>225</v>
      </c>
      <c r="L1920" s="2" t="s">
        <v>226</v>
      </c>
      <c r="M1920" s="2" t="s">
        <v>130</v>
      </c>
      <c r="N1920" s="2" t="s">
        <v>62</v>
      </c>
      <c r="O1920" s="2" t="s">
        <v>282</v>
      </c>
      <c r="P1920" s="2">
        <v>326</v>
      </c>
      <c r="Q1920" s="2" t="s">
        <v>39</v>
      </c>
      <c r="R1920" s="2" t="s">
        <v>136</v>
      </c>
      <c r="S1920" s="2">
        <v>94503</v>
      </c>
      <c r="T1920" s="2">
        <v>0</v>
      </c>
      <c r="U1920" s="2">
        <v>94503</v>
      </c>
      <c r="V1920" s="2">
        <v>64586</v>
      </c>
      <c r="W1920" s="2">
        <v>17801</v>
      </c>
      <c r="X1920" s="2">
        <v>11179</v>
      </c>
      <c r="Y1920" s="2" t="s">
        <v>41</v>
      </c>
      <c r="Z1920" s="2">
        <v>90</v>
      </c>
      <c r="AA1920" s="2">
        <v>3.3</v>
      </c>
      <c r="AB1920" s="2" t="s">
        <v>104</v>
      </c>
    </row>
    <row r="1921" spans="1:28" x14ac:dyDescent="0.25">
      <c r="A1921" s="4" t="s">
        <v>2713</v>
      </c>
      <c r="B1921" s="4" t="s">
        <v>783</v>
      </c>
      <c r="C1921" s="4">
        <v>47</v>
      </c>
      <c r="D1921" s="4" t="s">
        <v>55</v>
      </c>
      <c r="E1921" s="4" t="s">
        <v>87</v>
      </c>
      <c r="F1921" s="4" t="s">
        <v>114</v>
      </c>
      <c r="G1921" s="5">
        <v>44988</v>
      </c>
      <c r="H1921" s="5">
        <v>44994</v>
      </c>
      <c r="I1921" s="4">
        <v>6</v>
      </c>
      <c r="J1921" s="4" t="s">
        <v>33</v>
      </c>
      <c r="K1921" s="4" t="s">
        <v>99</v>
      </c>
      <c r="L1921" s="4" t="s">
        <v>100</v>
      </c>
      <c r="M1921" s="4" t="s">
        <v>101</v>
      </c>
      <c r="N1921" s="4" t="s">
        <v>109</v>
      </c>
      <c r="O1921" s="4" t="s">
        <v>119</v>
      </c>
      <c r="P1921" s="4">
        <v>346</v>
      </c>
      <c r="Q1921" s="4" t="s">
        <v>103</v>
      </c>
      <c r="R1921" s="4" t="s">
        <v>40</v>
      </c>
      <c r="S1921" s="4">
        <v>79214</v>
      </c>
      <c r="T1921" s="4">
        <v>39225</v>
      </c>
      <c r="U1921" s="4">
        <v>39989</v>
      </c>
      <c r="V1921" s="4">
        <v>51920</v>
      </c>
      <c r="W1921" s="4">
        <v>13950</v>
      </c>
      <c r="X1921" s="4">
        <v>8947</v>
      </c>
      <c r="Y1921" s="4" t="s">
        <v>91</v>
      </c>
      <c r="Z1921" s="4">
        <v>87</v>
      </c>
      <c r="AA1921" s="4">
        <v>4.5999999999999996</v>
      </c>
      <c r="AB1921" s="4" t="s">
        <v>64</v>
      </c>
    </row>
    <row r="1922" spans="1:28" x14ac:dyDescent="0.25">
      <c r="A1922" s="2" t="s">
        <v>2714</v>
      </c>
      <c r="B1922" s="2" t="s">
        <v>1644</v>
      </c>
      <c r="C1922" s="2">
        <v>31</v>
      </c>
      <c r="D1922" s="2" t="s">
        <v>30</v>
      </c>
      <c r="E1922" s="2" t="s">
        <v>154</v>
      </c>
      <c r="F1922" s="2" t="s">
        <v>57</v>
      </c>
      <c r="G1922" s="3">
        <v>45472</v>
      </c>
      <c r="H1922" s="3">
        <v>45483</v>
      </c>
      <c r="I1922" s="2">
        <v>11</v>
      </c>
      <c r="J1922" s="2" t="s">
        <v>33</v>
      </c>
      <c r="K1922" s="2" t="s">
        <v>107</v>
      </c>
      <c r="L1922" s="2" t="s">
        <v>48</v>
      </c>
      <c r="M1922" s="2" t="s">
        <v>61</v>
      </c>
      <c r="N1922" s="2" t="s">
        <v>62</v>
      </c>
      <c r="O1922" s="2" t="s">
        <v>471</v>
      </c>
      <c r="P1922" s="2">
        <v>129</v>
      </c>
      <c r="Q1922" s="2" t="s">
        <v>50</v>
      </c>
      <c r="R1922" s="2" t="s">
        <v>90</v>
      </c>
      <c r="S1922" s="2">
        <v>134093</v>
      </c>
      <c r="T1922" s="2">
        <v>119440</v>
      </c>
      <c r="U1922" s="2">
        <v>14653</v>
      </c>
      <c r="V1922" s="2">
        <v>103463</v>
      </c>
      <c r="W1922" s="2">
        <v>22619</v>
      </c>
      <c r="X1922" s="2">
        <v>4926</v>
      </c>
      <c r="Y1922" s="2" t="s">
        <v>41</v>
      </c>
      <c r="Z1922" s="2">
        <v>88</v>
      </c>
      <c r="AA1922" s="2">
        <v>4.3</v>
      </c>
      <c r="AB1922" s="2" t="s">
        <v>137</v>
      </c>
    </row>
    <row r="1923" spans="1:28" x14ac:dyDescent="0.25">
      <c r="A1923" s="4" t="s">
        <v>2715</v>
      </c>
      <c r="B1923" s="4" t="s">
        <v>1463</v>
      </c>
      <c r="C1923" s="4">
        <v>30</v>
      </c>
      <c r="D1923" s="4" t="s">
        <v>30</v>
      </c>
      <c r="E1923" s="4" t="s">
        <v>122</v>
      </c>
      <c r="F1923" s="4" t="s">
        <v>72</v>
      </c>
      <c r="G1923" s="5">
        <v>44850</v>
      </c>
      <c r="H1923" s="5">
        <v>44875</v>
      </c>
      <c r="I1923" s="4">
        <v>25</v>
      </c>
      <c r="J1923" s="4" t="s">
        <v>33</v>
      </c>
      <c r="K1923" s="4" t="s">
        <v>174</v>
      </c>
      <c r="L1923" s="4" t="s">
        <v>48</v>
      </c>
      <c r="M1923" s="4" t="s">
        <v>36</v>
      </c>
      <c r="N1923" s="4" t="s">
        <v>118</v>
      </c>
      <c r="O1923" s="4" t="s">
        <v>256</v>
      </c>
      <c r="P1923" s="4">
        <v>341</v>
      </c>
      <c r="Q1923" s="4" t="s">
        <v>103</v>
      </c>
      <c r="R1923" s="4" t="s">
        <v>51</v>
      </c>
      <c r="S1923" s="4">
        <v>108301</v>
      </c>
      <c r="T1923" s="4">
        <v>45231</v>
      </c>
      <c r="U1923" s="4">
        <v>63070</v>
      </c>
      <c r="V1923" s="4">
        <v>91877</v>
      </c>
      <c r="W1923" s="4">
        <v>1181</v>
      </c>
      <c r="X1923" s="4">
        <v>11101</v>
      </c>
      <c r="Y1923" s="4" t="s">
        <v>41</v>
      </c>
      <c r="Z1923" s="4">
        <v>97</v>
      </c>
      <c r="AA1923" s="4">
        <v>3.6</v>
      </c>
      <c r="AB1923" s="4" t="s">
        <v>52</v>
      </c>
    </row>
    <row r="1924" spans="1:28" x14ac:dyDescent="0.25">
      <c r="A1924" s="2" t="s">
        <v>2716</v>
      </c>
      <c r="B1924" s="2" t="s">
        <v>357</v>
      </c>
      <c r="C1924" s="2">
        <v>8</v>
      </c>
      <c r="D1924" s="2" t="s">
        <v>55</v>
      </c>
      <c r="E1924" s="2" t="s">
        <v>56</v>
      </c>
      <c r="F1924" s="2" t="s">
        <v>94</v>
      </c>
      <c r="G1924" s="3">
        <v>45451</v>
      </c>
      <c r="H1924" s="3">
        <v>45466</v>
      </c>
      <c r="I1924" s="2">
        <v>15</v>
      </c>
      <c r="J1924" s="2" t="s">
        <v>140</v>
      </c>
      <c r="K1924" s="2" t="s">
        <v>141</v>
      </c>
      <c r="L1924" s="2" t="s">
        <v>142</v>
      </c>
      <c r="M1924" s="2" t="s">
        <v>83</v>
      </c>
      <c r="N1924" s="2" t="s">
        <v>118</v>
      </c>
      <c r="O1924" s="2" t="s">
        <v>520</v>
      </c>
      <c r="P1924" s="2">
        <v>141</v>
      </c>
      <c r="Q1924" s="2" t="s">
        <v>50</v>
      </c>
      <c r="R1924" s="2" t="s">
        <v>136</v>
      </c>
      <c r="S1924" s="2">
        <v>134278</v>
      </c>
      <c r="T1924" s="2">
        <v>0</v>
      </c>
      <c r="U1924" s="2">
        <v>134278</v>
      </c>
      <c r="V1924" s="2">
        <v>113593</v>
      </c>
      <c r="W1924" s="2">
        <v>15078</v>
      </c>
      <c r="X1924" s="2">
        <v>1764</v>
      </c>
      <c r="Y1924" s="2" t="s">
        <v>41</v>
      </c>
      <c r="Z1924" s="2">
        <v>86</v>
      </c>
      <c r="AA1924" s="2">
        <v>3.4</v>
      </c>
      <c r="AB1924" s="2" t="s">
        <v>137</v>
      </c>
    </row>
    <row r="1925" spans="1:28" x14ac:dyDescent="0.25">
      <c r="A1925" s="4" t="s">
        <v>2717</v>
      </c>
      <c r="B1925" s="4" t="s">
        <v>454</v>
      </c>
      <c r="C1925" s="4">
        <v>16</v>
      </c>
      <c r="D1925" s="4" t="s">
        <v>30</v>
      </c>
      <c r="E1925" s="4" t="s">
        <v>122</v>
      </c>
      <c r="F1925" s="4" t="s">
        <v>46</v>
      </c>
      <c r="G1925" s="5">
        <v>45042</v>
      </c>
      <c r="H1925" s="5">
        <v>45051</v>
      </c>
      <c r="I1925" s="4">
        <v>9</v>
      </c>
      <c r="J1925" s="4" t="s">
        <v>123</v>
      </c>
      <c r="K1925" s="4" t="s">
        <v>251</v>
      </c>
      <c r="L1925" s="4" t="s">
        <v>125</v>
      </c>
      <c r="M1925" s="4" t="s">
        <v>130</v>
      </c>
      <c r="N1925" s="4" t="s">
        <v>109</v>
      </c>
      <c r="O1925" s="4" t="s">
        <v>390</v>
      </c>
      <c r="P1925" s="4">
        <v>176</v>
      </c>
      <c r="Q1925" s="4" t="s">
        <v>103</v>
      </c>
      <c r="R1925" s="4" t="s">
        <v>111</v>
      </c>
      <c r="S1925" s="4">
        <v>111335</v>
      </c>
      <c r="T1925" s="4">
        <v>94996</v>
      </c>
      <c r="U1925" s="4">
        <v>16339</v>
      </c>
      <c r="V1925" s="4">
        <v>84717</v>
      </c>
      <c r="W1925" s="4">
        <v>16120</v>
      </c>
      <c r="X1925" s="4">
        <v>6564</v>
      </c>
      <c r="Y1925" s="4" t="s">
        <v>41</v>
      </c>
      <c r="Z1925" s="4">
        <v>93</v>
      </c>
      <c r="AA1925" s="4">
        <v>4.8</v>
      </c>
      <c r="AB1925" s="4" t="s">
        <v>52</v>
      </c>
    </row>
    <row r="1926" spans="1:28" x14ac:dyDescent="0.25">
      <c r="A1926" s="2" t="s">
        <v>2718</v>
      </c>
      <c r="B1926" s="2" t="s">
        <v>856</v>
      </c>
      <c r="C1926" s="2">
        <v>29</v>
      </c>
      <c r="D1926" s="2" t="s">
        <v>55</v>
      </c>
      <c r="E1926" s="2" t="s">
        <v>87</v>
      </c>
      <c r="F1926" s="2" t="s">
        <v>150</v>
      </c>
      <c r="G1926" s="3">
        <v>45178</v>
      </c>
      <c r="H1926" s="3">
        <v>45181</v>
      </c>
      <c r="I1926" s="2">
        <v>3</v>
      </c>
      <c r="J1926" s="2" t="s">
        <v>33</v>
      </c>
      <c r="K1926" s="2" t="s">
        <v>197</v>
      </c>
      <c r="L1926" s="2" t="s">
        <v>198</v>
      </c>
      <c r="M1926" s="2" t="s">
        <v>130</v>
      </c>
      <c r="N1926" s="2" t="s">
        <v>37</v>
      </c>
      <c r="O1926" s="2" t="s">
        <v>673</v>
      </c>
      <c r="P1926" s="2">
        <v>315</v>
      </c>
      <c r="Q1926" s="2" t="s">
        <v>69</v>
      </c>
      <c r="R1926" s="2" t="s">
        <v>40</v>
      </c>
      <c r="S1926" s="2">
        <v>81565</v>
      </c>
      <c r="T1926" s="2">
        <v>54433</v>
      </c>
      <c r="U1926" s="2">
        <v>27132</v>
      </c>
      <c r="V1926" s="2">
        <v>68256</v>
      </c>
      <c r="W1926" s="2">
        <v>8984</v>
      </c>
      <c r="X1926" s="2">
        <v>1393</v>
      </c>
      <c r="Y1926" s="2" t="s">
        <v>41</v>
      </c>
      <c r="Z1926" s="2">
        <v>84</v>
      </c>
      <c r="AA1926" s="2">
        <v>2.6</v>
      </c>
      <c r="AB1926" s="2" t="s">
        <v>52</v>
      </c>
    </row>
    <row r="1927" spans="1:28" x14ac:dyDescent="0.25">
      <c r="A1927" s="4" t="s">
        <v>2719</v>
      </c>
      <c r="B1927" s="4" t="s">
        <v>299</v>
      </c>
      <c r="C1927" s="4">
        <v>7</v>
      </c>
      <c r="D1927" s="4" t="s">
        <v>30</v>
      </c>
      <c r="E1927" s="4" t="s">
        <v>56</v>
      </c>
      <c r="F1927" s="4" t="s">
        <v>114</v>
      </c>
      <c r="G1927" s="5">
        <v>45246</v>
      </c>
      <c r="H1927" s="5">
        <v>45254</v>
      </c>
      <c r="I1927" s="4">
        <v>8</v>
      </c>
      <c r="J1927" s="4" t="s">
        <v>33</v>
      </c>
      <c r="K1927" s="4" t="s">
        <v>107</v>
      </c>
      <c r="L1927" s="4" t="s">
        <v>48</v>
      </c>
      <c r="M1927" s="4" t="s">
        <v>130</v>
      </c>
      <c r="N1927" s="4" t="s">
        <v>118</v>
      </c>
      <c r="O1927" s="4" t="s">
        <v>168</v>
      </c>
      <c r="P1927" s="4">
        <v>85</v>
      </c>
      <c r="Q1927" s="4" t="s">
        <v>69</v>
      </c>
      <c r="R1927" s="4" t="s">
        <v>111</v>
      </c>
      <c r="S1927" s="4">
        <v>161588</v>
      </c>
      <c r="T1927" s="4">
        <v>104173</v>
      </c>
      <c r="U1927" s="4">
        <v>57415</v>
      </c>
      <c r="V1927" s="4">
        <v>143460</v>
      </c>
      <c r="W1927" s="4">
        <v>3303</v>
      </c>
      <c r="X1927" s="4">
        <v>10902</v>
      </c>
      <c r="Y1927" s="4" t="s">
        <v>41</v>
      </c>
      <c r="Z1927" s="4">
        <v>99</v>
      </c>
      <c r="AA1927" s="4">
        <v>3.7</v>
      </c>
      <c r="AB1927" s="4" t="s">
        <v>137</v>
      </c>
    </row>
    <row r="1928" spans="1:28" x14ac:dyDescent="0.25">
      <c r="A1928" s="2" t="s">
        <v>2720</v>
      </c>
      <c r="B1928" s="2" t="s">
        <v>815</v>
      </c>
      <c r="C1928" s="2">
        <v>12</v>
      </c>
      <c r="D1928" s="2" t="s">
        <v>30</v>
      </c>
      <c r="E1928" s="2" t="s">
        <v>56</v>
      </c>
      <c r="F1928" s="2" t="s">
        <v>57</v>
      </c>
      <c r="G1928" s="3">
        <v>45446</v>
      </c>
      <c r="H1928" s="3">
        <v>45459</v>
      </c>
      <c r="I1928" s="2">
        <v>13</v>
      </c>
      <c r="J1928" s="2" t="s">
        <v>33</v>
      </c>
      <c r="K1928" s="2" t="s">
        <v>34</v>
      </c>
      <c r="L1928" s="2" t="s">
        <v>35</v>
      </c>
      <c r="M1928" s="2" t="s">
        <v>101</v>
      </c>
      <c r="N1928" s="2" t="s">
        <v>62</v>
      </c>
      <c r="O1928" s="2" t="s">
        <v>126</v>
      </c>
      <c r="P1928" s="2">
        <v>434</v>
      </c>
      <c r="Q1928" s="2" t="s">
        <v>103</v>
      </c>
      <c r="R1928" s="2" t="s">
        <v>90</v>
      </c>
      <c r="S1928" s="2">
        <v>115987</v>
      </c>
      <c r="T1928" s="2">
        <v>73713</v>
      </c>
      <c r="U1928" s="2">
        <v>42274</v>
      </c>
      <c r="V1928" s="2">
        <v>91942</v>
      </c>
      <c r="W1928" s="2">
        <v>19880</v>
      </c>
      <c r="X1928" s="2">
        <v>1460</v>
      </c>
      <c r="Y1928" s="2" t="s">
        <v>41</v>
      </c>
      <c r="Z1928" s="2">
        <v>93</v>
      </c>
      <c r="AA1928" s="2">
        <v>3.7</v>
      </c>
      <c r="AB1928" s="2" t="s">
        <v>137</v>
      </c>
    </row>
    <row r="1929" spans="1:28" x14ac:dyDescent="0.25">
      <c r="A1929" s="4" t="s">
        <v>2721</v>
      </c>
      <c r="B1929" s="4" t="s">
        <v>433</v>
      </c>
      <c r="C1929" s="4">
        <v>60</v>
      </c>
      <c r="D1929" s="4" t="s">
        <v>55</v>
      </c>
      <c r="E1929" s="4" t="s">
        <v>56</v>
      </c>
      <c r="F1929" s="4" t="s">
        <v>72</v>
      </c>
      <c r="G1929" s="5">
        <v>45145</v>
      </c>
      <c r="H1929" s="5">
        <v>45159</v>
      </c>
      <c r="I1929" s="4">
        <v>14</v>
      </c>
      <c r="J1929" s="4" t="s">
        <v>33</v>
      </c>
      <c r="K1929" s="4" t="s">
        <v>107</v>
      </c>
      <c r="L1929" s="4" t="s">
        <v>48</v>
      </c>
      <c r="M1929" s="4" t="s">
        <v>101</v>
      </c>
      <c r="N1929" s="4" t="s">
        <v>37</v>
      </c>
      <c r="O1929" s="4" t="s">
        <v>194</v>
      </c>
      <c r="P1929" s="4">
        <v>237</v>
      </c>
      <c r="Q1929" s="4" t="s">
        <v>50</v>
      </c>
      <c r="R1929" s="4" t="s">
        <v>51</v>
      </c>
      <c r="S1929" s="4">
        <v>146614</v>
      </c>
      <c r="T1929" s="4">
        <v>65225</v>
      </c>
      <c r="U1929" s="4">
        <v>81389</v>
      </c>
      <c r="V1929" s="4">
        <v>115150</v>
      </c>
      <c r="W1929" s="4">
        <v>28112</v>
      </c>
      <c r="X1929" s="4">
        <v>1634</v>
      </c>
      <c r="Y1929" s="4" t="s">
        <v>41</v>
      </c>
      <c r="Z1929" s="4">
        <v>72</v>
      </c>
      <c r="AA1929" s="4">
        <v>2.7</v>
      </c>
      <c r="AB1929" s="4" t="s">
        <v>42</v>
      </c>
    </row>
    <row r="1930" spans="1:28" x14ac:dyDescent="0.25">
      <c r="A1930" s="2" t="s">
        <v>2722</v>
      </c>
      <c r="B1930" s="2" t="s">
        <v>258</v>
      </c>
      <c r="C1930" s="2">
        <v>74</v>
      </c>
      <c r="D1930" s="2" t="s">
        <v>30</v>
      </c>
      <c r="E1930" s="2" t="s">
        <v>87</v>
      </c>
      <c r="F1930" s="2" t="s">
        <v>150</v>
      </c>
      <c r="G1930" s="3">
        <v>45603</v>
      </c>
      <c r="H1930" s="3">
        <v>45633</v>
      </c>
      <c r="I1930" s="2">
        <v>30</v>
      </c>
      <c r="J1930" s="2" t="s">
        <v>202</v>
      </c>
      <c r="K1930" s="2" t="s">
        <v>225</v>
      </c>
      <c r="L1930" s="2" t="s">
        <v>226</v>
      </c>
      <c r="M1930" s="2" t="s">
        <v>134</v>
      </c>
      <c r="N1930" s="2" t="s">
        <v>109</v>
      </c>
      <c r="O1930" s="2" t="s">
        <v>343</v>
      </c>
      <c r="P1930" s="2">
        <v>319</v>
      </c>
      <c r="Q1930" s="2" t="s">
        <v>103</v>
      </c>
      <c r="R1930" s="2" t="s">
        <v>51</v>
      </c>
      <c r="S1930" s="2">
        <v>142086</v>
      </c>
      <c r="T1930" s="2">
        <v>99300</v>
      </c>
      <c r="U1930" s="2">
        <v>42786</v>
      </c>
      <c r="V1930" s="2">
        <v>107684</v>
      </c>
      <c r="W1930" s="2">
        <v>18625</v>
      </c>
      <c r="X1930" s="2">
        <v>11748</v>
      </c>
      <c r="Y1930" s="2" t="s">
        <v>41</v>
      </c>
      <c r="Z1930" s="2">
        <v>56</v>
      </c>
      <c r="AA1930" s="2">
        <v>4.8</v>
      </c>
      <c r="AB1930" s="2" t="s">
        <v>64</v>
      </c>
    </row>
    <row r="1931" spans="1:28" x14ac:dyDescent="0.25">
      <c r="A1931" s="4" t="s">
        <v>2723</v>
      </c>
      <c r="B1931" s="4" t="s">
        <v>917</v>
      </c>
      <c r="C1931" s="4">
        <v>6</v>
      </c>
      <c r="D1931" s="4" t="s">
        <v>55</v>
      </c>
      <c r="E1931" s="4" t="s">
        <v>87</v>
      </c>
      <c r="F1931" s="4" t="s">
        <v>157</v>
      </c>
      <c r="G1931" s="5">
        <v>45226</v>
      </c>
      <c r="H1931" s="5">
        <v>45235</v>
      </c>
      <c r="I1931" s="4">
        <v>9</v>
      </c>
      <c r="J1931" s="4" t="s">
        <v>33</v>
      </c>
      <c r="K1931" s="4" t="s">
        <v>174</v>
      </c>
      <c r="L1931" s="4" t="s">
        <v>48</v>
      </c>
      <c r="M1931" s="4" t="s">
        <v>101</v>
      </c>
      <c r="N1931" s="4" t="s">
        <v>118</v>
      </c>
      <c r="O1931" s="4" t="s">
        <v>396</v>
      </c>
      <c r="P1931" s="4">
        <v>416</v>
      </c>
      <c r="Q1931" s="4" t="s">
        <v>39</v>
      </c>
      <c r="R1931" s="4" t="s">
        <v>40</v>
      </c>
      <c r="S1931" s="4">
        <v>137948</v>
      </c>
      <c r="T1931" s="4">
        <v>85258</v>
      </c>
      <c r="U1931" s="4">
        <v>52690</v>
      </c>
      <c r="V1931" s="4">
        <v>105832</v>
      </c>
      <c r="W1931" s="4">
        <v>15821</v>
      </c>
      <c r="X1931" s="4">
        <v>14555</v>
      </c>
      <c r="Y1931" s="4" t="s">
        <v>91</v>
      </c>
      <c r="Z1931" s="4">
        <v>93</v>
      </c>
      <c r="AA1931" s="4">
        <v>3</v>
      </c>
      <c r="AB1931" s="4" t="s">
        <v>137</v>
      </c>
    </row>
    <row r="1932" spans="1:28" x14ac:dyDescent="0.25">
      <c r="A1932" s="2" t="s">
        <v>2724</v>
      </c>
      <c r="B1932" s="2" t="s">
        <v>555</v>
      </c>
      <c r="C1932" s="2">
        <v>13</v>
      </c>
      <c r="D1932" s="2" t="s">
        <v>30</v>
      </c>
      <c r="E1932" s="2" t="s">
        <v>122</v>
      </c>
      <c r="F1932" s="2" t="s">
        <v>94</v>
      </c>
      <c r="G1932" s="3">
        <v>44888</v>
      </c>
      <c r="H1932" s="3">
        <v>44918</v>
      </c>
      <c r="I1932" s="2">
        <v>30</v>
      </c>
      <c r="J1932" s="2" t="s">
        <v>33</v>
      </c>
      <c r="K1932" s="2" t="s">
        <v>99</v>
      </c>
      <c r="L1932" s="2" t="s">
        <v>100</v>
      </c>
      <c r="M1932" s="2" t="s">
        <v>134</v>
      </c>
      <c r="N1932" s="2" t="s">
        <v>37</v>
      </c>
      <c r="O1932" s="2" t="s">
        <v>211</v>
      </c>
      <c r="P1932" s="2">
        <v>329</v>
      </c>
      <c r="Q1932" s="2" t="s">
        <v>69</v>
      </c>
      <c r="R1932" s="2" t="s">
        <v>40</v>
      </c>
      <c r="S1932" s="2">
        <v>136968</v>
      </c>
      <c r="T1932" s="2">
        <v>57086</v>
      </c>
      <c r="U1932" s="2">
        <v>79882</v>
      </c>
      <c r="V1932" s="2">
        <v>122802</v>
      </c>
      <c r="W1932" s="2">
        <v>3612</v>
      </c>
      <c r="X1932" s="2">
        <v>7383</v>
      </c>
      <c r="Y1932" s="2" t="s">
        <v>41</v>
      </c>
      <c r="Z1932" s="2">
        <v>80</v>
      </c>
      <c r="AA1932" s="2">
        <v>2.5</v>
      </c>
      <c r="AB1932" s="2" t="s">
        <v>64</v>
      </c>
    </row>
    <row r="1933" spans="1:28" x14ac:dyDescent="0.25">
      <c r="A1933" s="4" t="s">
        <v>2725</v>
      </c>
      <c r="B1933" s="4" t="s">
        <v>1078</v>
      </c>
      <c r="C1933" s="4">
        <v>52</v>
      </c>
      <c r="D1933" s="4" t="s">
        <v>30</v>
      </c>
      <c r="E1933" s="4" t="s">
        <v>31</v>
      </c>
      <c r="F1933" s="4" t="s">
        <v>150</v>
      </c>
      <c r="G1933" s="5">
        <v>44737</v>
      </c>
      <c r="H1933" s="5">
        <v>44763</v>
      </c>
      <c r="I1933" s="4">
        <v>26</v>
      </c>
      <c r="J1933" s="4" t="s">
        <v>73</v>
      </c>
      <c r="K1933" s="4" t="s">
        <v>74</v>
      </c>
      <c r="L1933" s="4" t="s">
        <v>73</v>
      </c>
      <c r="M1933" s="4" t="s">
        <v>101</v>
      </c>
      <c r="N1933" s="4" t="s">
        <v>62</v>
      </c>
      <c r="O1933" s="4" t="s">
        <v>282</v>
      </c>
      <c r="P1933" s="4">
        <v>263</v>
      </c>
      <c r="Q1933" s="4" t="s">
        <v>69</v>
      </c>
      <c r="R1933" s="4" t="s">
        <v>40</v>
      </c>
      <c r="S1933" s="4">
        <v>143076</v>
      </c>
      <c r="T1933" s="4">
        <v>58361</v>
      </c>
      <c r="U1933" s="4">
        <v>84715</v>
      </c>
      <c r="V1933" s="4">
        <v>104931</v>
      </c>
      <c r="W1933" s="4">
        <v>27448</v>
      </c>
      <c r="X1933" s="4">
        <v>10006</v>
      </c>
      <c r="Y1933" s="4" t="s">
        <v>41</v>
      </c>
      <c r="Z1933" s="4">
        <v>78</v>
      </c>
      <c r="AA1933" s="4">
        <v>2.1</v>
      </c>
      <c r="AB1933" s="4" t="s">
        <v>137</v>
      </c>
    </row>
    <row r="1934" spans="1:28" x14ac:dyDescent="0.25">
      <c r="A1934" s="2" t="s">
        <v>2726</v>
      </c>
      <c r="B1934" s="2" t="s">
        <v>2557</v>
      </c>
      <c r="C1934" s="2">
        <v>41</v>
      </c>
      <c r="D1934" s="2" t="s">
        <v>30</v>
      </c>
      <c r="E1934" s="2" t="s">
        <v>122</v>
      </c>
      <c r="F1934" s="2" t="s">
        <v>80</v>
      </c>
      <c r="G1934" s="3">
        <v>44694</v>
      </c>
      <c r="H1934" s="3">
        <v>44705</v>
      </c>
      <c r="I1934" s="2">
        <v>11</v>
      </c>
      <c r="J1934" s="2" t="s">
        <v>33</v>
      </c>
      <c r="K1934" s="2" t="s">
        <v>34</v>
      </c>
      <c r="L1934" s="2" t="s">
        <v>35</v>
      </c>
      <c r="M1934" s="2" t="s">
        <v>61</v>
      </c>
      <c r="N1934" s="2" t="s">
        <v>118</v>
      </c>
      <c r="O1934" s="2" t="s">
        <v>331</v>
      </c>
      <c r="P1934" s="2">
        <v>287</v>
      </c>
      <c r="Q1934" s="2" t="s">
        <v>69</v>
      </c>
      <c r="R1934" s="2" t="s">
        <v>90</v>
      </c>
      <c r="S1934" s="2">
        <v>80621</v>
      </c>
      <c r="T1934" s="2">
        <v>62800</v>
      </c>
      <c r="U1934" s="2">
        <v>17821</v>
      </c>
      <c r="V1934" s="2">
        <v>47083</v>
      </c>
      <c r="W1934" s="2">
        <v>15221</v>
      </c>
      <c r="X1934" s="2">
        <v>13436</v>
      </c>
      <c r="Y1934" s="2" t="s">
        <v>91</v>
      </c>
      <c r="Z1934" s="2">
        <v>72</v>
      </c>
      <c r="AA1934" s="2">
        <v>4.5</v>
      </c>
      <c r="AB1934" s="2" t="s">
        <v>137</v>
      </c>
    </row>
    <row r="1935" spans="1:28" x14ac:dyDescent="0.25">
      <c r="A1935" s="4" t="s">
        <v>2727</v>
      </c>
      <c r="B1935" s="4" t="s">
        <v>1660</v>
      </c>
      <c r="C1935" s="4">
        <v>59</v>
      </c>
      <c r="D1935" s="4" t="s">
        <v>55</v>
      </c>
      <c r="E1935" s="4" t="s">
        <v>79</v>
      </c>
      <c r="F1935" s="4" t="s">
        <v>46</v>
      </c>
      <c r="G1935" s="5">
        <v>44727</v>
      </c>
      <c r="H1935" s="5">
        <v>44741</v>
      </c>
      <c r="I1935" s="4">
        <v>14</v>
      </c>
      <c r="J1935" s="4" t="s">
        <v>33</v>
      </c>
      <c r="K1935" s="4" t="s">
        <v>81</v>
      </c>
      <c r="L1935" s="4" t="s">
        <v>82</v>
      </c>
      <c r="M1935" s="4" t="s">
        <v>36</v>
      </c>
      <c r="N1935" s="4" t="s">
        <v>62</v>
      </c>
      <c r="O1935" s="4" t="s">
        <v>189</v>
      </c>
      <c r="P1935" s="4">
        <v>351</v>
      </c>
      <c r="Q1935" s="4" t="s">
        <v>39</v>
      </c>
      <c r="R1935" s="4" t="s">
        <v>51</v>
      </c>
      <c r="S1935" s="4">
        <v>88687</v>
      </c>
      <c r="T1935" s="4">
        <v>59116</v>
      </c>
      <c r="U1935" s="4">
        <v>29571</v>
      </c>
      <c r="V1935" s="4">
        <v>77956</v>
      </c>
      <c r="W1935" s="4">
        <v>6347</v>
      </c>
      <c r="X1935" s="4">
        <v>532</v>
      </c>
      <c r="Y1935" s="4" t="s">
        <v>41</v>
      </c>
      <c r="Z1935" s="4">
        <v>75</v>
      </c>
      <c r="AA1935" s="4">
        <v>4.9000000000000004</v>
      </c>
      <c r="AB1935" s="4" t="s">
        <v>52</v>
      </c>
    </row>
    <row r="1936" spans="1:28" x14ac:dyDescent="0.25">
      <c r="A1936" s="2" t="s">
        <v>2728</v>
      </c>
      <c r="B1936" s="2" t="s">
        <v>2690</v>
      </c>
      <c r="C1936" s="2">
        <v>49</v>
      </c>
      <c r="D1936" s="2" t="s">
        <v>55</v>
      </c>
      <c r="E1936" s="2" t="s">
        <v>79</v>
      </c>
      <c r="F1936" s="2" t="s">
        <v>57</v>
      </c>
      <c r="G1936" s="3">
        <v>45084</v>
      </c>
      <c r="H1936" s="3">
        <v>45104</v>
      </c>
      <c r="I1936" s="2">
        <v>20</v>
      </c>
      <c r="J1936" s="2" t="s">
        <v>33</v>
      </c>
      <c r="K1936" s="2" t="s">
        <v>174</v>
      </c>
      <c r="L1936" s="2" t="s">
        <v>48</v>
      </c>
      <c r="M1936" s="2" t="s">
        <v>101</v>
      </c>
      <c r="N1936" s="2" t="s">
        <v>118</v>
      </c>
      <c r="O1936" s="2" t="s">
        <v>591</v>
      </c>
      <c r="P1936" s="2">
        <v>146</v>
      </c>
      <c r="Q1936" s="2" t="s">
        <v>69</v>
      </c>
      <c r="R1936" s="2" t="s">
        <v>90</v>
      </c>
      <c r="S1936" s="2">
        <v>73257</v>
      </c>
      <c r="T1936" s="2">
        <v>51987</v>
      </c>
      <c r="U1936" s="2">
        <v>21270</v>
      </c>
      <c r="V1936" s="2">
        <v>65417</v>
      </c>
      <c r="W1936" s="2">
        <v>2924</v>
      </c>
      <c r="X1936" s="2">
        <v>3732</v>
      </c>
      <c r="Y1936" s="2" t="s">
        <v>41</v>
      </c>
      <c r="Z1936" s="2">
        <v>73</v>
      </c>
      <c r="AA1936" s="2">
        <v>4.5999999999999996</v>
      </c>
      <c r="AB1936" s="2" t="s">
        <v>104</v>
      </c>
    </row>
    <row r="1937" spans="1:28" x14ac:dyDescent="0.25">
      <c r="A1937" s="4" t="s">
        <v>2729</v>
      </c>
      <c r="B1937" s="4" t="s">
        <v>1336</v>
      </c>
      <c r="C1937" s="4">
        <v>80</v>
      </c>
      <c r="D1937" s="4" t="s">
        <v>30</v>
      </c>
      <c r="E1937" s="4" t="s">
        <v>154</v>
      </c>
      <c r="F1937" s="4" t="s">
        <v>129</v>
      </c>
      <c r="G1937" s="5">
        <v>45197</v>
      </c>
      <c r="H1937" s="5">
        <v>45217</v>
      </c>
      <c r="I1937" s="4">
        <v>20</v>
      </c>
      <c r="J1937" s="4" t="s">
        <v>58</v>
      </c>
      <c r="K1937" s="4" t="s">
        <v>59</v>
      </c>
      <c r="L1937" s="4" t="s">
        <v>60</v>
      </c>
      <c r="M1937" s="4" t="s">
        <v>108</v>
      </c>
      <c r="N1937" s="4" t="s">
        <v>118</v>
      </c>
      <c r="O1937" s="4" t="s">
        <v>337</v>
      </c>
      <c r="P1937" s="4">
        <v>139</v>
      </c>
      <c r="Q1937" s="4" t="s">
        <v>50</v>
      </c>
      <c r="R1937" s="4" t="s">
        <v>51</v>
      </c>
      <c r="S1937" s="4">
        <v>75036</v>
      </c>
      <c r="T1937" s="4">
        <v>43500</v>
      </c>
      <c r="U1937" s="4">
        <v>31536</v>
      </c>
      <c r="V1937" s="4">
        <v>60540</v>
      </c>
      <c r="W1937" s="4">
        <v>6935</v>
      </c>
      <c r="X1937" s="4">
        <v>6445</v>
      </c>
      <c r="Y1937" s="4" t="s">
        <v>91</v>
      </c>
      <c r="Z1937" s="4">
        <v>40</v>
      </c>
      <c r="AA1937" s="4">
        <v>2.4</v>
      </c>
      <c r="AB1937" s="4" t="s">
        <v>137</v>
      </c>
    </row>
    <row r="1938" spans="1:28" x14ac:dyDescent="0.25">
      <c r="A1938" s="2" t="s">
        <v>2730</v>
      </c>
      <c r="B1938" s="2" t="s">
        <v>954</v>
      </c>
      <c r="C1938" s="2">
        <v>38</v>
      </c>
      <c r="D1938" s="2" t="s">
        <v>55</v>
      </c>
      <c r="E1938" s="2" t="s">
        <v>154</v>
      </c>
      <c r="F1938" s="2" t="s">
        <v>150</v>
      </c>
      <c r="G1938" s="3">
        <v>45557</v>
      </c>
      <c r="H1938" s="3">
        <v>45580</v>
      </c>
      <c r="I1938" s="2">
        <v>23</v>
      </c>
      <c r="J1938" s="2" t="s">
        <v>33</v>
      </c>
      <c r="K1938" s="2" t="s">
        <v>174</v>
      </c>
      <c r="L1938" s="2" t="s">
        <v>48</v>
      </c>
      <c r="M1938" s="2" t="s">
        <v>75</v>
      </c>
      <c r="N1938" s="2" t="s">
        <v>118</v>
      </c>
      <c r="O1938" s="2" t="s">
        <v>326</v>
      </c>
      <c r="P1938" s="2">
        <v>436</v>
      </c>
      <c r="Q1938" s="2" t="s">
        <v>39</v>
      </c>
      <c r="R1938" s="2" t="s">
        <v>111</v>
      </c>
      <c r="S1938" s="2">
        <v>152129</v>
      </c>
      <c r="T1938" s="2">
        <v>125114</v>
      </c>
      <c r="U1938" s="2">
        <v>27015</v>
      </c>
      <c r="V1938" s="2">
        <v>137685</v>
      </c>
      <c r="W1938" s="2">
        <v>6646</v>
      </c>
      <c r="X1938" s="2">
        <v>4346</v>
      </c>
      <c r="Y1938" s="2" t="s">
        <v>41</v>
      </c>
      <c r="Z1938" s="2">
        <v>84</v>
      </c>
      <c r="AA1938" s="2">
        <v>2.8</v>
      </c>
      <c r="AB1938" s="2" t="s">
        <v>42</v>
      </c>
    </row>
    <row r="1939" spans="1:28" x14ac:dyDescent="0.25">
      <c r="A1939" s="4" t="s">
        <v>2731</v>
      </c>
      <c r="B1939" s="4" t="s">
        <v>375</v>
      </c>
      <c r="C1939" s="4">
        <v>16</v>
      </c>
      <c r="D1939" s="4" t="s">
        <v>55</v>
      </c>
      <c r="E1939" s="4" t="s">
        <v>122</v>
      </c>
      <c r="F1939" s="4" t="s">
        <v>157</v>
      </c>
      <c r="G1939" s="5">
        <v>44809</v>
      </c>
      <c r="H1939" s="5">
        <v>44820</v>
      </c>
      <c r="I1939" s="4">
        <v>11</v>
      </c>
      <c r="J1939" s="4" t="s">
        <v>33</v>
      </c>
      <c r="K1939" s="4" t="s">
        <v>47</v>
      </c>
      <c r="L1939" s="4" t="s">
        <v>48</v>
      </c>
      <c r="M1939" s="4" t="s">
        <v>108</v>
      </c>
      <c r="N1939" s="4" t="s">
        <v>118</v>
      </c>
      <c r="O1939" s="4" t="s">
        <v>49</v>
      </c>
      <c r="P1939" s="4">
        <v>446</v>
      </c>
      <c r="Q1939" s="4" t="s">
        <v>69</v>
      </c>
      <c r="R1939" s="4" t="s">
        <v>40</v>
      </c>
      <c r="S1939" s="4">
        <v>183995</v>
      </c>
      <c r="T1939" s="4">
        <v>118087</v>
      </c>
      <c r="U1939" s="4">
        <v>65908</v>
      </c>
      <c r="V1939" s="4">
        <v>148043</v>
      </c>
      <c r="W1939" s="4">
        <v>25995</v>
      </c>
      <c r="X1939" s="4">
        <v>6439</v>
      </c>
      <c r="Y1939" s="4" t="s">
        <v>41</v>
      </c>
      <c r="Z1939" s="4">
        <v>97</v>
      </c>
      <c r="AA1939" s="4">
        <v>4.8</v>
      </c>
      <c r="AB1939" s="4" t="s">
        <v>137</v>
      </c>
    </row>
    <row r="1940" spans="1:28" x14ac:dyDescent="0.25">
      <c r="A1940" s="2" t="s">
        <v>2732</v>
      </c>
      <c r="B1940" s="2" t="s">
        <v>263</v>
      </c>
      <c r="C1940" s="2">
        <v>69</v>
      </c>
      <c r="D1940" s="2" t="s">
        <v>55</v>
      </c>
      <c r="E1940" s="2" t="s">
        <v>87</v>
      </c>
      <c r="F1940" s="2" t="s">
        <v>32</v>
      </c>
      <c r="G1940" s="3">
        <v>44802</v>
      </c>
      <c r="H1940" s="3">
        <v>44817</v>
      </c>
      <c r="I1940" s="2">
        <v>15</v>
      </c>
      <c r="J1940" s="2" t="s">
        <v>33</v>
      </c>
      <c r="K1940" s="2" t="s">
        <v>47</v>
      </c>
      <c r="L1940" s="2" t="s">
        <v>48</v>
      </c>
      <c r="M1940" s="2" t="s">
        <v>95</v>
      </c>
      <c r="N1940" s="2" t="s">
        <v>109</v>
      </c>
      <c r="O1940" s="2" t="s">
        <v>678</v>
      </c>
      <c r="P1940" s="2">
        <v>143</v>
      </c>
      <c r="Q1940" s="2" t="s">
        <v>39</v>
      </c>
      <c r="R1940" s="2" t="s">
        <v>136</v>
      </c>
      <c r="S1940" s="2">
        <v>61867</v>
      </c>
      <c r="T1940" s="2">
        <v>0</v>
      </c>
      <c r="U1940" s="2">
        <v>61867</v>
      </c>
      <c r="V1940" s="2">
        <v>42944</v>
      </c>
      <c r="W1940" s="2">
        <v>4145</v>
      </c>
      <c r="X1940" s="2">
        <v>12603</v>
      </c>
      <c r="Y1940" s="2" t="s">
        <v>41</v>
      </c>
      <c r="Z1940" s="2">
        <v>91</v>
      </c>
      <c r="AA1940" s="2">
        <v>4.2</v>
      </c>
      <c r="AB1940" s="2" t="s">
        <v>42</v>
      </c>
    </row>
    <row r="1941" spans="1:28" x14ac:dyDescent="0.25">
      <c r="A1941" s="4" t="s">
        <v>2733</v>
      </c>
      <c r="B1941" s="4" t="s">
        <v>2734</v>
      </c>
      <c r="C1941" s="4">
        <v>46</v>
      </c>
      <c r="D1941" s="4" t="s">
        <v>30</v>
      </c>
      <c r="E1941" s="4" t="s">
        <v>154</v>
      </c>
      <c r="F1941" s="4" t="s">
        <v>94</v>
      </c>
      <c r="G1941" s="5">
        <v>44575</v>
      </c>
      <c r="H1941" s="5">
        <v>44591</v>
      </c>
      <c r="I1941" s="4">
        <v>16</v>
      </c>
      <c r="J1941" s="4" t="s">
        <v>115</v>
      </c>
      <c r="K1941" s="4" t="s">
        <v>160</v>
      </c>
      <c r="L1941" s="4" t="s">
        <v>117</v>
      </c>
      <c r="M1941" s="4" t="s">
        <v>95</v>
      </c>
      <c r="N1941" s="4" t="s">
        <v>62</v>
      </c>
      <c r="O1941" s="4" t="s">
        <v>184</v>
      </c>
      <c r="P1941" s="4">
        <v>364</v>
      </c>
      <c r="Q1941" s="4" t="s">
        <v>50</v>
      </c>
      <c r="R1941" s="4" t="s">
        <v>136</v>
      </c>
      <c r="S1941" s="4">
        <v>125018</v>
      </c>
      <c r="T1941" s="4">
        <v>0</v>
      </c>
      <c r="U1941" s="4">
        <v>125018</v>
      </c>
      <c r="V1941" s="4">
        <v>90477</v>
      </c>
      <c r="W1941" s="4">
        <v>24607</v>
      </c>
      <c r="X1941" s="4">
        <v>9072</v>
      </c>
      <c r="Y1941" s="4" t="s">
        <v>41</v>
      </c>
      <c r="Z1941" s="4">
        <v>59</v>
      </c>
      <c r="AA1941" s="4">
        <v>4.3</v>
      </c>
      <c r="AB1941" s="4" t="s">
        <v>64</v>
      </c>
    </row>
    <row r="1942" spans="1:28" x14ac:dyDescent="0.25">
      <c r="A1942" s="2" t="s">
        <v>2735</v>
      </c>
      <c r="B1942" s="2" t="s">
        <v>1023</v>
      </c>
      <c r="C1942" s="2">
        <v>10</v>
      </c>
      <c r="D1942" s="2" t="s">
        <v>30</v>
      </c>
      <c r="E1942" s="2" t="s">
        <v>154</v>
      </c>
      <c r="F1942" s="2" t="s">
        <v>94</v>
      </c>
      <c r="G1942" s="3">
        <v>45338</v>
      </c>
      <c r="H1942" s="3">
        <v>45344</v>
      </c>
      <c r="I1942" s="2">
        <v>6</v>
      </c>
      <c r="J1942" s="2" t="s">
        <v>58</v>
      </c>
      <c r="K1942" s="2" t="s">
        <v>88</v>
      </c>
      <c r="L1942" s="2" t="s">
        <v>60</v>
      </c>
      <c r="M1942" s="2" t="s">
        <v>75</v>
      </c>
      <c r="N1942" s="2" t="s">
        <v>37</v>
      </c>
      <c r="O1942" s="2" t="s">
        <v>530</v>
      </c>
      <c r="P1942" s="2">
        <v>97</v>
      </c>
      <c r="Q1942" s="2" t="s">
        <v>103</v>
      </c>
      <c r="R1942" s="2" t="s">
        <v>90</v>
      </c>
      <c r="S1942" s="2">
        <v>161483</v>
      </c>
      <c r="T1942" s="2">
        <v>127412</v>
      </c>
      <c r="U1942" s="2">
        <v>34071</v>
      </c>
      <c r="V1942" s="2">
        <v>117138</v>
      </c>
      <c r="W1942" s="2">
        <v>29726</v>
      </c>
      <c r="X1942" s="2">
        <v>12831</v>
      </c>
      <c r="Y1942" s="2" t="s">
        <v>41</v>
      </c>
      <c r="Z1942" s="2">
        <v>72</v>
      </c>
      <c r="AA1942" s="2">
        <v>4.9000000000000004</v>
      </c>
      <c r="AB1942" s="2" t="s">
        <v>64</v>
      </c>
    </row>
    <row r="1943" spans="1:28" x14ac:dyDescent="0.25">
      <c r="A1943" s="4" t="s">
        <v>2736</v>
      </c>
      <c r="B1943" s="4" t="s">
        <v>1698</v>
      </c>
      <c r="C1943" s="4">
        <v>72</v>
      </c>
      <c r="D1943" s="4" t="s">
        <v>55</v>
      </c>
      <c r="E1943" s="4" t="s">
        <v>45</v>
      </c>
      <c r="F1943" s="4" t="s">
        <v>80</v>
      </c>
      <c r="G1943" s="5">
        <v>44834</v>
      </c>
      <c r="H1943" s="5">
        <v>44861</v>
      </c>
      <c r="I1943" s="4">
        <v>27</v>
      </c>
      <c r="J1943" s="4" t="s">
        <v>140</v>
      </c>
      <c r="K1943" s="4" t="s">
        <v>141</v>
      </c>
      <c r="L1943" s="4" t="s">
        <v>142</v>
      </c>
      <c r="M1943" s="4" t="s">
        <v>143</v>
      </c>
      <c r="N1943" s="4" t="s">
        <v>109</v>
      </c>
      <c r="O1943" s="4" t="s">
        <v>230</v>
      </c>
      <c r="P1943" s="4">
        <v>236</v>
      </c>
      <c r="Q1943" s="4" t="s">
        <v>50</v>
      </c>
      <c r="R1943" s="4" t="s">
        <v>90</v>
      </c>
      <c r="S1943" s="4">
        <v>34098</v>
      </c>
      <c r="T1943" s="4">
        <v>29155</v>
      </c>
      <c r="U1943" s="4">
        <v>4943</v>
      </c>
      <c r="V1943" s="4">
        <v>21650</v>
      </c>
      <c r="W1943" s="4">
        <v>3764</v>
      </c>
      <c r="X1943" s="4">
        <v>6563</v>
      </c>
      <c r="Y1943" s="4" t="s">
        <v>41</v>
      </c>
      <c r="Z1943" s="4">
        <v>68</v>
      </c>
      <c r="AA1943" s="4">
        <v>4.2</v>
      </c>
      <c r="AB1943" s="4" t="s">
        <v>64</v>
      </c>
    </row>
    <row r="1944" spans="1:28" x14ac:dyDescent="0.25">
      <c r="A1944" s="2" t="s">
        <v>2737</v>
      </c>
      <c r="B1944" s="2" t="s">
        <v>532</v>
      </c>
      <c r="C1944" s="2">
        <v>17</v>
      </c>
      <c r="D1944" s="2" t="s">
        <v>30</v>
      </c>
      <c r="E1944" s="2" t="s">
        <v>87</v>
      </c>
      <c r="F1944" s="2" t="s">
        <v>150</v>
      </c>
      <c r="G1944" s="3">
        <v>45253</v>
      </c>
      <c r="H1944" s="3">
        <v>45278</v>
      </c>
      <c r="I1944" s="2">
        <v>25</v>
      </c>
      <c r="J1944" s="2" t="s">
        <v>115</v>
      </c>
      <c r="K1944" s="2" t="s">
        <v>116</v>
      </c>
      <c r="L1944" s="2" t="s">
        <v>117</v>
      </c>
      <c r="M1944" s="2" t="s">
        <v>75</v>
      </c>
      <c r="N1944" s="2" t="s">
        <v>37</v>
      </c>
      <c r="O1944" s="2" t="s">
        <v>102</v>
      </c>
      <c r="P1944" s="2">
        <v>46</v>
      </c>
      <c r="Q1944" s="2" t="s">
        <v>39</v>
      </c>
      <c r="R1944" s="2" t="s">
        <v>111</v>
      </c>
      <c r="S1944" s="2">
        <v>167717</v>
      </c>
      <c r="T1944" s="2">
        <v>102191</v>
      </c>
      <c r="U1944" s="2">
        <v>65526</v>
      </c>
      <c r="V1944" s="2">
        <v>145804</v>
      </c>
      <c r="W1944" s="2">
        <v>16484</v>
      </c>
      <c r="X1944" s="2">
        <v>629</v>
      </c>
      <c r="Y1944" s="2" t="s">
        <v>41</v>
      </c>
      <c r="Z1944" s="2">
        <v>94</v>
      </c>
      <c r="AA1944" s="2">
        <v>3</v>
      </c>
      <c r="AB1944" s="2" t="s">
        <v>42</v>
      </c>
    </row>
    <row r="1945" spans="1:28" x14ac:dyDescent="0.25">
      <c r="A1945" s="4" t="s">
        <v>2738</v>
      </c>
      <c r="B1945" s="4" t="s">
        <v>697</v>
      </c>
      <c r="C1945" s="4">
        <v>79</v>
      </c>
      <c r="D1945" s="4" t="s">
        <v>55</v>
      </c>
      <c r="E1945" s="4" t="s">
        <v>154</v>
      </c>
      <c r="F1945" s="4" t="s">
        <v>129</v>
      </c>
      <c r="G1945" s="5">
        <v>45018</v>
      </c>
      <c r="H1945" s="5">
        <v>45040</v>
      </c>
      <c r="I1945" s="4">
        <v>22</v>
      </c>
      <c r="J1945" s="4" t="s">
        <v>33</v>
      </c>
      <c r="K1945" s="4" t="s">
        <v>233</v>
      </c>
      <c r="L1945" s="4" t="s">
        <v>35</v>
      </c>
      <c r="M1945" s="4" t="s">
        <v>95</v>
      </c>
      <c r="N1945" s="4" t="s">
        <v>37</v>
      </c>
      <c r="O1945" s="4" t="s">
        <v>248</v>
      </c>
      <c r="P1945" s="4">
        <v>389</v>
      </c>
      <c r="Q1945" s="4" t="s">
        <v>103</v>
      </c>
      <c r="R1945" s="4" t="s">
        <v>111</v>
      </c>
      <c r="S1945" s="4">
        <v>111601</v>
      </c>
      <c r="T1945" s="4">
        <v>70770</v>
      </c>
      <c r="U1945" s="4">
        <v>40831</v>
      </c>
      <c r="V1945" s="4">
        <v>75734</v>
      </c>
      <c r="W1945" s="4">
        <v>27425</v>
      </c>
      <c r="X1945" s="4">
        <v>5221</v>
      </c>
      <c r="Y1945" s="4" t="s">
        <v>41</v>
      </c>
      <c r="Z1945" s="4">
        <v>99</v>
      </c>
      <c r="AA1945" s="4">
        <v>3.2</v>
      </c>
      <c r="AB1945" s="4" t="s">
        <v>64</v>
      </c>
    </row>
    <row r="1946" spans="1:28" x14ac:dyDescent="0.25">
      <c r="A1946" s="2" t="s">
        <v>2739</v>
      </c>
      <c r="B1946" s="2" t="s">
        <v>2466</v>
      </c>
      <c r="C1946" s="2">
        <v>74</v>
      </c>
      <c r="D1946" s="2" t="s">
        <v>55</v>
      </c>
      <c r="E1946" s="2" t="s">
        <v>79</v>
      </c>
      <c r="F1946" s="2" t="s">
        <v>114</v>
      </c>
      <c r="G1946" s="3">
        <v>45087</v>
      </c>
      <c r="H1946" s="3">
        <v>45109</v>
      </c>
      <c r="I1946" s="2">
        <v>22</v>
      </c>
      <c r="J1946" s="2" t="s">
        <v>140</v>
      </c>
      <c r="K1946" s="2" t="s">
        <v>167</v>
      </c>
      <c r="L1946" s="2" t="s">
        <v>142</v>
      </c>
      <c r="M1946" s="2" t="s">
        <v>101</v>
      </c>
      <c r="N1946" s="2" t="s">
        <v>37</v>
      </c>
      <c r="O1946" s="2" t="s">
        <v>199</v>
      </c>
      <c r="P1946" s="2">
        <v>266</v>
      </c>
      <c r="Q1946" s="2" t="s">
        <v>69</v>
      </c>
      <c r="R1946" s="2" t="s">
        <v>111</v>
      </c>
      <c r="S1946" s="2">
        <v>59206</v>
      </c>
      <c r="T1946" s="2">
        <v>36312</v>
      </c>
      <c r="U1946" s="2">
        <v>22894</v>
      </c>
      <c r="V1946" s="2">
        <v>24705</v>
      </c>
      <c r="W1946" s="2">
        <v>19317</v>
      </c>
      <c r="X1946" s="2">
        <v>11604</v>
      </c>
      <c r="Y1946" s="2" t="s">
        <v>41</v>
      </c>
      <c r="Z1946" s="2">
        <v>76</v>
      </c>
      <c r="AA1946" s="2">
        <v>3.8</v>
      </c>
      <c r="AB1946" s="2" t="s">
        <v>64</v>
      </c>
    </row>
    <row r="1947" spans="1:28" x14ac:dyDescent="0.25">
      <c r="A1947" s="4" t="s">
        <v>2740</v>
      </c>
      <c r="B1947" s="4" t="s">
        <v>277</v>
      </c>
      <c r="C1947" s="4">
        <v>38</v>
      </c>
      <c r="D1947" s="4" t="s">
        <v>30</v>
      </c>
      <c r="E1947" s="4" t="s">
        <v>56</v>
      </c>
      <c r="F1947" s="4" t="s">
        <v>57</v>
      </c>
      <c r="G1947" s="5">
        <v>45349</v>
      </c>
      <c r="H1947" s="5">
        <v>45371</v>
      </c>
      <c r="I1947" s="4">
        <v>22</v>
      </c>
      <c r="J1947" s="4" t="s">
        <v>202</v>
      </c>
      <c r="K1947" s="4" t="s">
        <v>225</v>
      </c>
      <c r="L1947" s="4" t="s">
        <v>226</v>
      </c>
      <c r="M1947" s="4" t="s">
        <v>75</v>
      </c>
      <c r="N1947" s="4" t="s">
        <v>109</v>
      </c>
      <c r="O1947" s="4" t="s">
        <v>147</v>
      </c>
      <c r="P1947" s="4">
        <v>37</v>
      </c>
      <c r="Q1947" s="4" t="s">
        <v>103</v>
      </c>
      <c r="R1947" s="4" t="s">
        <v>40</v>
      </c>
      <c r="S1947" s="4">
        <v>172593</v>
      </c>
      <c r="T1947" s="4">
        <v>84888</v>
      </c>
      <c r="U1947" s="4">
        <v>87705</v>
      </c>
      <c r="V1947" s="4">
        <v>140344</v>
      </c>
      <c r="W1947" s="4">
        <v>24941</v>
      </c>
      <c r="X1947" s="4">
        <v>6688</v>
      </c>
      <c r="Y1947" s="4" t="s">
        <v>41</v>
      </c>
      <c r="Z1947" s="4">
        <v>72</v>
      </c>
      <c r="AA1947" s="4">
        <v>3.1</v>
      </c>
      <c r="AB1947" s="4" t="s">
        <v>137</v>
      </c>
    </row>
    <row r="1948" spans="1:28" x14ac:dyDescent="0.25">
      <c r="A1948" s="2" t="s">
        <v>2741</v>
      </c>
      <c r="B1948" s="2" t="s">
        <v>401</v>
      </c>
      <c r="C1948" s="2">
        <v>12</v>
      </c>
      <c r="D1948" s="2" t="s">
        <v>55</v>
      </c>
      <c r="E1948" s="2" t="s">
        <v>67</v>
      </c>
      <c r="F1948" s="2" t="s">
        <v>32</v>
      </c>
      <c r="G1948" s="3">
        <v>44587</v>
      </c>
      <c r="H1948" s="3">
        <v>44599</v>
      </c>
      <c r="I1948" s="2">
        <v>12</v>
      </c>
      <c r="J1948" s="2" t="s">
        <v>115</v>
      </c>
      <c r="K1948" s="2" t="s">
        <v>116</v>
      </c>
      <c r="L1948" s="2" t="s">
        <v>117</v>
      </c>
      <c r="M1948" s="2" t="s">
        <v>95</v>
      </c>
      <c r="N1948" s="2" t="s">
        <v>37</v>
      </c>
      <c r="O1948" s="2" t="s">
        <v>406</v>
      </c>
      <c r="P1948" s="2">
        <v>321</v>
      </c>
      <c r="Q1948" s="2" t="s">
        <v>69</v>
      </c>
      <c r="R1948" s="2" t="s">
        <v>51</v>
      </c>
      <c r="S1948" s="2">
        <v>133103</v>
      </c>
      <c r="T1948" s="2">
        <v>58838</v>
      </c>
      <c r="U1948" s="2">
        <v>74265</v>
      </c>
      <c r="V1948" s="2">
        <v>105484</v>
      </c>
      <c r="W1948" s="2">
        <v>21103</v>
      </c>
      <c r="X1948" s="2">
        <v>5416</v>
      </c>
      <c r="Y1948" s="2" t="s">
        <v>41</v>
      </c>
      <c r="Z1948" s="2">
        <v>75</v>
      </c>
      <c r="AA1948" s="2">
        <v>3.6</v>
      </c>
      <c r="AB1948" s="2" t="s">
        <v>42</v>
      </c>
    </row>
    <row r="1949" spans="1:28" x14ac:dyDescent="0.25">
      <c r="A1949" s="4" t="s">
        <v>2742</v>
      </c>
      <c r="B1949" s="4" t="s">
        <v>1266</v>
      </c>
      <c r="C1949" s="4">
        <v>75</v>
      </c>
      <c r="D1949" s="4" t="s">
        <v>30</v>
      </c>
      <c r="E1949" s="4" t="s">
        <v>122</v>
      </c>
      <c r="F1949" s="4" t="s">
        <v>94</v>
      </c>
      <c r="G1949" s="5">
        <v>44702</v>
      </c>
      <c r="H1949" s="5">
        <v>44705</v>
      </c>
      <c r="I1949" s="4">
        <v>3</v>
      </c>
      <c r="J1949" s="4" t="s">
        <v>123</v>
      </c>
      <c r="K1949" s="4" t="s">
        <v>251</v>
      </c>
      <c r="L1949" s="4" t="s">
        <v>125</v>
      </c>
      <c r="M1949" s="4" t="s">
        <v>36</v>
      </c>
      <c r="N1949" s="4" t="s">
        <v>118</v>
      </c>
      <c r="O1949" s="4" t="s">
        <v>147</v>
      </c>
      <c r="P1949" s="4">
        <v>469</v>
      </c>
      <c r="Q1949" s="4" t="s">
        <v>39</v>
      </c>
      <c r="R1949" s="4" t="s">
        <v>111</v>
      </c>
      <c r="S1949" s="4">
        <v>37908</v>
      </c>
      <c r="T1949" s="4">
        <v>28560</v>
      </c>
      <c r="U1949" s="4">
        <v>9348</v>
      </c>
      <c r="V1949" s="4">
        <v>11728</v>
      </c>
      <c r="W1949" s="4">
        <v>9011</v>
      </c>
      <c r="X1949" s="4">
        <v>13278</v>
      </c>
      <c r="Y1949" s="4" t="s">
        <v>41</v>
      </c>
      <c r="Z1949" s="4">
        <v>61</v>
      </c>
      <c r="AA1949" s="4">
        <v>4.9000000000000004</v>
      </c>
      <c r="AB1949" s="4" t="s">
        <v>42</v>
      </c>
    </row>
    <row r="1950" spans="1:28" x14ac:dyDescent="0.25">
      <c r="A1950" s="2" t="s">
        <v>2743</v>
      </c>
      <c r="B1950" s="2" t="s">
        <v>491</v>
      </c>
      <c r="C1950" s="2">
        <v>39</v>
      </c>
      <c r="D1950" s="2" t="s">
        <v>55</v>
      </c>
      <c r="E1950" s="2" t="s">
        <v>87</v>
      </c>
      <c r="F1950" s="2" t="s">
        <v>129</v>
      </c>
      <c r="G1950" s="3">
        <v>44793</v>
      </c>
      <c r="H1950" s="3">
        <v>44820</v>
      </c>
      <c r="I1950" s="2">
        <v>27</v>
      </c>
      <c r="J1950" s="2" t="s">
        <v>115</v>
      </c>
      <c r="K1950" s="2" t="s">
        <v>160</v>
      </c>
      <c r="L1950" s="2" t="s">
        <v>117</v>
      </c>
      <c r="M1950" s="2" t="s">
        <v>108</v>
      </c>
      <c r="N1950" s="2" t="s">
        <v>37</v>
      </c>
      <c r="O1950" s="2" t="s">
        <v>352</v>
      </c>
      <c r="P1950" s="2">
        <v>109</v>
      </c>
      <c r="Q1950" s="2" t="s">
        <v>39</v>
      </c>
      <c r="R1950" s="2" t="s">
        <v>90</v>
      </c>
      <c r="S1950" s="2">
        <v>58024</v>
      </c>
      <c r="T1950" s="2">
        <v>48758</v>
      </c>
      <c r="U1950" s="2">
        <v>9266</v>
      </c>
      <c r="V1950" s="2">
        <v>24902</v>
      </c>
      <c r="W1950" s="2">
        <v>23411</v>
      </c>
      <c r="X1950" s="2">
        <v>8762</v>
      </c>
      <c r="Y1950" s="2" t="s">
        <v>41</v>
      </c>
      <c r="Z1950" s="2">
        <v>97</v>
      </c>
      <c r="AA1950" s="2">
        <v>2.9</v>
      </c>
      <c r="AB1950" s="2" t="s">
        <v>64</v>
      </c>
    </row>
    <row r="1951" spans="1:28" x14ac:dyDescent="0.25">
      <c r="A1951" s="4" t="s">
        <v>2744</v>
      </c>
      <c r="B1951" s="4" t="s">
        <v>608</v>
      </c>
      <c r="C1951" s="4">
        <v>65</v>
      </c>
      <c r="D1951" s="4" t="s">
        <v>30</v>
      </c>
      <c r="E1951" s="4" t="s">
        <v>45</v>
      </c>
      <c r="F1951" s="4" t="s">
        <v>114</v>
      </c>
      <c r="G1951" s="5">
        <v>45611</v>
      </c>
      <c r="H1951" s="5">
        <v>45634</v>
      </c>
      <c r="I1951" s="4">
        <v>23</v>
      </c>
      <c r="J1951" s="4" t="s">
        <v>140</v>
      </c>
      <c r="K1951" s="4" t="s">
        <v>167</v>
      </c>
      <c r="L1951" s="4" t="s">
        <v>142</v>
      </c>
      <c r="M1951" s="4" t="s">
        <v>36</v>
      </c>
      <c r="N1951" s="4" t="s">
        <v>62</v>
      </c>
      <c r="O1951" s="4" t="s">
        <v>214</v>
      </c>
      <c r="P1951" s="4">
        <v>34</v>
      </c>
      <c r="Q1951" s="4" t="s">
        <v>103</v>
      </c>
      <c r="R1951" s="4" t="s">
        <v>136</v>
      </c>
      <c r="S1951" s="4">
        <v>144276</v>
      </c>
      <c r="T1951" s="4">
        <v>0</v>
      </c>
      <c r="U1951" s="4">
        <v>144276</v>
      </c>
      <c r="V1951" s="4">
        <v>126281</v>
      </c>
      <c r="W1951" s="4">
        <v>6443</v>
      </c>
      <c r="X1951" s="4">
        <v>10303</v>
      </c>
      <c r="Y1951" s="4" t="s">
        <v>41</v>
      </c>
      <c r="Z1951" s="4">
        <v>84</v>
      </c>
      <c r="AA1951" s="4">
        <v>4.7</v>
      </c>
      <c r="AB1951" s="4" t="s">
        <v>104</v>
      </c>
    </row>
    <row r="1952" spans="1:28" x14ac:dyDescent="0.25">
      <c r="A1952" s="2" t="s">
        <v>2745</v>
      </c>
      <c r="B1952" s="2" t="s">
        <v>545</v>
      </c>
      <c r="C1952" s="2">
        <v>54</v>
      </c>
      <c r="D1952" s="2" t="s">
        <v>30</v>
      </c>
      <c r="E1952" s="2" t="s">
        <v>87</v>
      </c>
      <c r="F1952" s="2" t="s">
        <v>46</v>
      </c>
      <c r="G1952" s="3">
        <v>45355</v>
      </c>
      <c r="H1952" s="3">
        <v>45356</v>
      </c>
      <c r="I1952" s="2">
        <v>1</v>
      </c>
      <c r="J1952" s="2" t="s">
        <v>115</v>
      </c>
      <c r="K1952" s="2" t="s">
        <v>160</v>
      </c>
      <c r="L1952" s="2" t="s">
        <v>117</v>
      </c>
      <c r="M1952" s="2" t="s">
        <v>143</v>
      </c>
      <c r="N1952" s="2" t="s">
        <v>109</v>
      </c>
      <c r="O1952" s="2" t="s">
        <v>241</v>
      </c>
      <c r="P1952" s="2">
        <v>37</v>
      </c>
      <c r="Q1952" s="2" t="s">
        <v>103</v>
      </c>
      <c r="R1952" s="2" t="s">
        <v>51</v>
      </c>
      <c r="S1952" s="2">
        <v>64403</v>
      </c>
      <c r="T1952" s="2">
        <v>31720</v>
      </c>
      <c r="U1952" s="2">
        <v>32683</v>
      </c>
      <c r="V1952" s="2">
        <v>34707</v>
      </c>
      <c r="W1952" s="2">
        <v>15672</v>
      </c>
      <c r="X1952" s="2">
        <v>13386</v>
      </c>
      <c r="Y1952" s="2" t="s">
        <v>41</v>
      </c>
      <c r="Z1952" s="2">
        <v>95</v>
      </c>
      <c r="AA1952" s="2">
        <v>2.4</v>
      </c>
      <c r="AB1952" s="2" t="s">
        <v>52</v>
      </c>
    </row>
    <row r="1953" spans="1:28" x14ac:dyDescent="0.25">
      <c r="A1953" s="4" t="s">
        <v>2746</v>
      </c>
      <c r="B1953" s="4" t="s">
        <v>2027</v>
      </c>
      <c r="C1953" s="4">
        <v>75</v>
      </c>
      <c r="D1953" s="4" t="s">
        <v>55</v>
      </c>
      <c r="E1953" s="4" t="s">
        <v>56</v>
      </c>
      <c r="F1953" s="4" t="s">
        <v>94</v>
      </c>
      <c r="G1953" s="5">
        <v>45212</v>
      </c>
      <c r="H1953" s="5">
        <v>45232</v>
      </c>
      <c r="I1953" s="4">
        <v>20</v>
      </c>
      <c r="J1953" s="4" t="s">
        <v>123</v>
      </c>
      <c r="K1953" s="4" t="s">
        <v>124</v>
      </c>
      <c r="L1953" s="4" t="s">
        <v>125</v>
      </c>
      <c r="M1953" s="4" t="s">
        <v>108</v>
      </c>
      <c r="N1953" s="4" t="s">
        <v>109</v>
      </c>
      <c r="O1953" s="4" t="s">
        <v>428</v>
      </c>
      <c r="P1953" s="4">
        <v>60</v>
      </c>
      <c r="Q1953" s="4" t="s">
        <v>103</v>
      </c>
      <c r="R1953" s="4" t="s">
        <v>136</v>
      </c>
      <c r="S1953" s="4">
        <v>78315</v>
      </c>
      <c r="T1953" s="4">
        <v>0</v>
      </c>
      <c r="U1953" s="4">
        <v>78315</v>
      </c>
      <c r="V1953" s="4">
        <v>39154</v>
      </c>
      <c r="W1953" s="4">
        <v>29360</v>
      </c>
      <c r="X1953" s="4">
        <v>7930</v>
      </c>
      <c r="Y1953" s="4" t="s">
        <v>41</v>
      </c>
      <c r="Z1953" s="4">
        <v>45</v>
      </c>
      <c r="AA1953" s="4">
        <v>3.7</v>
      </c>
      <c r="AB1953" s="4" t="s">
        <v>42</v>
      </c>
    </row>
    <row r="1954" spans="1:28" x14ac:dyDescent="0.25">
      <c r="A1954" s="2" t="s">
        <v>2747</v>
      </c>
      <c r="B1954" s="2" t="s">
        <v>661</v>
      </c>
      <c r="C1954" s="2">
        <v>78</v>
      </c>
      <c r="D1954" s="2" t="s">
        <v>30</v>
      </c>
      <c r="E1954" s="2" t="s">
        <v>31</v>
      </c>
      <c r="F1954" s="2" t="s">
        <v>157</v>
      </c>
      <c r="G1954" s="3">
        <v>44649</v>
      </c>
      <c r="H1954" s="3">
        <v>44650</v>
      </c>
      <c r="I1954" s="2">
        <v>1</v>
      </c>
      <c r="J1954" s="2" t="s">
        <v>202</v>
      </c>
      <c r="K1954" s="2" t="s">
        <v>203</v>
      </c>
      <c r="L1954" s="2" t="s">
        <v>204</v>
      </c>
      <c r="M1954" s="2" t="s">
        <v>101</v>
      </c>
      <c r="N1954" s="2" t="s">
        <v>109</v>
      </c>
      <c r="O1954" s="2" t="s">
        <v>282</v>
      </c>
      <c r="P1954" s="2">
        <v>116</v>
      </c>
      <c r="Q1954" s="2" t="s">
        <v>103</v>
      </c>
      <c r="R1954" s="2" t="s">
        <v>40</v>
      </c>
      <c r="S1954" s="2">
        <v>63355</v>
      </c>
      <c r="T1954" s="2">
        <v>26771</v>
      </c>
      <c r="U1954" s="2">
        <v>36584</v>
      </c>
      <c r="V1954" s="2">
        <v>45920</v>
      </c>
      <c r="W1954" s="2">
        <v>7388</v>
      </c>
      <c r="X1954" s="2">
        <v>9400</v>
      </c>
      <c r="Y1954" s="2" t="s">
        <v>41</v>
      </c>
      <c r="Z1954" s="2">
        <v>42</v>
      </c>
      <c r="AA1954" s="2">
        <v>2.5</v>
      </c>
      <c r="AB1954" s="2" t="s">
        <v>42</v>
      </c>
    </row>
    <row r="1955" spans="1:28" x14ac:dyDescent="0.25">
      <c r="A1955" s="4" t="s">
        <v>2748</v>
      </c>
      <c r="B1955" s="4" t="s">
        <v>590</v>
      </c>
      <c r="C1955" s="4">
        <v>16</v>
      </c>
      <c r="D1955" s="4" t="s">
        <v>30</v>
      </c>
      <c r="E1955" s="4" t="s">
        <v>122</v>
      </c>
      <c r="F1955" s="4" t="s">
        <v>157</v>
      </c>
      <c r="G1955" s="5">
        <v>45129</v>
      </c>
      <c r="H1955" s="5">
        <v>45142</v>
      </c>
      <c r="I1955" s="4">
        <v>13</v>
      </c>
      <c r="J1955" s="4" t="s">
        <v>33</v>
      </c>
      <c r="K1955" s="4" t="s">
        <v>233</v>
      </c>
      <c r="L1955" s="4" t="s">
        <v>35</v>
      </c>
      <c r="M1955" s="4" t="s">
        <v>36</v>
      </c>
      <c r="N1955" s="4" t="s">
        <v>109</v>
      </c>
      <c r="O1955" s="4" t="s">
        <v>368</v>
      </c>
      <c r="P1955" s="4">
        <v>480</v>
      </c>
      <c r="Q1955" s="4" t="s">
        <v>103</v>
      </c>
      <c r="R1955" s="4" t="s">
        <v>111</v>
      </c>
      <c r="S1955" s="4">
        <v>63390</v>
      </c>
      <c r="T1955" s="4">
        <v>50067</v>
      </c>
      <c r="U1955" s="4">
        <v>13323</v>
      </c>
      <c r="V1955" s="4">
        <v>42440</v>
      </c>
      <c r="W1955" s="4">
        <v>17086</v>
      </c>
      <c r="X1955" s="4">
        <v>3067</v>
      </c>
      <c r="Y1955" s="4" t="s">
        <v>41</v>
      </c>
      <c r="Z1955" s="4">
        <v>43</v>
      </c>
      <c r="AA1955" s="4">
        <v>4.0999999999999996</v>
      </c>
      <c r="AB1955" s="4" t="s">
        <v>42</v>
      </c>
    </row>
    <row r="1956" spans="1:28" x14ac:dyDescent="0.25">
      <c r="A1956" s="2" t="s">
        <v>2749</v>
      </c>
      <c r="B1956" s="2" t="s">
        <v>320</v>
      </c>
      <c r="C1956" s="2">
        <v>60</v>
      </c>
      <c r="D1956" s="2" t="s">
        <v>55</v>
      </c>
      <c r="E1956" s="2" t="s">
        <v>45</v>
      </c>
      <c r="F1956" s="2" t="s">
        <v>32</v>
      </c>
      <c r="G1956" s="3">
        <v>45055</v>
      </c>
      <c r="H1956" s="3">
        <v>45062</v>
      </c>
      <c r="I1956" s="2">
        <v>7</v>
      </c>
      <c r="J1956" s="2" t="s">
        <v>58</v>
      </c>
      <c r="K1956" s="2" t="s">
        <v>88</v>
      </c>
      <c r="L1956" s="2" t="s">
        <v>60</v>
      </c>
      <c r="M1956" s="2" t="s">
        <v>36</v>
      </c>
      <c r="N1956" s="2" t="s">
        <v>37</v>
      </c>
      <c r="O1956" s="2" t="s">
        <v>571</v>
      </c>
      <c r="P1956" s="2">
        <v>68</v>
      </c>
      <c r="Q1956" s="2" t="s">
        <v>50</v>
      </c>
      <c r="R1956" s="2" t="s">
        <v>90</v>
      </c>
      <c r="S1956" s="2">
        <v>42624</v>
      </c>
      <c r="T1956" s="2">
        <v>30406</v>
      </c>
      <c r="U1956" s="2">
        <v>12218</v>
      </c>
      <c r="V1956" s="2">
        <v>14349</v>
      </c>
      <c r="W1956" s="2">
        <v>11233</v>
      </c>
      <c r="X1956" s="2">
        <v>14313</v>
      </c>
      <c r="Y1956" s="2" t="s">
        <v>91</v>
      </c>
      <c r="Z1956" s="2">
        <v>55</v>
      </c>
      <c r="AA1956" s="2">
        <v>2.1</v>
      </c>
      <c r="AB1956" s="2" t="s">
        <v>52</v>
      </c>
    </row>
    <row r="1957" spans="1:28" x14ac:dyDescent="0.25">
      <c r="A1957" s="4" t="s">
        <v>2750</v>
      </c>
      <c r="B1957" s="4" t="s">
        <v>529</v>
      </c>
      <c r="C1957" s="4">
        <v>48</v>
      </c>
      <c r="D1957" s="4" t="s">
        <v>55</v>
      </c>
      <c r="E1957" s="4" t="s">
        <v>31</v>
      </c>
      <c r="F1957" s="4" t="s">
        <v>32</v>
      </c>
      <c r="G1957" s="5">
        <v>44819</v>
      </c>
      <c r="H1957" s="5">
        <v>44820</v>
      </c>
      <c r="I1957" s="4">
        <v>1</v>
      </c>
      <c r="J1957" s="4" t="s">
        <v>33</v>
      </c>
      <c r="K1957" s="4" t="s">
        <v>278</v>
      </c>
      <c r="L1957" s="4" t="s">
        <v>279</v>
      </c>
      <c r="M1957" s="4" t="s">
        <v>83</v>
      </c>
      <c r="N1957" s="4" t="s">
        <v>109</v>
      </c>
      <c r="O1957" s="4" t="s">
        <v>321</v>
      </c>
      <c r="P1957" s="4">
        <v>428</v>
      </c>
      <c r="Q1957" s="4" t="s">
        <v>39</v>
      </c>
      <c r="R1957" s="4" t="s">
        <v>136</v>
      </c>
      <c r="S1957" s="4">
        <v>28519</v>
      </c>
      <c r="T1957" s="4">
        <v>0</v>
      </c>
      <c r="U1957" s="4">
        <v>28519</v>
      </c>
      <c r="V1957" s="4">
        <v>5031</v>
      </c>
      <c r="W1957" s="4">
        <v>16655</v>
      </c>
      <c r="X1957" s="4">
        <v>5569</v>
      </c>
      <c r="Y1957" s="4" t="s">
        <v>41</v>
      </c>
      <c r="Z1957" s="4">
        <v>52</v>
      </c>
      <c r="AA1957" s="4">
        <v>3</v>
      </c>
      <c r="AB1957" s="4" t="s">
        <v>137</v>
      </c>
    </row>
    <row r="1958" spans="1:28" x14ac:dyDescent="0.25">
      <c r="A1958" s="2" t="s">
        <v>2751</v>
      </c>
      <c r="B1958" s="2" t="s">
        <v>2752</v>
      </c>
      <c r="C1958" s="2">
        <v>35</v>
      </c>
      <c r="D1958" s="2" t="s">
        <v>55</v>
      </c>
      <c r="E1958" s="2" t="s">
        <v>122</v>
      </c>
      <c r="F1958" s="2" t="s">
        <v>32</v>
      </c>
      <c r="G1958" s="3">
        <v>45348</v>
      </c>
      <c r="H1958" s="3">
        <v>45356</v>
      </c>
      <c r="I1958" s="2">
        <v>8</v>
      </c>
      <c r="J1958" s="2" t="s">
        <v>202</v>
      </c>
      <c r="K1958" s="2" t="s">
        <v>225</v>
      </c>
      <c r="L1958" s="2" t="s">
        <v>226</v>
      </c>
      <c r="M1958" s="2" t="s">
        <v>83</v>
      </c>
      <c r="N1958" s="2" t="s">
        <v>118</v>
      </c>
      <c r="O1958" s="2" t="s">
        <v>595</v>
      </c>
      <c r="P1958" s="2">
        <v>310</v>
      </c>
      <c r="Q1958" s="2" t="s">
        <v>69</v>
      </c>
      <c r="R1958" s="2" t="s">
        <v>51</v>
      </c>
      <c r="S1958" s="2">
        <v>127955</v>
      </c>
      <c r="T1958" s="2">
        <v>78151</v>
      </c>
      <c r="U1958" s="2">
        <v>49804</v>
      </c>
      <c r="V1958" s="2">
        <v>88908</v>
      </c>
      <c r="W1958" s="2">
        <v>29625</v>
      </c>
      <c r="X1958" s="2">
        <v>8763</v>
      </c>
      <c r="Y1958" s="2" t="s">
        <v>91</v>
      </c>
      <c r="Z1958" s="2">
        <v>75</v>
      </c>
      <c r="AA1958" s="2">
        <v>2.9</v>
      </c>
      <c r="AB1958" s="2" t="s">
        <v>137</v>
      </c>
    </row>
    <row r="1959" spans="1:28" x14ac:dyDescent="0.25">
      <c r="A1959" s="4" t="s">
        <v>2753</v>
      </c>
      <c r="B1959" s="4" t="s">
        <v>245</v>
      </c>
      <c r="C1959" s="4">
        <v>67</v>
      </c>
      <c r="D1959" s="4" t="s">
        <v>30</v>
      </c>
      <c r="E1959" s="4" t="s">
        <v>122</v>
      </c>
      <c r="F1959" s="4" t="s">
        <v>157</v>
      </c>
      <c r="G1959" s="5">
        <v>45197</v>
      </c>
      <c r="H1959" s="5">
        <v>45211</v>
      </c>
      <c r="I1959" s="4">
        <v>14</v>
      </c>
      <c r="J1959" s="4" t="s">
        <v>202</v>
      </c>
      <c r="K1959" s="4" t="s">
        <v>225</v>
      </c>
      <c r="L1959" s="4" t="s">
        <v>226</v>
      </c>
      <c r="M1959" s="4" t="s">
        <v>36</v>
      </c>
      <c r="N1959" s="4" t="s">
        <v>118</v>
      </c>
      <c r="O1959" s="4" t="s">
        <v>390</v>
      </c>
      <c r="P1959" s="4">
        <v>3</v>
      </c>
      <c r="Q1959" s="4" t="s">
        <v>69</v>
      </c>
      <c r="R1959" s="4" t="s">
        <v>40</v>
      </c>
      <c r="S1959" s="4">
        <v>112611</v>
      </c>
      <c r="T1959" s="4">
        <v>74343</v>
      </c>
      <c r="U1959" s="4">
        <v>38268</v>
      </c>
      <c r="V1959" s="4">
        <v>72023</v>
      </c>
      <c r="W1959" s="4">
        <v>26183</v>
      </c>
      <c r="X1959" s="4">
        <v>10873</v>
      </c>
      <c r="Y1959" s="4" t="s">
        <v>41</v>
      </c>
      <c r="Z1959" s="4">
        <v>85</v>
      </c>
      <c r="AA1959" s="4">
        <v>4</v>
      </c>
      <c r="AB1959" s="4" t="s">
        <v>52</v>
      </c>
    </row>
    <row r="1960" spans="1:28" x14ac:dyDescent="0.25">
      <c r="A1960" s="2" t="s">
        <v>2754</v>
      </c>
      <c r="B1960" s="2" t="s">
        <v>2347</v>
      </c>
      <c r="C1960" s="2">
        <v>25</v>
      </c>
      <c r="D1960" s="2" t="s">
        <v>55</v>
      </c>
      <c r="E1960" s="2" t="s">
        <v>56</v>
      </c>
      <c r="F1960" s="2" t="s">
        <v>94</v>
      </c>
      <c r="G1960" s="3">
        <v>44778</v>
      </c>
      <c r="H1960" s="3">
        <v>44803</v>
      </c>
      <c r="I1960" s="2">
        <v>25</v>
      </c>
      <c r="J1960" s="2" t="s">
        <v>33</v>
      </c>
      <c r="K1960" s="2" t="s">
        <v>233</v>
      </c>
      <c r="L1960" s="2" t="s">
        <v>35</v>
      </c>
      <c r="M1960" s="2" t="s">
        <v>143</v>
      </c>
      <c r="N1960" s="2" t="s">
        <v>109</v>
      </c>
      <c r="O1960" s="2" t="s">
        <v>548</v>
      </c>
      <c r="P1960" s="2">
        <v>49</v>
      </c>
      <c r="Q1960" s="2" t="s">
        <v>103</v>
      </c>
      <c r="R1960" s="2" t="s">
        <v>136</v>
      </c>
      <c r="S1960" s="2">
        <v>67271</v>
      </c>
      <c r="T1960" s="2">
        <v>0</v>
      </c>
      <c r="U1960" s="2">
        <v>67271</v>
      </c>
      <c r="V1960" s="2">
        <v>32567</v>
      </c>
      <c r="W1960" s="2">
        <v>20662</v>
      </c>
      <c r="X1960" s="2">
        <v>9057</v>
      </c>
      <c r="Y1960" s="2" t="s">
        <v>41</v>
      </c>
      <c r="Z1960" s="2">
        <v>40</v>
      </c>
      <c r="AA1960" s="2">
        <v>3.2</v>
      </c>
      <c r="AB1960" s="2" t="s">
        <v>104</v>
      </c>
    </row>
    <row r="1961" spans="1:28" x14ac:dyDescent="0.25">
      <c r="A1961" s="4" t="s">
        <v>2755</v>
      </c>
      <c r="B1961" s="4" t="s">
        <v>54</v>
      </c>
      <c r="C1961" s="4">
        <v>19</v>
      </c>
      <c r="D1961" s="4" t="s">
        <v>30</v>
      </c>
      <c r="E1961" s="4" t="s">
        <v>45</v>
      </c>
      <c r="F1961" s="4" t="s">
        <v>57</v>
      </c>
      <c r="G1961" s="5">
        <v>45496</v>
      </c>
      <c r="H1961" s="5">
        <v>45507</v>
      </c>
      <c r="I1961" s="4">
        <v>11</v>
      </c>
      <c r="J1961" s="4" t="s">
        <v>33</v>
      </c>
      <c r="K1961" s="4" t="s">
        <v>34</v>
      </c>
      <c r="L1961" s="4" t="s">
        <v>35</v>
      </c>
      <c r="M1961" s="4" t="s">
        <v>143</v>
      </c>
      <c r="N1961" s="4" t="s">
        <v>37</v>
      </c>
      <c r="O1961" s="4" t="s">
        <v>189</v>
      </c>
      <c r="P1961" s="4">
        <v>325</v>
      </c>
      <c r="Q1961" s="4" t="s">
        <v>50</v>
      </c>
      <c r="R1961" s="4" t="s">
        <v>90</v>
      </c>
      <c r="S1961" s="4">
        <v>98443</v>
      </c>
      <c r="T1961" s="4">
        <v>78188</v>
      </c>
      <c r="U1961" s="4">
        <v>20255</v>
      </c>
      <c r="V1961" s="4">
        <v>78548</v>
      </c>
      <c r="W1961" s="4">
        <v>14147</v>
      </c>
      <c r="X1961" s="4">
        <v>2042</v>
      </c>
      <c r="Y1961" s="4" t="s">
        <v>41</v>
      </c>
      <c r="Z1961" s="4">
        <v>83</v>
      </c>
      <c r="AA1961" s="4">
        <v>3.9</v>
      </c>
      <c r="AB1961" s="4" t="s">
        <v>42</v>
      </c>
    </row>
    <row r="1962" spans="1:28" x14ac:dyDescent="0.25">
      <c r="A1962" s="2" t="s">
        <v>2756</v>
      </c>
      <c r="B1962" s="2" t="s">
        <v>732</v>
      </c>
      <c r="C1962" s="2">
        <v>30</v>
      </c>
      <c r="D1962" s="2" t="s">
        <v>30</v>
      </c>
      <c r="E1962" s="2" t="s">
        <v>45</v>
      </c>
      <c r="F1962" s="2" t="s">
        <v>114</v>
      </c>
      <c r="G1962" s="3">
        <v>45584</v>
      </c>
      <c r="H1962" s="3">
        <v>45610</v>
      </c>
      <c r="I1962" s="2">
        <v>26</v>
      </c>
      <c r="J1962" s="2" t="s">
        <v>123</v>
      </c>
      <c r="K1962" s="2" t="s">
        <v>124</v>
      </c>
      <c r="L1962" s="2" t="s">
        <v>125</v>
      </c>
      <c r="M1962" s="2" t="s">
        <v>143</v>
      </c>
      <c r="N1962" s="2" t="s">
        <v>62</v>
      </c>
      <c r="O1962" s="2" t="s">
        <v>84</v>
      </c>
      <c r="P1962" s="2">
        <v>249</v>
      </c>
      <c r="Q1962" s="2" t="s">
        <v>69</v>
      </c>
      <c r="R1962" s="2" t="s">
        <v>90</v>
      </c>
      <c r="S1962" s="2">
        <v>94776</v>
      </c>
      <c r="T1962" s="2">
        <v>63334</v>
      </c>
      <c r="U1962" s="2">
        <v>31442</v>
      </c>
      <c r="V1962" s="2">
        <v>64603</v>
      </c>
      <c r="W1962" s="2">
        <v>13565</v>
      </c>
      <c r="X1962" s="2">
        <v>13328</v>
      </c>
      <c r="Y1962" s="2" t="s">
        <v>41</v>
      </c>
      <c r="Z1962" s="2">
        <v>88</v>
      </c>
      <c r="AA1962" s="2">
        <v>2.9</v>
      </c>
      <c r="AB1962" s="2" t="s">
        <v>52</v>
      </c>
    </row>
    <row r="1963" spans="1:28" x14ac:dyDescent="0.25">
      <c r="A1963" s="4" t="s">
        <v>2757</v>
      </c>
      <c r="B1963" s="4" t="s">
        <v>1046</v>
      </c>
      <c r="C1963" s="4">
        <v>65</v>
      </c>
      <c r="D1963" s="4" t="s">
        <v>55</v>
      </c>
      <c r="E1963" s="4" t="s">
        <v>87</v>
      </c>
      <c r="F1963" s="4" t="s">
        <v>46</v>
      </c>
      <c r="G1963" s="5">
        <v>45252</v>
      </c>
      <c r="H1963" s="5">
        <v>45259</v>
      </c>
      <c r="I1963" s="4">
        <v>7</v>
      </c>
      <c r="J1963" s="4" t="s">
        <v>202</v>
      </c>
      <c r="K1963" s="4" t="s">
        <v>203</v>
      </c>
      <c r="L1963" s="4" t="s">
        <v>204</v>
      </c>
      <c r="M1963" s="4" t="s">
        <v>95</v>
      </c>
      <c r="N1963" s="4" t="s">
        <v>118</v>
      </c>
      <c r="O1963" s="4" t="s">
        <v>497</v>
      </c>
      <c r="P1963" s="4">
        <v>491</v>
      </c>
      <c r="Q1963" s="4" t="s">
        <v>69</v>
      </c>
      <c r="R1963" s="4" t="s">
        <v>90</v>
      </c>
      <c r="S1963" s="4">
        <v>75894</v>
      </c>
      <c r="T1963" s="4">
        <v>67851</v>
      </c>
      <c r="U1963" s="4">
        <v>8043</v>
      </c>
      <c r="V1963" s="4">
        <v>43049</v>
      </c>
      <c r="W1963" s="4">
        <v>21582</v>
      </c>
      <c r="X1963" s="4">
        <v>10612</v>
      </c>
      <c r="Y1963" s="4" t="s">
        <v>41</v>
      </c>
      <c r="Z1963" s="4">
        <v>62</v>
      </c>
      <c r="AA1963" s="4">
        <v>2.9</v>
      </c>
      <c r="AB1963" s="4" t="s">
        <v>64</v>
      </c>
    </row>
    <row r="1964" spans="1:28" x14ac:dyDescent="0.25">
      <c r="A1964" s="2" t="s">
        <v>2758</v>
      </c>
      <c r="B1964" s="2" t="s">
        <v>1153</v>
      </c>
      <c r="C1964" s="2">
        <v>37</v>
      </c>
      <c r="D1964" s="2" t="s">
        <v>55</v>
      </c>
      <c r="E1964" s="2" t="s">
        <v>87</v>
      </c>
      <c r="F1964" s="2" t="s">
        <v>129</v>
      </c>
      <c r="G1964" s="3">
        <v>45082</v>
      </c>
      <c r="H1964" s="3">
        <v>45089</v>
      </c>
      <c r="I1964" s="2">
        <v>7</v>
      </c>
      <c r="J1964" s="2" t="s">
        <v>33</v>
      </c>
      <c r="K1964" s="2" t="s">
        <v>81</v>
      </c>
      <c r="L1964" s="2" t="s">
        <v>82</v>
      </c>
      <c r="M1964" s="2" t="s">
        <v>130</v>
      </c>
      <c r="N1964" s="2" t="s">
        <v>62</v>
      </c>
      <c r="O1964" s="2" t="s">
        <v>259</v>
      </c>
      <c r="P1964" s="2">
        <v>482</v>
      </c>
      <c r="Q1964" s="2" t="s">
        <v>39</v>
      </c>
      <c r="R1964" s="2" t="s">
        <v>136</v>
      </c>
      <c r="S1964" s="2">
        <v>108473</v>
      </c>
      <c r="T1964" s="2">
        <v>0</v>
      </c>
      <c r="U1964" s="2">
        <v>108473</v>
      </c>
      <c r="V1964" s="2">
        <v>89777</v>
      </c>
      <c r="W1964" s="2">
        <v>2857</v>
      </c>
      <c r="X1964" s="2">
        <v>11067</v>
      </c>
      <c r="Y1964" s="2" t="s">
        <v>91</v>
      </c>
      <c r="Z1964" s="2">
        <v>85</v>
      </c>
      <c r="AA1964" s="2">
        <v>3.3</v>
      </c>
      <c r="AB1964" s="2" t="s">
        <v>52</v>
      </c>
    </row>
    <row r="1965" spans="1:28" x14ac:dyDescent="0.25">
      <c r="A1965" s="4" t="s">
        <v>2759</v>
      </c>
      <c r="B1965" s="4" t="s">
        <v>1485</v>
      </c>
      <c r="C1965" s="4">
        <v>24</v>
      </c>
      <c r="D1965" s="4" t="s">
        <v>55</v>
      </c>
      <c r="E1965" s="4" t="s">
        <v>67</v>
      </c>
      <c r="F1965" s="4" t="s">
        <v>57</v>
      </c>
      <c r="G1965" s="5">
        <v>45462</v>
      </c>
      <c r="H1965" s="5">
        <v>45472</v>
      </c>
      <c r="I1965" s="4">
        <v>10</v>
      </c>
      <c r="J1965" s="4" t="s">
        <v>33</v>
      </c>
      <c r="K1965" s="4" t="s">
        <v>34</v>
      </c>
      <c r="L1965" s="4" t="s">
        <v>35</v>
      </c>
      <c r="M1965" s="4" t="s">
        <v>130</v>
      </c>
      <c r="N1965" s="4" t="s">
        <v>37</v>
      </c>
      <c r="O1965" s="4" t="s">
        <v>208</v>
      </c>
      <c r="P1965" s="4">
        <v>89</v>
      </c>
      <c r="Q1965" s="4" t="s">
        <v>50</v>
      </c>
      <c r="R1965" s="4" t="s">
        <v>40</v>
      </c>
      <c r="S1965" s="4">
        <v>109535</v>
      </c>
      <c r="T1965" s="4">
        <v>49999</v>
      </c>
      <c r="U1965" s="4">
        <v>59536</v>
      </c>
      <c r="V1965" s="4">
        <v>92982</v>
      </c>
      <c r="W1965" s="4">
        <v>11584</v>
      </c>
      <c r="X1965" s="4">
        <v>3812</v>
      </c>
      <c r="Y1965" s="4" t="s">
        <v>41</v>
      </c>
      <c r="Z1965" s="4">
        <v>68</v>
      </c>
      <c r="AA1965" s="4">
        <v>3.3</v>
      </c>
      <c r="AB1965" s="4" t="s">
        <v>64</v>
      </c>
    </row>
    <row r="1966" spans="1:28" x14ac:dyDescent="0.25">
      <c r="A1966" s="2" t="s">
        <v>2760</v>
      </c>
      <c r="B1966" s="2" t="s">
        <v>320</v>
      </c>
      <c r="C1966" s="2">
        <v>78</v>
      </c>
      <c r="D1966" s="2" t="s">
        <v>30</v>
      </c>
      <c r="E1966" s="2" t="s">
        <v>79</v>
      </c>
      <c r="F1966" s="2" t="s">
        <v>157</v>
      </c>
      <c r="G1966" s="3">
        <v>45569</v>
      </c>
      <c r="H1966" s="3">
        <v>45581</v>
      </c>
      <c r="I1966" s="2">
        <v>12</v>
      </c>
      <c r="J1966" s="2" t="s">
        <v>140</v>
      </c>
      <c r="K1966" s="2" t="s">
        <v>167</v>
      </c>
      <c r="L1966" s="2" t="s">
        <v>142</v>
      </c>
      <c r="M1966" s="2" t="s">
        <v>36</v>
      </c>
      <c r="N1966" s="2" t="s">
        <v>37</v>
      </c>
      <c r="O1966" s="2" t="s">
        <v>102</v>
      </c>
      <c r="P1966" s="2">
        <v>315</v>
      </c>
      <c r="Q1966" s="2" t="s">
        <v>69</v>
      </c>
      <c r="R1966" s="2" t="s">
        <v>136</v>
      </c>
      <c r="S1966" s="2">
        <v>170232</v>
      </c>
      <c r="T1966" s="2">
        <v>0</v>
      </c>
      <c r="U1966" s="2">
        <v>170232</v>
      </c>
      <c r="V1966" s="2">
        <v>149012</v>
      </c>
      <c r="W1966" s="2">
        <v>9787</v>
      </c>
      <c r="X1966" s="2">
        <v>9584</v>
      </c>
      <c r="Y1966" s="2" t="s">
        <v>41</v>
      </c>
      <c r="Z1966" s="2">
        <v>68</v>
      </c>
      <c r="AA1966" s="2">
        <v>2.6</v>
      </c>
      <c r="AB1966" s="2" t="s">
        <v>64</v>
      </c>
    </row>
    <row r="1967" spans="1:28" x14ac:dyDescent="0.25">
      <c r="A1967" s="4" t="s">
        <v>2761</v>
      </c>
      <c r="B1967" s="4" t="s">
        <v>854</v>
      </c>
      <c r="C1967" s="4">
        <v>56</v>
      </c>
      <c r="D1967" s="4" t="s">
        <v>55</v>
      </c>
      <c r="E1967" s="4" t="s">
        <v>122</v>
      </c>
      <c r="F1967" s="4" t="s">
        <v>94</v>
      </c>
      <c r="G1967" s="5">
        <v>44897</v>
      </c>
      <c r="H1967" s="5">
        <v>44923</v>
      </c>
      <c r="I1967" s="4">
        <v>26</v>
      </c>
      <c r="J1967" s="4" t="s">
        <v>33</v>
      </c>
      <c r="K1967" s="4" t="s">
        <v>278</v>
      </c>
      <c r="L1967" s="4" t="s">
        <v>279</v>
      </c>
      <c r="M1967" s="4" t="s">
        <v>95</v>
      </c>
      <c r="N1967" s="4" t="s">
        <v>37</v>
      </c>
      <c r="O1967" s="4" t="s">
        <v>241</v>
      </c>
      <c r="P1967" s="4">
        <v>416</v>
      </c>
      <c r="Q1967" s="4" t="s">
        <v>69</v>
      </c>
      <c r="R1967" s="4" t="s">
        <v>111</v>
      </c>
      <c r="S1967" s="4">
        <v>102244</v>
      </c>
      <c r="T1967" s="4">
        <v>87011</v>
      </c>
      <c r="U1967" s="4">
        <v>15233</v>
      </c>
      <c r="V1967" s="4">
        <v>79682</v>
      </c>
      <c r="W1967" s="4">
        <v>13663</v>
      </c>
      <c r="X1967" s="4">
        <v>5051</v>
      </c>
      <c r="Y1967" s="4" t="s">
        <v>41</v>
      </c>
      <c r="Z1967" s="4">
        <v>64</v>
      </c>
      <c r="AA1967" s="4">
        <v>2.8</v>
      </c>
      <c r="AB1967" s="4" t="s">
        <v>42</v>
      </c>
    </row>
    <row r="1968" spans="1:28" x14ac:dyDescent="0.25">
      <c r="A1968" s="2" t="s">
        <v>2762</v>
      </c>
      <c r="B1968" s="2" t="s">
        <v>1291</v>
      </c>
      <c r="C1968" s="2">
        <v>53</v>
      </c>
      <c r="D1968" s="2" t="s">
        <v>55</v>
      </c>
      <c r="E1968" s="2" t="s">
        <v>45</v>
      </c>
      <c r="F1968" s="2" t="s">
        <v>57</v>
      </c>
      <c r="G1968" s="3">
        <v>45097</v>
      </c>
      <c r="H1968" s="3">
        <v>45127</v>
      </c>
      <c r="I1968" s="2">
        <v>30</v>
      </c>
      <c r="J1968" s="2" t="s">
        <v>58</v>
      </c>
      <c r="K1968" s="2" t="s">
        <v>88</v>
      </c>
      <c r="L1968" s="2" t="s">
        <v>60</v>
      </c>
      <c r="M1968" s="2" t="s">
        <v>36</v>
      </c>
      <c r="N1968" s="2" t="s">
        <v>118</v>
      </c>
      <c r="O1968" s="2" t="s">
        <v>89</v>
      </c>
      <c r="P1968" s="2">
        <v>298</v>
      </c>
      <c r="Q1968" s="2" t="s">
        <v>39</v>
      </c>
      <c r="R1968" s="2" t="s">
        <v>136</v>
      </c>
      <c r="S1968" s="2">
        <v>160395</v>
      </c>
      <c r="T1968" s="2">
        <v>0</v>
      </c>
      <c r="U1968" s="2">
        <v>160395</v>
      </c>
      <c r="V1968" s="2">
        <v>127816</v>
      </c>
      <c r="W1968" s="2">
        <v>29927</v>
      </c>
      <c r="X1968" s="2">
        <v>755</v>
      </c>
      <c r="Y1968" s="2" t="s">
        <v>41</v>
      </c>
      <c r="Z1968" s="2">
        <v>47</v>
      </c>
      <c r="AA1968" s="2">
        <v>2</v>
      </c>
      <c r="AB1968" s="2" t="s">
        <v>42</v>
      </c>
    </row>
    <row r="1969" spans="1:28" x14ac:dyDescent="0.25">
      <c r="A1969" s="4" t="s">
        <v>2763</v>
      </c>
      <c r="B1969" s="4" t="s">
        <v>1805</v>
      </c>
      <c r="C1969" s="4">
        <v>18</v>
      </c>
      <c r="D1969" s="4" t="s">
        <v>30</v>
      </c>
      <c r="E1969" s="4" t="s">
        <v>31</v>
      </c>
      <c r="F1969" s="4" t="s">
        <v>94</v>
      </c>
      <c r="G1969" s="5">
        <v>44875</v>
      </c>
      <c r="H1969" s="5">
        <v>44886</v>
      </c>
      <c r="I1969" s="4">
        <v>11</v>
      </c>
      <c r="J1969" s="4" t="s">
        <v>33</v>
      </c>
      <c r="K1969" s="4" t="s">
        <v>47</v>
      </c>
      <c r="L1969" s="4" t="s">
        <v>48</v>
      </c>
      <c r="M1969" s="4" t="s">
        <v>130</v>
      </c>
      <c r="N1969" s="4" t="s">
        <v>109</v>
      </c>
      <c r="O1969" s="4" t="s">
        <v>340</v>
      </c>
      <c r="P1969" s="4">
        <v>390</v>
      </c>
      <c r="Q1969" s="4" t="s">
        <v>103</v>
      </c>
      <c r="R1969" s="4" t="s">
        <v>136</v>
      </c>
      <c r="S1969" s="4">
        <v>68966</v>
      </c>
      <c r="T1969" s="4">
        <v>0</v>
      </c>
      <c r="U1969" s="4">
        <v>68966</v>
      </c>
      <c r="V1969" s="4">
        <v>35886</v>
      </c>
      <c r="W1969" s="4">
        <v>18587</v>
      </c>
      <c r="X1969" s="4">
        <v>12993</v>
      </c>
      <c r="Y1969" s="4" t="s">
        <v>41</v>
      </c>
      <c r="Z1969" s="4">
        <v>76</v>
      </c>
      <c r="AA1969" s="4">
        <v>4.4000000000000004</v>
      </c>
      <c r="AB1969" s="4" t="s">
        <v>42</v>
      </c>
    </row>
    <row r="1970" spans="1:28" x14ac:dyDescent="0.25">
      <c r="A1970" s="2" t="s">
        <v>2764</v>
      </c>
      <c r="B1970" s="2" t="s">
        <v>970</v>
      </c>
      <c r="C1970" s="2">
        <v>28</v>
      </c>
      <c r="D1970" s="2" t="s">
        <v>55</v>
      </c>
      <c r="E1970" s="2" t="s">
        <v>122</v>
      </c>
      <c r="F1970" s="2" t="s">
        <v>80</v>
      </c>
      <c r="G1970" s="3">
        <v>44960</v>
      </c>
      <c r="H1970" s="3">
        <v>44961</v>
      </c>
      <c r="I1970" s="2">
        <v>1</v>
      </c>
      <c r="J1970" s="2" t="s">
        <v>33</v>
      </c>
      <c r="K1970" s="2" t="s">
        <v>81</v>
      </c>
      <c r="L1970" s="2" t="s">
        <v>82</v>
      </c>
      <c r="M1970" s="2" t="s">
        <v>61</v>
      </c>
      <c r="N1970" s="2" t="s">
        <v>62</v>
      </c>
      <c r="O1970" s="2" t="s">
        <v>358</v>
      </c>
      <c r="P1970" s="2">
        <v>416</v>
      </c>
      <c r="Q1970" s="2" t="s">
        <v>69</v>
      </c>
      <c r="R1970" s="2" t="s">
        <v>40</v>
      </c>
      <c r="S1970" s="2">
        <v>155872</v>
      </c>
      <c r="T1970" s="2">
        <v>96841</v>
      </c>
      <c r="U1970" s="2">
        <v>59031</v>
      </c>
      <c r="V1970" s="2">
        <v>143226</v>
      </c>
      <c r="W1970" s="2">
        <v>10486</v>
      </c>
      <c r="X1970" s="2">
        <v>804</v>
      </c>
      <c r="Y1970" s="2" t="s">
        <v>41</v>
      </c>
      <c r="Z1970" s="2">
        <v>69</v>
      </c>
      <c r="AA1970" s="2">
        <v>4.4000000000000004</v>
      </c>
      <c r="AB1970" s="2" t="s">
        <v>42</v>
      </c>
    </row>
    <row r="1971" spans="1:28" x14ac:dyDescent="0.25">
      <c r="A1971" s="4" t="s">
        <v>2765</v>
      </c>
      <c r="B1971" s="4" t="s">
        <v>287</v>
      </c>
      <c r="C1971" s="4">
        <v>79</v>
      </c>
      <c r="D1971" s="4" t="s">
        <v>55</v>
      </c>
      <c r="E1971" s="4" t="s">
        <v>122</v>
      </c>
      <c r="F1971" s="4" t="s">
        <v>80</v>
      </c>
      <c r="G1971" s="5">
        <v>44588</v>
      </c>
      <c r="H1971" s="5">
        <v>44616</v>
      </c>
      <c r="I1971" s="4">
        <v>28</v>
      </c>
      <c r="J1971" s="4" t="s">
        <v>33</v>
      </c>
      <c r="K1971" s="4" t="s">
        <v>174</v>
      </c>
      <c r="L1971" s="4" t="s">
        <v>48</v>
      </c>
      <c r="M1971" s="4" t="s">
        <v>101</v>
      </c>
      <c r="N1971" s="4" t="s">
        <v>37</v>
      </c>
      <c r="O1971" s="4" t="s">
        <v>321</v>
      </c>
      <c r="P1971" s="4">
        <v>182</v>
      </c>
      <c r="Q1971" s="4" t="s">
        <v>103</v>
      </c>
      <c r="R1971" s="4" t="s">
        <v>136</v>
      </c>
      <c r="S1971" s="4">
        <v>112619</v>
      </c>
      <c r="T1971" s="4">
        <v>0</v>
      </c>
      <c r="U1971" s="4">
        <v>112619</v>
      </c>
      <c r="V1971" s="4">
        <v>85356</v>
      </c>
      <c r="W1971" s="4">
        <v>12414</v>
      </c>
      <c r="X1971" s="4">
        <v>12077</v>
      </c>
      <c r="Y1971" s="4" t="s">
        <v>91</v>
      </c>
      <c r="Z1971" s="4">
        <v>67</v>
      </c>
      <c r="AA1971" s="4">
        <v>3.8</v>
      </c>
      <c r="AB1971" s="4" t="s">
        <v>104</v>
      </c>
    </row>
    <row r="1972" spans="1:28" x14ac:dyDescent="0.25">
      <c r="A1972" s="2" t="s">
        <v>2766</v>
      </c>
      <c r="B1972" s="2" t="s">
        <v>1117</v>
      </c>
      <c r="C1972" s="2">
        <v>36</v>
      </c>
      <c r="D1972" s="2" t="s">
        <v>30</v>
      </c>
      <c r="E1972" s="2" t="s">
        <v>67</v>
      </c>
      <c r="F1972" s="2" t="s">
        <v>150</v>
      </c>
      <c r="G1972" s="3">
        <v>44986</v>
      </c>
      <c r="H1972" s="3">
        <v>45004</v>
      </c>
      <c r="I1972" s="2">
        <v>18</v>
      </c>
      <c r="J1972" s="2" t="s">
        <v>58</v>
      </c>
      <c r="K1972" s="2" t="s">
        <v>59</v>
      </c>
      <c r="L1972" s="2" t="s">
        <v>60</v>
      </c>
      <c r="M1972" s="2" t="s">
        <v>36</v>
      </c>
      <c r="N1972" s="2" t="s">
        <v>118</v>
      </c>
      <c r="O1972" s="2" t="s">
        <v>68</v>
      </c>
      <c r="P1972" s="2">
        <v>254</v>
      </c>
      <c r="Q1972" s="2" t="s">
        <v>103</v>
      </c>
      <c r="R1972" s="2" t="s">
        <v>51</v>
      </c>
      <c r="S1972" s="2">
        <v>117982</v>
      </c>
      <c r="T1972" s="2">
        <v>67127</v>
      </c>
      <c r="U1972" s="2">
        <v>50855</v>
      </c>
      <c r="V1972" s="2">
        <v>87434</v>
      </c>
      <c r="W1972" s="2">
        <v>20643</v>
      </c>
      <c r="X1972" s="2">
        <v>8066</v>
      </c>
      <c r="Y1972" s="2" t="s">
        <v>41</v>
      </c>
      <c r="Z1972" s="2">
        <v>66</v>
      </c>
      <c r="AA1972" s="2">
        <v>2.7</v>
      </c>
      <c r="AB1972" s="2" t="s">
        <v>137</v>
      </c>
    </row>
    <row r="1973" spans="1:28" x14ac:dyDescent="0.25">
      <c r="A1973" s="4" t="s">
        <v>2767</v>
      </c>
      <c r="B1973" s="4" t="s">
        <v>675</v>
      </c>
      <c r="C1973" s="4">
        <v>38</v>
      </c>
      <c r="D1973" s="4" t="s">
        <v>55</v>
      </c>
      <c r="E1973" s="4" t="s">
        <v>87</v>
      </c>
      <c r="F1973" s="4" t="s">
        <v>57</v>
      </c>
      <c r="G1973" s="5">
        <v>44952</v>
      </c>
      <c r="H1973" s="5">
        <v>44974</v>
      </c>
      <c r="I1973" s="4">
        <v>22</v>
      </c>
      <c r="J1973" s="4" t="s">
        <v>33</v>
      </c>
      <c r="K1973" s="4" t="s">
        <v>233</v>
      </c>
      <c r="L1973" s="4" t="s">
        <v>35</v>
      </c>
      <c r="M1973" s="4" t="s">
        <v>101</v>
      </c>
      <c r="N1973" s="4" t="s">
        <v>62</v>
      </c>
      <c r="O1973" s="4" t="s">
        <v>68</v>
      </c>
      <c r="P1973" s="4">
        <v>208</v>
      </c>
      <c r="Q1973" s="4" t="s">
        <v>50</v>
      </c>
      <c r="R1973" s="4" t="s">
        <v>90</v>
      </c>
      <c r="S1973" s="4">
        <v>91813</v>
      </c>
      <c r="T1973" s="4">
        <v>63577</v>
      </c>
      <c r="U1973" s="4">
        <v>28236</v>
      </c>
      <c r="V1973" s="4">
        <v>74614</v>
      </c>
      <c r="W1973" s="4">
        <v>3060</v>
      </c>
      <c r="X1973" s="4">
        <v>11726</v>
      </c>
      <c r="Y1973" s="4" t="s">
        <v>91</v>
      </c>
      <c r="Z1973" s="4">
        <v>68</v>
      </c>
      <c r="AA1973" s="4">
        <v>3.2</v>
      </c>
      <c r="AB1973" s="4" t="s">
        <v>64</v>
      </c>
    </row>
    <row r="1974" spans="1:28" x14ac:dyDescent="0.25">
      <c r="A1974" s="2" t="s">
        <v>2768</v>
      </c>
      <c r="B1974" s="2" t="s">
        <v>1568</v>
      </c>
      <c r="C1974" s="2">
        <v>69</v>
      </c>
      <c r="D1974" s="2" t="s">
        <v>30</v>
      </c>
      <c r="E1974" s="2" t="s">
        <v>67</v>
      </c>
      <c r="F1974" s="2" t="s">
        <v>94</v>
      </c>
      <c r="G1974" s="3">
        <v>44737</v>
      </c>
      <c r="H1974" s="3">
        <v>44758</v>
      </c>
      <c r="I1974" s="2">
        <v>21</v>
      </c>
      <c r="J1974" s="2" t="s">
        <v>33</v>
      </c>
      <c r="K1974" s="2" t="s">
        <v>81</v>
      </c>
      <c r="L1974" s="2" t="s">
        <v>82</v>
      </c>
      <c r="M1974" s="2" t="s">
        <v>95</v>
      </c>
      <c r="N1974" s="2" t="s">
        <v>62</v>
      </c>
      <c r="O1974" s="2" t="s">
        <v>520</v>
      </c>
      <c r="P1974" s="2">
        <v>242</v>
      </c>
      <c r="Q1974" s="2" t="s">
        <v>69</v>
      </c>
      <c r="R1974" s="2" t="s">
        <v>40</v>
      </c>
      <c r="S1974" s="2">
        <v>99488</v>
      </c>
      <c r="T1974" s="2">
        <v>52562</v>
      </c>
      <c r="U1974" s="2">
        <v>46926</v>
      </c>
      <c r="V1974" s="2">
        <v>75261</v>
      </c>
      <c r="W1974" s="2">
        <v>7097</v>
      </c>
      <c r="X1974" s="2">
        <v>14683</v>
      </c>
      <c r="Y1974" s="2" t="s">
        <v>41</v>
      </c>
      <c r="Z1974" s="2">
        <v>56</v>
      </c>
      <c r="AA1974" s="2">
        <v>4.2</v>
      </c>
      <c r="AB1974" s="2" t="s">
        <v>64</v>
      </c>
    </row>
    <row r="1975" spans="1:28" x14ac:dyDescent="0.25">
      <c r="A1975" s="4" t="s">
        <v>2769</v>
      </c>
      <c r="B1975" s="4" t="s">
        <v>852</v>
      </c>
      <c r="C1975" s="4">
        <v>73</v>
      </c>
      <c r="D1975" s="4" t="s">
        <v>55</v>
      </c>
      <c r="E1975" s="4" t="s">
        <v>56</v>
      </c>
      <c r="F1975" s="4" t="s">
        <v>32</v>
      </c>
      <c r="G1975" s="5">
        <v>44716</v>
      </c>
      <c r="H1975" s="5">
        <v>44733</v>
      </c>
      <c r="I1975" s="4">
        <v>17</v>
      </c>
      <c r="J1975" s="4" t="s">
        <v>140</v>
      </c>
      <c r="K1975" s="4" t="s">
        <v>167</v>
      </c>
      <c r="L1975" s="4" t="s">
        <v>142</v>
      </c>
      <c r="M1975" s="4" t="s">
        <v>134</v>
      </c>
      <c r="N1975" s="4" t="s">
        <v>62</v>
      </c>
      <c r="O1975" s="4" t="s">
        <v>627</v>
      </c>
      <c r="P1975" s="4">
        <v>441</v>
      </c>
      <c r="Q1975" s="4" t="s">
        <v>103</v>
      </c>
      <c r="R1975" s="4" t="s">
        <v>90</v>
      </c>
      <c r="S1975" s="4">
        <v>156605</v>
      </c>
      <c r="T1975" s="4">
        <v>113416</v>
      </c>
      <c r="U1975" s="4">
        <v>43189</v>
      </c>
      <c r="V1975" s="4">
        <v>119672</v>
      </c>
      <c r="W1975" s="4">
        <v>25563</v>
      </c>
      <c r="X1975" s="4">
        <v>9700</v>
      </c>
      <c r="Y1975" s="4" t="s">
        <v>91</v>
      </c>
      <c r="Z1975" s="4">
        <v>87</v>
      </c>
      <c r="AA1975" s="4">
        <v>5</v>
      </c>
      <c r="AB1975" s="4" t="s">
        <v>137</v>
      </c>
    </row>
    <row r="1976" spans="1:28" x14ac:dyDescent="0.25">
      <c r="A1976" s="2" t="s">
        <v>2770</v>
      </c>
      <c r="B1976" s="2" t="s">
        <v>1812</v>
      </c>
      <c r="C1976" s="2">
        <v>8</v>
      </c>
      <c r="D1976" s="2" t="s">
        <v>30</v>
      </c>
      <c r="E1976" s="2" t="s">
        <v>31</v>
      </c>
      <c r="F1976" s="2" t="s">
        <v>46</v>
      </c>
      <c r="G1976" s="3">
        <v>45506</v>
      </c>
      <c r="H1976" s="3">
        <v>45524</v>
      </c>
      <c r="I1976" s="2">
        <v>18</v>
      </c>
      <c r="J1976" s="2" t="s">
        <v>33</v>
      </c>
      <c r="K1976" s="2" t="s">
        <v>174</v>
      </c>
      <c r="L1976" s="2" t="s">
        <v>48</v>
      </c>
      <c r="M1976" s="2" t="s">
        <v>95</v>
      </c>
      <c r="N1976" s="2" t="s">
        <v>118</v>
      </c>
      <c r="O1976" s="2" t="s">
        <v>161</v>
      </c>
      <c r="P1976" s="2">
        <v>423</v>
      </c>
      <c r="Q1976" s="2" t="s">
        <v>50</v>
      </c>
      <c r="R1976" s="2" t="s">
        <v>136</v>
      </c>
      <c r="S1976" s="2">
        <v>153700</v>
      </c>
      <c r="T1976" s="2">
        <v>0</v>
      </c>
      <c r="U1976" s="2">
        <v>153700</v>
      </c>
      <c r="V1976" s="2">
        <v>114460</v>
      </c>
      <c r="W1976" s="2">
        <v>29535</v>
      </c>
      <c r="X1976" s="2">
        <v>5502</v>
      </c>
      <c r="Y1976" s="2" t="s">
        <v>41</v>
      </c>
      <c r="Z1976" s="2">
        <v>52</v>
      </c>
      <c r="AA1976" s="2">
        <v>2.2000000000000002</v>
      </c>
      <c r="AB1976" s="2" t="s">
        <v>104</v>
      </c>
    </row>
    <row r="1977" spans="1:28" x14ac:dyDescent="0.25">
      <c r="A1977" s="4" t="s">
        <v>2771</v>
      </c>
      <c r="B1977" s="4" t="s">
        <v>415</v>
      </c>
      <c r="C1977" s="4">
        <v>70</v>
      </c>
      <c r="D1977" s="4" t="s">
        <v>30</v>
      </c>
      <c r="E1977" s="4" t="s">
        <v>154</v>
      </c>
      <c r="F1977" s="4" t="s">
        <v>114</v>
      </c>
      <c r="G1977" s="5">
        <v>45386</v>
      </c>
      <c r="H1977" s="5">
        <v>45394</v>
      </c>
      <c r="I1977" s="4">
        <v>8</v>
      </c>
      <c r="J1977" s="4" t="s">
        <v>33</v>
      </c>
      <c r="K1977" s="4" t="s">
        <v>174</v>
      </c>
      <c r="L1977" s="4" t="s">
        <v>48</v>
      </c>
      <c r="M1977" s="4" t="s">
        <v>130</v>
      </c>
      <c r="N1977" s="4" t="s">
        <v>118</v>
      </c>
      <c r="O1977" s="4" t="s">
        <v>266</v>
      </c>
      <c r="P1977" s="4">
        <v>100</v>
      </c>
      <c r="Q1977" s="4" t="s">
        <v>69</v>
      </c>
      <c r="R1977" s="4" t="s">
        <v>90</v>
      </c>
      <c r="S1977" s="4">
        <v>117037</v>
      </c>
      <c r="T1977" s="4">
        <v>86862</v>
      </c>
      <c r="U1977" s="4">
        <v>30175</v>
      </c>
      <c r="V1977" s="4">
        <v>83174</v>
      </c>
      <c r="W1977" s="4">
        <v>18924</v>
      </c>
      <c r="X1977" s="4">
        <v>11442</v>
      </c>
      <c r="Y1977" s="4" t="s">
        <v>41</v>
      </c>
      <c r="Z1977" s="4">
        <v>96</v>
      </c>
      <c r="AA1977" s="4">
        <v>2.2999999999999998</v>
      </c>
      <c r="AB1977" s="4" t="s">
        <v>52</v>
      </c>
    </row>
    <row r="1978" spans="1:28" x14ac:dyDescent="0.25">
      <c r="A1978" s="2" t="s">
        <v>2772</v>
      </c>
      <c r="B1978" s="2" t="s">
        <v>2734</v>
      </c>
      <c r="C1978" s="2">
        <v>6</v>
      </c>
      <c r="D1978" s="2" t="s">
        <v>55</v>
      </c>
      <c r="E1978" s="2" t="s">
        <v>79</v>
      </c>
      <c r="F1978" s="2" t="s">
        <v>157</v>
      </c>
      <c r="G1978" s="3">
        <v>45602</v>
      </c>
      <c r="H1978" s="3">
        <v>45624</v>
      </c>
      <c r="I1978" s="2">
        <v>22</v>
      </c>
      <c r="J1978" s="2" t="s">
        <v>33</v>
      </c>
      <c r="K1978" s="2" t="s">
        <v>233</v>
      </c>
      <c r="L1978" s="2" t="s">
        <v>35</v>
      </c>
      <c r="M1978" s="2" t="s">
        <v>143</v>
      </c>
      <c r="N1978" s="2" t="s">
        <v>118</v>
      </c>
      <c r="O1978" s="2" t="s">
        <v>538</v>
      </c>
      <c r="P1978" s="2">
        <v>413</v>
      </c>
      <c r="Q1978" s="2" t="s">
        <v>39</v>
      </c>
      <c r="R1978" s="2" t="s">
        <v>51</v>
      </c>
      <c r="S1978" s="2">
        <v>177061</v>
      </c>
      <c r="T1978" s="2">
        <v>74309</v>
      </c>
      <c r="U1978" s="2">
        <v>102752</v>
      </c>
      <c r="V1978" s="2">
        <v>143112</v>
      </c>
      <c r="W1978" s="2">
        <v>26616</v>
      </c>
      <c r="X1978" s="2">
        <v>3293</v>
      </c>
      <c r="Y1978" s="2" t="s">
        <v>41</v>
      </c>
      <c r="Z1978" s="2">
        <v>84</v>
      </c>
      <c r="AA1978" s="2">
        <v>3.1</v>
      </c>
      <c r="AB1978" s="2" t="s">
        <v>42</v>
      </c>
    </row>
    <row r="1979" spans="1:28" x14ac:dyDescent="0.25">
      <c r="A1979" s="4" t="s">
        <v>2773</v>
      </c>
      <c r="B1979" s="4" t="s">
        <v>1595</v>
      </c>
      <c r="C1979" s="4">
        <v>60</v>
      </c>
      <c r="D1979" s="4" t="s">
        <v>55</v>
      </c>
      <c r="E1979" s="4" t="s">
        <v>56</v>
      </c>
      <c r="F1979" s="4" t="s">
        <v>46</v>
      </c>
      <c r="G1979" s="5">
        <v>44961</v>
      </c>
      <c r="H1979" s="5">
        <v>44984</v>
      </c>
      <c r="I1979" s="4">
        <v>23</v>
      </c>
      <c r="J1979" s="4" t="s">
        <v>202</v>
      </c>
      <c r="K1979" s="4" t="s">
        <v>203</v>
      </c>
      <c r="L1979" s="4" t="s">
        <v>204</v>
      </c>
      <c r="M1979" s="4" t="s">
        <v>36</v>
      </c>
      <c r="N1979" s="4" t="s">
        <v>109</v>
      </c>
      <c r="O1979" s="4" t="s">
        <v>591</v>
      </c>
      <c r="P1979" s="4">
        <v>391</v>
      </c>
      <c r="Q1979" s="4" t="s">
        <v>39</v>
      </c>
      <c r="R1979" s="4" t="s">
        <v>51</v>
      </c>
      <c r="S1979" s="4">
        <v>89095</v>
      </c>
      <c r="T1979" s="4">
        <v>43804</v>
      </c>
      <c r="U1979" s="4">
        <v>45291</v>
      </c>
      <c r="V1979" s="4">
        <v>57801</v>
      </c>
      <c r="W1979" s="4">
        <v>18042</v>
      </c>
      <c r="X1979" s="4">
        <v>12696</v>
      </c>
      <c r="Y1979" s="4" t="s">
        <v>91</v>
      </c>
      <c r="Z1979" s="4">
        <v>54</v>
      </c>
      <c r="AA1979" s="4">
        <v>2</v>
      </c>
      <c r="AB1979" s="4" t="s">
        <v>42</v>
      </c>
    </row>
    <row r="1980" spans="1:28" x14ac:dyDescent="0.25">
      <c r="A1980" s="2" t="s">
        <v>2774</v>
      </c>
      <c r="B1980" s="2" t="s">
        <v>2185</v>
      </c>
      <c r="C1980" s="2">
        <v>40</v>
      </c>
      <c r="D1980" s="2" t="s">
        <v>55</v>
      </c>
      <c r="E1980" s="2" t="s">
        <v>56</v>
      </c>
      <c r="F1980" s="2" t="s">
        <v>114</v>
      </c>
      <c r="G1980" s="3">
        <v>45148</v>
      </c>
      <c r="H1980" s="3">
        <v>45164</v>
      </c>
      <c r="I1980" s="2">
        <v>16</v>
      </c>
      <c r="J1980" s="2" t="s">
        <v>33</v>
      </c>
      <c r="K1980" s="2" t="s">
        <v>81</v>
      </c>
      <c r="L1980" s="2" t="s">
        <v>82</v>
      </c>
      <c r="M1980" s="2" t="s">
        <v>101</v>
      </c>
      <c r="N1980" s="2" t="s">
        <v>109</v>
      </c>
      <c r="O1980" s="2" t="s">
        <v>256</v>
      </c>
      <c r="P1980" s="2">
        <v>288</v>
      </c>
      <c r="Q1980" s="2" t="s">
        <v>103</v>
      </c>
      <c r="R1980" s="2" t="s">
        <v>51</v>
      </c>
      <c r="S1980" s="2">
        <v>55065</v>
      </c>
      <c r="T1980" s="2">
        <v>37320</v>
      </c>
      <c r="U1980" s="2">
        <v>17745</v>
      </c>
      <c r="V1980" s="2">
        <v>30102</v>
      </c>
      <c r="W1980" s="2">
        <v>7667</v>
      </c>
      <c r="X1980" s="2">
        <v>14881</v>
      </c>
      <c r="Y1980" s="2" t="s">
        <v>41</v>
      </c>
      <c r="Z1980" s="2">
        <v>48</v>
      </c>
      <c r="AA1980" s="2">
        <v>4.7</v>
      </c>
      <c r="AB1980" s="2" t="s">
        <v>64</v>
      </c>
    </row>
    <row r="1981" spans="1:28" x14ac:dyDescent="0.25">
      <c r="A1981" s="4" t="s">
        <v>2775</v>
      </c>
      <c r="B1981" s="4" t="s">
        <v>790</v>
      </c>
      <c r="C1981" s="4">
        <v>76</v>
      </c>
      <c r="D1981" s="4" t="s">
        <v>55</v>
      </c>
      <c r="E1981" s="4" t="s">
        <v>56</v>
      </c>
      <c r="F1981" s="4" t="s">
        <v>80</v>
      </c>
      <c r="G1981" s="5">
        <v>45269</v>
      </c>
      <c r="H1981" s="5">
        <v>45298</v>
      </c>
      <c r="I1981" s="4">
        <v>29</v>
      </c>
      <c r="J1981" s="4" t="s">
        <v>115</v>
      </c>
      <c r="K1981" s="4" t="s">
        <v>160</v>
      </c>
      <c r="L1981" s="4" t="s">
        <v>117</v>
      </c>
      <c r="M1981" s="4" t="s">
        <v>143</v>
      </c>
      <c r="N1981" s="4" t="s">
        <v>118</v>
      </c>
      <c r="O1981" s="4" t="s">
        <v>553</v>
      </c>
      <c r="P1981" s="4">
        <v>128</v>
      </c>
      <c r="Q1981" s="4" t="s">
        <v>69</v>
      </c>
      <c r="R1981" s="4" t="s">
        <v>40</v>
      </c>
      <c r="S1981" s="4">
        <v>47221</v>
      </c>
      <c r="T1981" s="4">
        <v>19787</v>
      </c>
      <c r="U1981" s="4">
        <v>27434</v>
      </c>
      <c r="V1981" s="4">
        <v>28166</v>
      </c>
      <c r="W1981" s="4">
        <v>7556</v>
      </c>
      <c r="X1981" s="4">
        <v>7013</v>
      </c>
      <c r="Y1981" s="4" t="s">
        <v>91</v>
      </c>
      <c r="Z1981" s="4">
        <v>55</v>
      </c>
      <c r="AA1981" s="4">
        <v>2.7</v>
      </c>
      <c r="AB1981" s="4" t="s">
        <v>52</v>
      </c>
    </row>
    <row r="1982" spans="1:28" x14ac:dyDescent="0.25">
      <c r="A1982" s="2" t="s">
        <v>2776</v>
      </c>
      <c r="B1982" s="2" t="s">
        <v>1503</v>
      </c>
      <c r="C1982" s="2">
        <v>71</v>
      </c>
      <c r="D1982" s="2" t="s">
        <v>30</v>
      </c>
      <c r="E1982" s="2" t="s">
        <v>67</v>
      </c>
      <c r="F1982" s="2" t="s">
        <v>57</v>
      </c>
      <c r="G1982" s="3">
        <v>44878</v>
      </c>
      <c r="H1982" s="3">
        <v>44895</v>
      </c>
      <c r="I1982" s="2">
        <v>17</v>
      </c>
      <c r="J1982" s="2" t="s">
        <v>33</v>
      </c>
      <c r="K1982" s="2" t="s">
        <v>174</v>
      </c>
      <c r="L1982" s="2" t="s">
        <v>48</v>
      </c>
      <c r="M1982" s="2" t="s">
        <v>101</v>
      </c>
      <c r="N1982" s="2" t="s">
        <v>62</v>
      </c>
      <c r="O1982" s="2" t="s">
        <v>591</v>
      </c>
      <c r="P1982" s="2">
        <v>212</v>
      </c>
      <c r="Q1982" s="2" t="s">
        <v>50</v>
      </c>
      <c r="R1982" s="2" t="s">
        <v>51</v>
      </c>
      <c r="S1982" s="2">
        <v>145542</v>
      </c>
      <c r="T1982" s="2">
        <v>88555</v>
      </c>
      <c r="U1982" s="2">
        <v>56987</v>
      </c>
      <c r="V1982" s="2">
        <v>138382</v>
      </c>
      <c r="W1982" s="2">
        <v>3325</v>
      </c>
      <c r="X1982" s="2">
        <v>562</v>
      </c>
      <c r="Y1982" s="2" t="s">
        <v>41</v>
      </c>
      <c r="Z1982" s="2">
        <v>45</v>
      </c>
      <c r="AA1982" s="2">
        <v>3.3</v>
      </c>
      <c r="AB1982" s="2" t="s">
        <v>42</v>
      </c>
    </row>
    <row r="1983" spans="1:28" x14ac:dyDescent="0.25">
      <c r="A1983" s="4" t="s">
        <v>2777</v>
      </c>
      <c r="B1983" s="4" t="s">
        <v>919</v>
      </c>
      <c r="C1983" s="4">
        <v>72</v>
      </c>
      <c r="D1983" s="4" t="s">
        <v>55</v>
      </c>
      <c r="E1983" s="4" t="s">
        <v>87</v>
      </c>
      <c r="F1983" s="4" t="s">
        <v>72</v>
      </c>
      <c r="G1983" s="5">
        <v>45015</v>
      </c>
      <c r="H1983" s="5">
        <v>45035</v>
      </c>
      <c r="I1983" s="4">
        <v>20</v>
      </c>
      <c r="J1983" s="4" t="s">
        <v>33</v>
      </c>
      <c r="K1983" s="4" t="s">
        <v>99</v>
      </c>
      <c r="L1983" s="4" t="s">
        <v>100</v>
      </c>
      <c r="M1983" s="4" t="s">
        <v>101</v>
      </c>
      <c r="N1983" s="4" t="s">
        <v>109</v>
      </c>
      <c r="O1983" s="4" t="s">
        <v>194</v>
      </c>
      <c r="P1983" s="4">
        <v>458</v>
      </c>
      <c r="Q1983" s="4" t="s">
        <v>39</v>
      </c>
      <c r="R1983" s="4" t="s">
        <v>40</v>
      </c>
      <c r="S1983" s="4">
        <v>154883</v>
      </c>
      <c r="T1983" s="4">
        <v>74680</v>
      </c>
      <c r="U1983" s="4">
        <v>80203</v>
      </c>
      <c r="V1983" s="4">
        <v>122450</v>
      </c>
      <c r="W1983" s="4">
        <v>22176</v>
      </c>
      <c r="X1983" s="4">
        <v>8968</v>
      </c>
      <c r="Y1983" s="4" t="s">
        <v>41</v>
      </c>
      <c r="Z1983" s="4">
        <v>55</v>
      </c>
      <c r="AA1983" s="4">
        <v>3.8</v>
      </c>
      <c r="AB1983" s="4" t="s">
        <v>64</v>
      </c>
    </row>
    <row r="1984" spans="1:28" x14ac:dyDescent="0.25">
      <c r="A1984" s="2" t="s">
        <v>2778</v>
      </c>
      <c r="B1984" s="2" t="s">
        <v>1348</v>
      </c>
      <c r="C1984" s="2">
        <v>80</v>
      </c>
      <c r="D1984" s="2" t="s">
        <v>55</v>
      </c>
      <c r="E1984" s="2" t="s">
        <v>31</v>
      </c>
      <c r="F1984" s="2" t="s">
        <v>129</v>
      </c>
      <c r="G1984" s="3">
        <v>44649</v>
      </c>
      <c r="H1984" s="3">
        <v>44664</v>
      </c>
      <c r="I1984" s="2">
        <v>15</v>
      </c>
      <c r="J1984" s="2" t="s">
        <v>123</v>
      </c>
      <c r="K1984" s="2" t="s">
        <v>124</v>
      </c>
      <c r="L1984" s="2" t="s">
        <v>125</v>
      </c>
      <c r="M1984" s="2" t="s">
        <v>75</v>
      </c>
      <c r="N1984" s="2" t="s">
        <v>37</v>
      </c>
      <c r="O1984" s="2" t="s">
        <v>580</v>
      </c>
      <c r="P1984" s="2">
        <v>175</v>
      </c>
      <c r="Q1984" s="2" t="s">
        <v>103</v>
      </c>
      <c r="R1984" s="2" t="s">
        <v>40</v>
      </c>
      <c r="S1984" s="2">
        <v>85890</v>
      </c>
      <c r="T1984" s="2">
        <v>47196</v>
      </c>
      <c r="U1984" s="2">
        <v>38694</v>
      </c>
      <c r="V1984" s="2">
        <v>65607</v>
      </c>
      <c r="W1984" s="2">
        <v>2703</v>
      </c>
      <c r="X1984" s="2">
        <v>13895</v>
      </c>
      <c r="Y1984" s="2" t="s">
        <v>91</v>
      </c>
      <c r="Z1984" s="2">
        <v>83</v>
      </c>
      <c r="AA1984" s="2">
        <v>3.7</v>
      </c>
      <c r="AB1984" s="2" t="s">
        <v>137</v>
      </c>
    </row>
    <row r="1985" spans="1:28" x14ac:dyDescent="0.25">
      <c r="A1985" s="4" t="s">
        <v>2779</v>
      </c>
      <c r="B1985" s="4" t="s">
        <v>1050</v>
      </c>
      <c r="C1985" s="4">
        <v>15</v>
      </c>
      <c r="D1985" s="4" t="s">
        <v>30</v>
      </c>
      <c r="E1985" s="4" t="s">
        <v>56</v>
      </c>
      <c r="F1985" s="4" t="s">
        <v>129</v>
      </c>
      <c r="G1985" s="5">
        <v>44563</v>
      </c>
      <c r="H1985" s="5">
        <v>44572</v>
      </c>
      <c r="I1985" s="4">
        <v>9</v>
      </c>
      <c r="J1985" s="4" t="s">
        <v>58</v>
      </c>
      <c r="K1985" s="4" t="s">
        <v>59</v>
      </c>
      <c r="L1985" s="4" t="s">
        <v>60</v>
      </c>
      <c r="M1985" s="4" t="s">
        <v>36</v>
      </c>
      <c r="N1985" s="4" t="s">
        <v>109</v>
      </c>
      <c r="O1985" s="4" t="s">
        <v>194</v>
      </c>
      <c r="P1985" s="4">
        <v>104</v>
      </c>
      <c r="Q1985" s="4" t="s">
        <v>103</v>
      </c>
      <c r="R1985" s="4" t="s">
        <v>40</v>
      </c>
      <c r="S1985" s="4">
        <v>109508</v>
      </c>
      <c r="T1985" s="4">
        <v>60354</v>
      </c>
      <c r="U1985" s="4">
        <v>49154</v>
      </c>
      <c r="V1985" s="4">
        <v>79702</v>
      </c>
      <c r="W1985" s="4">
        <v>18973</v>
      </c>
      <c r="X1985" s="4">
        <v>7814</v>
      </c>
      <c r="Y1985" s="4" t="s">
        <v>41</v>
      </c>
      <c r="Z1985" s="4">
        <v>53</v>
      </c>
      <c r="AA1985" s="4">
        <v>4.4000000000000004</v>
      </c>
      <c r="AB1985" s="4" t="s">
        <v>42</v>
      </c>
    </row>
    <row r="1986" spans="1:28" x14ac:dyDescent="0.25">
      <c r="A1986" s="2" t="s">
        <v>2780</v>
      </c>
      <c r="B1986" s="2" t="s">
        <v>590</v>
      </c>
      <c r="C1986" s="2">
        <v>59</v>
      </c>
      <c r="D1986" s="2" t="s">
        <v>55</v>
      </c>
      <c r="E1986" s="2" t="s">
        <v>87</v>
      </c>
      <c r="F1986" s="2" t="s">
        <v>32</v>
      </c>
      <c r="G1986" s="3">
        <v>44828</v>
      </c>
      <c r="H1986" s="3">
        <v>44854</v>
      </c>
      <c r="I1986" s="2">
        <v>26</v>
      </c>
      <c r="J1986" s="2" t="s">
        <v>33</v>
      </c>
      <c r="K1986" s="2" t="s">
        <v>107</v>
      </c>
      <c r="L1986" s="2" t="s">
        <v>48</v>
      </c>
      <c r="M1986" s="2" t="s">
        <v>108</v>
      </c>
      <c r="N1986" s="2" t="s">
        <v>62</v>
      </c>
      <c r="O1986" s="2" t="s">
        <v>164</v>
      </c>
      <c r="P1986" s="2">
        <v>313</v>
      </c>
      <c r="Q1986" s="2" t="s">
        <v>50</v>
      </c>
      <c r="R1986" s="2" t="s">
        <v>90</v>
      </c>
      <c r="S1986" s="2">
        <v>92852</v>
      </c>
      <c r="T1986" s="2">
        <v>67596</v>
      </c>
      <c r="U1986" s="2">
        <v>25256</v>
      </c>
      <c r="V1986" s="2">
        <v>67961</v>
      </c>
      <c r="W1986" s="2">
        <v>14357</v>
      </c>
      <c r="X1986" s="2">
        <v>9631</v>
      </c>
      <c r="Y1986" s="2" t="s">
        <v>41</v>
      </c>
      <c r="Z1986" s="2">
        <v>58</v>
      </c>
      <c r="AA1986" s="2">
        <v>2.2000000000000002</v>
      </c>
      <c r="AB1986" s="2" t="s">
        <v>137</v>
      </c>
    </row>
    <row r="1987" spans="1:28" x14ac:dyDescent="0.25">
      <c r="A1987" s="4" t="s">
        <v>2781</v>
      </c>
      <c r="B1987" s="4" t="s">
        <v>1327</v>
      </c>
      <c r="C1987" s="4">
        <v>37</v>
      </c>
      <c r="D1987" s="4" t="s">
        <v>55</v>
      </c>
      <c r="E1987" s="4" t="s">
        <v>67</v>
      </c>
      <c r="F1987" s="4" t="s">
        <v>114</v>
      </c>
      <c r="G1987" s="5">
        <v>45061</v>
      </c>
      <c r="H1987" s="5">
        <v>45083</v>
      </c>
      <c r="I1987" s="4">
        <v>22</v>
      </c>
      <c r="J1987" s="4" t="s">
        <v>73</v>
      </c>
      <c r="K1987" s="4" t="s">
        <v>74</v>
      </c>
      <c r="L1987" s="4" t="s">
        <v>73</v>
      </c>
      <c r="M1987" s="4" t="s">
        <v>95</v>
      </c>
      <c r="N1987" s="4" t="s">
        <v>37</v>
      </c>
      <c r="O1987" s="4" t="s">
        <v>135</v>
      </c>
      <c r="P1987" s="4">
        <v>140</v>
      </c>
      <c r="Q1987" s="4" t="s">
        <v>50</v>
      </c>
      <c r="R1987" s="4" t="s">
        <v>40</v>
      </c>
      <c r="S1987" s="4">
        <v>123978</v>
      </c>
      <c r="T1987" s="4">
        <v>76165</v>
      </c>
      <c r="U1987" s="4">
        <v>47813</v>
      </c>
      <c r="V1987" s="4">
        <v>94824</v>
      </c>
      <c r="W1987" s="4">
        <v>16789</v>
      </c>
      <c r="X1987" s="4">
        <v>7920</v>
      </c>
      <c r="Y1987" s="4" t="s">
        <v>41</v>
      </c>
      <c r="Z1987" s="4">
        <v>63</v>
      </c>
      <c r="AA1987" s="4">
        <v>3.7</v>
      </c>
      <c r="AB1987" s="4" t="s">
        <v>42</v>
      </c>
    </row>
    <row r="1988" spans="1:28" x14ac:dyDescent="0.25">
      <c r="A1988" s="2" t="s">
        <v>2782</v>
      </c>
      <c r="B1988" s="2" t="s">
        <v>1133</v>
      </c>
      <c r="C1988" s="2">
        <v>69</v>
      </c>
      <c r="D1988" s="2" t="s">
        <v>55</v>
      </c>
      <c r="E1988" s="2" t="s">
        <v>67</v>
      </c>
      <c r="F1988" s="2" t="s">
        <v>157</v>
      </c>
      <c r="G1988" s="3">
        <v>45612</v>
      </c>
      <c r="H1988" s="3">
        <v>45642</v>
      </c>
      <c r="I1988" s="2">
        <v>30</v>
      </c>
      <c r="J1988" s="2" t="s">
        <v>115</v>
      </c>
      <c r="K1988" s="2" t="s">
        <v>160</v>
      </c>
      <c r="L1988" s="2" t="s">
        <v>117</v>
      </c>
      <c r="M1988" s="2" t="s">
        <v>134</v>
      </c>
      <c r="N1988" s="2" t="s">
        <v>118</v>
      </c>
      <c r="O1988" s="2" t="s">
        <v>295</v>
      </c>
      <c r="P1988" s="2">
        <v>463</v>
      </c>
      <c r="Q1988" s="2" t="s">
        <v>39</v>
      </c>
      <c r="R1988" s="2" t="s">
        <v>40</v>
      </c>
      <c r="S1988" s="2">
        <v>112833</v>
      </c>
      <c r="T1988" s="2">
        <v>54228</v>
      </c>
      <c r="U1988" s="2">
        <v>58605</v>
      </c>
      <c r="V1988" s="2">
        <v>103914</v>
      </c>
      <c r="W1988" s="2">
        <v>2229</v>
      </c>
      <c r="X1988" s="2">
        <v>5121</v>
      </c>
      <c r="Y1988" s="2" t="s">
        <v>41</v>
      </c>
      <c r="Z1988" s="2">
        <v>51</v>
      </c>
      <c r="AA1988" s="2">
        <v>3.1</v>
      </c>
      <c r="AB1988" s="2" t="s">
        <v>137</v>
      </c>
    </row>
    <row r="1989" spans="1:28" x14ac:dyDescent="0.25">
      <c r="A1989" s="4" t="s">
        <v>2783</v>
      </c>
      <c r="B1989" s="4" t="s">
        <v>1050</v>
      </c>
      <c r="C1989" s="4">
        <v>24</v>
      </c>
      <c r="D1989" s="4" t="s">
        <v>55</v>
      </c>
      <c r="E1989" s="4" t="s">
        <v>87</v>
      </c>
      <c r="F1989" s="4" t="s">
        <v>94</v>
      </c>
      <c r="G1989" s="5">
        <v>44916</v>
      </c>
      <c r="H1989" s="5">
        <v>44936</v>
      </c>
      <c r="I1989" s="4">
        <v>20</v>
      </c>
      <c r="J1989" s="4" t="s">
        <v>33</v>
      </c>
      <c r="K1989" s="4" t="s">
        <v>47</v>
      </c>
      <c r="L1989" s="4" t="s">
        <v>48</v>
      </c>
      <c r="M1989" s="4" t="s">
        <v>75</v>
      </c>
      <c r="N1989" s="4" t="s">
        <v>62</v>
      </c>
      <c r="O1989" s="4" t="s">
        <v>376</v>
      </c>
      <c r="P1989" s="4">
        <v>371</v>
      </c>
      <c r="Q1989" s="4" t="s">
        <v>69</v>
      </c>
      <c r="R1989" s="4" t="s">
        <v>40</v>
      </c>
      <c r="S1989" s="4">
        <v>153918</v>
      </c>
      <c r="T1989" s="4">
        <v>96848</v>
      </c>
      <c r="U1989" s="4">
        <v>57070</v>
      </c>
      <c r="V1989" s="4">
        <v>119860</v>
      </c>
      <c r="W1989" s="4">
        <v>24618</v>
      </c>
      <c r="X1989" s="4">
        <v>7234</v>
      </c>
      <c r="Y1989" s="4" t="s">
        <v>41</v>
      </c>
      <c r="Z1989" s="4">
        <v>40</v>
      </c>
      <c r="AA1989" s="4">
        <v>2.7</v>
      </c>
      <c r="AB1989" s="4" t="s">
        <v>42</v>
      </c>
    </row>
    <row r="1990" spans="1:28" x14ac:dyDescent="0.25">
      <c r="A1990" s="2" t="s">
        <v>2784</v>
      </c>
      <c r="B1990" s="2" t="s">
        <v>354</v>
      </c>
      <c r="C1990" s="2">
        <v>43</v>
      </c>
      <c r="D1990" s="2" t="s">
        <v>55</v>
      </c>
      <c r="E1990" s="2" t="s">
        <v>87</v>
      </c>
      <c r="F1990" s="2" t="s">
        <v>46</v>
      </c>
      <c r="G1990" s="3">
        <v>44746</v>
      </c>
      <c r="H1990" s="3">
        <v>44767</v>
      </c>
      <c r="I1990" s="2">
        <v>21</v>
      </c>
      <c r="J1990" s="2" t="s">
        <v>123</v>
      </c>
      <c r="K1990" s="2" t="s">
        <v>124</v>
      </c>
      <c r="L1990" s="2" t="s">
        <v>125</v>
      </c>
      <c r="M1990" s="2" t="s">
        <v>101</v>
      </c>
      <c r="N1990" s="2" t="s">
        <v>62</v>
      </c>
      <c r="O1990" s="2" t="s">
        <v>144</v>
      </c>
      <c r="P1990" s="2">
        <v>164</v>
      </c>
      <c r="Q1990" s="2" t="s">
        <v>50</v>
      </c>
      <c r="R1990" s="2" t="s">
        <v>90</v>
      </c>
      <c r="S1990" s="2">
        <v>35750</v>
      </c>
      <c r="T1990" s="2">
        <v>28043</v>
      </c>
      <c r="U1990" s="2">
        <v>7707</v>
      </c>
      <c r="V1990" s="2">
        <v>8979</v>
      </c>
      <c r="W1990" s="2">
        <v>18170</v>
      </c>
      <c r="X1990" s="2">
        <v>7269</v>
      </c>
      <c r="Y1990" s="2" t="s">
        <v>41</v>
      </c>
      <c r="Z1990" s="2">
        <v>98</v>
      </c>
      <c r="AA1990" s="2">
        <v>4.9000000000000004</v>
      </c>
      <c r="AB1990" s="2" t="s">
        <v>137</v>
      </c>
    </row>
    <row r="1991" spans="1:28" x14ac:dyDescent="0.25">
      <c r="A1991" s="4" t="s">
        <v>2785</v>
      </c>
      <c r="B1991" s="4" t="s">
        <v>805</v>
      </c>
      <c r="C1991" s="4">
        <v>31</v>
      </c>
      <c r="D1991" s="4" t="s">
        <v>55</v>
      </c>
      <c r="E1991" s="4" t="s">
        <v>56</v>
      </c>
      <c r="F1991" s="4" t="s">
        <v>32</v>
      </c>
      <c r="G1991" s="5">
        <v>44823</v>
      </c>
      <c r="H1991" s="5">
        <v>44843</v>
      </c>
      <c r="I1991" s="4">
        <v>20</v>
      </c>
      <c r="J1991" s="4" t="s">
        <v>58</v>
      </c>
      <c r="K1991" s="4" t="s">
        <v>59</v>
      </c>
      <c r="L1991" s="4" t="s">
        <v>60</v>
      </c>
      <c r="M1991" s="4" t="s">
        <v>143</v>
      </c>
      <c r="N1991" s="4" t="s">
        <v>37</v>
      </c>
      <c r="O1991" s="4" t="s">
        <v>379</v>
      </c>
      <c r="P1991" s="4">
        <v>149</v>
      </c>
      <c r="Q1991" s="4" t="s">
        <v>39</v>
      </c>
      <c r="R1991" s="4" t="s">
        <v>136</v>
      </c>
      <c r="S1991" s="4">
        <v>30052</v>
      </c>
      <c r="T1991" s="4">
        <v>0</v>
      </c>
      <c r="U1991" s="4">
        <v>30052</v>
      </c>
      <c r="V1991" s="4">
        <v>16221</v>
      </c>
      <c r="W1991" s="4">
        <v>3161</v>
      </c>
      <c r="X1991" s="4">
        <v>7111</v>
      </c>
      <c r="Y1991" s="4" t="s">
        <v>41</v>
      </c>
      <c r="Z1991" s="4">
        <v>63</v>
      </c>
      <c r="AA1991" s="4">
        <v>3</v>
      </c>
      <c r="AB1991" s="4" t="s">
        <v>52</v>
      </c>
    </row>
    <row r="1992" spans="1:28" x14ac:dyDescent="0.25">
      <c r="A1992" s="2" t="s">
        <v>2786</v>
      </c>
      <c r="B1992" s="2" t="s">
        <v>1946</v>
      </c>
      <c r="C1992" s="2">
        <v>32</v>
      </c>
      <c r="D1992" s="2" t="s">
        <v>55</v>
      </c>
      <c r="E1992" s="2" t="s">
        <v>56</v>
      </c>
      <c r="F1992" s="2" t="s">
        <v>57</v>
      </c>
      <c r="G1992" s="3">
        <v>45576</v>
      </c>
      <c r="H1992" s="3">
        <v>45598</v>
      </c>
      <c r="I1992" s="2">
        <v>22</v>
      </c>
      <c r="J1992" s="2" t="s">
        <v>123</v>
      </c>
      <c r="K1992" s="2" t="s">
        <v>251</v>
      </c>
      <c r="L1992" s="2" t="s">
        <v>125</v>
      </c>
      <c r="M1992" s="2" t="s">
        <v>108</v>
      </c>
      <c r="N1992" s="2" t="s">
        <v>62</v>
      </c>
      <c r="O1992" s="2" t="s">
        <v>222</v>
      </c>
      <c r="P1992" s="2">
        <v>246</v>
      </c>
      <c r="Q1992" s="2" t="s">
        <v>39</v>
      </c>
      <c r="R1992" s="2" t="s">
        <v>51</v>
      </c>
      <c r="S1992" s="2">
        <v>89350</v>
      </c>
      <c r="T1992" s="2">
        <v>35918</v>
      </c>
      <c r="U1992" s="2">
        <v>53432</v>
      </c>
      <c r="V1992" s="2">
        <v>79409</v>
      </c>
      <c r="W1992" s="2">
        <v>4794</v>
      </c>
      <c r="X1992" s="2">
        <v>1332</v>
      </c>
      <c r="Y1992" s="2" t="s">
        <v>91</v>
      </c>
      <c r="Z1992" s="2">
        <v>67</v>
      </c>
      <c r="AA1992" s="2">
        <v>4.8</v>
      </c>
      <c r="AB1992" s="2" t="s">
        <v>104</v>
      </c>
    </row>
    <row r="1993" spans="1:28" x14ac:dyDescent="0.25">
      <c r="A1993" s="4" t="s">
        <v>2787</v>
      </c>
      <c r="B1993" s="4" t="s">
        <v>1115</v>
      </c>
      <c r="C1993" s="4">
        <v>48</v>
      </c>
      <c r="D1993" s="4" t="s">
        <v>55</v>
      </c>
      <c r="E1993" s="4" t="s">
        <v>56</v>
      </c>
      <c r="F1993" s="4" t="s">
        <v>150</v>
      </c>
      <c r="G1993" s="5">
        <v>45337</v>
      </c>
      <c r="H1993" s="5">
        <v>45350</v>
      </c>
      <c r="I1993" s="4">
        <v>13</v>
      </c>
      <c r="J1993" s="4" t="s">
        <v>123</v>
      </c>
      <c r="K1993" s="4" t="s">
        <v>251</v>
      </c>
      <c r="L1993" s="4" t="s">
        <v>125</v>
      </c>
      <c r="M1993" s="4" t="s">
        <v>134</v>
      </c>
      <c r="N1993" s="4" t="s">
        <v>118</v>
      </c>
      <c r="O1993" s="4" t="s">
        <v>68</v>
      </c>
      <c r="P1993" s="4">
        <v>308</v>
      </c>
      <c r="Q1993" s="4" t="s">
        <v>103</v>
      </c>
      <c r="R1993" s="4" t="s">
        <v>51</v>
      </c>
      <c r="S1993" s="4">
        <v>51469</v>
      </c>
      <c r="T1993" s="4">
        <v>23875</v>
      </c>
      <c r="U1993" s="4">
        <v>27594</v>
      </c>
      <c r="V1993" s="4">
        <v>28960</v>
      </c>
      <c r="W1993" s="4">
        <v>17720</v>
      </c>
      <c r="X1993" s="4">
        <v>1886</v>
      </c>
      <c r="Y1993" s="4" t="s">
        <v>41</v>
      </c>
      <c r="Z1993" s="4">
        <v>97</v>
      </c>
      <c r="AA1993" s="4">
        <v>4.5999999999999996</v>
      </c>
      <c r="AB1993" s="4" t="s">
        <v>137</v>
      </c>
    </row>
    <row r="1994" spans="1:28" x14ac:dyDescent="0.25">
      <c r="A1994" s="2" t="s">
        <v>2788</v>
      </c>
      <c r="B1994" s="2" t="s">
        <v>771</v>
      </c>
      <c r="C1994" s="2">
        <v>62</v>
      </c>
      <c r="D1994" s="2" t="s">
        <v>30</v>
      </c>
      <c r="E1994" s="2" t="s">
        <v>87</v>
      </c>
      <c r="F1994" s="2" t="s">
        <v>80</v>
      </c>
      <c r="G1994" s="3">
        <v>45303</v>
      </c>
      <c r="H1994" s="3">
        <v>45312</v>
      </c>
      <c r="I1994" s="2">
        <v>9</v>
      </c>
      <c r="J1994" s="2" t="s">
        <v>115</v>
      </c>
      <c r="K1994" s="2" t="s">
        <v>116</v>
      </c>
      <c r="L1994" s="2" t="s">
        <v>117</v>
      </c>
      <c r="M1994" s="2" t="s">
        <v>108</v>
      </c>
      <c r="N1994" s="2" t="s">
        <v>109</v>
      </c>
      <c r="O1994" s="2" t="s">
        <v>455</v>
      </c>
      <c r="P1994" s="2">
        <v>214</v>
      </c>
      <c r="Q1994" s="2" t="s">
        <v>69</v>
      </c>
      <c r="R1994" s="2" t="s">
        <v>136</v>
      </c>
      <c r="S1994" s="2">
        <v>84234</v>
      </c>
      <c r="T1994" s="2">
        <v>0</v>
      </c>
      <c r="U1994" s="2">
        <v>84234</v>
      </c>
      <c r="V1994" s="2">
        <v>55949</v>
      </c>
      <c r="W1994" s="2">
        <v>8715</v>
      </c>
      <c r="X1994" s="2">
        <v>14771</v>
      </c>
      <c r="Y1994" s="2" t="s">
        <v>41</v>
      </c>
      <c r="Z1994" s="2">
        <v>92</v>
      </c>
      <c r="AA1994" s="2">
        <v>3.9</v>
      </c>
      <c r="AB1994" s="2" t="s">
        <v>42</v>
      </c>
    </row>
    <row r="1995" spans="1:28" x14ac:dyDescent="0.25">
      <c r="A1995" s="4" t="s">
        <v>2789</v>
      </c>
      <c r="B1995" s="4" t="s">
        <v>1969</v>
      </c>
      <c r="C1995" s="4">
        <v>60</v>
      </c>
      <c r="D1995" s="4" t="s">
        <v>30</v>
      </c>
      <c r="E1995" s="4" t="s">
        <v>67</v>
      </c>
      <c r="F1995" s="4" t="s">
        <v>57</v>
      </c>
      <c r="G1995" s="5">
        <v>44798</v>
      </c>
      <c r="H1995" s="5">
        <v>44815</v>
      </c>
      <c r="I1995" s="4">
        <v>17</v>
      </c>
      <c r="J1995" s="4" t="s">
        <v>33</v>
      </c>
      <c r="K1995" s="4" t="s">
        <v>107</v>
      </c>
      <c r="L1995" s="4" t="s">
        <v>48</v>
      </c>
      <c r="M1995" s="4" t="s">
        <v>75</v>
      </c>
      <c r="N1995" s="4" t="s">
        <v>62</v>
      </c>
      <c r="O1995" s="4" t="s">
        <v>438</v>
      </c>
      <c r="P1995" s="4">
        <v>149</v>
      </c>
      <c r="Q1995" s="4" t="s">
        <v>69</v>
      </c>
      <c r="R1995" s="4" t="s">
        <v>40</v>
      </c>
      <c r="S1995" s="4">
        <v>133478</v>
      </c>
      <c r="T1995" s="4">
        <v>71207</v>
      </c>
      <c r="U1995" s="4">
        <v>62271</v>
      </c>
      <c r="V1995" s="4">
        <v>114847</v>
      </c>
      <c r="W1995" s="4">
        <v>8309</v>
      </c>
      <c r="X1995" s="4">
        <v>5510</v>
      </c>
      <c r="Y1995" s="4" t="s">
        <v>41</v>
      </c>
      <c r="Z1995" s="4">
        <v>48</v>
      </c>
      <c r="AA1995" s="4">
        <v>4.4000000000000004</v>
      </c>
      <c r="AB1995" s="4" t="s">
        <v>137</v>
      </c>
    </row>
    <row r="1996" spans="1:28" x14ac:dyDescent="0.25">
      <c r="A1996" s="2" t="s">
        <v>2790</v>
      </c>
      <c r="B1996" s="2" t="s">
        <v>261</v>
      </c>
      <c r="C1996" s="2">
        <v>35</v>
      </c>
      <c r="D1996" s="2" t="s">
        <v>30</v>
      </c>
      <c r="E1996" s="2" t="s">
        <v>122</v>
      </c>
      <c r="F1996" s="2" t="s">
        <v>129</v>
      </c>
      <c r="G1996" s="3">
        <v>44885</v>
      </c>
      <c r="H1996" s="3">
        <v>44906</v>
      </c>
      <c r="I1996" s="2">
        <v>21</v>
      </c>
      <c r="J1996" s="2" t="s">
        <v>33</v>
      </c>
      <c r="K1996" s="2" t="s">
        <v>233</v>
      </c>
      <c r="L1996" s="2" t="s">
        <v>35</v>
      </c>
      <c r="M1996" s="2" t="s">
        <v>130</v>
      </c>
      <c r="N1996" s="2" t="s">
        <v>118</v>
      </c>
      <c r="O1996" s="2" t="s">
        <v>543</v>
      </c>
      <c r="P1996" s="2">
        <v>484</v>
      </c>
      <c r="Q1996" s="2" t="s">
        <v>69</v>
      </c>
      <c r="R1996" s="2" t="s">
        <v>40</v>
      </c>
      <c r="S1996" s="2">
        <v>60625</v>
      </c>
      <c r="T1996" s="2">
        <v>42322</v>
      </c>
      <c r="U1996" s="2">
        <v>18303</v>
      </c>
      <c r="V1996" s="2">
        <v>27221</v>
      </c>
      <c r="W1996" s="2">
        <v>26922</v>
      </c>
      <c r="X1996" s="2">
        <v>3732</v>
      </c>
      <c r="Y1996" s="2" t="s">
        <v>41</v>
      </c>
      <c r="Z1996" s="2">
        <v>61</v>
      </c>
      <c r="AA1996" s="2">
        <v>4.5</v>
      </c>
      <c r="AB1996" s="2" t="s">
        <v>42</v>
      </c>
    </row>
    <row r="1997" spans="1:28" x14ac:dyDescent="0.25">
      <c r="A1997" s="4" t="s">
        <v>2791</v>
      </c>
      <c r="B1997" s="4" t="s">
        <v>277</v>
      </c>
      <c r="C1997" s="4">
        <v>8</v>
      </c>
      <c r="D1997" s="4" t="s">
        <v>55</v>
      </c>
      <c r="E1997" s="4" t="s">
        <v>87</v>
      </c>
      <c r="F1997" s="4" t="s">
        <v>129</v>
      </c>
      <c r="G1997" s="5">
        <v>45263</v>
      </c>
      <c r="H1997" s="5">
        <v>45276</v>
      </c>
      <c r="I1997" s="4">
        <v>13</v>
      </c>
      <c r="J1997" s="4" t="s">
        <v>115</v>
      </c>
      <c r="K1997" s="4" t="s">
        <v>116</v>
      </c>
      <c r="L1997" s="4" t="s">
        <v>117</v>
      </c>
      <c r="M1997" s="4" t="s">
        <v>83</v>
      </c>
      <c r="N1997" s="4" t="s">
        <v>109</v>
      </c>
      <c r="O1997" s="4" t="s">
        <v>151</v>
      </c>
      <c r="P1997" s="4">
        <v>196</v>
      </c>
      <c r="Q1997" s="4" t="s">
        <v>39</v>
      </c>
      <c r="R1997" s="4" t="s">
        <v>111</v>
      </c>
      <c r="S1997" s="4">
        <v>131447</v>
      </c>
      <c r="T1997" s="4">
        <v>117325</v>
      </c>
      <c r="U1997" s="4">
        <v>14122</v>
      </c>
      <c r="V1997" s="4">
        <v>96346</v>
      </c>
      <c r="W1997" s="4">
        <v>15638</v>
      </c>
      <c r="X1997" s="4">
        <v>14647</v>
      </c>
      <c r="Y1997" s="4" t="s">
        <v>41</v>
      </c>
      <c r="Z1997" s="4">
        <v>44</v>
      </c>
      <c r="AA1997" s="4">
        <v>3.9</v>
      </c>
      <c r="AB1997" s="4" t="s">
        <v>52</v>
      </c>
    </row>
    <row r="1998" spans="1:28" x14ac:dyDescent="0.25">
      <c r="A1998" s="2" t="s">
        <v>2792</v>
      </c>
      <c r="B1998" s="2" t="s">
        <v>1018</v>
      </c>
      <c r="C1998" s="2">
        <v>41</v>
      </c>
      <c r="D1998" s="2" t="s">
        <v>55</v>
      </c>
      <c r="E1998" s="2" t="s">
        <v>31</v>
      </c>
      <c r="F1998" s="2" t="s">
        <v>114</v>
      </c>
      <c r="G1998" s="3">
        <v>45556</v>
      </c>
      <c r="H1998" s="3">
        <v>45571</v>
      </c>
      <c r="I1998" s="2">
        <v>15</v>
      </c>
      <c r="J1998" s="2" t="s">
        <v>33</v>
      </c>
      <c r="K1998" s="2" t="s">
        <v>174</v>
      </c>
      <c r="L1998" s="2" t="s">
        <v>48</v>
      </c>
      <c r="M1998" s="2" t="s">
        <v>83</v>
      </c>
      <c r="N1998" s="2" t="s">
        <v>118</v>
      </c>
      <c r="O1998" s="2" t="s">
        <v>382</v>
      </c>
      <c r="P1998" s="2">
        <v>381</v>
      </c>
      <c r="Q1998" s="2" t="s">
        <v>39</v>
      </c>
      <c r="R1998" s="2" t="s">
        <v>40</v>
      </c>
      <c r="S1998" s="2">
        <v>119630</v>
      </c>
      <c r="T1998" s="2">
        <v>65059</v>
      </c>
      <c r="U1998" s="2">
        <v>54571</v>
      </c>
      <c r="V1998" s="2">
        <v>76122</v>
      </c>
      <c r="W1998" s="2">
        <v>29517</v>
      </c>
      <c r="X1998" s="2">
        <v>10354</v>
      </c>
      <c r="Y1998" s="2" t="s">
        <v>41</v>
      </c>
      <c r="Z1998" s="2">
        <v>77</v>
      </c>
      <c r="AA1998" s="2">
        <v>3.3</v>
      </c>
      <c r="AB1998" s="2" t="s">
        <v>52</v>
      </c>
    </row>
    <row r="1999" spans="1:28" x14ac:dyDescent="0.25">
      <c r="A1999" s="4" t="s">
        <v>2793</v>
      </c>
      <c r="B1999" s="4" t="s">
        <v>166</v>
      </c>
      <c r="C1999" s="4">
        <v>79</v>
      </c>
      <c r="D1999" s="4" t="s">
        <v>55</v>
      </c>
      <c r="E1999" s="4" t="s">
        <v>154</v>
      </c>
      <c r="F1999" s="4" t="s">
        <v>57</v>
      </c>
      <c r="G1999" s="5">
        <v>45188</v>
      </c>
      <c r="H1999" s="5">
        <v>45199</v>
      </c>
      <c r="I1999" s="4">
        <v>11</v>
      </c>
      <c r="J1999" s="4" t="s">
        <v>140</v>
      </c>
      <c r="K1999" s="4" t="s">
        <v>167</v>
      </c>
      <c r="L1999" s="4" t="s">
        <v>142</v>
      </c>
      <c r="M1999" s="4" t="s">
        <v>143</v>
      </c>
      <c r="N1999" s="4" t="s">
        <v>118</v>
      </c>
      <c r="O1999" s="4" t="s">
        <v>543</v>
      </c>
      <c r="P1999" s="4">
        <v>287</v>
      </c>
      <c r="Q1999" s="4" t="s">
        <v>39</v>
      </c>
      <c r="R1999" s="4" t="s">
        <v>111</v>
      </c>
      <c r="S1999" s="4">
        <v>149017</v>
      </c>
      <c r="T1999" s="4">
        <v>132147</v>
      </c>
      <c r="U1999" s="4">
        <v>16870</v>
      </c>
      <c r="V1999" s="4">
        <v>122144</v>
      </c>
      <c r="W1999" s="4">
        <v>14227</v>
      </c>
      <c r="X1999" s="4">
        <v>9862</v>
      </c>
      <c r="Y1999" s="4" t="s">
        <v>41</v>
      </c>
      <c r="Z1999" s="4">
        <v>64</v>
      </c>
      <c r="AA1999" s="4">
        <v>3.2</v>
      </c>
      <c r="AB1999" s="4" t="s">
        <v>52</v>
      </c>
    </row>
    <row r="2000" spans="1:28" x14ac:dyDescent="0.25">
      <c r="A2000" s="2" t="s">
        <v>2794</v>
      </c>
      <c r="B2000" s="2" t="s">
        <v>347</v>
      </c>
      <c r="C2000" s="2">
        <v>71</v>
      </c>
      <c r="D2000" s="2" t="s">
        <v>30</v>
      </c>
      <c r="E2000" s="2" t="s">
        <v>67</v>
      </c>
      <c r="F2000" s="2" t="s">
        <v>72</v>
      </c>
      <c r="G2000" s="3">
        <v>44578</v>
      </c>
      <c r="H2000" s="3">
        <v>44595</v>
      </c>
      <c r="I2000" s="2">
        <v>17</v>
      </c>
      <c r="J2000" s="2" t="s">
        <v>33</v>
      </c>
      <c r="K2000" s="2" t="s">
        <v>174</v>
      </c>
      <c r="L2000" s="2" t="s">
        <v>48</v>
      </c>
      <c r="M2000" s="2" t="s">
        <v>108</v>
      </c>
      <c r="N2000" s="2" t="s">
        <v>109</v>
      </c>
      <c r="O2000" s="2" t="s">
        <v>520</v>
      </c>
      <c r="P2000" s="2">
        <v>489</v>
      </c>
      <c r="Q2000" s="2" t="s">
        <v>50</v>
      </c>
      <c r="R2000" s="2" t="s">
        <v>90</v>
      </c>
      <c r="S2000" s="2">
        <v>177625</v>
      </c>
      <c r="T2000" s="2">
        <v>137699</v>
      </c>
      <c r="U2000" s="2">
        <v>39926</v>
      </c>
      <c r="V2000" s="2">
        <v>146356</v>
      </c>
      <c r="W2000" s="2">
        <v>23698</v>
      </c>
      <c r="X2000" s="2">
        <v>4421</v>
      </c>
      <c r="Y2000" s="2" t="s">
        <v>41</v>
      </c>
      <c r="Z2000" s="2">
        <v>97</v>
      </c>
      <c r="AA2000" s="2">
        <v>3.9</v>
      </c>
      <c r="AB2000" s="2" t="s">
        <v>42</v>
      </c>
    </row>
    <row r="2001" spans="1:28" x14ac:dyDescent="0.25">
      <c r="A2001" s="4" t="s">
        <v>2795</v>
      </c>
      <c r="B2001" s="4" t="s">
        <v>1314</v>
      </c>
      <c r="C2001" s="4">
        <v>42</v>
      </c>
      <c r="D2001" s="4" t="s">
        <v>30</v>
      </c>
      <c r="E2001" s="4" t="s">
        <v>87</v>
      </c>
      <c r="F2001" s="4" t="s">
        <v>46</v>
      </c>
      <c r="G2001" s="5">
        <v>44943</v>
      </c>
      <c r="H2001" s="5">
        <v>44958</v>
      </c>
      <c r="I2001" s="4">
        <v>15</v>
      </c>
      <c r="J2001" s="4" t="s">
        <v>33</v>
      </c>
      <c r="K2001" s="4" t="s">
        <v>197</v>
      </c>
      <c r="L2001" s="4" t="s">
        <v>198</v>
      </c>
      <c r="M2001" s="4" t="s">
        <v>143</v>
      </c>
      <c r="N2001" s="4" t="s">
        <v>118</v>
      </c>
      <c r="O2001" s="4" t="s">
        <v>471</v>
      </c>
      <c r="P2001" s="4">
        <v>176</v>
      </c>
      <c r="Q2001" s="4" t="s">
        <v>39</v>
      </c>
      <c r="R2001" s="4" t="s">
        <v>111</v>
      </c>
      <c r="S2001" s="4">
        <v>120815</v>
      </c>
      <c r="T2001" s="4">
        <v>81642</v>
      </c>
      <c r="U2001" s="4">
        <v>39173</v>
      </c>
      <c r="V2001" s="4">
        <v>112994</v>
      </c>
      <c r="W2001" s="4">
        <v>3088</v>
      </c>
      <c r="X2001" s="4">
        <v>1497</v>
      </c>
      <c r="Y2001" s="4" t="s">
        <v>41</v>
      </c>
      <c r="Z2001" s="4">
        <v>50</v>
      </c>
      <c r="AA2001" s="4">
        <v>3.6</v>
      </c>
      <c r="AB2001" s="4" t="s">
        <v>52</v>
      </c>
    </row>
    <row r="2002" spans="1:28" x14ac:dyDescent="0.25">
      <c r="A2002" s="2" t="s">
        <v>2796</v>
      </c>
      <c r="B2002" s="2" t="s">
        <v>1009</v>
      </c>
      <c r="C2002" s="2">
        <v>63</v>
      </c>
      <c r="D2002" s="2" t="s">
        <v>30</v>
      </c>
      <c r="E2002" s="2" t="s">
        <v>56</v>
      </c>
      <c r="F2002" s="2" t="s">
        <v>72</v>
      </c>
      <c r="G2002" s="3">
        <v>45065</v>
      </c>
      <c r="H2002" s="3">
        <v>45085</v>
      </c>
      <c r="I2002" s="2">
        <v>20</v>
      </c>
      <c r="J2002" s="2" t="s">
        <v>33</v>
      </c>
      <c r="K2002" s="2" t="s">
        <v>34</v>
      </c>
      <c r="L2002" s="2" t="s">
        <v>35</v>
      </c>
      <c r="M2002" s="2" t="s">
        <v>108</v>
      </c>
      <c r="N2002" s="2" t="s">
        <v>62</v>
      </c>
      <c r="O2002" s="2" t="s">
        <v>102</v>
      </c>
      <c r="P2002" s="2">
        <v>280</v>
      </c>
      <c r="Q2002" s="2" t="s">
        <v>39</v>
      </c>
      <c r="R2002" s="2" t="s">
        <v>51</v>
      </c>
      <c r="S2002" s="2">
        <v>31142</v>
      </c>
      <c r="T2002" s="2">
        <v>17345</v>
      </c>
      <c r="U2002" s="2">
        <v>13797</v>
      </c>
      <c r="V2002" s="2">
        <v>13123</v>
      </c>
      <c r="W2002" s="2">
        <v>8483</v>
      </c>
      <c r="X2002" s="2">
        <v>5646</v>
      </c>
      <c r="Y2002" s="2" t="s">
        <v>41</v>
      </c>
      <c r="Z2002" s="2">
        <v>84</v>
      </c>
      <c r="AA2002" s="2">
        <v>2.2999999999999998</v>
      </c>
      <c r="AB2002" s="2" t="s">
        <v>104</v>
      </c>
    </row>
    <row r="2003" spans="1:28" x14ac:dyDescent="0.25">
      <c r="A2003" s="4" t="s">
        <v>2797</v>
      </c>
      <c r="B2003" s="4" t="s">
        <v>1586</v>
      </c>
      <c r="C2003" s="4">
        <v>73</v>
      </c>
      <c r="D2003" s="4" t="s">
        <v>30</v>
      </c>
      <c r="E2003" s="4" t="s">
        <v>87</v>
      </c>
      <c r="F2003" s="4" t="s">
        <v>150</v>
      </c>
      <c r="G2003" s="5">
        <v>44562</v>
      </c>
      <c r="H2003" s="5">
        <v>44591</v>
      </c>
      <c r="I2003" s="4">
        <v>29</v>
      </c>
      <c r="J2003" s="4" t="s">
        <v>33</v>
      </c>
      <c r="K2003" s="4" t="s">
        <v>174</v>
      </c>
      <c r="L2003" s="4" t="s">
        <v>48</v>
      </c>
      <c r="M2003" s="4" t="s">
        <v>130</v>
      </c>
      <c r="N2003" s="4" t="s">
        <v>62</v>
      </c>
      <c r="O2003" s="4" t="s">
        <v>89</v>
      </c>
      <c r="P2003" s="4">
        <v>335</v>
      </c>
      <c r="Q2003" s="4" t="s">
        <v>39</v>
      </c>
      <c r="R2003" s="4" t="s">
        <v>51</v>
      </c>
      <c r="S2003" s="4">
        <v>73152</v>
      </c>
      <c r="T2003" s="4">
        <v>47641</v>
      </c>
      <c r="U2003" s="4">
        <v>25511</v>
      </c>
      <c r="V2003" s="4">
        <v>50440</v>
      </c>
      <c r="W2003" s="4">
        <v>11561</v>
      </c>
      <c r="X2003" s="4">
        <v>6950</v>
      </c>
      <c r="Y2003" s="4" t="s">
        <v>41</v>
      </c>
      <c r="Z2003" s="4">
        <v>70</v>
      </c>
      <c r="AA2003" s="4">
        <v>4.0999999999999996</v>
      </c>
      <c r="AB2003" s="4" t="s">
        <v>52</v>
      </c>
    </row>
    <row r="2004" spans="1:28" x14ac:dyDescent="0.25">
      <c r="A2004" s="2" t="s">
        <v>2798</v>
      </c>
      <c r="B2004" s="2" t="s">
        <v>415</v>
      </c>
      <c r="C2004" s="2">
        <v>36</v>
      </c>
      <c r="D2004" s="2" t="s">
        <v>55</v>
      </c>
      <c r="E2004" s="2" t="s">
        <v>87</v>
      </c>
      <c r="F2004" s="2" t="s">
        <v>150</v>
      </c>
      <c r="G2004" s="3">
        <v>44699</v>
      </c>
      <c r="H2004" s="3">
        <v>44716</v>
      </c>
      <c r="I2004" s="2">
        <v>17</v>
      </c>
      <c r="J2004" s="2" t="s">
        <v>115</v>
      </c>
      <c r="K2004" s="2" t="s">
        <v>116</v>
      </c>
      <c r="L2004" s="2" t="s">
        <v>117</v>
      </c>
      <c r="M2004" s="2" t="s">
        <v>108</v>
      </c>
      <c r="N2004" s="2" t="s">
        <v>37</v>
      </c>
      <c r="O2004" s="2" t="s">
        <v>681</v>
      </c>
      <c r="P2004" s="2">
        <v>211</v>
      </c>
      <c r="Q2004" s="2" t="s">
        <v>69</v>
      </c>
      <c r="R2004" s="2" t="s">
        <v>111</v>
      </c>
      <c r="S2004" s="2">
        <v>100920</v>
      </c>
      <c r="T2004" s="2">
        <v>66838</v>
      </c>
      <c r="U2004" s="2">
        <v>34082</v>
      </c>
      <c r="V2004" s="2">
        <v>65930</v>
      </c>
      <c r="W2004" s="2">
        <v>27067</v>
      </c>
      <c r="X2004" s="2">
        <v>4210</v>
      </c>
      <c r="Y2004" s="2" t="s">
        <v>41</v>
      </c>
      <c r="Z2004" s="2">
        <v>55</v>
      </c>
      <c r="AA2004" s="2">
        <v>2</v>
      </c>
      <c r="AB2004" s="2" t="s">
        <v>64</v>
      </c>
    </row>
    <row r="2005" spans="1:28" x14ac:dyDescent="0.25">
      <c r="A2005" s="4" t="s">
        <v>2799</v>
      </c>
      <c r="B2005" s="4" t="s">
        <v>1573</v>
      </c>
      <c r="C2005" s="4">
        <v>21</v>
      </c>
      <c r="D2005" s="4" t="s">
        <v>30</v>
      </c>
      <c r="E2005" s="4" t="s">
        <v>67</v>
      </c>
      <c r="F2005" s="4" t="s">
        <v>46</v>
      </c>
      <c r="G2005" s="5">
        <v>44617</v>
      </c>
      <c r="H2005" s="5">
        <v>44637</v>
      </c>
      <c r="I2005" s="4">
        <v>20</v>
      </c>
      <c r="J2005" s="4" t="s">
        <v>140</v>
      </c>
      <c r="K2005" s="4" t="s">
        <v>167</v>
      </c>
      <c r="L2005" s="4" t="s">
        <v>142</v>
      </c>
      <c r="M2005" s="4" t="s">
        <v>108</v>
      </c>
      <c r="N2005" s="4" t="s">
        <v>118</v>
      </c>
      <c r="O2005" s="4" t="s">
        <v>211</v>
      </c>
      <c r="P2005" s="4">
        <v>250</v>
      </c>
      <c r="Q2005" s="4" t="s">
        <v>103</v>
      </c>
      <c r="R2005" s="4" t="s">
        <v>90</v>
      </c>
      <c r="S2005" s="4">
        <v>105260</v>
      </c>
      <c r="T2005" s="4">
        <v>71651</v>
      </c>
      <c r="U2005" s="4">
        <v>33609</v>
      </c>
      <c r="V2005" s="4">
        <v>86999</v>
      </c>
      <c r="W2005" s="4">
        <v>8372</v>
      </c>
      <c r="X2005" s="4">
        <v>6957</v>
      </c>
      <c r="Y2005" s="4" t="s">
        <v>41</v>
      </c>
      <c r="Z2005" s="4">
        <v>55</v>
      </c>
      <c r="AA2005" s="4">
        <v>4.5</v>
      </c>
      <c r="AB2005" s="4" t="s">
        <v>42</v>
      </c>
    </row>
    <row r="2006" spans="1:28" x14ac:dyDescent="0.25">
      <c r="A2006" s="2" t="s">
        <v>2800</v>
      </c>
      <c r="B2006" s="2" t="s">
        <v>1410</v>
      </c>
      <c r="C2006" s="2">
        <v>41</v>
      </c>
      <c r="D2006" s="2" t="s">
        <v>55</v>
      </c>
      <c r="E2006" s="2" t="s">
        <v>154</v>
      </c>
      <c r="F2006" s="2" t="s">
        <v>157</v>
      </c>
      <c r="G2006" s="3">
        <v>45514</v>
      </c>
      <c r="H2006" s="3">
        <v>45527</v>
      </c>
      <c r="I2006" s="2">
        <v>13</v>
      </c>
      <c r="J2006" s="2" t="s">
        <v>123</v>
      </c>
      <c r="K2006" s="2" t="s">
        <v>124</v>
      </c>
      <c r="L2006" s="2" t="s">
        <v>125</v>
      </c>
      <c r="M2006" s="2" t="s">
        <v>75</v>
      </c>
      <c r="N2006" s="2" t="s">
        <v>62</v>
      </c>
      <c r="O2006" s="2" t="s">
        <v>241</v>
      </c>
      <c r="P2006" s="2">
        <v>443</v>
      </c>
      <c r="Q2006" s="2" t="s">
        <v>39</v>
      </c>
      <c r="R2006" s="2" t="s">
        <v>136</v>
      </c>
      <c r="S2006" s="2">
        <v>154243</v>
      </c>
      <c r="T2006" s="2">
        <v>0</v>
      </c>
      <c r="U2006" s="2">
        <v>154243</v>
      </c>
      <c r="V2006" s="2">
        <v>138085</v>
      </c>
      <c r="W2006" s="2">
        <v>6358</v>
      </c>
      <c r="X2006" s="2">
        <v>9226</v>
      </c>
      <c r="Y2006" s="2" t="s">
        <v>41</v>
      </c>
      <c r="Z2006" s="2">
        <v>90</v>
      </c>
      <c r="AA2006" s="2">
        <v>4</v>
      </c>
      <c r="AB2006" s="2" t="s">
        <v>64</v>
      </c>
    </row>
    <row r="2007" spans="1:28" x14ac:dyDescent="0.25">
      <c r="A2007" s="4" t="s">
        <v>2801</v>
      </c>
      <c r="B2007" s="4" t="s">
        <v>354</v>
      </c>
      <c r="C2007" s="4">
        <v>50</v>
      </c>
      <c r="D2007" s="4" t="s">
        <v>55</v>
      </c>
      <c r="E2007" s="4" t="s">
        <v>67</v>
      </c>
      <c r="F2007" s="4" t="s">
        <v>80</v>
      </c>
      <c r="G2007" s="5">
        <v>44615</v>
      </c>
      <c r="H2007" s="5">
        <v>44625</v>
      </c>
      <c r="I2007" s="4">
        <v>10</v>
      </c>
      <c r="J2007" s="4" t="s">
        <v>58</v>
      </c>
      <c r="K2007" s="4" t="s">
        <v>88</v>
      </c>
      <c r="L2007" s="4" t="s">
        <v>60</v>
      </c>
      <c r="M2007" s="4" t="s">
        <v>75</v>
      </c>
      <c r="N2007" s="4" t="s">
        <v>37</v>
      </c>
      <c r="O2007" s="4" t="s">
        <v>1000</v>
      </c>
      <c r="P2007" s="4">
        <v>307</v>
      </c>
      <c r="Q2007" s="4" t="s">
        <v>69</v>
      </c>
      <c r="R2007" s="4" t="s">
        <v>90</v>
      </c>
      <c r="S2007" s="4">
        <v>52135</v>
      </c>
      <c r="T2007" s="4">
        <v>34224</v>
      </c>
      <c r="U2007" s="4">
        <v>17911</v>
      </c>
      <c r="V2007" s="4">
        <v>25874</v>
      </c>
      <c r="W2007" s="4">
        <v>20697</v>
      </c>
      <c r="X2007" s="4">
        <v>3275</v>
      </c>
      <c r="Y2007" s="4" t="s">
        <v>41</v>
      </c>
      <c r="Z2007" s="4">
        <v>60</v>
      </c>
      <c r="AA2007" s="4">
        <v>2.4</v>
      </c>
      <c r="AB2007" s="4" t="s">
        <v>52</v>
      </c>
    </row>
    <row r="2008" spans="1:28" x14ac:dyDescent="0.25">
      <c r="A2008" s="2" t="s">
        <v>2802</v>
      </c>
      <c r="B2008" s="2" t="s">
        <v>345</v>
      </c>
      <c r="C2008" s="2">
        <v>20</v>
      </c>
      <c r="D2008" s="2" t="s">
        <v>30</v>
      </c>
      <c r="E2008" s="2" t="s">
        <v>87</v>
      </c>
      <c r="F2008" s="2" t="s">
        <v>80</v>
      </c>
      <c r="G2008" s="3">
        <v>45614</v>
      </c>
      <c r="H2008" s="3">
        <v>45637</v>
      </c>
      <c r="I2008" s="2">
        <v>23</v>
      </c>
      <c r="J2008" s="2" t="s">
        <v>140</v>
      </c>
      <c r="K2008" s="2" t="s">
        <v>167</v>
      </c>
      <c r="L2008" s="2" t="s">
        <v>142</v>
      </c>
      <c r="M2008" s="2" t="s">
        <v>83</v>
      </c>
      <c r="N2008" s="2" t="s">
        <v>37</v>
      </c>
      <c r="O2008" s="2" t="s">
        <v>144</v>
      </c>
      <c r="P2008" s="2">
        <v>500</v>
      </c>
      <c r="Q2008" s="2" t="s">
        <v>69</v>
      </c>
      <c r="R2008" s="2" t="s">
        <v>40</v>
      </c>
      <c r="S2008" s="2">
        <v>162596</v>
      </c>
      <c r="T2008" s="2">
        <v>104273</v>
      </c>
      <c r="U2008" s="2">
        <v>58323</v>
      </c>
      <c r="V2008" s="2">
        <v>130927</v>
      </c>
      <c r="W2008" s="2">
        <v>15714</v>
      </c>
      <c r="X2008" s="2">
        <v>13839</v>
      </c>
      <c r="Y2008" s="2" t="s">
        <v>41</v>
      </c>
      <c r="Z2008" s="2">
        <v>93</v>
      </c>
      <c r="AA2008" s="2">
        <v>3</v>
      </c>
      <c r="AB2008" s="2" t="s">
        <v>42</v>
      </c>
    </row>
    <row r="2009" spans="1:28" x14ac:dyDescent="0.25">
      <c r="A2009" s="4" t="s">
        <v>2803</v>
      </c>
      <c r="B2009" s="4" t="s">
        <v>1046</v>
      </c>
      <c r="C2009" s="4">
        <v>7</v>
      </c>
      <c r="D2009" s="4" t="s">
        <v>55</v>
      </c>
      <c r="E2009" s="4" t="s">
        <v>79</v>
      </c>
      <c r="F2009" s="4" t="s">
        <v>46</v>
      </c>
      <c r="G2009" s="5">
        <v>45218</v>
      </c>
      <c r="H2009" s="5">
        <v>45233</v>
      </c>
      <c r="I2009" s="4">
        <v>15</v>
      </c>
      <c r="J2009" s="4" t="s">
        <v>115</v>
      </c>
      <c r="K2009" s="4" t="s">
        <v>116</v>
      </c>
      <c r="L2009" s="4" t="s">
        <v>117</v>
      </c>
      <c r="M2009" s="4" t="s">
        <v>36</v>
      </c>
      <c r="N2009" s="4" t="s">
        <v>37</v>
      </c>
      <c r="O2009" s="4" t="s">
        <v>530</v>
      </c>
      <c r="P2009" s="4">
        <v>431</v>
      </c>
      <c r="Q2009" s="4" t="s">
        <v>50</v>
      </c>
      <c r="R2009" s="4" t="s">
        <v>90</v>
      </c>
      <c r="S2009" s="4">
        <v>126039</v>
      </c>
      <c r="T2009" s="4">
        <v>83708</v>
      </c>
      <c r="U2009" s="4">
        <v>42331</v>
      </c>
      <c r="V2009" s="4">
        <v>113637</v>
      </c>
      <c r="W2009" s="4">
        <v>10219</v>
      </c>
      <c r="X2009" s="4">
        <v>1570</v>
      </c>
      <c r="Y2009" s="4" t="s">
        <v>41</v>
      </c>
      <c r="Z2009" s="4">
        <v>44</v>
      </c>
      <c r="AA2009" s="4">
        <v>3.9</v>
      </c>
      <c r="AB2009" s="4" t="s">
        <v>137</v>
      </c>
    </row>
    <row r="2010" spans="1:28" x14ac:dyDescent="0.25">
      <c r="A2010" s="2" t="s">
        <v>2804</v>
      </c>
      <c r="B2010" s="2" t="s">
        <v>2805</v>
      </c>
      <c r="C2010" s="2">
        <v>28</v>
      </c>
      <c r="D2010" s="2" t="s">
        <v>30</v>
      </c>
      <c r="E2010" s="2" t="s">
        <v>45</v>
      </c>
      <c r="F2010" s="2" t="s">
        <v>129</v>
      </c>
      <c r="G2010" s="3">
        <v>44996</v>
      </c>
      <c r="H2010" s="3">
        <v>45005</v>
      </c>
      <c r="I2010" s="2">
        <v>9</v>
      </c>
      <c r="J2010" s="2" t="s">
        <v>33</v>
      </c>
      <c r="K2010" s="2" t="s">
        <v>81</v>
      </c>
      <c r="L2010" s="2" t="s">
        <v>82</v>
      </c>
      <c r="M2010" s="2" t="s">
        <v>95</v>
      </c>
      <c r="N2010" s="2" t="s">
        <v>118</v>
      </c>
      <c r="O2010" s="2" t="s">
        <v>376</v>
      </c>
      <c r="P2010" s="2">
        <v>66</v>
      </c>
      <c r="Q2010" s="2" t="s">
        <v>69</v>
      </c>
      <c r="R2010" s="2" t="s">
        <v>40</v>
      </c>
      <c r="S2010" s="2">
        <v>173628</v>
      </c>
      <c r="T2010" s="2">
        <v>93149</v>
      </c>
      <c r="U2010" s="2">
        <v>80479</v>
      </c>
      <c r="V2010" s="2">
        <v>146988</v>
      </c>
      <c r="W2010" s="2">
        <v>10189</v>
      </c>
      <c r="X2010" s="2">
        <v>12582</v>
      </c>
      <c r="Y2010" s="2" t="s">
        <v>41</v>
      </c>
      <c r="Z2010" s="2">
        <v>56</v>
      </c>
      <c r="AA2010" s="2">
        <v>2.9</v>
      </c>
      <c r="AB2010" s="2" t="s">
        <v>104</v>
      </c>
    </row>
    <row r="2011" spans="1:28" x14ac:dyDescent="0.25">
      <c r="A2011" s="4" t="s">
        <v>2806</v>
      </c>
      <c r="B2011" s="4" t="s">
        <v>1095</v>
      </c>
      <c r="C2011" s="4">
        <v>70</v>
      </c>
      <c r="D2011" s="4" t="s">
        <v>55</v>
      </c>
      <c r="E2011" s="4" t="s">
        <v>56</v>
      </c>
      <c r="F2011" s="4" t="s">
        <v>46</v>
      </c>
      <c r="G2011" s="5">
        <v>44992</v>
      </c>
      <c r="H2011" s="5">
        <v>45019</v>
      </c>
      <c r="I2011" s="4">
        <v>27</v>
      </c>
      <c r="J2011" s="4" t="s">
        <v>33</v>
      </c>
      <c r="K2011" s="4" t="s">
        <v>47</v>
      </c>
      <c r="L2011" s="4" t="s">
        <v>48</v>
      </c>
      <c r="M2011" s="4" t="s">
        <v>95</v>
      </c>
      <c r="N2011" s="4" t="s">
        <v>118</v>
      </c>
      <c r="O2011" s="4" t="s">
        <v>406</v>
      </c>
      <c r="P2011" s="4">
        <v>323</v>
      </c>
      <c r="Q2011" s="4" t="s">
        <v>103</v>
      </c>
      <c r="R2011" s="4" t="s">
        <v>40</v>
      </c>
      <c r="S2011" s="4">
        <v>186219</v>
      </c>
      <c r="T2011" s="4">
        <v>119521</v>
      </c>
      <c r="U2011" s="4">
        <v>66698</v>
      </c>
      <c r="V2011" s="4">
        <v>144709</v>
      </c>
      <c r="W2011" s="4">
        <v>22900</v>
      </c>
      <c r="X2011" s="4">
        <v>14647</v>
      </c>
      <c r="Y2011" s="4" t="s">
        <v>41</v>
      </c>
      <c r="Z2011" s="4">
        <v>71</v>
      </c>
      <c r="AA2011" s="4">
        <v>4.0999999999999996</v>
      </c>
      <c r="AB2011" s="4" t="s">
        <v>42</v>
      </c>
    </row>
    <row r="2012" spans="1:28" x14ac:dyDescent="0.25">
      <c r="A2012" s="2" t="s">
        <v>2807</v>
      </c>
      <c r="B2012" s="2" t="s">
        <v>207</v>
      </c>
      <c r="C2012" s="2">
        <v>69</v>
      </c>
      <c r="D2012" s="2" t="s">
        <v>30</v>
      </c>
      <c r="E2012" s="2" t="s">
        <v>87</v>
      </c>
      <c r="F2012" s="2" t="s">
        <v>80</v>
      </c>
      <c r="G2012" s="3">
        <v>44711</v>
      </c>
      <c r="H2012" s="3">
        <v>44719</v>
      </c>
      <c r="I2012" s="2">
        <v>8</v>
      </c>
      <c r="J2012" s="2" t="s">
        <v>140</v>
      </c>
      <c r="K2012" s="2" t="s">
        <v>167</v>
      </c>
      <c r="L2012" s="2" t="s">
        <v>142</v>
      </c>
      <c r="M2012" s="2" t="s">
        <v>83</v>
      </c>
      <c r="N2012" s="2" t="s">
        <v>118</v>
      </c>
      <c r="O2012" s="2" t="s">
        <v>520</v>
      </c>
      <c r="P2012" s="2">
        <v>258</v>
      </c>
      <c r="Q2012" s="2" t="s">
        <v>50</v>
      </c>
      <c r="R2012" s="2" t="s">
        <v>90</v>
      </c>
      <c r="S2012" s="2">
        <v>146774</v>
      </c>
      <c r="T2012" s="2">
        <v>127020</v>
      </c>
      <c r="U2012" s="2">
        <v>19754</v>
      </c>
      <c r="V2012" s="2">
        <v>103121</v>
      </c>
      <c r="W2012" s="2">
        <v>23898</v>
      </c>
      <c r="X2012" s="2">
        <v>14867</v>
      </c>
      <c r="Y2012" s="2" t="s">
        <v>91</v>
      </c>
      <c r="Z2012" s="2">
        <v>56</v>
      </c>
      <c r="AA2012" s="2">
        <v>2.2000000000000002</v>
      </c>
      <c r="AB2012" s="2" t="s">
        <v>52</v>
      </c>
    </row>
    <row r="2013" spans="1:28" x14ac:dyDescent="0.25">
      <c r="A2013" s="4" t="s">
        <v>2808</v>
      </c>
      <c r="B2013" s="4" t="s">
        <v>128</v>
      </c>
      <c r="C2013" s="4">
        <v>39</v>
      </c>
      <c r="D2013" s="4" t="s">
        <v>30</v>
      </c>
      <c r="E2013" s="4" t="s">
        <v>45</v>
      </c>
      <c r="F2013" s="4" t="s">
        <v>157</v>
      </c>
      <c r="G2013" s="5">
        <v>44830</v>
      </c>
      <c r="H2013" s="5">
        <v>44832</v>
      </c>
      <c r="I2013" s="4">
        <v>2</v>
      </c>
      <c r="J2013" s="4" t="s">
        <v>115</v>
      </c>
      <c r="K2013" s="4" t="s">
        <v>116</v>
      </c>
      <c r="L2013" s="4" t="s">
        <v>117</v>
      </c>
      <c r="M2013" s="4" t="s">
        <v>130</v>
      </c>
      <c r="N2013" s="4" t="s">
        <v>37</v>
      </c>
      <c r="O2013" s="4" t="s">
        <v>580</v>
      </c>
      <c r="P2013" s="4">
        <v>320</v>
      </c>
      <c r="Q2013" s="4" t="s">
        <v>50</v>
      </c>
      <c r="R2013" s="4" t="s">
        <v>51</v>
      </c>
      <c r="S2013" s="4">
        <v>147333</v>
      </c>
      <c r="T2013" s="4">
        <v>65808</v>
      </c>
      <c r="U2013" s="4">
        <v>81525</v>
      </c>
      <c r="V2013" s="4">
        <v>124100</v>
      </c>
      <c r="W2013" s="4">
        <v>8160</v>
      </c>
      <c r="X2013" s="4">
        <v>10972</v>
      </c>
      <c r="Y2013" s="4" t="s">
        <v>41</v>
      </c>
      <c r="Z2013" s="4">
        <v>40</v>
      </c>
      <c r="AA2013" s="4">
        <v>2.7</v>
      </c>
      <c r="AB2013" s="4" t="s">
        <v>52</v>
      </c>
    </row>
    <row r="2014" spans="1:28" x14ac:dyDescent="0.25">
      <c r="A2014" s="2" t="s">
        <v>2809</v>
      </c>
      <c r="B2014" s="2" t="s">
        <v>2667</v>
      </c>
      <c r="C2014" s="2">
        <v>53</v>
      </c>
      <c r="D2014" s="2" t="s">
        <v>30</v>
      </c>
      <c r="E2014" s="2" t="s">
        <v>31</v>
      </c>
      <c r="F2014" s="2" t="s">
        <v>72</v>
      </c>
      <c r="G2014" s="3">
        <v>45074</v>
      </c>
      <c r="H2014" s="3">
        <v>45083</v>
      </c>
      <c r="I2014" s="2">
        <v>9</v>
      </c>
      <c r="J2014" s="2" t="s">
        <v>140</v>
      </c>
      <c r="K2014" s="2" t="s">
        <v>141</v>
      </c>
      <c r="L2014" s="2" t="s">
        <v>142</v>
      </c>
      <c r="M2014" s="2" t="s">
        <v>130</v>
      </c>
      <c r="N2014" s="2" t="s">
        <v>118</v>
      </c>
      <c r="O2014" s="2" t="s">
        <v>246</v>
      </c>
      <c r="P2014" s="2">
        <v>32</v>
      </c>
      <c r="Q2014" s="2" t="s">
        <v>39</v>
      </c>
      <c r="R2014" s="2" t="s">
        <v>40</v>
      </c>
      <c r="S2014" s="2">
        <v>60218</v>
      </c>
      <c r="T2014" s="2">
        <v>41355</v>
      </c>
      <c r="U2014" s="2">
        <v>18863</v>
      </c>
      <c r="V2014" s="2">
        <v>33171</v>
      </c>
      <c r="W2014" s="2">
        <v>19841</v>
      </c>
      <c r="X2014" s="2">
        <v>6315</v>
      </c>
      <c r="Y2014" s="2" t="s">
        <v>41</v>
      </c>
      <c r="Z2014" s="2">
        <v>55</v>
      </c>
      <c r="AA2014" s="2">
        <v>2</v>
      </c>
      <c r="AB2014" s="2" t="s">
        <v>52</v>
      </c>
    </row>
    <row r="2015" spans="1:28" x14ac:dyDescent="0.25">
      <c r="A2015" s="4" t="s">
        <v>2810</v>
      </c>
      <c r="B2015" s="4" t="s">
        <v>1440</v>
      </c>
      <c r="C2015" s="4">
        <v>79</v>
      </c>
      <c r="D2015" s="4" t="s">
        <v>55</v>
      </c>
      <c r="E2015" s="4" t="s">
        <v>122</v>
      </c>
      <c r="F2015" s="4" t="s">
        <v>32</v>
      </c>
      <c r="G2015" s="5">
        <v>45118</v>
      </c>
      <c r="H2015" s="5">
        <v>45139</v>
      </c>
      <c r="I2015" s="4">
        <v>21</v>
      </c>
      <c r="J2015" s="4" t="s">
        <v>115</v>
      </c>
      <c r="K2015" s="4" t="s">
        <v>160</v>
      </c>
      <c r="L2015" s="4" t="s">
        <v>117</v>
      </c>
      <c r="M2015" s="4" t="s">
        <v>101</v>
      </c>
      <c r="N2015" s="4" t="s">
        <v>109</v>
      </c>
      <c r="O2015" s="4" t="s">
        <v>175</v>
      </c>
      <c r="P2015" s="4">
        <v>13</v>
      </c>
      <c r="Q2015" s="4" t="s">
        <v>50</v>
      </c>
      <c r="R2015" s="4" t="s">
        <v>136</v>
      </c>
      <c r="S2015" s="4">
        <v>135355</v>
      </c>
      <c r="T2015" s="4">
        <v>0</v>
      </c>
      <c r="U2015" s="4">
        <v>135355</v>
      </c>
      <c r="V2015" s="4">
        <v>101387</v>
      </c>
      <c r="W2015" s="4">
        <v>24162</v>
      </c>
      <c r="X2015" s="4">
        <v>6172</v>
      </c>
      <c r="Y2015" s="4" t="s">
        <v>41</v>
      </c>
      <c r="Z2015" s="4">
        <v>96</v>
      </c>
      <c r="AA2015" s="4">
        <v>3.5</v>
      </c>
      <c r="AB2015" s="4" t="s">
        <v>42</v>
      </c>
    </row>
    <row r="2016" spans="1:28" x14ac:dyDescent="0.25">
      <c r="A2016" s="2" t="s">
        <v>2811</v>
      </c>
      <c r="B2016" s="2" t="s">
        <v>213</v>
      </c>
      <c r="C2016" s="2">
        <v>54</v>
      </c>
      <c r="D2016" s="2" t="s">
        <v>30</v>
      </c>
      <c r="E2016" s="2" t="s">
        <v>87</v>
      </c>
      <c r="F2016" s="2" t="s">
        <v>94</v>
      </c>
      <c r="G2016" s="3">
        <v>45011</v>
      </c>
      <c r="H2016" s="3">
        <v>45038</v>
      </c>
      <c r="I2016" s="2">
        <v>27</v>
      </c>
      <c r="J2016" s="2" t="s">
        <v>73</v>
      </c>
      <c r="K2016" s="2" t="s">
        <v>74</v>
      </c>
      <c r="L2016" s="2" t="s">
        <v>73</v>
      </c>
      <c r="M2016" s="2" t="s">
        <v>61</v>
      </c>
      <c r="N2016" s="2" t="s">
        <v>118</v>
      </c>
      <c r="O2016" s="2" t="s">
        <v>365</v>
      </c>
      <c r="P2016" s="2">
        <v>16</v>
      </c>
      <c r="Q2016" s="2" t="s">
        <v>50</v>
      </c>
      <c r="R2016" s="2" t="s">
        <v>90</v>
      </c>
      <c r="S2016" s="2">
        <v>176184</v>
      </c>
      <c r="T2016" s="2">
        <v>145979</v>
      </c>
      <c r="U2016" s="2">
        <v>30205</v>
      </c>
      <c r="V2016" s="2">
        <v>146425</v>
      </c>
      <c r="W2016" s="2">
        <v>17534</v>
      </c>
      <c r="X2016" s="2">
        <v>8830</v>
      </c>
      <c r="Y2016" s="2" t="s">
        <v>41</v>
      </c>
      <c r="Z2016" s="2">
        <v>73</v>
      </c>
      <c r="AA2016" s="2">
        <v>4.8</v>
      </c>
      <c r="AB2016" s="2" t="s">
        <v>42</v>
      </c>
    </row>
    <row r="2017" spans="1:28" x14ac:dyDescent="0.25">
      <c r="A2017" s="4" t="s">
        <v>2812</v>
      </c>
      <c r="B2017" s="4" t="s">
        <v>2813</v>
      </c>
      <c r="C2017" s="4">
        <v>77</v>
      </c>
      <c r="D2017" s="4" t="s">
        <v>30</v>
      </c>
      <c r="E2017" s="4" t="s">
        <v>87</v>
      </c>
      <c r="F2017" s="4" t="s">
        <v>129</v>
      </c>
      <c r="G2017" s="5">
        <v>45605</v>
      </c>
      <c r="H2017" s="5">
        <v>45613</v>
      </c>
      <c r="I2017" s="4">
        <v>8</v>
      </c>
      <c r="J2017" s="4" t="s">
        <v>33</v>
      </c>
      <c r="K2017" s="4" t="s">
        <v>233</v>
      </c>
      <c r="L2017" s="4" t="s">
        <v>35</v>
      </c>
      <c r="M2017" s="4" t="s">
        <v>75</v>
      </c>
      <c r="N2017" s="4" t="s">
        <v>109</v>
      </c>
      <c r="O2017" s="4" t="s">
        <v>396</v>
      </c>
      <c r="P2017" s="4">
        <v>288</v>
      </c>
      <c r="Q2017" s="4" t="s">
        <v>103</v>
      </c>
      <c r="R2017" s="4" t="s">
        <v>136</v>
      </c>
      <c r="S2017" s="4">
        <v>160352</v>
      </c>
      <c r="T2017" s="4">
        <v>0</v>
      </c>
      <c r="U2017" s="4">
        <v>160352</v>
      </c>
      <c r="V2017" s="4">
        <v>142004</v>
      </c>
      <c r="W2017" s="4">
        <v>10581</v>
      </c>
      <c r="X2017" s="4">
        <v>7122</v>
      </c>
      <c r="Y2017" s="4" t="s">
        <v>41</v>
      </c>
      <c r="Z2017" s="4">
        <v>88</v>
      </c>
      <c r="AA2017" s="4">
        <v>2.9</v>
      </c>
      <c r="AB2017" s="4" t="s">
        <v>137</v>
      </c>
    </row>
    <row r="2018" spans="1:28" x14ac:dyDescent="0.25">
      <c r="A2018" s="2" t="s">
        <v>2814</v>
      </c>
      <c r="B2018" s="2" t="s">
        <v>861</v>
      </c>
      <c r="C2018" s="2">
        <v>53</v>
      </c>
      <c r="D2018" s="2" t="s">
        <v>30</v>
      </c>
      <c r="E2018" s="2" t="s">
        <v>122</v>
      </c>
      <c r="F2018" s="2" t="s">
        <v>32</v>
      </c>
      <c r="G2018" s="3">
        <v>44882</v>
      </c>
      <c r="H2018" s="3">
        <v>44897</v>
      </c>
      <c r="I2018" s="2">
        <v>15</v>
      </c>
      <c r="J2018" s="2" t="s">
        <v>33</v>
      </c>
      <c r="K2018" s="2" t="s">
        <v>34</v>
      </c>
      <c r="L2018" s="2" t="s">
        <v>35</v>
      </c>
      <c r="M2018" s="2" t="s">
        <v>75</v>
      </c>
      <c r="N2018" s="2" t="s">
        <v>37</v>
      </c>
      <c r="O2018" s="2" t="s">
        <v>434</v>
      </c>
      <c r="P2018" s="2">
        <v>232</v>
      </c>
      <c r="Q2018" s="2" t="s">
        <v>50</v>
      </c>
      <c r="R2018" s="2" t="s">
        <v>90</v>
      </c>
      <c r="S2018" s="2">
        <v>181881</v>
      </c>
      <c r="T2018" s="2">
        <v>111014</v>
      </c>
      <c r="U2018" s="2">
        <v>70867</v>
      </c>
      <c r="V2018" s="2">
        <v>149747</v>
      </c>
      <c r="W2018" s="2">
        <v>29530</v>
      </c>
      <c r="X2018" s="2">
        <v>1022</v>
      </c>
      <c r="Y2018" s="2" t="s">
        <v>41</v>
      </c>
      <c r="Z2018" s="2">
        <v>82</v>
      </c>
      <c r="AA2018" s="2">
        <v>4.7</v>
      </c>
      <c r="AB2018" s="2" t="s">
        <v>104</v>
      </c>
    </row>
    <row r="2019" spans="1:28" x14ac:dyDescent="0.25">
      <c r="A2019" s="4" t="s">
        <v>2815</v>
      </c>
      <c r="B2019" s="4" t="s">
        <v>177</v>
      </c>
      <c r="C2019" s="4">
        <v>79</v>
      </c>
      <c r="D2019" s="4" t="s">
        <v>55</v>
      </c>
      <c r="E2019" s="4" t="s">
        <v>87</v>
      </c>
      <c r="F2019" s="4" t="s">
        <v>46</v>
      </c>
      <c r="G2019" s="5">
        <v>44988</v>
      </c>
      <c r="H2019" s="5">
        <v>45007</v>
      </c>
      <c r="I2019" s="4">
        <v>19</v>
      </c>
      <c r="J2019" s="4" t="s">
        <v>123</v>
      </c>
      <c r="K2019" s="4" t="s">
        <v>251</v>
      </c>
      <c r="L2019" s="4" t="s">
        <v>125</v>
      </c>
      <c r="M2019" s="4" t="s">
        <v>134</v>
      </c>
      <c r="N2019" s="4" t="s">
        <v>118</v>
      </c>
      <c r="O2019" s="4" t="s">
        <v>189</v>
      </c>
      <c r="P2019" s="4">
        <v>98</v>
      </c>
      <c r="Q2019" s="4" t="s">
        <v>39</v>
      </c>
      <c r="R2019" s="4" t="s">
        <v>90</v>
      </c>
      <c r="S2019" s="4">
        <v>68230</v>
      </c>
      <c r="T2019" s="4">
        <v>57819</v>
      </c>
      <c r="U2019" s="4">
        <v>10411</v>
      </c>
      <c r="V2019" s="4">
        <v>44071</v>
      </c>
      <c r="W2019" s="4">
        <v>10760</v>
      </c>
      <c r="X2019" s="4">
        <v>10807</v>
      </c>
      <c r="Y2019" s="4" t="s">
        <v>41</v>
      </c>
      <c r="Z2019" s="4">
        <v>40</v>
      </c>
      <c r="AA2019" s="4">
        <v>4</v>
      </c>
      <c r="AB2019" s="4" t="s">
        <v>64</v>
      </c>
    </row>
    <row r="2020" spans="1:28" x14ac:dyDescent="0.25">
      <c r="A2020" s="2" t="s">
        <v>2816</v>
      </c>
      <c r="B2020" s="2" t="s">
        <v>29</v>
      </c>
      <c r="C2020" s="2">
        <v>78</v>
      </c>
      <c r="D2020" s="2" t="s">
        <v>30</v>
      </c>
      <c r="E2020" s="2" t="s">
        <v>56</v>
      </c>
      <c r="F2020" s="2" t="s">
        <v>94</v>
      </c>
      <c r="G2020" s="3">
        <v>44562</v>
      </c>
      <c r="H2020" s="3">
        <v>44566</v>
      </c>
      <c r="I2020" s="2">
        <v>4</v>
      </c>
      <c r="J2020" s="2" t="s">
        <v>202</v>
      </c>
      <c r="K2020" s="2" t="s">
        <v>203</v>
      </c>
      <c r="L2020" s="2" t="s">
        <v>204</v>
      </c>
      <c r="M2020" s="2" t="s">
        <v>130</v>
      </c>
      <c r="N2020" s="2" t="s">
        <v>109</v>
      </c>
      <c r="O2020" s="2" t="s">
        <v>448</v>
      </c>
      <c r="P2020" s="2">
        <v>466</v>
      </c>
      <c r="Q2020" s="2" t="s">
        <v>39</v>
      </c>
      <c r="R2020" s="2" t="s">
        <v>51</v>
      </c>
      <c r="S2020" s="2">
        <v>58498</v>
      </c>
      <c r="T2020" s="2">
        <v>39682</v>
      </c>
      <c r="U2020" s="2">
        <v>18816</v>
      </c>
      <c r="V2020" s="2">
        <v>23878</v>
      </c>
      <c r="W2020" s="2">
        <v>25083</v>
      </c>
      <c r="X2020" s="2">
        <v>6968</v>
      </c>
      <c r="Y2020" s="2" t="s">
        <v>41</v>
      </c>
      <c r="Z2020" s="2">
        <v>45</v>
      </c>
      <c r="AA2020" s="2">
        <v>4.9000000000000004</v>
      </c>
      <c r="AB2020" s="2" t="s">
        <v>137</v>
      </c>
    </row>
    <row r="2021" spans="1:28" x14ac:dyDescent="0.25">
      <c r="A2021" s="4" t="s">
        <v>2817</v>
      </c>
      <c r="B2021" s="4" t="s">
        <v>1309</v>
      </c>
      <c r="C2021" s="4">
        <v>40</v>
      </c>
      <c r="D2021" s="4" t="s">
        <v>30</v>
      </c>
      <c r="E2021" s="4" t="s">
        <v>56</v>
      </c>
      <c r="F2021" s="4" t="s">
        <v>57</v>
      </c>
      <c r="G2021" s="5">
        <v>45562</v>
      </c>
      <c r="H2021" s="5">
        <v>45585</v>
      </c>
      <c r="I2021" s="4">
        <v>23</v>
      </c>
      <c r="J2021" s="4" t="s">
        <v>33</v>
      </c>
      <c r="K2021" s="4" t="s">
        <v>278</v>
      </c>
      <c r="L2021" s="4" t="s">
        <v>279</v>
      </c>
      <c r="M2021" s="4" t="s">
        <v>95</v>
      </c>
      <c r="N2021" s="4" t="s">
        <v>109</v>
      </c>
      <c r="O2021" s="4" t="s">
        <v>343</v>
      </c>
      <c r="P2021" s="4">
        <v>216</v>
      </c>
      <c r="Q2021" s="4" t="s">
        <v>50</v>
      </c>
      <c r="R2021" s="4" t="s">
        <v>40</v>
      </c>
      <c r="S2021" s="4">
        <v>36286</v>
      </c>
      <c r="T2021" s="4">
        <v>24896</v>
      </c>
      <c r="U2021" s="4">
        <v>11390</v>
      </c>
      <c r="V2021" s="4">
        <v>11537</v>
      </c>
      <c r="W2021" s="4">
        <v>18816</v>
      </c>
      <c r="X2021" s="4">
        <v>4562</v>
      </c>
      <c r="Y2021" s="4" t="s">
        <v>41</v>
      </c>
      <c r="Z2021" s="4">
        <v>88</v>
      </c>
      <c r="AA2021" s="4">
        <v>4.3</v>
      </c>
      <c r="AB2021" s="4" t="s">
        <v>104</v>
      </c>
    </row>
    <row r="2022" spans="1:28" x14ac:dyDescent="0.25">
      <c r="A2022" s="2" t="s">
        <v>2818</v>
      </c>
      <c r="B2022" s="2" t="s">
        <v>1612</v>
      </c>
      <c r="C2022" s="2">
        <v>14</v>
      </c>
      <c r="D2022" s="2" t="s">
        <v>30</v>
      </c>
      <c r="E2022" s="2" t="s">
        <v>56</v>
      </c>
      <c r="F2022" s="2" t="s">
        <v>94</v>
      </c>
      <c r="G2022" s="3">
        <v>45015</v>
      </c>
      <c r="H2022" s="3">
        <v>45021</v>
      </c>
      <c r="I2022" s="2">
        <v>6</v>
      </c>
      <c r="J2022" s="2" t="s">
        <v>202</v>
      </c>
      <c r="K2022" s="2" t="s">
        <v>203</v>
      </c>
      <c r="L2022" s="2" t="s">
        <v>204</v>
      </c>
      <c r="M2022" s="2" t="s">
        <v>143</v>
      </c>
      <c r="N2022" s="2" t="s">
        <v>62</v>
      </c>
      <c r="O2022" s="2" t="s">
        <v>631</v>
      </c>
      <c r="P2022" s="2">
        <v>152</v>
      </c>
      <c r="Q2022" s="2" t="s">
        <v>69</v>
      </c>
      <c r="R2022" s="2" t="s">
        <v>111</v>
      </c>
      <c r="S2022" s="2">
        <v>142872</v>
      </c>
      <c r="T2022" s="2">
        <v>94758</v>
      </c>
      <c r="U2022" s="2">
        <v>48114</v>
      </c>
      <c r="V2022" s="2">
        <v>103972</v>
      </c>
      <c r="W2022" s="2">
        <v>24309</v>
      </c>
      <c r="X2022" s="2">
        <v>11898</v>
      </c>
      <c r="Y2022" s="2" t="s">
        <v>91</v>
      </c>
      <c r="Z2022" s="2">
        <v>64</v>
      </c>
      <c r="AA2022" s="2">
        <v>2.1</v>
      </c>
      <c r="AB2022" s="2" t="s">
        <v>52</v>
      </c>
    </row>
    <row r="2023" spans="1:28" x14ac:dyDescent="0.25">
      <c r="A2023" s="4" t="s">
        <v>2819</v>
      </c>
      <c r="B2023" s="4" t="s">
        <v>1243</v>
      </c>
      <c r="C2023" s="4">
        <v>35</v>
      </c>
      <c r="D2023" s="4" t="s">
        <v>55</v>
      </c>
      <c r="E2023" s="4" t="s">
        <v>67</v>
      </c>
      <c r="F2023" s="4" t="s">
        <v>150</v>
      </c>
      <c r="G2023" s="5">
        <v>44849</v>
      </c>
      <c r="H2023" s="5">
        <v>44856</v>
      </c>
      <c r="I2023" s="4">
        <v>7</v>
      </c>
      <c r="J2023" s="4" t="s">
        <v>140</v>
      </c>
      <c r="K2023" s="4" t="s">
        <v>141</v>
      </c>
      <c r="L2023" s="4" t="s">
        <v>142</v>
      </c>
      <c r="M2023" s="4" t="s">
        <v>108</v>
      </c>
      <c r="N2023" s="4" t="s">
        <v>118</v>
      </c>
      <c r="O2023" s="4" t="s">
        <v>110</v>
      </c>
      <c r="P2023" s="4">
        <v>60</v>
      </c>
      <c r="Q2023" s="4" t="s">
        <v>69</v>
      </c>
      <c r="R2023" s="4" t="s">
        <v>111</v>
      </c>
      <c r="S2023" s="4">
        <v>52504</v>
      </c>
      <c r="T2023" s="4">
        <v>38276</v>
      </c>
      <c r="U2023" s="4">
        <v>14228</v>
      </c>
      <c r="V2023" s="4">
        <v>17646</v>
      </c>
      <c r="W2023" s="4">
        <v>26910</v>
      </c>
      <c r="X2023" s="4">
        <v>6946</v>
      </c>
      <c r="Y2023" s="4" t="s">
        <v>41</v>
      </c>
      <c r="Z2023" s="4">
        <v>55</v>
      </c>
      <c r="AA2023" s="4">
        <v>3.5</v>
      </c>
      <c r="AB2023" s="4" t="s">
        <v>137</v>
      </c>
    </row>
    <row r="2024" spans="1:28" x14ac:dyDescent="0.25">
      <c r="A2024" s="2" t="s">
        <v>2820</v>
      </c>
      <c r="B2024" s="2" t="s">
        <v>2027</v>
      </c>
      <c r="C2024" s="2">
        <v>84</v>
      </c>
      <c r="D2024" s="2" t="s">
        <v>55</v>
      </c>
      <c r="E2024" s="2" t="s">
        <v>56</v>
      </c>
      <c r="F2024" s="2" t="s">
        <v>46</v>
      </c>
      <c r="G2024" s="3">
        <v>44812</v>
      </c>
      <c r="H2024" s="3">
        <v>44830</v>
      </c>
      <c r="I2024" s="2">
        <v>18</v>
      </c>
      <c r="J2024" s="2" t="s">
        <v>33</v>
      </c>
      <c r="K2024" s="2" t="s">
        <v>34</v>
      </c>
      <c r="L2024" s="2" t="s">
        <v>35</v>
      </c>
      <c r="M2024" s="2" t="s">
        <v>130</v>
      </c>
      <c r="N2024" s="2" t="s">
        <v>37</v>
      </c>
      <c r="O2024" s="2" t="s">
        <v>530</v>
      </c>
      <c r="P2024" s="2">
        <v>14</v>
      </c>
      <c r="Q2024" s="2" t="s">
        <v>50</v>
      </c>
      <c r="R2024" s="2" t="s">
        <v>111</v>
      </c>
      <c r="S2024" s="2">
        <v>171949</v>
      </c>
      <c r="T2024" s="2">
        <v>136973</v>
      </c>
      <c r="U2024" s="2">
        <v>34976</v>
      </c>
      <c r="V2024" s="2">
        <v>144739</v>
      </c>
      <c r="W2024" s="2">
        <v>24592</v>
      </c>
      <c r="X2024" s="2">
        <v>1261</v>
      </c>
      <c r="Y2024" s="2" t="s">
        <v>41</v>
      </c>
      <c r="Z2024" s="2">
        <v>87</v>
      </c>
      <c r="AA2024" s="2">
        <v>3</v>
      </c>
      <c r="AB2024" s="2" t="s">
        <v>137</v>
      </c>
    </row>
    <row r="2025" spans="1:28" x14ac:dyDescent="0.25">
      <c r="A2025" s="4" t="s">
        <v>2821</v>
      </c>
      <c r="B2025" s="4" t="s">
        <v>506</v>
      </c>
      <c r="C2025" s="4">
        <v>59</v>
      </c>
      <c r="D2025" s="4" t="s">
        <v>30</v>
      </c>
      <c r="E2025" s="4" t="s">
        <v>45</v>
      </c>
      <c r="F2025" s="4" t="s">
        <v>150</v>
      </c>
      <c r="G2025" s="5">
        <v>45308</v>
      </c>
      <c r="H2025" s="5">
        <v>45323</v>
      </c>
      <c r="I2025" s="4">
        <v>15</v>
      </c>
      <c r="J2025" s="4" t="s">
        <v>33</v>
      </c>
      <c r="K2025" s="4" t="s">
        <v>278</v>
      </c>
      <c r="L2025" s="4" t="s">
        <v>279</v>
      </c>
      <c r="M2025" s="4" t="s">
        <v>61</v>
      </c>
      <c r="N2025" s="4" t="s">
        <v>109</v>
      </c>
      <c r="O2025" s="4" t="s">
        <v>448</v>
      </c>
      <c r="P2025" s="4">
        <v>446</v>
      </c>
      <c r="Q2025" s="4" t="s">
        <v>50</v>
      </c>
      <c r="R2025" s="4" t="s">
        <v>51</v>
      </c>
      <c r="S2025" s="4">
        <v>114137</v>
      </c>
      <c r="T2025" s="4">
        <v>74193</v>
      </c>
      <c r="U2025" s="4">
        <v>39944</v>
      </c>
      <c r="V2025" s="4">
        <v>78270</v>
      </c>
      <c r="W2025" s="4">
        <v>26172</v>
      </c>
      <c r="X2025" s="4">
        <v>8515</v>
      </c>
      <c r="Y2025" s="4" t="s">
        <v>91</v>
      </c>
      <c r="Z2025" s="4">
        <v>77</v>
      </c>
      <c r="AA2025" s="4">
        <v>4.3</v>
      </c>
      <c r="AB2025" s="4" t="s">
        <v>42</v>
      </c>
    </row>
    <row r="2026" spans="1:28" x14ac:dyDescent="0.25">
      <c r="A2026" s="2" t="s">
        <v>2822</v>
      </c>
      <c r="B2026" s="2" t="s">
        <v>342</v>
      </c>
      <c r="C2026" s="2">
        <v>66</v>
      </c>
      <c r="D2026" s="2" t="s">
        <v>30</v>
      </c>
      <c r="E2026" s="2" t="s">
        <v>67</v>
      </c>
      <c r="F2026" s="2" t="s">
        <v>80</v>
      </c>
      <c r="G2026" s="3">
        <v>44894</v>
      </c>
      <c r="H2026" s="3">
        <v>44901</v>
      </c>
      <c r="I2026" s="2">
        <v>7</v>
      </c>
      <c r="J2026" s="2" t="s">
        <v>33</v>
      </c>
      <c r="K2026" s="2" t="s">
        <v>197</v>
      </c>
      <c r="L2026" s="2" t="s">
        <v>198</v>
      </c>
      <c r="M2026" s="2" t="s">
        <v>130</v>
      </c>
      <c r="N2026" s="2" t="s">
        <v>118</v>
      </c>
      <c r="O2026" s="2" t="s">
        <v>248</v>
      </c>
      <c r="P2026" s="2">
        <v>100</v>
      </c>
      <c r="Q2026" s="2" t="s">
        <v>50</v>
      </c>
      <c r="R2026" s="2" t="s">
        <v>40</v>
      </c>
      <c r="S2026" s="2">
        <v>36629</v>
      </c>
      <c r="T2026" s="2">
        <v>16565</v>
      </c>
      <c r="U2026" s="2">
        <v>20064</v>
      </c>
      <c r="V2026" s="2">
        <v>11502</v>
      </c>
      <c r="W2026" s="2">
        <v>9642</v>
      </c>
      <c r="X2026" s="2">
        <v>10524</v>
      </c>
      <c r="Y2026" s="2" t="s">
        <v>41</v>
      </c>
      <c r="Z2026" s="2">
        <v>94</v>
      </c>
      <c r="AA2026" s="2">
        <v>2.1</v>
      </c>
      <c r="AB2026" s="2" t="s">
        <v>104</v>
      </c>
    </row>
    <row r="2027" spans="1:28" x14ac:dyDescent="0.25">
      <c r="A2027" s="4" t="s">
        <v>2823</v>
      </c>
      <c r="B2027" s="4" t="s">
        <v>245</v>
      </c>
      <c r="C2027" s="4">
        <v>64</v>
      </c>
      <c r="D2027" s="4" t="s">
        <v>30</v>
      </c>
      <c r="E2027" s="4" t="s">
        <v>45</v>
      </c>
      <c r="F2027" s="4" t="s">
        <v>46</v>
      </c>
      <c r="G2027" s="5">
        <v>45476</v>
      </c>
      <c r="H2027" s="5">
        <v>45488</v>
      </c>
      <c r="I2027" s="4">
        <v>12</v>
      </c>
      <c r="J2027" s="4" t="s">
        <v>115</v>
      </c>
      <c r="K2027" s="4" t="s">
        <v>160</v>
      </c>
      <c r="L2027" s="4" t="s">
        <v>117</v>
      </c>
      <c r="M2027" s="4" t="s">
        <v>108</v>
      </c>
      <c r="N2027" s="4" t="s">
        <v>118</v>
      </c>
      <c r="O2027" s="4" t="s">
        <v>230</v>
      </c>
      <c r="P2027" s="4">
        <v>108</v>
      </c>
      <c r="Q2027" s="4" t="s">
        <v>39</v>
      </c>
      <c r="R2027" s="4" t="s">
        <v>136</v>
      </c>
      <c r="S2027" s="4">
        <v>40430</v>
      </c>
      <c r="T2027" s="4">
        <v>0</v>
      </c>
      <c r="U2027" s="4">
        <v>40430</v>
      </c>
      <c r="V2027" s="4">
        <v>26146</v>
      </c>
      <c r="W2027" s="4">
        <v>4411</v>
      </c>
      <c r="X2027" s="4">
        <v>8218</v>
      </c>
      <c r="Y2027" s="4" t="s">
        <v>41</v>
      </c>
      <c r="Z2027" s="4">
        <v>80</v>
      </c>
      <c r="AA2027" s="4">
        <v>2.6</v>
      </c>
      <c r="AB2027" s="4" t="s">
        <v>64</v>
      </c>
    </row>
    <row r="2028" spans="1:28" x14ac:dyDescent="0.25">
      <c r="A2028" s="2" t="s">
        <v>2824</v>
      </c>
      <c r="B2028" s="2" t="s">
        <v>1291</v>
      </c>
      <c r="C2028" s="2">
        <v>69</v>
      </c>
      <c r="D2028" s="2" t="s">
        <v>55</v>
      </c>
      <c r="E2028" s="2" t="s">
        <v>56</v>
      </c>
      <c r="F2028" s="2" t="s">
        <v>150</v>
      </c>
      <c r="G2028" s="3">
        <v>44920</v>
      </c>
      <c r="H2028" s="3">
        <v>44933</v>
      </c>
      <c r="I2028" s="2">
        <v>13</v>
      </c>
      <c r="J2028" s="2" t="s">
        <v>73</v>
      </c>
      <c r="K2028" s="2" t="s">
        <v>74</v>
      </c>
      <c r="L2028" s="2" t="s">
        <v>73</v>
      </c>
      <c r="M2028" s="2" t="s">
        <v>130</v>
      </c>
      <c r="N2028" s="2" t="s">
        <v>62</v>
      </c>
      <c r="O2028" s="2" t="s">
        <v>84</v>
      </c>
      <c r="P2028" s="2">
        <v>478</v>
      </c>
      <c r="Q2028" s="2" t="s">
        <v>69</v>
      </c>
      <c r="R2028" s="2" t="s">
        <v>51</v>
      </c>
      <c r="S2028" s="2">
        <v>173199</v>
      </c>
      <c r="T2028" s="2">
        <v>74856</v>
      </c>
      <c r="U2028" s="2">
        <v>98343</v>
      </c>
      <c r="V2028" s="2">
        <v>140141</v>
      </c>
      <c r="W2028" s="2">
        <v>24379</v>
      </c>
      <c r="X2028" s="2">
        <v>7532</v>
      </c>
      <c r="Y2028" s="2" t="s">
        <v>41</v>
      </c>
      <c r="Z2028" s="2">
        <v>72</v>
      </c>
      <c r="AA2028" s="2">
        <v>2.1</v>
      </c>
      <c r="AB2028" s="2" t="s">
        <v>52</v>
      </c>
    </row>
    <row r="2029" spans="1:28" x14ac:dyDescent="0.25">
      <c r="A2029" s="4" t="s">
        <v>2825</v>
      </c>
      <c r="B2029" s="4" t="s">
        <v>917</v>
      </c>
      <c r="C2029" s="4">
        <v>12</v>
      </c>
      <c r="D2029" s="4" t="s">
        <v>30</v>
      </c>
      <c r="E2029" s="4" t="s">
        <v>45</v>
      </c>
      <c r="F2029" s="4" t="s">
        <v>150</v>
      </c>
      <c r="G2029" s="5">
        <v>45552</v>
      </c>
      <c r="H2029" s="5">
        <v>45557</v>
      </c>
      <c r="I2029" s="4">
        <v>5</v>
      </c>
      <c r="J2029" s="4" t="s">
        <v>202</v>
      </c>
      <c r="K2029" s="4" t="s">
        <v>203</v>
      </c>
      <c r="L2029" s="4" t="s">
        <v>204</v>
      </c>
      <c r="M2029" s="4" t="s">
        <v>143</v>
      </c>
      <c r="N2029" s="4" t="s">
        <v>37</v>
      </c>
      <c r="O2029" s="4" t="s">
        <v>230</v>
      </c>
      <c r="P2029" s="4">
        <v>265</v>
      </c>
      <c r="Q2029" s="4" t="s">
        <v>69</v>
      </c>
      <c r="R2029" s="4" t="s">
        <v>90</v>
      </c>
      <c r="S2029" s="4">
        <v>166911</v>
      </c>
      <c r="T2029" s="4">
        <v>150182</v>
      </c>
      <c r="U2029" s="4">
        <v>16729</v>
      </c>
      <c r="V2029" s="4">
        <v>144146</v>
      </c>
      <c r="W2029" s="4">
        <v>4104</v>
      </c>
      <c r="X2029" s="4">
        <v>14443</v>
      </c>
      <c r="Y2029" s="4" t="s">
        <v>41</v>
      </c>
      <c r="Z2029" s="4">
        <v>54</v>
      </c>
      <c r="AA2029" s="4">
        <v>4.7</v>
      </c>
      <c r="AB2029" s="4" t="s">
        <v>64</v>
      </c>
    </row>
    <row r="2030" spans="1:28" x14ac:dyDescent="0.25">
      <c r="A2030" s="2" t="s">
        <v>2826</v>
      </c>
      <c r="B2030" s="2" t="s">
        <v>1789</v>
      </c>
      <c r="C2030" s="2">
        <v>24</v>
      </c>
      <c r="D2030" s="2" t="s">
        <v>30</v>
      </c>
      <c r="E2030" s="2" t="s">
        <v>87</v>
      </c>
      <c r="F2030" s="2" t="s">
        <v>32</v>
      </c>
      <c r="G2030" s="3">
        <v>45486</v>
      </c>
      <c r="H2030" s="3">
        <v>45490</v>
      </c>
      <c r="I2030" s="2">
        <v>4</v>
      </c>
      <c r="J2030" s="2" t="s">
        <v>202</v>
      </c>
      <c r="K2030" s="2" t="s">
        <v>203</v>
      </c>
      <c r="L2030" s="2" t="s">
        <v>204</v>
      </c>
      <c r="M2030" s="2" t="s">
        <v>83</v>
      </c>
      <c r="N2030" s="2" t="s">
        <v>62</v>
      </c>
      <c r="O2030" s="2" t="s">
        <v>285</v>
      </c>
      <c r="P2030" s="2">
        <v>211</v>
      </c>
      <c r="Q2030" s="2" t="s">
        <v>103</v>
      </c>
      <c r="R2030" s="2" t="s">
        <v>136</v>
      </c>
      <c r="S2030" s="2">
        <v>157212</v>
      </c>
      <c r="T2030" s="2">
        <v>0</v>
      </c>
      <c r="U2030" s="2">
        <v>157212</v>
      </c>
      <c r="V2030" s="2">
        <v>114886</v>
      </c>
      <c r="W2030" s="2">
        <v>25188</v>
      </c>
      <c r="X2030" s="2">
        <v>14122</v>
      </c>
      <c r="Y2030" s="2" t="s">
        <v>91</v>
      </c>
      <c r="Z2030" s="2">
        <v>70</v>
      </c>
      <c r="AA2030" s="2">
        <v>4.7</v>
      </c>
      <c r="AB2030" s="2" t="s">
        <v>52</v>
      </c>
    </row>
    <row r="2031" spans="1:28" x14ac:dyDescent="0.25">
      <c r="A2031" s="4" t="s">
        <v>2827</v>
      </c>
      <c r="B2031" s="4" t="s">
        <v>771</v>
      </c>
      <c r="C2031" s="4">
        <v>44</v>
      </c>
      <c r="D2031" s="4" t="s">
        <v>30</v>
      </c>
      <c r="E2031" s="4" t="s">
        <v>45</v>
      </c>
      <c r="F2031" s="4" t="s">
        <v>32</v>
      </c>
      <c r="G2031" s="5">
        <v>45517</v>
      </c>
      <c r="H2031" s="5">
        <v>45527</v>
      </c>
      <c r="I2031" s="4">
        <v>10</v>
      </c>
      <c r="J2031" s="4" t="s">
        <v>123</v>
      </c>
      <c r="K2031" s="4" t="s">
        <v>124</v>
      </c>
      <c r="L2031" s="4" t="s">
        <v>125</v>
      </c>
      <c r="M2031" s="4" t="s">
        <v>143</v>
      </c>
      <c r="N2031" s="4" t="s">
        <v>118</v>
      </c>
      <c r="O2031" s="4" t="s">
        <v>189</v>
      </c>
      <c r="P2031" s="4">
        <v>474</v>
      </c>
      <c r="Q2031" s="4" t="s">
        <v>103</v>
      </c>
      <c r="R2031" s="4" t="s">
        <v>51</v>
      </c>
      <c r="S2031" s="4">
        <v>169017</v>
      </c>
      <c r="T2031" s="4">
        <v>102112</v>
      </c>
      <c r="U2031" s="4">
        <v>66905</v>
      </c>
      <c r="V2031" s="4">
        <v>133794</v>
      </c>
      <c r="W2031" s="4">
        <v>24509</v>
      </c>
      <c r="X2031" s="4">
        <v>8403</v>
      </c>
      <c r="Y2031" s="4" t="s">
        <v>41</v>
      </c>
      <c r="Z2031" s="4">
        <v>45</v>
      </c>
      <c r="AA2031" s="4">
        <v>3.2</v>
      </c>
      <c r="AB2031" s="4" t="s">
        <v>137</v>
      </c>
    </row>
    <row r="2032" spans="1:28" x14ac:dyDescent="0.25">
      <c r="A2032" s="2" t="s">
        <v>2828</v>
      </c>
      <c r="B2032" s="2" t="s">
        <v>1295</v>
      </c>
      <c r="C2032" s="2">
        <v>25</v>
      </c>
      <c r="D2032" s="2" t="s">
        <v>55</v>
      </c>
      <c r="E2032" s="2" t="s">
        <v>87</v>
      </c>
      <c r="F2032" s="2" t="s">
        <v>57</v>
      </c>
      <c r="G2032" s="3">
        <v>44766</v>
      </c>
      <c r="H2032" s="3">
        <v>44775</v>
      </c>
      <c r="I2032" s="2">
        <v>9</v>
      </c>
      <c r="J2032" s="2" t="s">
        <v>123</v>
      </c>
      <c r="K2032" s="2" t="s">
        <v>251</v>
      </c>
      <c r="L2032" s="2" t="s">
        <v>125</v>
      </c>
      <c r="M2032" s="2" t="s">
        <v>95</v>
      </c>
      <c r="N2032" s="2" t="s">
        <v>62</v>
      </c>
      <c r="O2032" s="2" t="s">
        <v>227</v>
      </c>
      <c r="P2032" s="2">
        <v>180</v>
      </c>
      <c r="Q2032" s="2" t="s">
        <v>69</v>
      </c>
      <c r="R2032" s="2" t="s">
        <v>51</v>
      </c>
      <c r="S2032" s="2">
        <v>143234</v>
      </c>
      <c r="T2032" s="2">
        <v>63345</v>
      </c>
      <c r="U2032" s="2">
        <v>79889</v>
      </c>
      <c r="V2032" s="2">
        <v>104609</v>
      </c>
      <c r="W2032" s="2">
        <v>24868</v>
      </c>
      <c r="X2032" s="2">
        <v>11435</v>
      </c>
      <c r="Y2032" s="2" t="s">
        <v>91</v>
      </c>
      <c r="Z2032" s="2">
        <v>59</v>
      </c>
      <c r="AA2032" s="2">
        <v>3.5</v>
      </c>
      <c r="AB2032" s="2" t="s">
        <v>137</v>
      </c>
    </row>
    <row r="2033" spans="1:28" x14ac:dyDescent="0.25">
      <c r="A2033" s="4" t="s">
        <v>2829</v>
      </c>
      <c r="B2033" s="4" t="s">
        <v>1311</v>
      </c>
      <c r="C2033" s="4">
        <v>80</v>
      </c>
      <c r="D2033" s="4" t="s">
        <v>30</v>
      </c>
      <c r="E2033" s="4" t="s">
        <v>56</v>
      </c>
      <c r="F2033" s="4" t="s">
        <v>157</v>
      </c>
      <c r="G2033" s="5">
        <v>45302</v>
      </c>
      <c r="H2033" s="5">
        <v>45323</v>
      </c>
      <c r="I2033" s="4">
        <v>21</v>
      </c>
      <c r="J2033" s="4" t="s">
        <v>33</v>
      </c>
      <c r="K2033" s="4" t="s">
        <v>233</v>
      </c>
      <c r="L2033" s="4" t="s">
        <v>35</v>
      </c>
      <c r="M2033" s="4" t="s">
        <v>61</v>
      </c>
      <c r="N2033" s="4" t="s">
        <v>109</v>
      </c>
      <c r="O2033" s="4" t="s">
        <v>492</v>
      </c>
      <c r="P2033" s="4">
        <v>47</v>
      </c>
      <c r="Q2033" s="4" t="s">
        <v>103</v>
      </c>
      <c r="R2033" s="4" t="s">
        <v>40</v>
      </c>
      <c r="S2033" s="4">
        <v>33290</v>
      </c>
      <c r="T2033" s="4">
        <v>20658</v>
      </c>
      <c r="U2033" s="4">
        <v>12632</v>
      </c>
      <c r="V2033" s="4">
        <v>9537</v>
      </c>
      <c r="W2033" s="4">
        <v>15234</v>
      </c>
      <c r="X2033" s="4">
        <v>3534</v>
      </c>
      <c r="Y2033" s="4" t="s">
        <v>41</v>
      </c>
      <c r="Z2033" s="4">
        <v>60</v>
      </c>
      <c r="AA2033" s="4">
        <v>4.2</v>
      </c>
      <c r="AB2033" s="4" t="s">
        <v>137</v>
      </c>
    </row>
    <row r="2034" spans="1:28" x14ac:dyDescent="0.25">
      <c r="A2034" s="2" t="s">
        <v>2830</v>
      </c>
      <c r="B2034" s="2" t="s">
        <v>1799</v>
      </c>
      <c r="C2034" s="2">
        <v>29</v>
      </c>
      <c r="D2034" s="2" t="s">
        <v>55</v>
      </c>
      <c r="E2034" s="2" t="s">
        <v>122</v>
      </c>
      <c r="F2034" s="2" t="s">
        <v>80</v>
      </c>
      <c r="G2034" s="3">
        <v>44733</v>
      </c>
      <c r="H2034" s="3">
        <v>44754</v>
      </c>
      <c r="I2034" s="2">
        <v>21</v>
      </c>
      <c r="J2034" s="2" t="s">
        <v>202</v>
      </c>
      <c r="K2034" s="2" t="s">
        <v>225</v>
      </c>
      <c r="L2034" s="2" t="s">
        <v>226</v>
      </c>
      <c r="M2034" s="2" t="s">
        <v>134</v>
      </c>
      <c r="N2034" s="2" t="s">
        <v>109</v>
      </c>
      <c r="O2034" s="2" t="s">
        <v>211</v>
      </c>
      <c r="P2034" s="2">
        <v>105</v>
      </c>
      <c r="Q2034" s="2" t="s">
        <v>103</v>
      </c>
      <c r="R2034" s="2" t="s">
        <v>40</v>
      </c>
      <c r="S2034" s="2">
        <v>114739</v>
      </c>
      <c r="T2034" s="2">
        <v>69729</v>
      </c>
      <c r="U2034" s="2">
        <v>45010</v>
      </c>
      <c r="V2034" s="2">
        <v>89340</v>
      </c>
      <c r="W2034" s="2">
        <v>15257</v>
      </c>
      <c r="X2034" s="2">
        <v>9141</v>
      </c>
      <c r="Y2034" s="2" t="s">
        <v>41</v>
      </c>
      <c r="Z2034" s="2">
        <v>71</v>
      </c>
      <c r="AA2034" s="2">
        <v>3.3</v>
      </c>
      <c r="AB2034" s="2" t="s">
        <v>64</v>
      </c>
    </row>
    <row r="2035" spans="1:28" x14ac:dyDescent="0.25">
      <c r="A2035" s="4" t="s">
        <v>2831</v>
      </c>
      <c r="B2035" s="4" t="s">
        <v>689</v>
      </c>
      <c r="C2035" s="4">
        <v>23</v>
      </c>
      <c r="D2035" s="4" t="s">
        <v>30</v>
      </c>
      <c r="E2035" s="4" t="s">
        <v>79</v>
      </c>
      <c r="F2035" s="4" t="s">
        <v>157</v>
      </c>
      <c r="G2035" s="5">
        <v>45431</v>
      </c>
      <c r="H2035" s="5">
        <v>45446</v>
      </c>
      <c r="I2035" s="4">
        <v>15</v>
      </c>
      <c r="J2035" s="4" t="s">
        <v>115</v>
      </c>
      <c r="K2035" s="4" t="s">
        <v>116</v>
      </c>
      <c r="L2035" s="4" t="s">
        <v>117</v>
      </c>
      <c r="M2035" s="4" t="s">
        <v>36</v>
      </c>
      <c r="N2035" s="4" t="s">
        <v>37</v>
      </c>
      <c r="O2035" s="4" t="s">
        <v>543</v>
      </c>
      <c r="P2035" s="4">
        <v>11</v>
      </c>
      <c r="Q2035" s="4" t="s">
        <v>103</v>
      </c>
      <c r="R2035" s="4" t="s">
        <v>136</v>
      </c>
      <c r="S2035" s="4">
        <v>151672</v>
      </c>
      <c r="T2035" s="4">
        <v>0</v>
      </c>
      <c r="U2035" s="4">
        <v>151672</v>
      </c>
      <c r="V2035" s="4">
        <v>136013</v>
      </c>
      <c r="W2035" s="4">
        <v>10876</v>
      </c>
      <c r="X2035" s="4">
        <v>2637</v>
      </c>
      <c r="Y2035" s="4" t="s">
        <v>91</v>
      </c>
      <c r="Z2035" s="4">
        <v>73</v>
      </c>
      <c r="AA2035" s="4">
        <v>2.7</v>
      </c>
      <c r="AB2035" s="4" t="s">
        <v>52</v>
      </c>
    </row>
    <row r="2036" spans="1:28" x14ac:dyDescent="0.25">
      <c r="A2036" s="2" t="s">
        <v>2832</v>
      </c>
      <c r="B2036" s="2" t="s">
        <v>534</v>
      </c>
      <c r="C2036" s="2">
        <v>8</v>
      </c>
      <c r="D2036" s="2" t="s">
        <v>55</v>
      </c>
      <c r="E2036" s="2" t="s">
        <v>45</v>
      </c>
      <c r="F2036" s="2" t="s">
        <v>157</v>
      </c>
      <c r="G2036" s="3">
        <v>45423</v>
      </c>
      <c r="H2036" s="3">
        <v>45445</v>
      </c>
      <c r="I2036" s="2">
        <v>22</v>
      </c>
      <c r="J2036" s="2" t="s">
        <v>123</v>
      </c>
      <c r="K2036" s="2" t="s">
        <v>124</v>
      </c>
      <c r="L2036" s="2" t="s">
        <v>125</v>
      </c>
      <c r="M2036" s="2" t="s">
        <v>101</v>
      </c>
      <c r="N2036" s="2" t="s">
        <v>62</v>
      </c>
      <c r="O2036" s="2" t="s">
        <v>492</v>
      </c>
      <c r="P2036" s="2">
        <v>179</v>
      </c>
      <c r="Q2036" s="2" t="s">
        <v>50</v>
      </c>
      <c r="R2036" s="2" t="s">
        <v>51</v>
      </c>
      <c r="S2036" s="2">
        <v>65718</v>
      </c>
      <c r="T2036" s="2">
        <v>35687</v>
      </c>
      <c r="U2036" s="2">
        <v>30031</v>
      </c>
      <c r="V2036" s="2">
        <v>45465</v>
      </c>
      <c r="W2036" s="2">
        <v>13374</v>
      </c>
      <c r="X2036" s="2">
        <v>2791</v>
      </c>
      <c r="Y2036" s="2" t="s">
        <v>41</v>
      </c>
      <c r="Z2036" s="2">
        <v>46</v>
      </c>
      <c r="AA2036" s="2">
        <v>4.5999999999999996</v>
      </c>
      <c r="AB2036" s="2" t="s">
        <v>64</v>
      </c>
    </row>
    <row r="2037" spans="1:28" x14ac:dyDescent="0.25">
      <c r="A2037" s="4" t="s">
        <v>2833</v>
      </c>
      <c r="B2037" s="4" t="s">
        <v>1097</v>
      </c>
      <c r="C2037" s="4">
        <v>17</v>
      </c>
      <c r="D2037" s="4" t="s">
        <v>55</v>
      </c>
      <c r="E2037" s="4" t="s">
        <v>87</v>
      </c>
      <c r="F2037" s="4" t="s">
        <v>114</v>
      </c>
      <c r="G2037" s="5">
        <v>45386</v>
      </c>
      <c r="H2037" s="5">
        <v>45394</v>
      </c>
      <c r="I2037" s="4">
        <v>8</v>
      </c>
      <c r="J2037" s="4" t="s">
        <v>140</v>
      </c>
      <c r="K2037" s="4" t="s">
        <v>167</v>
      </c>
      <c r="L2037" s="4" t="s">
        <v>142</v>
      </c>
      <c r="M2037" s="4" t="s">
        <v>134</v>
      </c>
      <c r="N2037" s="4" t="s">
        <v>62</v>
      </c>
      <c r="O2037" s="4" t="s">
        <v>271</v>
      </c>
      <c r="P2037" s="4">
        <v>500</v>
      </c>
      <c r="Q2037" s="4" t="s">
        <v>50</v>
      </c>
      <c r="R2037" s="4" t="s">
        <v>136</v>
      </c>
      <c r="S2037" s="4">
        <v>150597</v>
      </c>
      <c r="T2037" s="4">
        <v>0</v>
      </c>
      <c r="U2037" s="4">
        <v>150597</v>
      </c>
      <c r="V2037" s="4">
        <v>127581</v>
      </c>
      <c r="W2037" s="4">
        <v>14937</v>
      </c>
      <c r="X2037" s="4">
        <v>6088</v>
      </c>
      <c r="Y2037" s="4" t="s">
        <v>41</v>
      </c>
      <c r="Z2037" s="4">
        <v>48</v>
      </c>
      <c r="AA2037" s="4">
        <v>2.9</v>
      </c>
      <c r="AB2037" s="4" t="s">
        <v>42</v>
      </c>
    </row>
    <row r="2038" spans="1:28" x14ac:dyDescent="0.25">
      <c r="A2038" s="2" t="s">
        <v>2834</v>
      </c>
      <c r="B2038" s="2" t="s">
        <v>1974</v>
      </c>
      <c r="C2038" s="2">
        <v>47</v>
      </c>
      <c r="D2038" s="2" t="s">
        <v>55</v>
      </c>
      <c r="E2038" s="2" t="s">
        <v>67</v>
      </c>
      <c r="F2038" s="2" t="s">
        <v>72</v>
      </c>
      <c r="G2038" s="3">
        <v>44926</v>
      </c>
      <c r="H2038" s="3">
        <v>44929</v>
      </c>
      <c r="I2038" s="2">
        <v>3</v>
      </c>
      <c r="J2038" s="2" t="s">
        <v>33</v>
      </c>
      <c r="K2038" s="2" t="s">
        <v>174</v>
      </c>
      <c r="L2038" s="2" t="s">
        <v>48</v>
      </c>
      <c r="M2038" s="2" t="s">
        <v>36</v>
      </c>
      <c r="N2038" s="2" t="s">
        <v>37</v>
      </c>
      <c r="O2038" s="2" t="s">
        <v>199</v>
      </c>
      <c r="P2038" s="2">
        <v>191</v>
      </c>
      <c r="Q2038" s="2" t="s">
        <v>39</v>
      </c>
      <c r="R2038" s="2" t="s">
        <v>51</v>
      </c>
      <c r="S2038" s="2">
        <v>103602</v>
      </c>
      <c r="T2038" s="2">
        <v>42347</v>
      </c>
      <c r="U2038" s="2">
        <v>61255</v>
      </c>
      <c r="V2038" s="2">
        <v>82875</v>
      </c>
      <c r="W2038" s="2">
        <v>11738</v>
      </c>
      <c r="X2038" s="2">
        <v>4768</v>
      </c>
      <c r="Y2038" s="2" t="s">
        <v>41</v>
      </c>
      <c r="Z2038" s="2">
        <v>60</v>
      </c>
      <c r="AA2038" s="2">
        <v>2</v>
      </c>
      <c r="AB2038" s="2" t="s">
        <v>104</v>
      </c>
    </row>
    <row r="2039" spans="1:28" x14ac:dyDescent="0.25">
      <c r="A2039" s="4" t="s">
        <v>2835</v>
      </c>
      <c r="B2039" s="4" t="s">
        <v>1522</v>
      </c>
      <c r="C2039" s="4">
        <v>38</v>
      </c>
      <c r="D2039" s="4" t="s">
        <v>30</v>
      </c>
      <c r="E2039" s="4" t="s">
        <v>122</v>
      </c>
      <c r="F2039" s="4" t="s">
        <v>150</v>
      </c>
      <c r="G2039" s="5">
        <v>45413</v>
      </c>
      <c r="H2039" s="5">
        <v>45427</v>
      </c>
      <c r="I2039" s="4">
        <v>14</v>
      </c>
      <c r="J2039" s="4" t="s">
        <v>58</v>
      </c>
      <c r="K2039" s="4" t="s">
        <v>59</v>
      </c>
      <c r="L2039" s="4" t="s">
        <v>60</v>
      </c>
      <c r="M2039" s="4" t="s">
        <v>83</v>
      </c>
      <c r="N2039" s="4" t="s">
        <v>118</v>
      </c>
      <c r="O2039" s="4" t="s">
        <v>199</v>
      </c>
      <c r="P2039" s="4">
        <v>280</v>
      </c>
      <c r="Q2039" s="4" t="s">
        <v>39</v>
      </c>
      <c r="R2039" s="4" t="s">
        <v>90</v>
      </c>
      <c r="S2039" s="4">
        <v>76335</v>
      </c>
      <c r="T2039" s="4">
        <v>57146</v>
      </c>
      <c r="U2039" s="4">
        <v>19189</v>
      </c>
      <c r="V2039" s="4">
        <v>51871</v>
      </c>
      <c r="W2039" s="4">
        <v>15946</v>
      </c>
      <c r="X2039" s="4">
        <v>7638</v>
      </c>
      <c r="Y2039" s="4" t="s">
        <v>41</v>
      </c>
      <c r="Z2039" s="4">
        <v>52</v>
      </c>
      <c r="AA2039" s="4">
        <v>3.1</v>
      </c>
      <c r="AB2039" s="4" t="s">
        <v>52</v>
      </c>
    </row>
    <row r="2040" spans="1:28" x14ac:dyDescent="0.25">
      <c r="A2040" s="2" t="s">
        <v>2836</v>
      </c>
      <c r="B2040" s="2" t="s">
        <v>1416</v>
      </c>
      <c r="C2040" s="2">
        <v>21</v>
      </c>
      <c r="D2040" s="2" t="s">
        <v>30</v>
      </c>
      <c r="E2040" s="2" t="s">
        <v>45</v>
      </c>
      <c r="F2040" s="2" t="s">
        <v>129</v>
      </c>
      <c r="G2040" s="3">
        <v>45149</v>
      </c>
      <c r="H2040" s="3">
        <v>45176</v>
      </c>
      <c r="I2040" s="2">
        <v>27</v>
      </c>
      <c r="J2040" s="2" t="s">
        <v>33</v>
      </c>
      <c r="K2040" s="2" t="s">
        <v>99</v>
      </c>
      <c r="L2040" s="2" t="s">
        <v>100</v>
      </c>
      <c r="M2040" s="2" t="s">
        <v>36</v>
      </c>
      <c r="N2040" s="2" t="s">
        <v>37</v>
      </c>
      <c r="O2040" s="2" t="s">
        <v>1038</v>
      </c>
      <c r="P2040" s="2">
        <v>451</v>
      </c>
      <c r="Q2040" s="2" t="s">
        <v>50</v>
      </c>
      <c r="R2040" s="2" t="s">
        <v>40</v>
      </c>
      <c r="S2040" s="2">
        <v>103048</v>
      </c>
      <c r="T2040" s="2">
        <v>62864</v>
      </c>
      <c r="U2040" s="2">
        <v>40184</v>
      </c>
      <c r="V2040" s="2">
        <v>86059</v>
      </c>
      <c r="W2040" s="2">
        <v>4535</v>
      </c>
      <c r="X2040" s="2">
        <v>8482</v>
      </c>
      <c r="Y2040" s="2" t="s">
        <v>41</v>
      </c>
      <c r="Z2040" s="2">
        <v>66</v>
      </c>
      <c r="AA2040" s="2">
        <v>2.2999999999999998</v>
      </c>
      <c r="AB2040" s="2" t="s">
        <v>52</v>
      </c>
    </row>
    <row r="2041" spans="1:28" x14ac:dyDescent="0.25">
      <c r="A2041" s="4" t="s">
        <v>2837</v>
      </c>
      <c r="B2041" s="4" t="s">
        <v>1457</v>
      </c>
      <c r="C2041" s="4">
        <v>79</v>
      </c>
      <c r="D2041" s="4" t="s">
        <v>55</v>
      </c>
      <c r="E2041" s="4" t="s">
        <v>122</v>
      </c>
      <c r="F2041" s="4" t="s">
        <v>157</v>
      </c>
      <c r="G2041" s="5">
        <v>45161</v>
      </c>
      <c r="H2041" s="5">
        <v>45183</v>
      </c>
      <c r="I2041" s="4">
        <v>22</v>
      </c>
      <c r="J2041" s="4" t="s">
        <v>33</v>
      </c>
      <c r="K2041" s="4" t="s">
        <v>107</v>
      </c>
      <c r="L2041" s="4" t="s">
        <v>48</v>
      </c>
      <c r="M2041" s="4" t="s">
        <v>101</v>
      </c>
      <c r="N2041" s="4" t="s">
        <v>62</v>
      </c>
      <c r="O2041" s="4" t="s">
        <v>530</v>
      </c>
      <c r="P2041" s="4">
        <v>260</v>
      </c>
      <c r="Q2041" s="4" t="s">
        <v>39</v>
      </c>
      <c r="R2041" s="4" t="s">
        <v>136</v>
      </c>
      <c r="S2041" s="4">
        <v>156143</v>
      </c>
      <c r="T2041" s="4">
        <v>0</v>
      </c>
      <c r="U2041" s="4">
        <v>156143</v>
      </c>
      <c r="V2041" s="4">
        <v>141256</v>
      </c>
      <c r="W2041" s="4">
        <v>9205</v>
      </c>
      <c r="X2041" s="4">
        <v>5115</v>
      </c>
      <c r="Y2041" s="4" t="s">
        <v>41</v>
      </c>
      <c r="Z2041" s="4">
        <v>48</v>
      </c>
      <c r="AA2041" s="4">
        <v>3.4</v>
      </c>
      <c r="AB2041" s="4" t="s">
        <v>104</v>
      </c>
    </row>
    <row r="2042" spans="1:28" x14ac:dyDescent="0.25">
      <c r="A2042" s="2" t="s">
        <v>2838</v>
      </c>
      <c r="B2042" s="2" t="s">
        <v>1512</v>
      </c>
      <c r="C2042" s="2">
        <v>67</v>
      </c>
      <c r="D2042" s="2" t="s">
        <v>55</v>
      </c>
      <c r="E2042" s="2" t="s">
        <v>45</v>
      </c>
      <c r="F2042" s="2" t="s">
        <v>114</v>
      </c>
      <c r="G2042" s="3">
        <v>45589</v>
      </c>
      <c r="H2042" s="3">
        <v>45600</v>
      </c>
      <c r="I2042" s="2">
        <v>11</v>
      </c>
      <c r="J2042" s="2" t="s">
        <v>115</v>
      </c>
      <c r="K2042" s="2" t="s">
        <v>160</v>
      </c>
      <c r="L2042" s="2" t="s">
        <v>117</v>
      </c>
      <c r="M2042" s="2" t="s">
        <v>130</v>
      </c>
      <c r="N2042" s="2" t="s">
        <v>62</v>
      </c>
      <c r="O2042" s="2" t="s">
        <v>119</v>
      </c>
      <c r="P2042" s="2">
        <v>139</v>
      </c>
      <c r="Q2042" s="2" t="s">
        <v>103</v>
      </c>
      <c r="R2042" s="2" t="s">
        <v>51</v>
      </c>
      <c r="S2042" s="2">
        <v>82262</v>
      </c>
      <c r="T2042" s="2">
        <v>49119</v>
      </c>
      <c r="U2042" s="2">
        <v>33143</v>
      </c>
      <c r="V2042" s="2">
        <v>71167</v>
      </c>
      <c r="W2042" s="2">
        <v>1459</v>
      </c>
      <c r="X2042" s="2">
        <v>9120</v>
      </c>
      <c r="Y2042" s="2" t="s">
        <v>91</v>
      </c>
      <c r="Z2042" s="2">
        <v>91</v>
      </c>
      <c r="AA2042" s="2">
        <v>4.9000000000000004</v>
      </c>
      <c r="AB2042" s="2" t="s">
        <v>42</v>
      </c>
    </row>
    <row r="2043" spans="1:28" x14ac:dyDescent="0.25">
      <c r="A2043" s="4" t="s">
        <v>2839</v>
      </c>
      <c r="B2043" s="4" t="s">
        <v>735</v>
      </c>
      <c r="C2043" s="4">
        <v>26</v>
      </c>
      <c r="D2043" s="4" t="s">
        <v>55</v>
      </c>
      <c r="E2043" s="4" t="s">
        <v>67</v>
      </c>
      <c r="F2043" s="4" t="s">
        <v>46</v>
      </c>
      <c r="G2043" s="5">
        <v>44760</v>
      </c>
      <c r="H2043" s="5">
        <v>44780</v>
      </c>
      <c r="I2043" s="4">
        <v>20</v>
      </c>
      <c r="J2043" s="4" t="s">
        <v>33</v>
      </c>
      <c r="K2043" s="4" t="s">
        <v>233</v>
      </c>
      <c r="L2043" s="4" t="s">
        <v>35</v>
      </c>
      <c r="M2043" s="4" t="s">
        <v>95</v>
      </c>
      <c r="N2043" s="4" t="s">
        <v>118</v>
      </c>
      <c r="O2043" s="4" t="s">
        <v>208</v>
      </c>
      <c r="P2043" s="4">
        <v>356</v>
      </c>
      <c r="Q2043" s="4" t="s">
        <v>39</v>
      </c>
      <c r="R2043" s="4" t="s">
        <v>111</v>
      </c>
      <c r="S2043" s="4">
        <v>131868</v>
      </c>
      <c r="T2043" s="4">
        <v>111617</v>
      </c>
      <c r="U2043" s="4">
        <v>20251</v>
      </c>
      <c r="V2043" s="4">
        <v>115305</v>
      </c>
      <c r="W2043" s="4">
        <v>9251</v>
      </c>
      <c r="X2043" s="4">
        <v>5774</v>
      </c>
      <c r="Y2043" s="4" t="s">
        <v>41</v>
      </c>
      <c r="Z2043" s="4">
        <v>75</v>
      </c>
      <c r="AA2043" s="4">
        <v>3.4</v>
      </c>
      <c r="AB2043" s="4" t="s">
        <v>64</v>
      </c>
    </row>
    <row r="2044" spans="1:28" x14ac:dyDescent="0.25">
      <c r="A2044" s="2" t="s">
        <v>2840</v>
      </c>
      <c r="B2044" s="2" t="s">
        <v>2246</v>
      </c>
      <c r="C2044" s="2">
        <v>26</v>
      </c>
      <c r="D2044" s="2" t="s">
        <v>55</v>
      </c>
      <c r="E2044" s="2" t="s">
        <v>67</v>
      </c>
      <c r="F2044" s="2" t="s">
        <v>80</v>
      </c>
      <c r="G2044" s="3">
        <v>45421</v>
      </c>
      <c r="H2044" s="3">
        <v>45427</v>
      </c>
      <c r="I2044" s="2">
        <v>6</v>
      </c>
      <c r="J2044" s="2" t="s">
        <v>33</v>
      </c>
      <c r="K2044" s="2" t="s">
        <v>81</v>
      </c>
      <c r="L2044" s="2" t="s">
        <v>82</v>
      </c>
      <c r="M2044" s="2" t="s">
        <v>130</v>
      </c>
      <c r="N2044" s="2" t="s">
        <v>62</v>
      </c>
      <c r="O2044" s="2" t="s">
        <v>379</v>
      </c>
      <c r="P2044" s="2">
        <v>279</v>
      </c>
      <c r="Q2044" s="2" t="s">
        <v>69</v>
      </c>
      <c r="R2044" s="2" t="s">
        <v>90</v>
      </c>
      <c r="S2044" s="2">
        <v>183211</v>
      </c>
      <c r="T2044" s="2">
        <v>110669</v>
      </c>
      <c r="U2044" s="2">
        <v>72542</v>
      </c>
      <c r="V2044" s="2">
        <v>142804</v>
      </c>
      <c r="W2044" s="2">
        <v>26179</v>
      </c>
      <c r="X2044" s="2">
        <v>9539</v>
      </c>
      <c r="Y2044" s="2" t="s">
        <v>41</v>
      </c>
      <c r="Z2044" s="2">
        <v>40</v>
      </c>
      <c r="AA2044" s="2">
        <v>2</v>
      </c>
      <c r="AB2044" s="2" t="s">
        <v>64</v>
      </c>
    </row>
    <row r="2045" spans="1:28" x14ac:dyDescent="0.25">
      <c r="A2045" s="4" t="s">
        <v>2841</v>
      </c>
      <c r="B2045" s="4" t="s">
        <v>597</v>
      </c>
      <c r="C2045" s="4">
        <v>24</v>
      </c>
      <c r="D2045" s="4" t="s">
        <v>30</v>
      </c>
      <c r="E2045" s="4" t="s">
        <v>87</v>
      </c>
      <c r="F2045" s="4" t="s">
        <v>129</v>
      </c>
      <c r="G2045" s="5">
        <v>44878</v>
      </c>
      <c r="H2045" s="5">
        <v>44880</v>
      </c>
      <c r="I2045" s="4">
        <v>2</v>
      </c>
      <c r="J2045" s="4" t="s">
        <v>115</v>
      </c>
      <c r="K2045" s="4" t="s">
        <v>160</v>
      </c>
      <c r="L2045" s="4" t="s">
        <v>117</v>
      </c>
      <c r="M2045" s="4" t="s">
        <v>83</v>
      </c>
      <c r="N2045" s="4" t="s">
        <v>62</v>
      </c>
      <c r="O2045" s="4" t="s">
        <v>194</v>
      </c>
      <c r="P2045" s="4">
        <v>33</v>
      </c>
      <c r="Q2045" s="4" t="s">
        <v>103</v>
      </c>
      <c r="R2045" s="4" t="s">
        <v>51</v>
      </c>
      <c r="S2045" s="4">
        <v>64214</v>
      </c>
      <c r="T2045" s="4">
        <v>32976</v>
      </c>
      <c r="U2045" s="4">
        <v>31238</v>
      </c>
      <c r="V2045" s="4">
        <v>49578</v>
      </c>
      <c r="W2045" s="4">
        <v>6449</v>
      </c>
      <c r="X2045" s="4">
        <v>3859</v>
      </c>
      <c r="Y2045" s="4" t="s">
        <v>41</v>
      </c>
      <c r="Z2045" s="4">
        <v>50</v>
      </c>
      <c r="AA2045" s="4">
        <v>2.2999999999999998</v>
      </c>
      <c r="AB2045" s="4" t="s">
        <v>52</v>
      </c>
    </row>
    <row r="2046" spans="1:28" x14ac:dyDescent="0.25">
      <c r="A2046" s="2" t="s">
        <v>2842</v>
      </c>
      <c r="B2046" s="2" t="s">
        <v>879</v>
      </c>
      <c r="C2046" s="2">
        <v>13</v>
      </c>
      <c r="D2046" s="2" t="s">
        <v>55</v>
      </c>
      <c r="E2046" s="2" t="s">
        <v>87</v>
      </c>
      <c r="F2046" s="2" t="s">
        <v>57</v>
      </c>
      <c r="G2046" s="3">
        <v>44821</v>
      </c>
      <c r="H2046" s="3">
        <v>44836</v>
      </c>
      <c r="I2046" s="2">
        <v>15</v>
      </c>
      <c r="J2046" s="2" t="s">
        <v>140</v>
      </c>
      <c r="K2046" s="2" t="s">
        <v>141</v>
      </c>
      <c r="L2046" s="2" t="s">
        <v>142</v>
      </c>
      <c r="M2046" s="2" t="s">
        <v>143</v>
      </c>
      <c r="N2046" s="2" t="s">
        <v>118</v>
      </c>
      <c r="O2046" s="2" t="s">
        <v>340</v>
      </c>
      <c r="P2046" s="2">
        <v>210</v>
      </c>
      <c r="Q2046" s="2" t="s">
        <v>39</v>
      </c>
      <c r="R2046" s="2" t="s">
        <v>136</v>
      </c>
      <c r="S2046" s="2">
        <v>189117</v>
      </c>
      <c r="T2046" s="2">
        <v>0</v>
      </c>
      <c r="U2046" s="2">
        <v>189117</v>
      </c>
      <c r="V2046" s="2">
        <v>146017</v>
      </c>
      <c r="W2046" s="2">
        <v>26195</v>
      </c>
      <c r="X2046" s="2">
        <v>14458</v>
      </c>
      <c r="Y2046" s="2" t="s">
        <v>41</v>
      </c>
      <c r="Z2046" s="2">
        <v>50</v>
      </c>
      <c r="AA2046" s="2">
        <v>4.0999999999999996</v>
      </c>
      <c r="AB2046" s="2" t="s">
        <v>137</v>
      </c>
    </row>
    <row r="2047" spans="1:28" x14ac:dyDescent="0.25">
      <c r="A2047" s="4" t="s">
        <v>2843</v>
      </c>
      <c r="B2047" s="4" t="s">
        <v>960</v>
      </c>
      <c r="C2047" s="4">
        <v>79</v>
      </c>
      <c r="D2047" s="4" t="s">
        <v>30</v>
      </c>
      <c r="E2047" s="4" t="s">
        <v>79</v>
      </c>
      <c r="F2047" s="4" t="s">
        <v>72</v>
      </c>
      <c r="G2047" s="5">
        <v>45225</v>
      </c>
      <c r="H2047" s="5">
        <v>45237</v>
      </c>
      <c r="I2047" s="4">
        <v>12</v>
      </c>
      <c r="J2047" s="4" t="s">
        <v>33</v>
      </c>
      <c r="K2047" s="4" t="s">
        <v>233</v>
      </c>
      <c r="L2047" s="4" t="s">
        <v>35</v>
      </c>
      <c r="M2047" s="4" t="s">
        <v>130</v>
      </c>
      <c r="N2047" s="4" t="s">
        <v>109</v>
      </c>
      <c r="O2047" s="4" t="s">
        <v>595</v>
      </c>
      <c r="P2047" s="4">
        <v>185</v>
      </c>
      <c r="Q2047" s="4" t="s">
        <v>50</v>
      </c>
      <c r="R2047" s="4" t="s">
        <v>51</v>
      </c>
      <c r="S2047" s="4">
        <v>159256</v>
      </c>
      <c r="T2047" s="4">
        <v>106330</v>
      </c>
      <c r="U2047" s="4">
        <v>52926</v>
      </c>
      <c r="V2047" s="4">
        <v>137160</v>
      </c>
      <c r="W2047" s="4">
        <v>12417</v>
      </c>
      <c r="X2047" s="4">
        <v>7963</v>
      </c>
      <c r="Y2047" s="4" t="s">
        <v>41</v>
      </c>
      <c r="Z2047" s="4">
        <v>56</v>
      </c>
      <c r="AA2047" s="4">
        <v>3.2</v>
      </c>
      <c r="AB2047" s="4" t="s">
        <v>64</v>
      </c>
    </row>
    <row r="2048" spans="1:28" x14ac:dyDescent="0.25">
      <c r="A2048" s="2" t="s">
        <v>2844</v>
      </c>
      <c r="B2048" s="2" t="s">
        <v>2845</v>
      </c>
      <c r="C2048" s="2">
        <v>82</v>
      </c>
      <c r="D2048" s="2" t="s">
        <v>55</v>
      </c>
      <c r="E2048" s="2" t="s">
        <v>67</v>
      </c>
      <c r="F2048" s="2" t="s">
        <v>157</v>
      </c>
      <c r="G2048" s="3">
        <v>44616</v>
      </c>
      <c r="H2048" s="3">
        <v>44628</v>
      </c>
      <c r="I2048" s="2">
        <v>12</v>
      </c>
      <c r="J2048" s="2" t="s">
        <v>33</v>
      </c>
      <c r="K2048" s="2" t="s">
        <v>47</v>
      </c>
      <c r="L2048" s="2" t="s">
        <v>48</v>
      </c>
      <c r="M2048" s="2" t="s">
        <v>83</v>
      </c>
      <c r="N2048" s="2" t="s">
        <v>118</v>
      </c>
      <c r="O2048" s="2" t="s">
        <v>151</v>
      </c>
      <c r="P2048" s="2">
        <v>358</v>
      </c>
      <c r="Q2048" s="2" t="s">
        <v>39</v>
      </c>
      <c r="R2048" s="2" t="s">
        <v>51</v>
      </c>
      <c r="S2048" s="2">
        <v>122064</v>
      </c>
      <c r="T2048" s="2">
        <v>84738</v>
      </c>
      <c r="U2048" s="2">
        <v>37326</v>
      </c>
      <c r="V2048" s="2">
        <v>112316</v>
      </c>
      <c r="W2048" s="2">
        <v>3827</v>
      </c>
      <c r="X2048" s="2">
        <v>4954</v>
      </c>
      <c r="Y2048" s="2" t="s">
        <v>41</v>
      </c>
      <c r="Z2048" s="2">
        <v>94</v>
      </c>
      <c r="AA2048" s="2">
        <v>4.5</v>
      </c>
      <c r="AB2048" s="2" t="s">
        <v>42</v>
      </c>
    </row>
    <row r="2049" spans="1:28" x14ac:dyDescent="0.25">
      <c r="A2049" s="4" t="s">
        <v>2846</v>
      </c>
      <c r="B2049" s="4" t="s">
        <v>890</v>
      </c>
      <c r="C2049" s="4">
        <v>59</v>
      </c>
      <c r="D2049" s="4" t="s">
        <v>30</v>
      </c>
      <c r="E2049" s="4" t="s">
        <v>45</v>
      </c>
      <c r="F2049" s="4" t="s">
        <v>129</v>
      </c>
      <c r="G2049" s="5">
        <v>44648</v>
      </c>
      <c r="H2049" s="5">
        <v>44654</v>
      </c>
      <c r="I2049" s="4">
        <v>6</v>
      </c>
      <c r="J2049" s="4" t="s">
        <v>33</v>
      </c>
      <c r="K2049" s="4" t="s">
        <v>107</v>
      </c>
      <c r="L2049" s="4" t="s">
        <v>48</v>
      </c>
      <c r="M2049" s="4" t="s">
        <v>75</v>
      </c>
      <c r="N2049" s="4" t="s">
        <v>62</v>
      </c>
      <c r="O2049" s="4" t="s">
        <v>399</v>
      </c>
      <c r="P2049" s="4">
        <v>436</v>
      </c>
      <c r="Q2049" s="4" t="s">
        <v>50</v>
      </c>
      <c r="R2049" s="4" t="s">
        <v>51</v>
      </c>
      <c r="S2049" s="4">
        <v>56883</v>
      </c>
      <c r="T2049" s="4">
        <v>30828</v>
      </c>
      <c r="U2049" s="4">
        <v>26055</v>
      </c>
      <c r="V2049" s="4">
        <v>26201</v>
      </c>
      <c r="W2049" s="4">
        <v>27528</v>
      </c>
      <c r="X2049" s="4">
        <v>1663</v>
      </c>
      <c r="Y2049" s="4" t="s">
        <v>41</v>
      </c>
      <c r="Z2049" s="4">
        <v>57</v>
      </c>
      <c r="AA2049" s="4">
        <v>3</v>
      </c>
      <c r="AB2049" s="4" t="s">
        <v>42</v>
      </c>
    </row>
    <row r="2050" spans="1:28" x14ac:dyDescent="0.25">
      <c r="A2050" s="2" t="s">
        <v>2847</v>
      </c>
      <c r="B2050" s="2" t="s">
        <v>523</v>
      </c>
      <c r="C2050" s="2">
        <v>66</v>
      </c>
      <c r="D2050" s="2" t="s">
        <v>30</v>
      </c>
      <c r="E2050" s="2" t="s">
        <v>79</v>
      </c>
      <c r="F2050" s="2" t="s">
        <v>57</v>
      </c>
      <c r="G2050" s="3">
        <v>44652</v>
      </c>
      <c r="H2050" s="3">
        <v>44671</v>
      </c>
      <c r="I2050" s="2">
        <v>19</v>
      </c>
      <c r="J2050" s="2" t="s">
        <v>123</v>
      </c>
      <c r="K2050" s="2" t="s">
        <v>124</v>
      </c>
      <c r="L2050" s="2" t="s">
        <v>125</v>
      </c>
      <c r="M2050" s="2" t="s">
        <v>143</v>
      </c>
      <c r="N2050" s="2" t="s">
        <v>37</v>
      </c>
      <c r="O2050" s="2" t="s">
        <v>434</v>
      </c>
      <c r="P2050" s="2">
        <v>431</v>
      </c>
      <c r="Q2050" s="2" t="s">
        <v>69</v>
      </c>
      <c r="R2050" s="2" t="s">
        <v>111</v>
      </c>
      <c r="S2050" s="2">
        <v>70328</v>
      </c>
      <c r="T2050" s="2">
        <v>53958</v>
      </c>
      <c r="U2050" s="2">
        <v>16370</v>
      </c>
      <c r="V2050" s="2">
        <v>53601</v>
      </c>
      <c r="W2050" s="2">
        <v>1701</v>
      </c>
      <c r="X2050" s="2">
        <v>14069</v>
      </c>
      <c r="Y2050" s="2" t="s">
        <v>41</v>
      </c>
      <c r="Z2050" s="2">
        <v>62</v>
      </c>
      <c r="AA2050" s="2">
        <v>3.4</v>
      </c>
      <c r="AB2050" s="2" t="s">
        <v>104</v>
      </c>
    </row>
    <row r="2051" spans="1:28" x14ac:dyDescent="0.25">
      <c r="A2051" s="4" t="s">
        <v>2848</v>
      </c>
      <c r="B2051" s="4" t="s">
        <v>2849</v>
      </c>
      <c r="C2051" s="4">
        <v>68</v>
      </c>
      <c r="D2051" s="4" t="s">
        <v>30</v>
      </c>
      <c r="E2051" s="4" t="s">
        <v>31</v>
      </c>
      <c r="F2051" s="4" t="s">
        <v>80</v>
      </c>
      <c r="G2051" s="5">
        <v>45476</v>
      </c>
      <c r="H2051" s="5">
        <v>45487</v>
      </c>
      <c r="I2051" s="4">
        <v>11</v>
      </c>
      <c r="J2051" s="4" t="s">
        <v>140</v>
      </c>
      <c r="K2051" s="4" t="s">
        <v>141</v>
      </c>
      <c r="L2051" s="4" t="s">
        <v>142</v>
      </c>
      <c r="M2051" s="4" t="s">
        <v>143</v>
      </c>
      <c r="N2051" s="4" t="s">
        <v>118</v>
      </c>
      <c r="O2051" s="4" t="s">
        <v>222</v>
      </c>
      <c r="P2051" s="4">
        <v>448</v>
      </c>
      <c r="Q2051" s="4" t="s">
        <v>103</v>
      </c>
      <c r="R2051" s="4" t="s">
        <v>51</v>
      </c>
      <c r="S2051" s="4">
        <v>52176</v>
      </c>
      <c r="T2051" s="4">
        <v>25074</v>
      </c>
      <c r="U2051" s="4">
        <v>27102</v>
      </c>
      <c r="V2051" s="4">
        <v>11420</v>
      </c>
      <c r="W2051" s="4">
        <v>24009</v>
      </c>
      <c r="X2051" s="4">
        <v>11765</v>
      </c>
      <c r="Y2051" s="4" t="s">
        <v>41</v>
      </c>
      <c r="Z2051" s="4">
        <v>86</v>
      </c>
      <c r="AA2051" s="4">
        <v>2</v>
      </c>
      <c r="AB2051" s="4" t="s">
        <v>104</v>
      </c>
    </row>
    <row r="2052" spans="1:28" x14ac:dyDescent="0.25">
      <c r="A2052" s="2" t="s">
        <v>2850</v>
      </c>
      <c r="B2052" s="2" t="s">
        <v>517</v>
      </c>
      <c r="C2052" s="2">
        <v>19</v>
      </c>
      <c r="D2052" s="2" t="s">
        <v>55</v>
      </c>
      <c r="E2052" s="2" t="s">
        <v>31</v>
      </c>
      <c r="F2052" s="2" t="s">
        <v>114</v>
      </c>
      <c r="G2052" s="3">
        <v>44874</v>
      </c>
      <c r="H2052" s="3">
        <v>44883</v>
      </c>
      <c r="I2052" s="2">
        <v>9</v>
      </c>
      <c r="J2052" s="2" t="s">
        <v>123</v>
      </c>
      <c r="K2052" s="2" t="s">
        <v>124</v>
      </c>
      <c r="L2052" s="2" t="s">
        <v>125</v>
      </c>
      <c r="M2052" s="2" t="s">
        <v>101</v>
      </c>
      <c r="N2052" s="2" t="s">
        <v>118</v>
      </c>
      <c r="O2052" s="2" t="s">
        <v>373</v>
      </c>
      <c r="P2052" s="2">
        <v>3</v>
      </c>
      <c r="Q2052" s="2" t="s">
        <v>39</v>
      </c>
      <c r="R2052" s="2" t="s">
        <v>136</v>
      </c>
      <c r="S2052" s="2">
        <v>67852</v>
      </c>
      <c r="T2052" s="2">
        <v>0</v>
      </c>
      <c r="U2052" s="2">
        <v>67852</v>
      </c>
      <c r="V2052" s="2">
        <v>35432</v>
      </c>
      <c r="W2052" s="2">
        <v>19748</v>
      </c>
      <c r="X2052" s="2">
        <v>11847</v>
      </c>
      <c r="Y2052" s="2" t="s">
        <v>41</v>
      </c>
      <c r="Z2052" s="2">
        <v>81</v>
      </c>
      <c r="AA2052" s="2">
        <v>3.3</v>
      </c>
      <c r="AB2052" s="2" t="s">
        <v>64</v>
      </c>
    </row>
    <row r="2053" spans="1:28" x14ac:dyDescent="0.25">
      <c r="A2053" s="4" t="s">
        <v>2851</v>
      </c>
      <c r="B2053" s="4" t="s">
        <v>491</v>
      </c>
      <c r="C2053" s="4">
        <v>59</v>
      </c>
      <c r="D2053" s="4" t="s">
        <v>55</v>
      </c>
      <c r="E2053" s="4" t="s">
        <v>45</v>
      </c>
      <c r="F2053" s="4" t="s">
        <v>150</v>
      </c>
      <c r="G2053" s="5">
        <v>45554</v>
      </c>
      <c r="H2053" s="5">
        <v>45583</v>
      </c>
      <c r="I2053" s="4">
        <v>29</v>
      </c>
      <c r="J2053" s="4" t="s">
        <v>123</v>
      </c>
      <c r="K2053" s="4" t="s">
        <v>124</v>
      </c>
      <c r="L2053" s="4" t="s">
        <v>125</v>
      </c>
      <c r="M2053" s="4" t="s">
        <v>75</v>
      </c>
      <c r="N2053" s="4" t="s">
        <v>37</v>
      </c>
      <c r="O2053" s="4" t="s">
        <v>119</v>
      </c>
      <c r="P2053" s="4">
        <v>235</v>
      </c>
      <c r="Q2053" s="4" t="s">
        <v>103</v>
      </c>
      <c r="R2053" s="4" t="s">
        <v>40</v>
      </c>
      <c r="S2053" s="4">
        <v>54182</v>
      </c>
      <c r="T2053" s="4">
        <v>27090</v>
      </c>
      <c r="U2053" s="4">
        <v>27092</v>
      </c>
      <c r="V2053" s="4">
        <v>19250</v>
      </c>
      <c r="W2053" s="4">
        <v>23485</v>
      </c>
      <c r="X2053" s="4">
        <v>9206</v>
      </c>
      <c r="Y2053" s="4" t="s">
        <v>91</v>
      </c>
      <c r="Z2053" s="4">
        <v>74</v>
      </c>
      <c r="AA2053" s="4">
        <v>3.8</v>
      </c>
      <c r="AB2053" s="4" t="s">
        <v>42</v>
      </c>
    </row>
    <row r="2054" spans="1:28" x14ac:dyDescent="0.25">
      <c r="A2054" s="2" t="s">
        <v>2852</v>
      </c>
      <c r="B2054" s="2" t="s">
        <v>1018</v>
      </c>
      <c r="C2054" s="2">
        <v>9</v>
      </c>
      <c r="D2054" s="2" t="s">
        <v>30</v>
      </c>
      <c r="E2054" s="2" t="s">
        <v>31</v>
      </c>
      <c r="F2054" s="2" t="s">
        <v>46</v>
      </c>
      <c r="G2054" s="3">
        <v>45504</v>
      </c>
      <c r="H2054" s="3">
        <v>45514</v>
      </c>
      <c r="I2054" s="2">
        <v>10</v>
      </c>
      <c r="J2054" s="2" t="s">
        <v>202</v>
      </c>
      <c r="K2054" s="2" t="s">
        <v>203</v>
      </c>
      <c r="L2054" s="2" t="s">
        <v>204</v>
      </c>
      <c r="M2054" s="2" t="s">
        <v>130</v>
      </c>
      <c r="N2054" s="2" t="s">
        <v>118</v>
      </c>
      <c r="O2054" s="2" t="s">
        <v>548</v>
      </c>
      <c r="P2054" s="2">
        <v>348</v>
      </c>
      <c r="Q2054" s="2" t="s">
        <v>39</v>
      </c>
      <c r="R2054" s="2" t="s">
        <v>40</v>
      </c>
      <c r="S2054" s="2">
        <v>67640</v>
      </c>
      <c r="T2054" s="2">
        <v>44824</v>
      </c>
      <c r="U2054" s="2">
        <v>22816</v>
      </c>
      <c r="V2054" s="2">
        <v>56054</v>
      </c>
      <c r="W2054" s="2">
        <v>1504</v>
      </c>
      <c r="X2054" s="2">
        <v>5677</v>
      </c>
      <c r="Y2054" s="2" t="s">
        <v>41</v>
      </c>
      <c r="Z2054" s="2">
        <v>53</v>
      </c>
      <c r="AA2054" s="2">
        <v>5</v>
      </c>
      <c r="AB2054" s="2" t="s">
        <v>137</v>
      </c>
    </row>
    <row r="2055" spans="1:28" x14ac:dyDescent="0.25">
      <c r="A2055" s="4" t="s">
        <v>2853</v>
      </c>
      <c r="B2055" s="4" t="s">
        <v>1416</v>
      </c>
      <c r="C2055" s="4">
        <v>69</v>
      </c>
      <c r="D2055" s="4" t="s">
        <v>30</v>
      </c>
      <c r="E2055" s="4" t="s">
        <v>67</v>
      </c>
      <c r="F2055" s="4" t="s">
        <v>80</v>
      </c>
      <c r="G2055" s="5">
        <v>45482</v>
      </c>
      <c r="H2055" s="5">
        <v>45494</v>
      </c>
      <c r="I2055" s="4">
        <v>12</v>
      </c>
      <c r="J2055" s="4" t="s">
        <v>58</v>
      </c>
      <c r="K2055" s="4" t="s">
        <v>88</v>
      </c>
      <c r="L2055" s="4" t="s">
        <v>60</v>
      </c>
      <c r="M2055" s="4" t="s">
        <v>143</v>
      </c>
      <c r="N2055" s="4" t="s">
        <v>118</v>
      </c>
      <c r="O2055" s="4" t="s">
        <v>144</v>
      </c>
      <c r="P2055" s="4">
        <v>286</v>
      </c>
      <c r="Q2055" s="4" t="s">
        <v>50</v>
      </c>
      <c r="R2055" s="4" t="s">
        <v>111</v>
      </c>
      <c r="S2055" s="4">
        <v>164406</v>
      </c>
      <c r="T2055" s="4">
        <v>136237</v>
      </c>
      <c r="U2055" s="4">
        <v>28169</v>
      </c>
      <c r="V2055" s="4">
        <v>146716</v>
      </c>
      <c r="W2055" s="4">
        <v>12799</v>
      </c>
      <c r="X2055" s="4">
        <v>900</v>
      </c>
      <c r="Y2055" s="4" t="s">
        <v>41</v>
      </c>
      <c r="Z2055" s="4">
        <v>72</v>
      </c>
      <c r="AA2055" s="4">
        <v>3.4</v>
      </c>
      <c r="AB2055" s="4" t="s">
        <v>64</v>
      </c>
    </row>
    <row r="2056" spans="1:28" x14ac:dyDescent="0.25">
      <c r="A2056" s="2" t="s">
        <v>2854</v>
      </c>
      <c r="B2056" s="2" t="s">
        <v>1257</v>
      </c>
      <c r="C2056" s="2">
        <v>44</v>
      </c>
      <c r="D2056" s="2" t="s">
        <v>30</v>
      </c>
      <c r="E2056" s="2" t="s">
        <v>56</v>
      </c>
      <c r="F2056" s="2" t="s">
        <v>32</v>
      </c>
      <c r="G2056" s="3">
        <v>44654</v>
      </c>
      <c r="H2056" s="3">
        <v>44656</v>
      </c>
      <c r="I2056" s="2">
        <v>2</v>
      </c>
      <c r="J2056" s="2" t="s">
        <v>33</v>
      </c>
      <c r="K2056" s="2" t="s">
        <v>197</v>
      </c>
      <c r="L2056" s="2" t="s">
        <v>198</v>
      </c>
      <c r="M2056" s="2" t="s">
        <v>95</v>
      </c>
      <c r="N2056" s="2" t="s">
        <v>118</v>
      </c>
      <c r="O2056" s="2" t="s">
        <v>538</v>
      </c>
      <c r="P2056" s="2">
        <v>329</v>
      </c>
      <c r="Q2056" s="2" t="s">
        <v>50</v>
      </c>
      <c r="R2056" s="2" t="s">
        <v>136</v>
      </c>
      <c r="S2056" s="2">
        <v>88503</v>
      </c>
      <c r="T2056" s="2">
        <v>0</v>
      </c>
      <c r="U2056" s="2">
        <v>88503</v>
      </c>
      <c r="V2056" s="2">
        <v>70359</v>
      </c>
      <c r="W2056" s="2">
        <v>8820</v>
      </c>
      <c r="X2056" s="2">
        <v>5181</v>
      </c>
      <c r="Y2056" s="2" t="s">
        <v>41</v>
      </c>
      <c r="Z2056" s="2">
        <v>62</v>
      </c>
      <c r="AA2056" s="2">
        <v>2.4</v>
      </c>
      <c r="AB2056" s="2" t="s">
        <v>52</v>
      </c>
    </row>
    <row r="2057" spans="1:28" x14ac:dyDescent="0.25">
      <c r="A2057" s="4" t="s">
        <v>2855</v>
      </c>
      <c r="B2057" s="4" t="s">
        <v>2845</v>
      </c>
      <c r="C2057" s="4">
        <v>41</v>
      </c>
      <c r="D2057" s="4" t="s">
        <v>30</v>
      </c>
      <c r="E2057" s="4" t="s">
        <v>87</v>
      </c>
      <c r="F2057" s="4" t="s">
        <v>57</v>
      </c>
      <c r="G2057" s="5">
        <v>45149</v>
      </c>
      <c r="H2057" s="5">
        <v>45176</v>
      </c>
      <c r="I2057" s="4">
        <v>27</v>
      </c>
      <c r="J2057" s="4" t="s">
        <v>33</v>
      </c>
      <c r="K2057" s="4" t="s">
        <v>34</v>
      </c>
      <c r="L2057" s="4" t="s">
        <v>35</v>
      </c>
      <c r="M2057" s="4" t="s">
        <v>95</v>
      </c>
      <c r="N2057" s="4" t="s">
        <v>62</v>
      </c>
      <c r="O2057" s="4" t="s">
        <v>68</v>
      </c>
      <c r="P2057" s="4">
        <v>109</v>
      </c>
      <c r="Q2057" s="4" t="s">
        <v>39</v>
      </c>
      <c r="R2057" s="4" t="s">
        <v>111</v>
      </c>
      <c r="S2057" s="4">
        <v>44216</v>
      </c>
      <c r="T2057" s="4">
        <v>35135</v>
      </c>
      <c r="U2057" s="4">
        <v>9081</v>
      </c>
      <c r="V2057" s="4">
        <v>15583</v>
      </c>
      <c r="W2057" s="4">
        <v>15005</v>
      </c>
      <c r="X2057" s="4">
        <v>10385</v>
      </c>
      <c r="Y2057" s="4" t="s">
        <v>41</v>
      </c>
      <c r="Z2057" s="4">
        <v>73</v>
      </c>
      <c r="AA2057" s="4">
        <v>2.2999999999999998</v>
      </c>
      <c r="AB2057" s="4" t="s">
        <v>137</v>
      </c>
    </row>
    <row r="2058" spans="1:28" x14ac:dyDescent="0.25">
      <c r="A2058" s="2" t="s">
        <v>2856</v>
      </c>
      <c r="B2058" s="2" t="s">
        <v>29</v>
      </c>
      <c r="C2058" s="2">
        <v>30</v>
      </c>
      <c r="D2058" s="2" t="s">
        <v>30</v>
      </c>
      <c r="E2058" s="2" t="s">
        <v>45</v>
      </c>
      <c r="F2058" s="2" t="s">
        <v>72</v>
      </c>
      <c r="G2058" s="3">
        <v>45275</v>
      </c>
      <c r="H2058" s="3">
        <v>45286</v>
      </c>
      <c r="I2058" s="2">
        <v>11</v>
      </c>
      <c r="J2058" s="2" t="s">
        <v>33</v>
      </c>
      <c r="K2058" s="2" t="s">
        <v>278</v>
      </c>
      <c r="L2058" s="2" t="s">
        <v>279</v>
      </c>
      <c r="M2058" s="2" t="s">
        <v>143</v>
      </c>
      <c r="N2058" s="2" t="s">
        <v>109</v>
      </c>
      <c r="O2058" s="2" t="s">
        <v>259</v>
      </c>
      <c r="P2058" s="2">
        <v>481</v>
      </c>
      <c r="Q2058" s="2" t="s">
        <v>69</v>
      </c>
      <c r="R2058" s="2" t="s">
        <v>40</v>
      </c>
      <c r="S2058" s="2">
        <v>112363</v>
      </c>
      <c r="T2058" s="2">
        <v>54681</v>
      </c>
      <c r="U2058" s="2">
        <v>57682</v>
      </c>
      <c r="V2058" s="2">
        <v>69526</v>
      </c>
      <c r="W2058" s="2">
        <v>29983</v>
      </c>
      <c r="X2058" s="2">
        <v>11111</v>
      </c>
      <c r="Y2058" s="2" t="s">
        <v>41</v>
      </c>
      <c r="Z2058" s="2">
        <v>79</v>
      </c>
      <c r="AA2058" s="2">
        <v>3.4</v>
      </c>
      <c r="AB2058" s="2" t="s">
        <v>137</v>
      </c>
    </row>
    <row r="2059" spans="1:28" x14ac:dyDescent="0.25">
      <c r="A2059" s="4" t="s">
        <v>2857</v>
      </c>
      <c r="B2059" s="4" t="s">
        <v>1104</v>
      </c>
      <c r="C2059" s="4">
        <v>15</v>
      </c>
      <c r="D2059" s="4" t="s">
        <v>55</v>
      </c>
      <c r="E2059" s="4" t="s">
        <v>56</v>
      </c>
      <c r="F2059" s="4" t="s">
        <v>114</v>
      </c>
      <c r="G2059" s="5">
        <v>45466</v>
      </c>
      <c r="H2059" s="5">
        <v>45489</v>
      </c>
      <c r="I2059" s="4">
        <v>23</v>
      </c>
      <c r="J2059" s="4" t="s">
        <v>33</v>
      </c>
      <c r="K2059" s="4" t="s">
        <v>107</v>
      </c>
      <c r="L2059" s="4" t="s">
        <v>48</v>
      </c>
      <c r="M2059" s="4" t="s">
        <v>61</v>
      </c>
      <c r="N2059" s="4" t="s">
        <v>37</v>
      </c>
      <c r="O2059" s="4" t="s">
        <v>428</v>
      </c>
      <c r="P2059" s="4">
        <v>280</v>
      </c>
      <c r="Q2059" s="4" t="s">
        <v>69</v>
      </c>
      <c r="R2059" s="4" t="s">
        <v>51</v>
      </c>
      <c r="S2059" s="4">
        <v>165286</v>
      </c>
      <c r="T2059" s="4">
        <v>87857</v>
      </c>
      <c r="U2059" s="4">
        <v>77429</v>
      </c>
      <c r="V2059" s="4">
        <v>141253</v>
      </c>
      <c r="W2059" s="4">
        <v>11873</v>
      </c>
      <c r="X2059" s="4">
        <v>10389</v>
      </c>
      <c r="Y2059" s="4" t="s">
        <v>41</v>
      </c>
      <c r="Z2059" s="4">
        <v>54</v>
      </c>
      <c r="AA2059" s="4">
        <v>4.0999999999999996</v>
      </c>
      <c r="AB2059" s="4" t="s">
        <v>42</v>
      </c>
    </row>
    <row r="2060" spans="1:28" x14ac:dyDescent="0.25">
      <c r="A2060" s="2" t="s">
        <v>2858</v>
      </c>
      <c r="B2060" s="2" t="s">
        <v>1056</v>
      </c>
      <c r="C2060" s="2">
        <v>65</v>
      </c>
      <c r="D2060" s="2" t="s">
        <v>30</v>
      </c>
      <c r="E2060" s="2" t="s">
        <v>31</v>
      </c>
      <c r="F2060" s="2" t="s">
        <v>46</v>
      </c>
      <c r="G2060" s="3">
        <v>45544</v>
      </c>
      <c r="H2060" s="3">
        <v>45557</v>
      </c>
      <c r="I2060" s="2">
        <v>13</v>
      </c>
      <c r="J2060" s="2" t="s">
        <v>202</v>
      </c>
      <c r="K2060" s="2" t="s">
        <v>225</v>
      </c>
      <c r="L2060" s="2" t="s">
        <v>226</v>
      </c>
      <c r="M2060" s="2" t="s">
        <v>101</v>
      </c>
      <c r="N2060" s="2" t="s">
        <v>109</v>
      </c>
      <c r="O2060" s="2" t="s">
        <v>144</v>
      </c>
      <c r="P2060" s="2">
        <v>42</v>
      </c>
      <c r="Q2060" s="2" t="s">
        <v>103</v>
      </c>
      <c r="R2060" s="2" t="s">
        <v>90</v>
      </c>
      <c r="S2060" s="2">
        <v>178439</v>
      </c>
      <c r="T2060" s="2">
        <v>127571</v>
      </c>
      <c r="U2060" s="2">
        <v>50868</v>
      </c>
      <c r="V2060" s="2">
        <v>143004</v>
      </c>
      <c r="W2060" s="2">
        <v>22800</v>
      </c>
      <c r="X2060" s="2">
        <v>8372</v>
      </c>
      <c r="Y2060" s="2" t="s">
        <v>41</v>
      </c>
      <c r="Z2060" s="2">
        <v>60</v>
      </c>
      <c r="AA2060" s="2">
        <v>3.6</v>
      </c>
      <c r="AB2060" s="2" t="s">
        <v>104</v>
      </c>
    </row>
    <row r="2061" spans="1:28" x14ac:dyDescent="0.25">
      <c r="A2061" s="4" t="s">
        <v>2859</v>
      </c>
      <c r="B2061" s="4" t="s">
        <v>1976</v>
      </c>
      <c r="C2061" s="4">
        <v>29</v>
      </c>
      <c r="D2061" s="4" t="s">
        <v>55</v>
      </c>
      <c r="E2061" s="4" t="s">
        <v>67</v>
      </c>
      <c r="F2061" s="4" t="s">
        <v>80</v>
      </c>
      <c r="G2061" s="5">
        <v>44894</v>
      </c>
      <c r="H2061" s="5">
        <v>44918</v>
      </c>
      <c r="I2061" s="4">
        <v>24</v>
      </c>
      <c r="J2061" s="4" t="s">
        <v>202</v>
      </c>
      <c r="K2061" s="4" t="s">
        <v>203</v>
      </c>
      <c r="L2061" s="4" t="s">
        <v>204</v>
      </c>
      <c r="M2061" s="4" t="s">
        <v>101</v>
      </c>
      <c r="N2061" s="4" t="s">
        <v>62</v>
      </c>
      <c r="O2061" s="4" t="s">
        <v>300</v>
      </c>
      <c r="P2061" s="4">
        <v>100</v>
      </c>
      <c r="Q2061" s="4" t="s">
        <v>69</v>
      </c>
      <c r="R2061" s="4" t="s">
        <v>40</v>
      </c>
      <c r="S2061" s="4">
        <v>126408</v>
      </c>
      <c r="T2061" s="4">
        <v>76992</v>
      </c>
      <c r="U2061" s="4">
        <v>49416</v>
      </c>
      <c r="V2061" s="4">
        <v>115079</v>
      </c>
      <c r="W2061" s="4">
        <v>1650</v>
      </c>
      <c r="X2061" s="4">
        <v>6570</v>
      </c>
      <c r="Y2061" s="4" t="s">
        <v>41</v>
      </c>
      <c r="Z2061" s="4">
        <v>43</v>
      </c>
      <c r="AA2061" s="4">
        <v>2.4</v>
      </c>
      <c r="AB2061" s="4" t="s">
        <v>42</v>
      </c>
    </row>
    <row r="2062" spans="1:28" x14ac:dyDescent="0.25">
      <c r="A2062" s="2" t="s">
        <v>2860</v>
      </c>
      <c r="B2062" s="2" t="s">
        <v>1131</v>
      </c>
      <c r="C2062" s="2">
        <v>48</v>
      </c>
      <c r="D2062" s="2" t="s">
        <v>30</v>
      </c>
      <c r="E2062" s="2" t="s">
        <v>87</v>
      </c>
      <c r="F2062" s="2" t="s">
        <v>114</v>
      </c>
      <c r="G2062" s="3">
        <v>45219</v>
      </c>
      <c r="H2062" s="3">
        <v>45231</v>
      </c>
      <c r="I2062" s="2">
        <v>12</v>
      </c>
      <c r="J2062" s="2" t="s">
        <v>33</v>
      </c>
      <c r="K2062" s="2" t="s">
        <v>278</v>
      </c>
      <c r="L2062" s="2" t="s">
        <v>279</v>
      </c>
      <c r="M2062" s="2" t="s">
        <v>143</v>
      </c>
      <c r="N2062" s="2" t="s">
        <v>37</v>
      </c>
      <c r="O2062" s="2" t="s">
        <v>205</v>
      </c>
      <c r="P2062" s="2">
        <v>117</v>
      </c>
      <c r="Q2062" s="2" t="s">
        <v>69</v>
      </c>
      <c r="R2062" s="2" t="s">
        <v>111</v>
      </c>
      <c r="S2062" s="2">
        <v>159931</v>
      </c>
      <c r="T2062" s="2">
        <v>101198</v>
      </c>
      <c r="U2062" s="2">
        <v>58733</v>
      </c>
      <c r="V2062" s="2">
        <v>140903</v>
      </c>
      <c r="W2062" s="2">
        <v>8922</v>
      </c>
      <c r="X2062" s="2">
        <v>7889</v>
      </c>
      <c r="Y2062" s="2" t="s">
        <v>41</v>
      </c>
      <c r="Z2062" s="2">
        <v>84</v>
      </c>
      <c r="AA2062" s="2">
        <v>2.7</v>
      </c>
      <c r="AB2062" s="2" t="s">
        <v>42</v>
      </c>
    </row>
    <row r="2063" spans="1:28" x14ac:dyDescent="0.25">
      <c r="A2063" s="4" t="s">
        <v>2861</v>
      </c>
      <c r="B2063" s="4" t="s">
        <v>1113</v>
      </c>
      <c r="C2063" s="4">
        <v>18</v>
      </c>
      <c r="D2063" s="4" t="s">
        <v>55</v>
      </c>
      <c r="E2063" s="4" t="s">
        <v>31</v>
      </c>
      <c r="F2063" s="4" t="s">
        <v>46</v>
      </c>
      <c r="G2063" s="5">
        <v>45233</v>
      </c>
      <c r="H2063" s="5">
        <v>45252</v>
      </c>
      <c r="I2063" s="4">
        <v>19</v>
      </c>
      <c r="J2063" s="4" t="s">
        <v>123</v>
      </c>
      <c r="K2063" s="4" t="s">
        <v>124</v>
      </c>
      <c r="L2063" s="4" t="s">
        <v>125</v>
      </c>
      <c r="M2063" s="4" t="s">
        <v>143</v>
      </c>
      <c r="N2063" s="4" t="s">
        <v>118</v>
      </c>
      <c r="O2063" s="4" t="s">
        <v>214</v>
      </c>
      <c r="P2063" s="4">
        <v>494</v>
      </c>
      <c r="Q2063" s="4" t="s">
        <v>39</v>
      </c>
      <c r="R2063" s="4" t="s">
        <v>136</v>
      </c>
      <c r="S2063" s="4">
        <v>126366</v>
      </c>
      <c r="T2063" s="4">
        <v>0</v>
      </c>
      <c r="U2063" s="4">
        <v>126366</v>
      </c>
      <c r="V2063" s="4">
        <v>96102</v>
      </c>
      <c r="W2063" s="4">
        <v>11461</v>
      </c>
      <c r="X2063" s="4">
        <v>14208</v>
      </c>
      <c r="Y2063" s="4" t="s">
        <v>91</v>
      </c>
      <c r="Z2063" s="4">
        <v>46</v>
      </c>
      <c r="AA2063" s="4">
        <v>4.3</v>
      </c>
      <c r="AB2063" s="4" t="s">
        <v>64</v>
      </c>
    </row>
    <row r="2064" spans="1:28" x14ac:dyDescent="0.25">
      <c r="A2064" s="2" t="s">
        <v>2862</v>
      </c>
      <c r="B2064" s="2" t="s">
        <v>802</v>
      </c>
      <c r="C2064" s="2">
        <v>39</v>
      </c>
      <c r="D2064" s="2" t="s">
        <v>55</v>
      </c>
      <c r="E2064" s="2" t="s">
        <v>45</v>
      </c>
      <c r="F2064" s="2" t="s">
        <v>157</v>
      </c>
      <c r="G2064" s="3">
        <v>45141</v>
      </c>
      <c r="H2064" s="3">
        <v>45161</v>
      </c>
      <c r="I2064" s="2">
        <v>20</v>
      </c>
      <c r="J2064" s="2" t="s">
        <v>140</v>
      </c>
      <c r="K2064" s="2" t="s">
        <v>141</v>
      </c>
      <c r="L2064" s="2" t="s">
        <v>142</v>
      </c>
      <c r="M2064" s="2" t="s">
        <v>108</v>
      </c>
      <c r="N2064" s="2" t="s">
        <v>109</v>
      </c>
      <c r="O2064" s="2" t="s">
        <v>331</v>
      </c>
      <c r="P2064" s="2">
        <v>359</v>
      </c>
      <c r="Q2064" s="2" t="s">
        <v>69</v>
      </c>
      <c r="R2064" s="2" t="s">
        <v>40</v>
      </c>
      <c r="S2064" s="2">
        <v>73856</v>
      </c>
      <c r="T2064" s="2">
        <v>43589</v>
      </c>
      <c r="U2064" s="2">
        <v>30267</v>
      </c>
      <c r="V2064" s="2">
        <v>58879</v>
      </c>
      <c r="W2064" s="2">
        <v>4264</v>
      </c>
      <c r="X2064" s="2">
        <v>8113</v>
      </c>
      <c r="Y2064" s="2" t="s">
        <v>41</v>
      </c>
      <c r="Z2064" s="2">
        <v>48</v>
      </c>
      <c r="AA2064" s="2">
        <v>3.6</v>
      </c>
      <c r="AB2064" s="2" t="s">
        <v>104</v>
      </c>
    </row>
    <row r="2065" spans="1:28" x14ac:dyDescent="0.25">
      <c r="A2065" s="4" t="s">
        <v>2863</v>
      </c>
      <c r="B2065" s="4" t="s">
        <v>106</v>
      </c>
      <c r="C2065" s="4">
        <v>5</v>
      </c>
      <c r="D2065" s="4" t="s">
        <v>30</v>
      </c>
      <c r="E2065" s="4" t="s">
        <v>67</v>
      </c>
      <c r="F2065" s="4" t="s">
        <v>32</v>
      </c>
      <c r="G2065" s="5">
        <v>45169</v>
      </c>
      <c r="H2065" s="5">
        <v>45178</v>
      </c>
      <c r="I2065" s="4">
        <v>9</v>
      </c>
      <c r="J2065" s="4" t="s">
        <v>115</v>
      </c>
      <c r="K2065" s="4" t="s">
        <v>160</v>
      </c>
      <c r="L2065" s="4" t="s">
        <v>117</v>
      </c>
      <c r="M2065" s="4" t="s">
        <v>134</v>
      </c>
      <c r="N2065" s="4" t="s">
        <v>37</v>
      </c>
      <c r="O2065" s="4" t="s">
        <v>208</v>
      </c>
      <c r="P2065" s="4">
        <v>333</v>
      </c>
      <c r="Q2065" s="4" t="s">
        <v>103</v>
      </c>
      <c r="R2065" s="4" t="s">
        <v>40</v>
      </c>
      <c r="S2065" s="4">
        <v>104402</v>
      </c>
      <c r="T2065" s="4">
        <v>50460</v>
      </c>
      <c r="U2065" s="4">
        <v>53942</v>
      </c>
      <c r="V2065" s="4">
        <v>69392</v>
      </c>
      <c r="W2065" s="4">
        <v>24742</v>
      </c>
      <c r="X2065" s="4">
        <v>6507</v>
      </c>
      <c r="Y2065" s="4" t="s">
        <v>41</v>
      </c>
      <c r="Z2065" s="4">
        <v>80</v>
      </c>
      <c r="AA2065" s="4">
        <v>2.5</v>
      </c>
      <c r="AB2065" s="4" t="s">
        <v>42</v>
      </c>
    </row>
    <row r="2066" spans="1:28" x14ac:dyDescent="0.25">
      <c r="A2066" s="2" t="s">
        <v>2864</v>
      </c>
      <c r="B2066" s="2" t="s">
        <v>258</v>
      </c>
      <c r="C2066" s="2">
        <v>9</v>
      </c>
      <c r="D2066" s="2" t="s">
        <v>55</v>
      </c>
      <c r="E2066" s="2" t="s">
        <v>45</v>
      </c>
      <c r="F2066" s="2" t="s">
        <v>129</v>
      </c>
      <c r="G2066" s="3">
        <v>44755</v>
      </c>
      <c r="H2066" s="3">
        <v>44767</v>
      </c>
      <c r="I2066" s="2">
        <v>12</v>
      </c>
      <c r="J2066" s="2" t="s">
        <v>202</v>
      </c>
      <c r="K2066" s="2" t="s">
        <v>203</v>
      </c>
      <c r="L2066" s="2" t="s">
        <v>204</v>
      </c>
      <c r="M2066" s="2" t="s">
        <v>61</v>
      </c>
      <c r="N2066" s="2" t="s">
        <v>118</v>
      </c>
      <c r="O2066" s="2" t="s">
        <v>178</v>
      </c>
      <c r="P2066" s="2">
        <v>67</v>
      </c>
      <c r="Q2066" s="2" t="s">
        <v>39</v>
      </c>
      <c r="R2066" s="2" t="s">
        <v>111</v>
      </c>
      <c r="S2066" s="2">
        <v>154852</v>
      </c>
      <c r="T2066" s="2">
        <v>126834</v>
      </c>
      <c r="U2066" s="2">
        <v>28018</v>
      </c>
      <c r="V2066" s="2">
        <v>137995</v>
      </c>
      <c r="W2066" s="2">
        <v>12988</v>
      </c>
      <c r="X2066" s="2">
        <v>1213</v>
      </c>
      <c r="Y2066" s="2" t="s">
        <v>41</v>
      </c>
      <c r="Z2066" s="2">
        <v>59</v>
      </c>
      <c r="AA2066" s="2">
        <v>3.6</v>
      </c>
      <c r="AB2066" s="2" t="s">
        <v>64</v>
      </c>
    </row>
    <row r="2067" spans="1:28" x14ac:dyDescent="0.25">
      <c r="A2067" s="4" t="s">
        <v>2865</v>
      </c>
      <c r="B2067" s="4" t="s">
        <v>1799</v>
      </c>
      <c r="C2067" s="4">
        <v>23</v>
      </c>
      <c r="D2067" s="4" t="s">
        <v>55</v>
      </c>
      <c r="E2067" s="4" t="s">
        <v>45</v>
      </c>
      <c r="F2067" s="4" t="s">
        <v>46</v>
      </c>
      <c r="G2067" s="5">
        <v>45525</v>
      </c>
      <c r="H2067" s="5">
        <v>45530</v>
      </c>
      <c r="I2067" s="4">
        <v>5</v>
      </c>
      <c r="J2067" s="4" t="s">
        <v>123</v>
      </c>
      <c r="K2067" s="4" t="s">
        <v>124</v>
      </c>
      <c r="L2067" s="4" t="s">
        <v>125</v>
      </c>
      <c r="M2067" s="4" t="s">
        <v>130</v>
      </c>
      <c r="N2067" s="4" t="s">
        <v>118</v>
      </c>
      <c r="O2067" s="4" t="s">
        <v>248</v>
      </c>
      <c r="P2067" s="4">
        <v>24</v>
      </c>
      <c r="Q2067" s="4" t="s">
        <v>103</v>
      </c>
      <c r="R2067" s="4" t="s">
        <v>90</v>
      </c>
      <c r="S2067" s="4">
        <v>54962</v>
      </c>
      <c r="T2067" s="4">
        <v>33048</v>
      </c>
      <c r="U2067" s="4">
        <v>21914</v>
      </c>
      <c r="V2067" s="4">
        <v>35388</v>
      </c>
      <c r="W2067" s="4">
        <v>8395</v>
      </c>
      <c r="X2067" s="4">
        <v>10540</v>
      </c>
      <c r="Y2067" s="4" t="s">
        <v>41</v>
      </c>
      <c r="Z2067" s="4">
        <v>73</v>
      </c>
      <c r="AA2067" s="4">
        <v>4.7</v>
      </c>
      <c r="AB2067" s="4" t="s">
        <v>64</v>
      </c>
    </row>
    <row r="2068" spans="1:28" x14ac:dyDescent="0.25">
      <c r="A2068" s="2" t="s">
        <v>2866</v>
      </c>
      <c r="B2068" s="2" t="s">
        <v>213</v>
      </c>
      <c r="C2068" s="2">
        <v>26</v>
      </c>
      <c r="D2068" s="2" t="s">
        <v>55</v>
      </c>
      <c r="E2068" s="2" t="s">
        <v>79</v>
      </c>
      <c r="F2068" s="2" t="s">
        <v>57</v>
      </c>
      <c r="G2068" s="3">
        <v>45599</v>
      </c>
      <c r="H2068" s="3">
        <v>45615</v>
      </c>
      <c r="I2068" s="2">
        <v>16</v>
      </c>
      <c r="J2068" s="2" t="s">
        <v>33</v>
      </c>
      <c r="K2068" s="2" t="s">
        <v>197</v>
      </c>
      <c r="L2068" s="2" t="s">
        <v>198</v>
      </c>
      <c r="M2068" s="2" t="s">
        <v>108</v>
      </c>
      <c r="N2068" s="2" t="s">
        <v>109</v>
      </c>
      <c r="O2068" s="2" t="s">
        <v>627</v>
      </c>
      <c r="P2068" s="2">
        <v>188</v>
      </c>
      <c r="Q2068" s="2" t="s">
        <v>50</v>
      </c>
      <c r="R2068" s="2" t="s">
        <v>111</v>
      </c>
      <c r="S2068" s="2">
        <v>93150</v>
      </c>
      <c r="T2068" s="2">
        <v>70584</v>
      </c>
      <c r="U2068" s="2">
        <v>22566</v>
      </c>
      <c r="V2068" s="2">
        <v>67878</v>
      </c>
      <c r="W2068" s="2">
        <v>17682</v>
      </c>
      <c r="X2068" s="2">
        <v>6572</v>
      </c>
      <c r="Y2068" s="2" t="s">
        <v>41</v>
      </c>
      <c r="Z2068" s="2">
        <v>56</v>
      </c>
      <c r="AA2068" s="2">
        <v>4.5999999999999996</v>
      </c>
      <c r="AB2068" s="2" t="s">
        <v>42</v>
      </c>
    </row>
    <row r="2069" spans="1:28" x14ac:dyDescent="0.25">
      <c r="A2069" s="4" t="s">
        <v>2867</v>
      </c>
      <c r="B2069" s="4" t="s">
        <v>1222</v>
      </c>
      <c r="C2069" s="4">
        <v>43</v>
      </c>
      <c r="D2069" s="4" t="s">
        <v>30</v>
      </c>
      <c r="E2069" s="4" t="s">
        <v>122</v>
      </c>
      <c r="F2069" s="4" t="s">
        <v>57</v>
      </c>
      <c r="G2069" s="5">
        <v>45269</v>
      </c>
      <c r="H2069" s="5">
        <v>45292</v>
      </c>
      <c r="I2069" s="4">
        <v>23</v>
      </c>
      <c r="J2069" s="4" t="s">
        <v>58</v>
      </c>
      <c r="K2069" s="4" t="s">
        <v>88</v>
      </c>
      <c r="L2069" s="4" t="s">
        <v>60</v>
      </c>
      <c r="M2069" s="4" t="s">
        <v>61</v>
      </c>
      <c r="N2069" s="4" t="s">
        <v>109</v>
      </c>
      <c r="O2069" s="4" t="s">
        <v>214</v>
      </c>
      <c r="P2069" s="4">
        <v>236</v>
      </c>
      <c r="Q2069" s="4" t="s">
        <v>39</v>
      </c>
      <c r="R2069" s="4" t="s">
        <v>111</v>
      </c>
      <c r="S2069" s="4">
        <v>120661</v>
      </c>
      <c r="T2069" s="4">
        <v>72760</v>
      </c>
      <c r="U2069" s="4">
        <v>47901</v>
      </c>
      <c r="V2069" s="4">
        <v>106794</v>
      </c>
      <c r="W2069" s="4">
        <v>1031</v>
      </c>
      <c r="X2069" s="4">
        <v>9970</v>
      </c>
      <c r="Y2069" s="4" t="s">
        <v>41</v>
      </c>
      <c r="Z2069" s="4">
        <v>96</v>
      </c>
      <c r="AA2069" s="4">
        <v>4.7</v>
      </c>
      <c r="AB2069" s="4" t="s">
        <v>104</v>
      </c>
    </row>
    <row r="2070" spans="1:28" x14ac:dyDescent="0.25">
      <c r="A2070" s="2" t="s">
        <v>2868</v>
      </c>
      <c r="B2070" s="2" t="s">
        <v>665</v>
      </c>
      <c r="C2070" s="2">
        <v>45</v>
      </c>
      <c r="D2070" s="2" t="s">
        <v>55</v>
      </c>
      <c r="E2070" s="2" t="s">
        <v>45</v>
      </c>
      <c r="F2070" s="2" t="s">
        <v>114</v>
      </c>
      <c r="G2070" s="3">
        <v>45364</v>
      </c>
      <c r="H2070" s="3">
        <v>45376</v>
      </c>
      <c r="I2070" s="2">
        <v>12</v>
      </c>
      <c r="J2070" s="2" t="s">
        <v>33</v>
      </c>
      <c r="K2070" s="2" t="s">
        <v>47</v>
      </c>
      <c r="L2070" s="2" t="s">
        <v>48</v>
      </c>
      <c r="M2070" s="2" t="s">
        <v>101</v>
      </c>
      <c r="N2070" s="2" t="s">
        <v>62</v>
      </c>
      <c r="O2070" s="2" t="s">
        <v>390</v>
      </c>
      <c r="P2070" s="2">
        <v>274</v>
      </c>
      <c r="Q2070" s="2" t="s">
        <v>103</v>
      </c>
      <c r="R2070" s="2" t="s">
        <v>51</v>
      </c>
      <c r="S2070" s="2">
        <v>179616</v>
      </c>
      <c r="T2070" s="2">
        <v>80673</v>
      </c>
      <c r="U2070" s="2">
        <v>98943</v>
      </c>
      <c r="V2070" s="2">
        <v>135242</v>
      </c>
      <c r="W2070" s="2">
        <v>29355</v>
      </c>
      <c r="X2070" s="2">
        <v>13429</v>
      </c>
      <c r="Y2070" s="2" t="s">
        <v>41</v>
      </c>
      <c r="Z2070" s="2">
        <v>51</v>
      </c>
      <c r="AA2070" s="2">
        <v>2.1</v>
      </c>
      <c r="AB2070" s="2" t="s">
        <v>64</v>
      </c>
    </row>
    <row r="2071" spans="1:28" x14ac:dyDescent="0.25">
      <c r="A2071" s="4" t="s">
        <v>2869</v>
      </c>
      <c r="B2071" s="4" t="s">
        <v>1487</v>
      </c>
      <c r="C2071" s="4">
        <v>56</v>
      </c>
      <c r="D2071" s="4" t="s">
        <v>55</v>
      </c>
      <c r="E2071" s="4" t="s">
        <v>56</v>
      </c>
      <c r="F2071" s="4" t="s">
        <v>72</v>
      </c>
      <c r="G2071" s="5">
        <v>44777</v>
      </c>
      <c r="H2071" s="5">
        <v>44805</v>
      </c>
      <c r="I2071" s="4">
        <v>28</v>
      </c>
      <c r="J2071" s="4" t="s">
        <v>33</v>
      </c>
      <c r="K2071" s="4" t="s">
        <v>197</v>
      </c>
      <c r="L2071" s="4" t="s">
        <v>198</v>
      </c>
      <c r="M2071" s="4" t="s">
        <v>101</v>
      </c>
      <c r="N2071" s="4" t="s">
        <v>37</v>
      </c>
      <c r="O2071" s="4" t="s">
        <v>199</v>
      </c>
      <c r="P2071" s="4">
        <v>196</v>
      </c>
      <c r="Q2071" s="4" t="s">
        <v>39</v>
      </c>
      <c r="R2071" s="4" t="s">
        <v>136</v>
      </c>
      <c r="S2071" s="4">
        <v>64296</v>
      </c>
      <c r="T2071" s="4">
        <v>0</v>
      </c>
      <c r="U2071" s="4">
        <v>64296</v>
      </c>
      <c r="V2071" s="4">
        <v>25587</v>
      </c>
      <c r="W2071" s="4">
        <v>25961</v>
      </c>
      <c r="X2071" s="4">
        <v>11504</v>
      </c>
      <c r="Y2071" s="4" t="s">
        <v>41</v>
      </c>
      <c r="Z2071" s="4">
        <v>85</v>
      </c>
      <c r="AA2071" s="4">
        <v>2.4</v>
      </c>
      <c r="AB2071" s="4" t="s">
        <v>104</v>
      </c>
    </row>
    <row r="2072" spans="1:28" x14ac:dyDescent="0.25">
      <c r="A2072" s="2" t="s">
        <v>2870</v>
      </c>
      <c r="B2072" s="2" t="s">
        <v>605</v>
      </c>
      <c r="C2072" s="2">
        <v>75</v>
      </c>
      <c r="D2072" s="2" t="s">
        <v>30</v>
      </c>
      <c r="E2072" s="2" t="s">
        <v>56</v>
      </c>
      <c r="F2072" s="2" t="s">
        <v>129</v>
      </c>
      <c r="G2072" s="3">
        <v>44857</v>
      </c>
      <c r="H2072" s="3">
        <v>44864</v>
      </c>
      <c r="I2072" s="2">
        <v>7</v>
      </c>
      <c r="J2072" s="2" t="s">
        <v>123</v>
      </c>
      <c r="K2072" s="2" t="s">
        <v>124</v>
      </c>
      <c r="L2072" s="2" t="s">
        <v>125</v>
      </c>
      <c r="M2072" s="2" t="s">
        <v>108</v>
      </c>
      <c r="N2072" s="2" t="s">
        <v>62</v>
      </c>
      <c r="O2072" s="2" t="s">
        <v>246</v>
      </c>
      <c r="P2072" s="2">
        <v>367</v>
      </c>
      <c r="Q2072" s="2" t="s">
        <v>39</v>
      </c>
      <c r="R2072" s="2" t="s">
        <v>136</v>
      </c>
      <c r="S2072" s="2">
        <v>106667</v>
      </c>
      <c r="T2072" s="2">
        <v>0</v>
      </c>
      <c r="U2072" s="2">
        <v>106667</v>
      </c>
      <c r="V2072" s="2">
        <v>91477</v>
      </c>
      <c r="W2072" s="2">
        <v>10763</v>
      </c>
      <c r="X2072" s="2">
        <v>2734</v>
      </c>
      <c r="Y2072" s="2" t="s">
        <v>41</v>
      </c>
      <c r="Z2072" s="2">
        <v>78</v>
      </c>
      <c r="AA2072" s="2">
        <v>2.5</v>
      </c>
      <c r="AB2072" s="2" t="s">
        <v>52</v>
      </c>
    </row>
    <row r="2073" spans="1:28" x14ac:dyDescent="0.25">
      <c r="A2073" s="4" t="s">
        <v>2871</v>
      </c>
      <c r="B2073" s="4" t="s">
        <v>874</v>
      </c>
      <c r="C2073" s="4">
        <v>24</v>
      </c>
      <c r="D2073" s="4" t="s">
        <v>55</v>
      </c>
      <c r="E2073" s="4" t="s">
        <v>154</v>
      </c>
      <c r="F2073" s="4" t="s">
        <v>57</v>
      </c>
      <c r="G2073" s="5">
        <v>44592</v>
      </c>
      <c r="H2073" s="5">
        <v>44593</v>
      </c>
      <c r="I2073" s="4">
        <v>1</v>
      </c>
      <c r="J2073" s="4" t="s">
        <v>33</v>
      </c>
      <c r="K2073" s="4" t="s">
        <v>34</v>
      </c>
      <c r="L2073" s="4" t="s">
        <v>35</v>
      </c>
      <c r="M2073" s="4" t="s">
        <v>143</v>
      </c>
      <c r="N2073" s="4" t="s">
        <v>37</v>
      </c>
      <c r="O2073" s="4" t="s">
        <v>295</v>
      </c>
      <c r="P2073" s="4">
        <v>88</v>
      </c>
      <c r="Q2073" s="4" t="s">
        <v>39</v>
      </c>
      <c r="R2073" s="4" t="s">
        <v>136</v>
      </c>
      <c r="S2073" s="4">
        <v>84725</v>
      </c>
      <c r="T2073" s="4">
        <v>0</v>
      </c>
      <c r="U2073" s="4">
        <v>84725</v>
      </c>
      <c r="V2073" s="4">
        <v>66812</v>
      </c>
      <c r="W2073" s="4">
        <v>11908</v>
      </c>
      <c r="X2073" s="4">
        <v>1505</v>
      </c>
      <c r="Y2073" s="4" t="s">
        <v>41</v>
      </c>
      <c r="Z2073" s="4">
        <v>85</v>
      </c>
      <c r="AA2073" s="4">
        <v>4.8</v>
      </c>
      <c r="AB2073" s="4" t="s">
        <v>52</v>
      </c>
    </row>
    <row r="2074" spans="1:28" x14ac:dyDescent="0.25">
      <c r="A2074" s="2" t="s">
        <v>2872</v>
      </c>
      <c r="B2074" s="2" t="s">
        <v>457</v>
      </c>
      <c r="C2074" s="2">
        <v>82</v>
      </c>
      <c r="D2074" s="2" t="s">
        <v>30</v>
      </c>
      <c r="E2074" s="2" t="s">
        <v>67</v>
      </c>
      <c r="F2074" s="2" t="s">
        <v>157</v>
      </c>
      <c r="G2074" s="3">
        <v>45554</v>
      </c>
      <c r="H2074" s="3">
        <v>45568</v>
      </c>
      <c r="I2074" s="2">
        <v>14</v>
      </c>
      <c r="J2074" s="2" t="s">
        <v>123</v>
      </c>
      <c r="K2074" s="2" t="s">
        <v>124</v>
      </c>
      <c r="L2074" s="2" t="s">
        <v>125</v>
      </c>
      <c r="M2074" s="2" t="s">
        <v>134</v>
      </c>
      <c r="N2074" s="2" t="s">
        <v>118</v>
      </c>
      <c r="O2074" s="2" t="s">
        <v>448</v>
      </c>
      <c r="P2074" s="2">
        <v>410</v>
      </c>
      <c r="Q2074" s="2" t="s">
        <v>103</v>
      </c>
      <c r="R2074" s="2" t="s">
        <v>136</v>
      </c>
      <c r="S2074" s="2">
        <v>59359</v>
      </c>
      <c r="T2074" s="2">
        <v>0</v>
      </c>
      <c r="U2074" s="2">
        <v>59359</v>
      </c>
      <c r="V2074" s="2">
        <v>19681</v>
      </c>
      <c r="W2074" s="2">
        <v>26153</v>
      </c>
      <c r="X2074" s="2">
        <v>9304</v>
      </c>
      <c r="Y2074" s="2" t="s">
        <v>41</v>
      </c>
      <c r="Z2074" s="2">
        <v>99</v>
      </c>
      <c r="AA2074" s="2">
        <v>3.1</v>
      </c>
      <c r="AB2074" s="2" t="s">
        <v>137</v>
      </c>
    </row>
    <row r="2075" spans="1:28" x14ac:dyDescent="0.25">
      <c r="A2075" s="4" t="s">
        <v>2873</v>
      </c>
      <c r="B2075" s="4" t="s">
        <v>386</v>
      </c>
      <c r="C2075" s="4">
        <v>5</v>
      </c>
      <c r="D2075" s="4" t="s">
        <v>55</v>
      </c>
      <c r="E2075" s="4" t="s">
        <v>122</v>
      </c>
      <c r="F2075" s="4" t="s">
        <v>150</v>
      </c>
      <c r="G2075" s="5">
        <v>44643</v>
      </c>
      <c r="H2075" s="5">
        <v>44663</v>
      </c>
      <c r="I2075" s="4">
        <v>20</v>
      </c>
      <c r="J2075" s="4" t="s">
        <v>33</v>
      </c>
      <c r="K2075" s="4" t="s">
        <v>197</v>
      </c>
      <c r="L2075" s="4" t="s">
        <v>198</v>
      </c>
      <c r="M2075" s="4" t="s">
        <v>61</v>
      </c>
      <c r="N2075" s="4" t="s">
        <v>109</v>
      </c>
      <c r="O2075" s="4" t="s">
        <v>368</v>
      </c>
      <c r="P2075" s="4">
        <v>66</v>
      </c>
      <c r="Q2075" s="4" t="s">
        <v>103</v>
      </c>
      <c r="R2075" s="4" t="s">
        <v>40</v>
      </c>
      <c r="S2075" s="4">
        <v>71555</v>
      </c>
      <c r="T2075" s="4">
        <v>38709</v>
      </c>
      <c r="U2075" s="4">
        <v>32846</v>
      </c>
      <c r="V2075" s="4">
        <v>36976</v>
      </c>
      <c r="W2075" s="4">
        <v>24636</v>
      </c>
      <c r="X2075" s="4">
        <v>5978</v>
      </c>
      <c r="Y2075" s="4" t="s">
        <v>41</v>
      </c>
      <c r="Z2075" s="4">
        <v>66</v>
      </c>
      <c r="AA2075" s="4">
        <v>2.2000000000000002</v>
      </c>
      <c r="AB2075" s="4" t="s">
        <v>64</v>
      </c>
    </row>
    <row r="2076" spans="1:28" x14ac:dyDescent="0.25">
      <c r="A2076" s="2" t="s">
        <v>2874</v>
      </c>
      <c r="B2076" s="2" t="s">
        <v>1228</v>
      </c>
      <c r="C2076" s="2">
        <v>80</v>
      </c>
      <c r="D2076" s="2" t="s">
        <v>55</v>
      </c>
      <c r="E2076" s="2" t="s">
        <v>79</v>
      </c>
      <c r="F2076" s="2" t="s">
        <v>80</v>
      </c>
      <c r="G2076" s="3">
        <v>45525</v>
      </c>
      <c r="H2076" s="3">
        <v>45548</v>
      </c>
      <c r="I2076" s="2">
        <v>23</v>
      </c>
      <c r="J2076" s="2" t="s">
        <v>33</v>
      </c>
      <c r="K2076" s="2" t="s">
        <v>107</v>
      </c>
      <c r="L2076" s="2" t="s">
        <v>48</v>
      </c>
      <c r="M2076" s="2" t="s">
        <v>61</v>
      </c>
      <c r="N2076" s="2" t="s">
        <v>109</v>
      </c>
      <c r="O2076" s="2" t="s">
        <v>543</v>
      </c>
      <c r="P2076" s="2">
        <v>485</v>
      </c>
      <c r="Q2076" s="2" t="s">
        <v>39</v>
      </c>
      <c r="R2076" s="2" t="s">
        <v>90</v>
      </c>
      <c r="S2076" s="2">
        <v>98426</v>
      </c>
      <c r="T2076" s="2">
        <v>63950</v>
      </c>
      <c r="U2076" s="2">
        <v>34476</v>
      </c>
      <c r="V2076" s="2">
        <v>78233</v>
      </c>
      <c r="W2076" s="2">
        <v>15161</v>
      </c>
      <c r="X2076" s="2">
        <v>3222</v>
      </c>
      <c r="Y2076" s="2" t="s">
        <v>41</v>
      </c>
      <c r="Z2076" s="2">
        <v>100</v>
      </c>
      <c r="AA2076" s="2">
        <v>3.6</v>
      </c>
      <c r="AB2076" s="2" t="s">
        <v>64</v>
      </c>
    </row>
    <row r="2077" spans="1:28" x14ac:dyDescent="0.25">
      <c r="A2077" s="4" t="s">
        <v>2875</v>
      </c>
      <c r="B2077" s="4" t="s">
        <v>863</v>
      </c>
      <c r="C2077" s="4">
        <v>15</v>
      </c>
      <c r="D2077" s="4" t="s">
        <v>55</v>
      </c>
      <c r="E2077" s="4" t="s">
        <v>45</v>
      </c>
      <c r="F2077" s="4" t="s">
        <v>129</v>
      </c>
      <c r="G2077" s="5">
        <v>44896</v>
      </c>
      <c r="H2077" s="5">
        <v>44903</v>
      </c>
      <c r="I2077" s="4">
        <v>7</v>
      </c>
      <c r="J2077" s="4" t="s">
        <v>33</v>
      </c>
      <c r="K2077" s="4" t="s">
        <v>47</v>
      </c>
      <c r="L2077" s="4" t="s">
        <v>48</v>
      </c>
      <c r="M2077" s="4" t="s">
        <v>130</v>
      </c>
      <c r="N2077" s="4" t="s">
        <v>37</v>
      </c>
      <c r="O2077" s="4" t="s">
        <v>331</v>
      </c>
      <c r="P2077" s="4">
        <v>349</v>
      </c>
      <c r="Q2077" s="4" t="s">
        <v>69</v>
      </c>
      <c r="R2077" s="4" t="s">
        <v>51</v>
      </c>
      <c r="S2077" s="4">
        <v>124461</v>
      </c>
      <c r="T2077" s="4">
        <v>82547</v>
      </c>
      <c r="U2077" s="4">
        <v>41914</v>
      </c>
      <c r="V2077" s="4">
        <v>81354</v>
      </c>
      <c r="W2077" s="4">
        <v>27810</v>
      </c>
      <c r="X2077" s="4">
        <v>14450</v>
      </c>
      <c r="Y2077" s="4" t="s">
        <v>41</v>
      </c>
      <c r="Z2077" s="4">
        <v>57</v>
      </c>
      <c r="AA2077" s="4">
        <v>2.9</v>
      </c>
      <c r="AB2077" s="4" t="s">
        <v>64</v>
      </c>
    </row>
    <row r="2078" spans="1:28" x14ac:dyDescent="0.25">
      <c r="A2078" s="2" t="s">
        <v>2876</v>
      </c>
      <c r="B2078" s="2" t="s">
        <v>2877</v>
      </c>
      <c r="C2078" s="2">
        <v>25</v>
      </c>
      <c r="D2078" s="2" t="s">
        <v>55</v>
      </c>
      <c r="E2078" s="2" t="s">
        <v>154</v>
      </c>
      <c r="F2078" s="2" t="s">
        <v>46</v>
      </c>
      <c r="G2078" s="3">
        <v>45319</v>
      </c>
      <c r="H2078" s="3">
        <v>45332</v>
      </c>
      <c r="I2078" s="2">
        <v>13</v>
      </c>
      <c r="J2078" s="2" t="s">
        <v>33</v>
      </c>
      <c r="K2078" s="2" t="s">
        <v>107</v>
      </c>
      <c r="L2078" s="2" t="s">
        <v>48</v>
      </c>
      <c r="M2078" s="2" t="s">
        <v>75</v>
      </c>
      <c r="N2078" s="2" t="s">
        <v>109</v>
      </c>
      <c r="O2078" s="2" t="s">
        <v>382</v>
      </c>
      <c r="P2078" s="2">
        <v>464</v>
      </c>
      <c r="Q2078" s="2" t="s">
        <v>50</v>
      </c>
      <c r="R2078" s="2" t="s">
        <v>90</v>
      </c>
      <c r="S2078" s="2">
        <v>97987</v>
      </c>
      <c r="T2078" s="2">
        <v>64572</v>
      </c>
      <c r="U2078" s="2">
        <v>33415</v>
      </c>
      <c r="V2078" s="2">
        <v>78280</v>
      </c>
      <c r="W2078" s="2">
        <v>14598</v>
      </c>
      <c r="X2078" s="2">
        <v>3060</v>
      </c>
      <c r="Y2078" s="2" t="s">
        <v>41</v>
      </c>
      <c r="Z2078" s="2">
        <v>57</v>
      </c>
      <c r="AA2078" s="2">
        <v>2.2999999999999998</v>
      </c>
      <c r="AB2078" s="2" t="s">
        <v>64</v>
      </c>
    </row>
    <row r="2079" spans="1:28" x14ac:dyDescent="0.25">
      <c r="A2079" s="4" t="s">
        <v>2878</v>
      </c>
      <c r="B2079" s="4" t="s">
        <v>302</v>
      </c>
      <c r="C2079" s="4">
        <v>75</v>
      </c>
      <c r="D2079" s="4" t="s">
        <v>55</v>
      </c>
      <c r="E2079" s="4" t="s">
        <v>31</v>
      </c>
      <c r="F2079" s="4" t="s">
        <v>94</v>
      </c>
      <c r="G2079" s="5">
        <v>45477</v>
      </c>
      <c r="H2079" s="5">
        <v>45494</v>
      </c>
      <c r="I2079" s="4">
        <v>17</v>
      </c>
      <c r="J2079" s="4" t="s">
        <v>33</v>
      </c>
      <c r="K2079" s="4" t="s">
        <v>278</v>
      </c>
      <c r="L2079" s="4" t="s">
        <v>279</v>
      </c>
      <c r="M2079" s="4" t="s">
        <v>101</v>
      </c>
      <c r="N2079" s="4" t="s">
        <v>62</v>
      </c>
      <c r="O2079" s="4" t="s">
        <v>464</v>
      </c>
      <c r="P2079" s="4">
        <v>175</v>
      </c>
      <c r="Q2079" s="4" t="s">
        <v>39</v>
      </c>
      <c r="R2079" s="4" t="s">
        <v>90</v>
      </c>
      <c r="S2079" s="4">
        <v>101542</v>
      </c>
      <c r="T2079" s="4">
        <v>71935</v>
      </c>
      <c r="U2079" s="4">
        <v>29607</v>
      </c>
      <c r="V2079" s="4">
        <v>75245</v>
      </c>
      <c r="W2079" s="4">
        <v>12150</v>
      </c>
      <c r="X2079" s="4">
        <v>9697</v>
      </c>
      <c r="Y2079" s="4" t="s">
        <v>41</v>
      </c>
      <c r="Z2079" s="4">
        <v>72</v>
      </c>
      <c r="AA2079" s="4">
        <v>4.0999999999999996</v>
      </c>
      <c r="AB2079" s="4" t="s">
        <v>64</v>
      </c>
    </row>
    <row r="2080" spans="1:28" x14ac:dyDescent="0.25">
      <c r="A2080" s="2" t="s">
        <v>2879</v>
      </c>
      <c r="B2080" s="2" t="s">
        <v>1736</v>
      </c>
      <c r="C2080" s="2">
        <v>21</v>
      </c>
      <c r="D2080" s="2" t="s">
        <v>55</v>
      </c>
      <c r="E2080" s="2" t="s">
        <v>154</v>
      </c>
      <c r="F2080" s="2" t="s">
        <v>32</v>
      </c>
      <c r="G2080" s="3">
        <v>44590</v>
      </c>
      <c r="H2080" s="3">
        <v>44591</v>
      </c>
      <c r="I2080" s="2">
        <v>1</v>
      </c>
      <c r="J2080" s="2" t="s">
        <v>33</v>
      </c>
      <c r="K2080" s="2" t="s">
        <v>174</v>
      </c>
      <c r="L2080" s="2" t="s">
        <v>48</v>
      </c>
      <c r="M2080" s="2" t="s">
        <v>75</v>
      </c>
      <c r="N2080" s="2" t="s">
        <v>37</v>
      </c>
      <c r="O2080" s="2" t="s">
        <v>135</v>
      </c>
      <c r="P2080" s="2">
        <v>224</v>
      </c>
      <c r="Q2080" s="2" t="s">
        <v>50</v>
      </c>
      <c r="R2080" s="2" t="s">
        <v>51</v>
      </c>
      <c r="S2080" s="2">
        <v>112915</v>
      </c>
      <c r="T2080" s="2">
        <v>54825</v>
      </c>
      <c r="U2080" s="2">
        <v>58090</v>
      </c>
      <c r="V2080" s="2">
        <v>83112</v>
      </c>
      <c r="W2080" s="2">
        <v>13904</v>
      </c>
      <c r="X2080" s="2">
        <v>11661</v>
      </c>
      <c r="Y2080" s="2" t="s">
        <v>41</v>
      </c>
      <c r="Z2080" s="2">
        <v>88</v>
      </c>
      <c r="AA2080" s="2">
        <v>3.1</v>
      </c>
      <c r="AB2080" s="2" t="s">
        <v>42</v>
      </c>
    </row>
    <row r="2081" spans="1:28" x14ac:dyDescent="0.25">
      <c r="A2081" s="4" t="s">
        <v>2880</v>
      </c>
      <c r="B2081" s="4" t="s">
        <v>1338</v>
      </c>
      <c r="C2081" s="4">
        <v>75</v>
      </c>
      <c r="D2081" s="4" t="s">
        <v>55</v>
      </c>
      <c r="E2081" s="4" t="s">
        <v>45</v>
      </c>
      <c r="F2081" s="4" t="s">
        <v>114</v>
      </c>
      <c r="G2081" s="5">
        <v>45305</v>
      </c>
      <c r="H2081" s="5">
        <v>45307</v>
      </c>
      <c r="I2081" s="4">
        <v>2</v>
      </c>
      <c r="J2081" s="4" t="s">
        <v>33</v>
      </c>
      <c r="K2081" s="4" t="s">
        <v>99</v>
      </c>
      <c r="L2081" s="4" t="s">
        <v>100</v>
      </c>
      <c r="M2081" s="4" t="s">
        <v>101</v>
      </c>
      <c r="N2081" s="4" t="s">
        <v>109</v>
      </c>
      <c r="O2081" s="4" t="s">
        <v>331</v>
      </c>
      <c r="P2081" s="4">
        <v>433</v>
      </c>
      <c r="Q2081" s="4" t="s">
        <v>69</v>
      </c>
      <c r="R2081" s="4" t="s">
        <v>40</v>
      </c>
      <c r="S2081" s="4">
        <v>126261</v>
      </c>
      <c r="T2081" s="4">
        <v>80915</v>
      </c>
      <c r="U2081" s="4">
        <v>45346</v>
      </c>
      <c r="V2081" s="4">
        <v>92278</v>
      </c>
      <c r="W2081" s="4">
        <v>27829</v>
      </c>
      <c r="X2081" s="4">
        <v>2632</v>
      </c>
      <c r="Y2081" s="4" t="s">
        <v>41</v>
      </c>
      <c r="Z2081" s="4">
        <v>85</v>
      </c>
      <c r="AA2081" s="4">
        <v>2.8</v>
      </c>
      <c r="AB2081" s="4" t="s">
        <v>104</v>
      </c>
    </row>
    <row r="2082" spans="1:28" x14ac:dyDescent="0.25">
      <c r="A2082" s="2" t="s">
        <v>2881</v>
      </c>
      <c r="B2082" s="2" t="s">
        <v>401</v>
      </c>
      <c r="C2082" s="2">
        <v>12</v>
      </c>
      <c r="D2082" s="2" t="s">
        <v>30</v>
      </c>
      <c r="E2082" s="2" t="s">
        <v>45</v>
      </c>
      <c r="F2082" s="2" t="s">
        <v>114</v>
      </c>
      <c r="G2082" s="3">
        <v>44926</v>
      </c>
      <c r="H2082" s="3">
        <v>44947</v>
      </c>
      <c r="I2082" s="2">
        <v>21</v>
      </c>
      <c r="J2082" s="2" t="s">
        <v>58</v>
      </c>
      <c r="K2082" s="2" t="s">
        <v>59</v>
      </c>
      <c r="L2082" s="2" t="s">
        <v>60</v>
      </c>
      <c r="M2082" s="2" t="s">
        <v>143</v>
      </c>
      <c r="N2082" s="2" t="s">
        <v>37</v>
      </c>
      <c r="O2082" s="2" t="s">
        <v>448</v>
      </c>
      <c r="P2082" s="2">
        <v>216</v>
      </c>
      <c r="Q2082" s="2" t="s">
        <v>69</v>
      </c>
      <c r="R2082" s="2" t="s">
        <v>51</v>
      </c>
      <c r="S2082" s="2">
        <v>92836</v>
      </c>
      <c r="T2082" s="2">
        <v>52965</v>
      </c>
      <c r="U2082" s="2">
        <v>39871</v>
      </c>
      <c r="V2082" s="2">
        <v>74548</v>
      </c>
      <c r="W2082" s="2">
        <v>2617</v>
      </c>
      <c r="X2082" s="2">
        <v>12607</v>
      </c>
      <c r="Y2082" s="2" t="s">
        <v>41</v>
      </c>
      <c r="Z2082" s="2">
        <v>42</v>
      </c>
      <c r="AA2082" s="2">
        <v>2.7</v>
      </c>
      <c r="AB2082" s="2" t="s">
        <v>137</v>
      </c>
    </row>
    <row r="2083" spans="1:28" x14ac:dyDescent="0.25">
      <c r="A2083" s="4" t="s">
        <v>2882</v>
      </c>
      <c r="B2083" s="4" t="s">
        <v>2510</v>
      </c>
      <c r="C2083" s="4">
        <v>26</v>
      </c>
      <c r="D2083" s="4" t="s">
        <v>30</v>
      </c>
      <c r="E2083" s="4" t="s">
        <v>45</v>
      </c>
      <c r="F2083" s="4" t="s">
        <v>32</v>
      </c>
      <c r="G2083" s="5">
        <v>44881</v>
      </c>
      <c r="H2083" s="5">
        <v>44882</v>
      </c>
      <c r="I2083" s="4">
        <v>1</v>
      </c>
      <c r="J2083" s="4" t="s">
        <v>33</v>
      </c>
      <c r="K2083" s="4" t="s">
        <v>81</v>
      </c>
      <c r="L2083" s="4" t="s">
        <v>82</v>
      </c>
      <c r="M2083" s="4" t="s">
        <v>134</v>
      </c>
      <c r="N2083" s="4" t="s">
        <v>109</v>
      </c>
      <c r="O2083" s="4" t="s">
        <v>571</v>
      </c>
      <c r="P2083" s="4">
        <v>325</v>
      </c>
      <c r="Q2083" s="4" t="s">
        <v>69</v>
      </c>
      <c r="R2083" s="4" t="s">
        <v>136</v>
      </c>
      <c r="S2083" s="4">
        <v>89329</v>
      </c>
      <c r="T2083" s="4">
        <v>0</v>
      </c>
      <c r="U2083" s="4">
        <v>89329</v>
      </c>
      <c r="V2083" s="4">
        <v>62843</v>
      </c>
      <c r="W2083" s="4">
        <v>10777</v>
      </c>
      <c r="X2083" s="4">
        <v>14729</v>
      </c>
      <c r="Y2083" s="4" t="s">
        <v>41</v>
      </c>
      <c r="Z2083" s="4">
        <v>97</v>
      </c>
      <c r="AA2083" s="4">
        <v>4.7</v>
      </c>
      <c r="AB2083" s="4" t="s">
        <v>64</v>
      </c>
    </row>
    <row r="2084" spans="1:28" x14ac:dyDescent="0.25">
      <c r="A2084" s="2" t="s">
        <v>2883</v>
      </c>
      <c r="B2084" s="2" t="s">
        <v>349</v>
      </c>
      <c r="C2084" s="2">
        <v>49</v>
      </c>
      <c r="D2084" s="2" t="s">
        <v>55</v>
      </c>
      <c r="E2084" s="2" t="s">
        <v>79</v>
      </c>
      <c r="F2084" s="2" t="s">
        <v>32</v>
      </c>
      <c r="G2084" s="3">
        <v>44807</v>
      </c>
      <c r="H2084" s="3">
        <v>44809</v>
      </c>
      <c r="I2084" s="2">
        <v>2</v>
      </c>
      <c r="J2084" s="2" t="s">
        <v>33</v>
      </c>
      <c r="K2084" s="2" t="s">
        <v>233</v>
      </c>
      <c r="L2084" s="2" t="s">
        <v>35</v>
      </c>
      <c r="M2084" s="2" t="s">
        <v>95</v>
      </c>
      <c r="N2084" s="2" t="s">
        <v>37</v>
      </c>
      <c r="O2084" s="2" t="s">
        <v>358</v>
      </c>
      <c r="P2084" s="2">
        <v>334</v>
      </c>
      <c r="Q2084" s="2" t="s">
        <v>69</v>
      </c>
      <c r="R2084" s="2" t="s">
        <v>51</v>
      </c>
      <c r="S2084" s="2">
        <v>123155</v>
      </c>
      <c r="T2084" s="2">
        <v>76877</v>
      </c>
      <c r="U2084" s="2">
        <v>46278</v>
      </c>
      <c r="V2084" s="2">
        <v>100723</v>
      </c>
      <c r="W2084" s="2">
        <v>8889</v>
      </c>
      <c r="X2084" s="2">
        <v>12404</v>
      </c>
      <c r="Y2084" s="2" t="s">
        <v>41</v>
      </c>
      <c r="Z2084" s="2">
        <v>63</v>
      </c>
      <c r="AA2084" s="2">
        <v>2.5</v>
      </c>
      <c r="AB2084" s="2" t="s">
        <v>137</v>
      </c>
    </row>
    <row r="2085" spans="1:28" x14ac:dyDescent="0.25">
      <c r="A2085" s="4" t="s">
        <v>2884</v>
      </c>
      <c r="B2085" s="4" t="s">
        <v>1300</v>
      </c>
      <c r="C2085" s="4">
        <v>61</v>
      </c>
      <c r="D2085" s="4" t="s">
        <v>30</v>
      </c>
      <c r="E2085" s="4" t="s">
        <v>87</v>
      </c>
      <c r="F2085" s="4" t="s">
        <v>94</v>
      </c>
      <c r="G2085" s="5">
        <v>45511</v>
      </c>
      <c r="H2085" s="5">
        <v>45513</v>
      </c>
      <c r="I2085" s="4">
        <v>2</v>
      </c>
      <c r="J2085" s="4" t="s">
        <v>33</v>
      </c>
      <c r="K2085" s="4" t="s">
        <v>81</v>
      </c>
      <c r="L2085" s="4" t="s">
        <v>82</v>
      </c>
      <c r="M2085" s="4" t="s">
        <v>108</v>
      </c>
      <c r="N2085" s="4" t="s">
        <v>118</v>
      </c>
      <c r="O2085" s="4" t="s">
        <v>455</v>
      </c>
      <c r="P2085" s="4">
        <v>260</v>
      </c>
      <c r="Q2085" s="4" t="s">
        <v>103</v>
      </c>
      <c r="R2085" s="4" t="s">
        <v>40</v>
      </c>
      <c r="S2085" s="4">
        <v>43036</v>
      </c>
      <c r="T2085" s="4">
        <v>23156</v>
      </c>
      <c r="U2085" s="4">
        <v>19880</v>
      </c>
      <c r="V2085" s="4">
        <v>14702</v>
      </c>
      <c r="W2085" s="4">
        <v>16292</v>
      </c>
      <c r="X2085" s="4">
        <v>11297</v>
      </c>
      <c r="Y2085" s="4" t="s">
        <v>91</v>
      </c>
      <c r="Z2085" s="4">
        <v>42</v>
      </c>
      <c r="AA2085" s="4">
        <v>4.2</v>
      </c>
      <c r="AB2085" s="4" t="s">
        <v>104</v>
      </c>
    </row>
    <row r="2086" spans="1:28" x14ac:dyDescent="0.25">
      <c r="A2086" s="2" t="s">
        <v>2885</v>
      </c>
      <c r="B2086" s="2" t="s">
        <v>446</v>
      </c>
      <c r="C2086" s="2">
        <v>42</v>
      </c>
      <c r="D2086" s="2" t="s">
        <v>30</v>
      </c>
      <c r="E2086" s="2" t="s">
        <v>122</v>
      </c>
      <c r="F2086" s="2" t="s">
        <v>80</v>
      </c>
      <c r="G2086" s="3">
        <v>45364</v>
      </c>
      <c r="H2086" s="3">
        <v>45384</v>
      </c>
      <c r="I2086" s="2">
        <v>20</v>
      </c>
      <c r="J2086" s="2" t="s">
        <v>58</v>
      </c>
      <c r="K2086" s="2" t="s">
        <v>59</v>
      </c>
      <c r="L2086" s="2" t="s">
        <v>60</v>
      </c>
      <c r="M2086" s="2" t="s">
        <v>36</v>
      </c>
      <c r="N2086" s="2" t="s">
        <v>62</v>
      </c>
      <c r="O2086" s="2" t="s">
        <v>96</v>
      </c>
      <c r="P2086" s="2">
        <v>158</v>
      </c>
      <c r="Q2086" s="2" t="s">
        <v>69</v>
      </c>
      <c r="R2086" s="2" t="s">
        <v>90</v>
      </c>
      <c r="S2086" s="2">
        <v>98794</v>
      </c>
      <c r="T2086" s="2">
        <v>83776</v>
      </c>
      <c r="U2086" s="2">
        <v>15018</v>
      </c>
      <c r="V2086" s="2">
        <v>78260</v>
      </c>
      <c r="W2086" s="2">
        <v>9394</v>
      </c>
      <c r="X2086" s="2">
        <v>10071</v>
      </c>
      <c r="Y2086" s="2" t="s">
        <v>41</v>
      </c>
      <c r="Z2086" s="2">
        <v>89</v>
      </c>
      <c r="AA2086" s="2">
        <v>4.2</v>
      </c>
      <c r="AB2086" s="2" t="s">
        <v>137</v>
      </c>
    </row>
    <row r="2087" spans="1:28" x14ac:dyDescent="0.25">
      <c r="A2087" s="4" t="s">
        <v>2886</v>
      </c>
      <c r="B2087" s="4" t="s">
        <v>1495</v>
      </c>
      <c r="C2087" s="4">
        <v>14</v>
      </c>
      <c r="D2087" s="4" t="s">
        <v>30</v>
      </c>
      <c r="E2087" s="4" t="s">
        <v>154</v>
      </c>
      <c r="F2087" s="4" t="s">
        <v>57</v>
      </c>
      <c r="G2087" s="5">
        <v>45142</v>
      </c>
      <c r="H2087" s="5">
        <v>45161</v>
      </c>
      <c r="I2087" s="4">
        <v>19</v>
      </c>
      <c r="J2087" s="4" t="s">
        <v>33</v>
      </c>
      <c r="K2087" s="4" t="s">
        <v>233</v>
      </c>
      <c r="L2087" s="4" t="s">
        <v>35</v>
      </c>
      <c r="M2087" s="4" t="s">
        <v>130</v>
      </c>
      <c r="N2087" s="4" t="s">
        <v>37</v>
      </c>
      <c r="O2087" s="4" t="s">
        <v>246</v>
      </c>
      <c r="P2087" s="4">
        <v>455</v>
      </c>
      <c r="Q2087" s="4" t="s">
        <v>50</v>
      </c>
      <c r="R2087" s="4" t="s">
        <v>90</v>
      </c>
      <c r="S2087" s="4">
        <v>48227</v>
      </c>
      <c r="T2087" s="4">
        <v>29516</v>
      </c>
      <c r="U2087" s="4">
        <v>18711</v>
      </c>
      <c r="V2087" s="4">
        <v>39102</v>
      </c>
      <c r="W2087" s="4">
        <v>3404</v>
      </c>
      <c r="X2087" s="4">
        <v>1466</v>
      </c>
      <c r="Y2087" s="4" t="s">
        <v>41</v>
      </c>
      <c r="Z2087" s="4">
        <v>83</v>
      </c>
      <c r="AA2087" s="4">
        <v>4.9000000000000004</v>
      </c>
      <c r="AB2087" s="4" t="s">
        <v>104</v>
      </c>
    </row>
    <row r="2088" spans="1:28" x14ac:dyDescent="0.25">
      <c r="A2088" s="2" t="s">
        <v>2887</v>
      </c>
      <c r="B2088" s="2" t="s">
        <v>1269</v>
      </c>
      <c r="C2088" s="2">
        <v>52</v>
      </c>
      <c r="D2088" s="2" t="s">
        <v>55</v>
      </c>
      <c r="E2088" s="2" t="s">
        <v>31</v>
      </c>
      <c r="F2088" s="2" t="s">
        <v>157</v>
      </c>
      <c r="G2088" s="3">
        <v>45308</v>
      </c>
      <c r="H2088" s="3">
        <v>45332</v>
      </c>
      <c r="I2088" s="2">
        <v>24</v>
      </c>
      <c r="J2088" s="2" t="s">
        <v>202</v>
      </c>
      <c r="K2088" s="2" t="s">
        <v>225</v>
      </c>
      <c r="L2088" s="2" t="s">
        <v>226</v>
      </c>
      <c r="M2088" s="2" t="s">
        <v>83</v>
      </c>
      <c r="N2088" s="2" t="s">
        <v>118</v>
      </c>
      <c r="O2088" s="2" t="s">
        <v>184</v>
      </c>
      <c r="P2088" s="2">
        <v>213</v>
      </c>
      <c r="Q2088" s="2" t="s">
        <v>69</v>
      </c>
      <c r="R2088" s="2" t="s">
        <v>111</v>
      </c>
      <c r="S2088" s="2">
        <v>156965</v>
      </c>
      <c r="T2088" s="2">
        <v>106765</v>
      </c>
      <c r="U2088" s="2">
        <v>50200</v>
      </c>
      <c r="V2088" s="2">
        <v>121620</v>
      </c>
      <c r="W2088" s="2">
        <v>27537</v>
      </c>
      <c r="X2088" s="2">
        <v>6360</v>
      </c>
      <c r="Y2088" s="2" t="s">
        <v>41</v>
      </c>
      <c r="Z2088" s="2">
        <v>54</v>
      </c>
      <c r="AA2088" s="2">
        <v>3</v>
      </c>
      <c r="AB2088" s="2" t="s">
        <v>104</v>
      </c>
    </row>
    <row r="2089" spans="1:28" x14ac:dyDescent="0.25">
      <c r="A2089" s="4" t="s">
        <v>2888</v>
      </c>
      <c r="B2089" s="4" t="s">
        <v>1551</v>
      </c>
      <c r="C2089" s="4">
        <v>7</v>
      </c>
      <c r="D2089" s="4" t="s">
        <v>30</v>
      </c>
      <c r="E2089" s="4" t="s">
        <v>56</v>
      </c>
      <c r="F2089" s="4" t="s">
        <v>46</v>
      </c>
      <c r="G2089" s="5">
        <v>44831</v>
      </c>
      <c r="H2089" s="5">
        <v>44861</v>
      </c>
      <c r="I2089" s="4">
        <v>30</v>
      </c>
      <c r="J2089" s="4" t="s">
        <v>33</v>
      </c>
      <c r="K2089" s="4" t="s">
        <v>107</v>
      </c>
      <c r="L2089" s="4" t="s">
        <v>48</v>
      </c>
      <c r="M2089" s="4" t="s">
        <v>130</v>
      </c>
      <c r="N2089" s="4" t="s">
        <v>109</v>
      </c>
      <c r="O2089" s="4" t="s">
        <v>49</v>
      </c>
      <c r="P2089" s="4">
        <v>399</v>
      </c>
      <c r="Q2089" s="4" t="s">
        <v>39</v>
      </c>
      <c r="R2089" s="4" t="s">
        <v>51</v>
      </c>
      <c r="S2089" s="4">
        <v>117006</v>
      </c>
      <c r="T2089" s="4">
        <v>51091</v>
      </c>
      <c r="U2089" s="4">
        <v>65915</v>
      </c>
      <c r="V2089" s="4">
        <v>106785</v>
      </c>
      <c r="W2089" s="4">
        <v>4763</v>
      </c>
      <c r="X2089" s="4">
        <v>2215</v>
      </c>
      <c r="Y2089" s="4" t="s">
        <v>91</v>
      </c>
      <c r="Z2089" s="4">
        <v>85</v>
      </c>
      <c r="AA2089" s="4">
        <v>3.3</v>
      </c>
      <c r="AB2089" s="4" t="s">
        <v>137</v>
      </c>
    </row>
    <row r="2090" spans="1:28" x14ac:dyDescent="0.25">
      <c r="A2090" s="2" t="s">
        <v>2889</v>
      </c>
      <c r="B2090" s="2" t="s">
        <v>985</v>
      </c>
      <c r="C2090" s="2">
        <v>37</v>
      </c>
      <c r="D2090" s="2" t="s">
        <v>55</v>
      </c>
      <c r="E2090" s="2" t="s">
        <v>45</v>
      </c>
      <c r="F2090" s="2" t="s">
        <v>72</v>
      </c>
      <c r="G2090" s="3">
        <v>44956</v>
      </c>
      <c r="H2090" s="3">
        <v>44965</v>
      </c>
      <c r="I2090" s="2">
        <v>9</v>
      </c>
      <c r="J2090" s="2" t="s">
        <v>33</v>
      </c>
      <c r="K2090" s="2" t="s">
        <v>34</v>
      </c>
      <c r="L2090" s="2" t="s">
        <v>35</v>
      </c>
      <c r="M2090" s="2" t="s">
        <v>108</v>
      </c>
      <c r="N2090" s="2" t="s">
        <v>62</v>
      </c>
      <c r="O2090" s="2" t="s">
        <v>390</v>
      </c>
      <c r="P2090" s="2">
        <v>6</v>
      </c>
      <c r="Q2090" s="2" t="s">
        <v>50</v>
      </c>
      <c r="R2090" s="2" t="s">
        <v>111</v>
      </c>
      <c r="S2090" s="2">
        <v>73829</v>
      </c>
      <c r="T2090" s="2">
        <v>46988</v>
      </c>
      <c r="U2090" s="2">
        <v>26841</v>
      </c>
      <c r="V2090" s="2">
        <v>53961</v>
      </c>
      <c r="W2090" s="2">
        <v>11407</v>
      </c>
      <c r="X2090" s="2">
        <v>6197</v>
      </c>
      <c r="Y2090" s="2" t="s">
        <v>41</v>
      </c>
      <c r="Z2090" s="2">
        <v>71</v>
      </c>
      <c r="AA2090" s="2">
        <v>2.6</v>
      </c>
      <c r="AB2090" s="2" t="s">
        <v>104</v>
      </c>
    </row>
    <row r="2091" spans="1:28" x14ac:dyDescent="0.25">
      <c r="A2091" s="4" t="s">
        <v>2890</v>
      </c>
      <c r="B2091" s="4" t="s">
        <v>646</v>
      </c>
      <c r="C2091" s="4">
        <v>5</v>
      </c>
      <c r="D2091" s="4" t="s">
        <v>30</v>
      </c>
      <c r="E2091" s="4" t="s">
        <v>154</v>
      </c>
      <c r="F2091" s="4" t="s">
        <v>80</v>
      </c>
      <c r="G2091" s="5">
        <v>44627</v>
      </c>
      <c r="H2091" s="5">
        <v>44645</v>
      </c>
      <c r="I2091" s="4">
        <v>18</v>
      </c>
      <c r="J2091" s="4" t="s">
        <v>58</v>
      </c>
      <c r="K2091" s="4" t="s">
        <v>59</v>
      </c>
      <c r="L2091" s="4" t="s">
        <v>60</v>
      </c>
      <c r="M2091" s="4" t="s">
        <v>143</v>
      </c>
      <c r="N2091" s="4" t="s">
        <v>118</v>
      </c>
      <c r="O2091" s="4" t="s">
        <v>194</v>
      </c>
      <c r="P2091" s="4">
        <v>265</v>
      </c>
      <c r="Q2091" s="4" t="s">
        <v>103</v>
      </c>
      <c r="R2091" s="4" t="s">
        <v>90</v>
      </c>
      <c r="S2091" s="4">
        <v>152191</v>
      </c>
      <c r="T2091" s="4">
        <v>105815</v>
      </c>
      <c r="U2091" s="4">
        <v>46376</v>
      </c>
      <c r="V2091" s="4">
        <v>117332</v>
      </c>
      <c r="W2091" s="4">
        <v>23093</v>
      </c>
      <c r="X2091" s="4">
        <v>10215</v>
      </c>
      <c r="Y2091" s="4" t="s">
        <v>41</v>
      </c>
      <c r="Z2091" s="4">
        <v>92</v>
      </c>
      <c r="AA2091" s="4">
        <v>2.7</v>
      </c>
      <c r="AB2091" s="4" t="s">
        <v>104</v>
      </c>
    </row>
    <row r="2092" spans="1:28" x14ac:dyDescent="0.25">
      <c r="A2092" s="2" t="s">
        <v>2891</v>
      </c>
      <c r="B2092" s="2" t="s">
        <v>661</v>
      </c>
      <c r="C2092" s="2">
        <v>79</v>
      </c>
      <c r="D2092" s="2" t="s">
        <v>55</v>
      </c>
      <c r="E2092" s="2" t="s">
        <v>56</v>
      </c>
      <c r="F2092" s="2" t="s">
        <v>72</v>
      </c>
      <c r="G2092" s="3">
        <v>44763</v>
      </c>
      <c r="H2092" s="3">
        <v>44788</v>
      </c>
      <c r="I2092" s="2">
        <v>25</v>
      </c>
      <c r="J2092" s="2" t="s">
        <v>140</v>
      </c>
      <c r="K2092" s="2" t="s">
        <v>167</v>
      </c>
      <c r="L2092" s="2" t="s">
        <v>142</v>
      </c>
      <c r="M2092" s="2" t="s">
        <v>130</v>
      </c>
      <c r="N2092" s="2" t="s">
        <v>62</v>
      </c>
      <c r="O2092" s="2" t="s">
        <v>530</v>
      </c>
      <c r="P2092" s="2">
        <v>232</v>
      </c>
      <c r="Q2092" s="2" t="s">
        <v>69</v>
      </c>
      <c r="R2092" s="2" t="s">
        <v>51</v>
      </c>
      <c r="S2092" s="2">
        <v>77255</v>
      </c>
      <c r="T2092" s="2">
        <v>42869</v>
      </c>
      <c r="U2092" s="2">
        <v>34386</v>
      </c>
      <c r="V2092" s="2">
        <v>40577</v>
      </c>
      <c r="W2092" s="2">
        <v>22684</v>
      </c>
      <c r="X2092" s="2">
        <v>11981</v>
      </c>
      <c r="Y2092" s="2" t="s">
        <v>41</v>
      </c>
      <c r="Z2092" s="2">
        <v>97</v>
      </c>
      <c r="AA2092" s="2">
        <v>2.9</v>
      </c>
      <c r="AB2092" s="2" t="s">
        <v>104</v>
      </c>
    </row>
    <row r="2093" spans="1:28" x14ac:dyDescent="0.25">
      <c r="A2093" s="4" t="s">
        <v>2892</v>
      </c>
      <c r="B2093" s="4" t="s">
        <v>764</v>
      </c>
      <c r="C2093" s="4">
        <v>37</v>
      </c>
      <c r="D2093" s="4" t="s">
        <v>55</v>
      </c>
      <c r="E2093" s="4" t="s">
        <v>45</v>
      </c>
      <c r="F2093" s="4" t="s">
        <v>46</v>
      </c>
      <c r="G2093" s="5">
        <v>44954</v>
      </c>
      <c r="H2093" s="5">
        <v>44964</v>
      </c>
      <c r="I2093" s="4">
        <v>10</v>
      </c>
      <c r="J2093" s="4" t="s">
        <v>33</v>
      </c>
      <c r="K2093" s="4" t="s">
        <v>47</v>
      </c>
      <c r="L2093" s="4" t="s">
        <v>48</v>
      </c>
      <c r="M2093" s="4" t="s">
        <v>143</v>
      </c>
      <c r="N2093" s="4" t="s">
        <v>37</v>
      </c>
      <c r="O2093" s="4" t="s">
        <v>63</v>
      </c>
      <c r="P2093" s="4">
        <v>331</v>
      </c>
      <c r="Q2093" s="4" t="s">
        <v>39</v>
      </c>
      <c r="R2093" s="4" t="s">
        <v>111</v>
      </c>
      <c r="S2093" s="4">
        <v>103291</v>
      </c>
      <c r="T2093" s="4">
        <v>81353</v>
      </c>
      <c r="U2093" s="4">
        <v>21938</v>
      </c>
      <c r="V2093" s="4">
        <v>68661</v>
      </c>
      <c r="W2093" s="4">
        <v>18450</v>
      </c>
      <c r="X2093" s="4">
        <v>12129</v>
      </c>
      <c r="Y2093" s="4" t="s">
        <v>41</v>
      </c>
      <c r="Z2093" s="4">
        <v>93</v>
      </c>
      <c r="AA2093" s="4">
        <v>3.3</v>
      </c>
      <c r="AB2093" s="4" t="s">
        <v>52</v>
      </c>
    </row>
    <row r="2094" spans="1:28" x14ac:dyDescent="0.25">
      <c r="A2094" s="2" t="s">
        <v>2893</v>
      </c>
      <c r="B2094" s="2" t="s">
        <v>1353</v>
      </c>
      <c r="C2094" s="2">
        <v>15</v>
      </c>
      <c r="D2094" s="2" t="s">
        <v>55</v>
      </c>
      <c r="E2094" s="2" t="s">
        <v>45</v>
      </c>
      <c r="F2094" s="2" t="s">
        <v>157</v>
      </c>
      <c r="G2094" s="3">
        <v>44912</v>
      </c>
      <c r="H2094" s="3">
        <v>44931</v>
      </c>
      <c r="I2094" s="2">
        <v>19</v>
      </c>
      <c r="J2094" s="2" t="s">
        <v>140</v>
      </c>
      <c r="K2094" s="2" t="s">
        <v>141</v>
      </c>
      <c r="L2094" s="2" t="s">
        <v>142</v>
      </c>
      <c r="M2094" s="2" t="s">
        <v>143</v>
      </c>
      <c r="N2094" s="2" t="s">
        <v>118</v>
      </c>
      <c r="O2094" s="2" t="s">
        <v>151</v>
      </c>
      <c r="P2094" s="2">
        <v>377</v>
      </c>
      <c r="Q2094" s="2" t="s">
        <v>103</v>
      </c>
      <c r="R2094" s="2" t="s">
        <v>111</v>
      </c>
      <c r="S2094" s="2">
        <v>161060</v>
      </c>
      <c r="T2094" s="2">
        <v>107922</v>
      </c>
      <c r="U2094" s="2">
        <v>53138</v>
      </c>
      <c r="V2094" s="2">
        <v>128403</v>
      </c>
      <c r="W2094" s="2">
        <v>17308</v>
      </c>
      <c r="X2094" s="2">
        <v>10617</v>
      </c>
      <c r="Y2094" s="2" t="s">
        <v>41</v>
      </c>
      <c r="Z2094" s="2">
        <v>69</v>
      </c>
      <c r="AA2094" s="2">
        <v>3.5</v>
      </c>
      <c r="AB2094" s="2" t="s">
        <v>104</v>
      </c>
    </row>
    <row r="2095" spans="1:28" x14ac:dyDescent="0.25">
      <c r="A2095" s="4" t="s">
        <v>2894</v>
      </c>
      <c r="B2095" s="4" t="s">
        <v>747</v>
      </c>
      <c r="C2095" s="4">
        <v>70</v>
      </c>
      <c r="D2095" s="4" t="s">
        <v>55</v>
      </c>
      <c r="E2095" s="4" t="s">
        <v>79</v>
      </c>
      <c r="F2095" s="4" t="s">
        <v>57</v>
      </c>
      <c r="G2095" s="5">
        <v>45592</v>
      </c>
      <c r="H2095" s="5">
        <v>45612</v>
      </c>
      <c r="I2095" s="4">
        <v>20</v>
      </c>
      <c r="J2095" s="4" t="s">
        <v>73</v>
      </c>
      <c r="K2095" s="4" t="s">
        <v>74</v>
      </c>
      <c r="L2095" s="4" t="s">
        <v>73</v>
      </c>
      <c r="M2095" s="4" t="s">
        <v>36</v>
      </c>
      <c r="N2095" s="4" t="s">
        <v>109</v>
      </c>
      <c r="O2095" s="4" t="s">
        <v>365</v>
      </c>
      <c r="P2095" s="4">
        <v>182</v>
      </c>
      <c r="Q2095" s="4" t="s">
        <v>103</v>
      </c>
      <c r="R2095" s="4" t="s">
        <v>51</v>
      </c>
      <c r="S2095" s="4">
        <v>66246</v>
      </c>
      <c r="T2095" s="4">
        <v>39850</v>
      </c>
      <c r="U2095" s="4">
        <v>26396</v>
      </c>
      <c r="V2095" s="4">
        <v>51770</v>
      </c>
      <c r="W2095" s="4">
        <v>2794</v>
      </c>
      <c r="X2095" s="4">
        <v>9706</v>
      </c>
      <c r="Y2095" s="4" t="s">
        <v>41</v>
      </c>
      <c r="Z2095" s="4">
        <v>64</v>
      </c>
      <c r="AA2095" s="4">
        <v>2.2999999999999998</v>
      </c>
      <c r="AB2095" s="4" t="s">
        <v>137</v>
      </c>
    </row>
    <row r="2096" spans="1:28" x14ac:dyDescent="0.25">
      <c r="A2096" s="2" t="s">
        <v>2895</v>
      </c>
      <c r="B2096" s="2" t="s">
        <v>470</v>
      </c>
      <c r="C2096" s="2">
        <v>7</v>
      </c>
      <c r="D2096" s="2" t="s">
        <v>55</v>
      </c>
      <c r="E2096" s="2" t="s">
        <v>87</v>
      </c>
      <c r="F2096" s="2" t="s">
        <v>129</v>
      </c>
      <c r="G2096" s="3">
        <v>45228</v>
      </c>
      <c r="H2096" s="3">
        <v>45252</v>
      </c>
      <c r="I2096" s="2">
        <v>24</v>
      </c>
      <c r="J2096" s="2" t="s">
        <v>33</v>
      </c>
      <c r="K2096" s="2" t="s">
        <v>34</v>
      </c>
      <c r="L2096" s="2" t="s">
        <v>35</v>
      </c>
      <c r="M2096" s="2" t="s">
        <v>108</v>
      </c>
      <c r="N2096" s="2" t="s">
        <v>37</v>
      </c>
      <c r="O2096" s="2" t="s">
        <v>194</v>
      </c>
      <c r="P2096" s="2">
        <v>470</v>
      </c>
      <c r="Q2096" s="2" t="s">
        <v>103</v>
      </c>
      <c r="R2096" s="2" t="s">
        <v>51</v>
      </c>
      <c r="S2096" s="2">
        <v>145905</v>
      </c>
      <c r="T2096" s="2">
        <v>95605</v>
      </c>
      <c r="U2096" s="2">
        <v>50300</v>
      </c>
      <c r="V2096" s="2">
        <v>115957</v>
      </c>
      <c r="W2096" s="2">
        <v>26424</v>
      </c>
      <c r="X2096" s="2">
        <v>2308</v>
      </c>
      <c r="Y2096" s="2" t="s">
        <v>91</v>
      </c>
      <c r="Z2096" s="2">
        <v>57</v>
      </c>
      <c r="AA2096" s="2">
        <v>2</v>
      </c>
      <c r="AB2096" s="2" t="s">
        <v>64</v>
      </c>
    </row>
    <row r="2097" spans="1:28" x14ac:dyDescent="0.25">
      <c r="A2097" s="4" t="s">
        <v>2896</v>
      </c>
      <c r="B2097" s="4" t="s">
        <v>783</v>
      </c>
      <c r="C2097" s="4">
        <v>77</v>
      </c>
      <c r="D2097" s="4" t="s">
        <v>55</v>
      </c>
      <c r="E2097" s="4" t="s">
        <v>87</v>
      </c>
      <c r="F2097" s="4" t="s">
        <v>114</v>
      </c>
      <c r="G2097" s="5">
        <v>45552</v>
      </c>
      <c r="H2097" s="5">
        <v>45559</v>
      </c>
      <c r="I2097" s="4">
        <v>7</v>
      </c>
      <c r="J2097" s="4" t="s">
        <v>33</v>
      </c>
      <c r="K2097" s="4" t="s">
        <v>81</v>
      </c>
      <c r="L2097" s="4" t="s">
        <v>82</v>
      </c>
      <c r="M2097" s="4" t="s">
        <v>75</v>
      </c>
      <c r="N2097" s="4" t="s">
        <v>37</v>
      </c>
      <c r="O2097" s="4" t="s">
        <v>595</v>
      </c>
      <c r="P2097" s="4">
        <v>112</v>
      </c>
      <c r="Q2097" s="4" t="s">
        <v>50</v>
      </c>
      <c r="R2097" s="4" t="s">
        <v>90</v>
      </c>
      <c r="S2097" s="4">
        <v>137160</v>
      </c>
      <c r="T2097" s="4">
        <v>108745</v>
      </c>
      <c r="U2097" s="4">
        <v>28415</v>
      </c>
      <c r="V2097" s="4">
        <v>107531</v>
      </c>
      <c r="W2097" s="4">
        <v>13813</v>
      </c>
      <c r="X2097" s="4">
        <v>12004</v>
      </c>
      <c r="Y2097" s="4" t="s">
        <v>41</v>
      </c>
      <c r="Z2097" s="4">
        <v>40</v>
      </c>
      <c r="AA2097" s="4">
        <v>4.4000000000000004</v>
      </c>
      <c r="AB2097" s="4" t="s">
        <v>52</v>
      </c>
    </row>
    <row r="2098" spans="1:28" x14ac:dyDescent="0.25">
      <c r="A2098" s="2" t="s">
        <v>2897</v>
      </c>
      <c r="B2098" s="2" t="s">
        <v>263</v>
      </c>
      <c r="C2098" s="2">
        <v>72</v>
      </c>
      <c r="D2098" s="2" t="s">
        <v>55</v>
      </c>
      <c r="E2098" s="2" t="s">
        <v>122</v>
      </c>
      <c r="F2098" s="2" t="s">
        <v>80</v>
      </c>
      <c r="G2098" s="3">
        <v>44661</v>
      </c>
      <c r="H2098" s="3">
        <v>44683</v>
      </c>
      <c r="I2098" s="2">
        <v>22</v>
      </c>
      <c r="J2098" s="2" t="s">
        <v>33</v>
      </c>
      <c r="K2098" s="2" t="s">
        <v>233</v>
      </c>
      <c r="L2098" s="2" t="s">
        <v>35</v>
      </c>
      <c r="M2098" s="2" t="s">
        <v>75</v>
      </c>
      <c r="N2098" s="2" t="s">
        <v>109</v>
      </c>
      <c r="O2098" s="2" t="s">
        <v>184</v>
      </c>
      <c r="P2098" s="2">
        <v>321</v>
      </c>
      <c r="Q2098" s="2" t="s">
        <v>39</v>
      </c>
      <c r="R2098" s="2" t="s">
        <v>136</v>
      </c>
      <c r="S2098" s="2">
        <v>58005</v>
      </c>
      <c r="T2098" s="2">
        <v>0</v>
      </c>
      <c r="U2098" s="2">
        <v>58005</v>
      </c>
      <c r="V2098" s="2">
        <v>17571</v>
      </c>
      <c r="W2098" s="2">
        <v>23670</v>
      </c>
      <c r="X2098" s="2">
        <v>12127</v>
      </c>
      <c r="Y2098" s="2" t="s">
        <v>41</v>
      </c>
      <c r="Z2098" s="2">
        <v>62</v>
      </c>
      <c r="AA2098" s="2">
        <v>5</v>
      </c>
      <c r="AB2098" s="2" t="s">
        <v>52</v>
      </c>
    </row>
    <row r="2099" spans="1:28" x14ac:dyDescent="0.25">
      <c r="A2099" s="4" t="s">
        <v>2898</v>
      </c>
      <c r="B2099" s="4" t="s">
        <v>2734</v>
      </c>
      <c r="C2099" s="4">
        <v>42</v>
      </c>
      <c r="D2099" s="4" t="s">
        <v>30</v>
      </c>
      <c r="E2099" s="4" t="s">
        <v>56</v>
      </c>
      <c r="F2099" s="4" t="s">
        <v>72</v>
      </c>
      <c r="G2099" s="5">
        <v>45151</v>
      </c>
      <c r="H2099" s="5">
        <v>45176</v>
      </c>
      <c r="I2099" s="4">
        <v>25</v>
      </c>
      <c r="J2099" s="4" t="s">
        <v>202</v>
      </c>
      <c r="K2099" s="4" t="s">
        <v>203</v>
      </c>
      <c r="L2099" s="4" t="s">
        <v>204</v>
      </c>
      <c r="M2099" s="4" t="s">
        <v>134</v>
      </c>
      <c r="N2099" s="4" t="s">
        <v>109</v>
      </c>
      <c r="O2099" s="4" t="s">
        <v>376</v>
      </c>
      <c r="P2099" s="4">
        <v>201</v>
      </c>
      <c r="Q2099" s="4" t="s">
        <v>69</v>
      </c>
      <c r="R2099" s="4" t="s">
        <v>136</v>
      </c>
      <c r="S2099" s="4">
        <v>36574</v>
      </c>
      <c r="T2099" s="4">
        <v>0</v>
      </c>
      <c r="U2099" s="4">
        <v>36574</v>
      </c>
      <c r="V2099" s="4">
        <v>8368</v>
      </c>
      <c r="W2099" s="4">
        <v>23910</v>
      </c>
      <c r="X2099" s="4">
        <v>3450</v>
      </c>
      <c r="Y2099" s="4" t="s">
        <v>41</v>
      </c>
      <c r="Z2099" s="4">
        <v>45</v>
      </c>
      <c r="AA2099" s="4">
        <v>3.7</v>
      </c>
      <c r="AB2099" s="4" t="s">
        <v>42</v>
      </c>
    </row>
    <row r="2100" spans="1:28" x14ac:dyDescent="0.25">
      <c r="A2100" s="2" t="s">
        <v>2899</v>
      </c>
      <c r="B2100" s="2" t="s">
        <v>183</v>
      </c>
      <c r="C2100" s="2">
        <v>83</v>
      </c>
      <c r="D2100" s="2" t="s">
        <v>55</v>
      </c>
      <c r="E2100" s="2" t="s">
        <v>67</v>
      </c>
      <c r="F2100" s="2" t="s">
        <v>150</v>
      </c>
      <c r="G2100" s="3">
        <v>45630</v>
      </c>
      <c r="H2100" s="3">
        <v>45639</v>
      </c>
      <c r="I2100" s="2">
        <v>9</v>
      </c>
      <c r="J2100" s="2" t="s">
        <v>33</v>
      </c>
      <c r="K2100" s="2" t="s">
        <v>233</v>
      </c>
      <c r="L2100" s="2" t="s">
        <v>35</v>
      </c>
      <c r="M2100" s="2" t="s">
        <v>61</v>
      </c>
      <c r="N2100" s="2" t="s">
        <v>109</v>
      </c>
      <c r="O2100" s="2" t="s">
        <v>178</v>
      </c>
      <c r="P2100" s="2">
        <v>227</v>
      </c>
      <c r="Q2100" s="2" t="s">
        <v>50</v>
      </c>
      <c r="R2100" s="2" t="s">
        <v>51</v>
      </c>
      <c r="S2100" s="2">
        <v>51906</v>
      </c>
      <c r="T2100" s="2">
        <v>27543</v>
      </c>
      <c r="U2100" s="2">
        <v>24363</v>
      </c>
      <c r="V2100" s="2">
        <v>29530</v>
      </c>
      <c r="W2100" s="2">
        <v>4896</v>
      </c>
      <c r="X2100" s="2">
        <v>13063</v>
      </c>
      <c r="Y2100" s="2" t="s">
        <v>41</v>
      </c>
      <c r="Z2100" s="2">
        <v>41</v>
      </c>
      <c r="AA2100" s="2">
        <v>4.9000000000000004</v>
      </c>
      <c r="AB2100" s="2" t="s">
        <v>104</v>
      </c>
    </row>
    <row r="2101" spans="1:28" x14ac:dyDescent="0.25">
      <c r="A2101" s="4" t="s">
        <v>2900</v>
      </c>
      <c r="B2101" s="4" t="s">
        <v>315</v>
      </c>
      <c r="C2101" s="4">
        <v>68</v>
      </c>
      <c r="D2101" s="4" t="s">
        <v>30</v>
      </c>
      <c r="E2101" s="4" t="s">
        <v>31</v>
      </c>
      <c r="F2101" s="4" t="s">
        <v>157</v>
      </c>
      <c r="G2101" s="5">
        <v>45242</v>
      </c>
      <c r="H2101" s="5">
        <v>45269</v>
      </c>
      <c r="I2101" s="4">
        <v>27</v>
      </c>
      <c r="J2101" s="4" t="s">
        <v>33</v>
      </c>
      <c r="K2101" s="4" t="s">
        <v>107</v>
      </c>
      <c r="L2101" s="4" t="s">
        <v>48</v>
      </c>
      <c r="M2101" s="4" t="s">
        <v>143</v>
      </c>
      <c r="N2101" s="4" t="s">
        <v>109</v>
      </c>
      <c r="O2101" s="4" t="s">
        <v>950</v>
      </c>
      <c r="P2101" s="4">
        <v>27</v>
      </c>
      <c r="Q2101" s="4" t="s">
        <v>39</v>
      </c>
      <c r="R2101" s="4" t="s">
        <v>51</v>
      </c>
      <c r="S2101" s="4">
        <v>115091</v>
      </c>
      <c r="T2101" s="4">
        <v>53388</v>
      </c>
      <c r="U2101" s="4">
        <v>61703</v>
      </c>
      <c r="V2101" s="4">
        <v>108196</v>
      </c>
      <c r="W2101" s="4">
        <v>2172</v>
      </c>
      <c r="X2101" s="4">
        <v>3741</v>
      </c>
      <c r="Y2101" s="4" t="s">
        <v>41</v>
      </c>
      <c r="Z2101" s="4">
        <v>75</v>
      </c>
      <c r="AA2101" s="4">
        <v>3.3</v>
      </c>
      <c r="AB2101" s="4" t="s">
        <v>52</v>
      </c>
    </row>
    <row r="2102" spans="1:28" x14ac:dyDescent="0.25">
      <c r="A2102" s="2" t="s">
        <v>2901</v>
      </c>
      <c r="B2102" s="2" t="s">
        <v>2902</v>
      </c>
      <c r="C2102" s="2">
        <v>65</v>
      </c>
      <c r="D2102" s="2" t="s">
        <v>30</v>
      </c>
      <c r="E2102" s="2" t="s">
        <v>31</v>
      </c>
      <c r="F2102" s="2" t="s">
        <v>80</v>
      </c>
      <c r="G2102" s="3">
        <v>44715</v>
      </c>
      <c r="H2102" s="3">
        <v>44744</v>
      </c>
      <c r="I2102" s="2">
        <v>29</v>
      </c>
      <c r="J2102" s="2" t="s">
        <v>33</v>
      </c>
      <c r="K2102" s="2" t="s">
        <v>47</v>
      </c>
      <c r="L2102" s="2" t="s">
        <v>48</v>
      </c>
      <c r="M2102" s="2" t="s">
        <v>134</v>
      </c>
      <c r="N2102" s="2" t="s">
        <v>37</v>
      </c>
      <c r="O2102" s="2" t="s">
        <v>543</v>
      </c>
      <c r="P2102" s="2">
        <v>307</v>
      </c>
      <c r="Q2102" s="2" t="s">
        <v>39</v>
      </c>
      <c r="R2102" s="2" t="s">
        <v>111</v>
      </c>
      <c r="S2102" s="2">
        <v>27362</v>
      </c>
      <c r="T2102" s="2">
        <v>16883</v>
      </c>
      <c r="U2102" s="2">
        <v>10479</v>
      </c>
      <c r="V2102" s="2">
        <v>5272</v>
      </c>
      <c r="W2102" s="2">
        <v>17977</v>
      </c>
      <c r="X2102" s="2">
        <v>2214</v>
      </c>
      <c r="Y2102" s="2" t="s">
        <v>41</v>
      </c>
      <c r="Z2102" s="2">
        <v>88</v>
      </c>
      <c r="AA2102" s="2">
        <v>4.5</v>
      </c>
      <c r="AB2102" s="2" t="s">
        <v>104</v>
      </c>
    </row>
    <row r="2103" spans="1:28" x14ac:dyDescent="0.25">
      <c r="A2103" s="4" t="s">
        <v>2903</v>
      </c>
      <c r="B2103" s="4" t="s">
        <v>1264</v>
      </c>
      <c r="C2103" s="4">
        <v>74</v>
      </c>
      <c r="D2103" s="4" t="s">
        <v>55</v>
      </c>
      <c r="E2103" s="4" t="s">
        <v>122</v>
      </c>
      <c r="F2103" s="4" t="s">
        <v>157</v>
      </c>
      <c r="G2103" s="5">
        <v>44568</v>
      </c>
      <c r="H2103" s="5">
        <v>44576</v>
      </c>
      <c r="I2103" s="4">
        <v>8</v>
      </c>
      <c r="J2103" s="4" t="s">
        <v>140</v>
      </c>
      <c r="K2103" s="4" t="s">
        <v>141</v>
      </c>
      <c r="L2103" s="4" t="s">
        <v>142</v>
      </c>
      <c r="M2103" s="4" t="s">
        <v>75</v>
      </c>
      <c r="N2103" s="4" t="s">
        <v>109</v>
      </c>
      <c r="O2103" s="4" t="s">
        <v>168</v>
      </c>
      <c r="P2103" s="4">
        <v>465</v>
      </c>
      <c r="Q2103" s="4" t="s">
        <v>69</v>
      </c>
      <c r="R2103" s="4" t="s">
        <v>111</v>
      </c>
      <c r="S2103" s="4">
        <v>40524</v>
      </c>
      <c r="T2103" s="4">
        <v>31327</v>
      </c>
      <c r="U2103" s="4">
        <v>9197</v>
      </c>
      <c r="V2103" s="4">
        <v>7524</v>
      </c>
      <c r="W2103" s="4">
        <v>20571</v>
      </c>
      <c r="X2103" s="4">
        <v>11728</v>
      </c>
      <c r="Y2103" s="4" t="s">
        <v>41</v>
      </c>
      <c r="Z2103" s="4">
        <v>85</v>
      </c>
      <c r="AA2103" s="4">
        <v>3.6</v>
      </c>
      <c r="AB2103" s="4" t="s">
        <v>52</v>
      </c>
    </row>
    <row r="2104" spans="1:28" x14ac:dyDescent="0.25">
      <c r="A2104" s="2" t="s">
        <v>2904</v>
      </c>
      <c r="B2104" s="2" t="s">
        <v>663</v>
      </c>
      <c r="C2104" s="2">
        <v>56</v>
      </c>
      <c r="D2104" s="2" t="s">
        <v>55</v>
      </c>
      <c r="E2104" s="2" t="s">
        <v>122</v>
      </c>
      <c r="F2104" s="2" t="s">
        <v>150</v>
      </c>
      <c r="G2104" s="3">
        <v>45373</v>
      </c>
      <c r="H2104" s="3">
        <v>45382</v>
      </c>
      <c r="I2104" s="2">
        <v>9</v>
      </c>
      <c r="J2104" s="2" t="s">
        <v>58</v>
      </c>
      <c r="K2104" s="2" t="s">
        <v>59</v>
      </c>
      <c r="L2104" s="2" t="s">
        <v>60</v>
      </c>
      <c r="M2104" s="2" t="s">
        <v>101</v>
      </c>
      <c r="N2104" s="2" t="s">
        <v>62</v>
      </c>
      <c r="O2104" s="2" t="s">
        <v>543</v>
      </c>
      <c r="P2104" s="2">
        <v>402</v>
      </c>
      <c r="Q2104" s="2" t="s">
        <v>50</v>
      </c>
      <c r="R2104" s="2" t="s">
        <v>111</v>
      </c>
      <c r="S2104" s="2">
        <v>52613</v>
      </c>
      <c r="T2104" s="2">
        <v>33543</v>
      </c>
      <c r="U2104" s="2">
        <v>19070</v>
      </c>
      <c r="V2104" s="2">
        <v>24632</v>
      </c>
      <c r="W2104" s="2">
        <v>15226</v>
      </c>
      <c r="X2104" s="2">
        <v>11098</v>
      </c>
      <c r="Y2104" s="2" t="s">
        <v>41</v>
      </c>
      <c r="Z2104" s="2">
        <v>69</v>
      </c>
      <c r="AA2104" s="2">
        <v>4.0999999999999996</v>
      </c>
      <c r="AB2104" s="2" t="s">
        <v>137</v>
      </c>
    </row>
    <row r="2105" spans="1:28" x14ac:dyDescent="0.25">
      <c r="A2105" s="4" t="s">
        <v>2905</v>
      </c>
      <c r="B2105" s="4" t="s">
        <v>1573</v>
      </c>
      <c r="C2105" s="4">
        <v>18</v>
      </c>
      <c r="D2105" s="4" t="s">
        <v>55</v>
      </c>
      <c r="E2105" s="4" t="s">
        <v>45</v>
      </c>
      <c r="F2105" s="4" t="s">
        <v>46</v>
      </c>
      <c r="G2105" s="5">
        <v>44639</v>
      </c>
      <c r="H2105" s="5">
        <v>44645</v>
      </c>
      <c r="I2105" s="4">
        <v>6</v>
      </c>
      <c r="J2105" s="4" t="s">
        <v>115</v>
      </c>
      <c r="K2105" s="4" t="s">
        <v>116</v>
      </c>
      <c r="L2105" s="4" t="s">
        <v>117</v>
      </c>
      <c r="M2105" s="4" t="s">
        <v>143</v>
      </c>
      <c r="N2105" s="4" t="s">
        <v>118</v>
      </c>
      <c r="O2105" s="4" t="s">
        <v>390</v>
      </c>
      <c r="P2105" s="4">
        <v>370</v>
      </c>
      <c r="Q2105" s="4" t="s">
        <v>50</v>
      </c>
      <c r="R2105" s="4" t="s">
        <v>51</v>
      </c>
      <c r="S2105" s="4">
        <v>63169</v>
      </c>
      <c r="T2105" s="4">
        <v>36406</v>
      </c>
      <c r="U2105" s="4">
        <v>26763</v>
      </c>
      <c r="V2105" s="4">
        <v>42254</v>
      </c>
      <c r="W2105" s="4">
        <v>3982</v>
      </c>
      <c r="X2105" s="4">
        <v>12088</v>
      </c>
      <c r="Y2105" s="4" t="s">
        <v>41</v>
      </c>
      <c r="Z2105" s="4">
        <v>72</v>
      </c>
      <c r="AA2105" s="4">
        <v>4.4000000000000004</v>
      </c>
      <c r="AB2105" s="4" t="s">
        <v>52</v>
      </c>
    </row>
    <row r="2106" spans="1:28" x14ac:dyDescent="0.25">
      <c r="A2106" s="2" t="s">
        <v>2906</v>
      </c>
      <c r="B2106" s="2" t="s">
        <v>771</v>
      </c>
      <c r="C2106" s="2">
        <v>78</v>
      </c>
      <c r="D2106" s="2" t="s">
        <v>55</v>
      </c>
      <c r="E2106" s="2" t="s">
        <v>31</v>
      </c>
      <c r="F2106" s="2" t="s">
        <v>72</v>
      </c>
      <c r="G2106" s="3">
        <v>45483</v>
      </c>
      <c r="H2106" s="3">
        <v>45492</v>
      </c>
      <c r="I2106" s="2">
        <v>9</v>
      </c>
      <c r="J2106" s="2" t="s">
        <v>58</v>
      </c>
      <c r="K2106" s="2" t="s">
        <v>88</v>
      </c>
      <c r="L2106" s="2" t="s">
        <v>60</v>
      </c>
      <c r="M2106" s="2" t="s">
        <v>101</v>
      </c>
      <c r="N2106" s="2" t="s">
        <v>62</v>
      </c>
      <c r="O2106" s="2" t="s">
        <v>214</v>
      </c>
      <c r="P2106" s="2">
        <v>91</v>
      </c>
      <c r="Q2106" s="2" t="s">
        <v>39</v>
      </c>
      <c r="R2106" s="2" t="s">
        <v>51</v>
      </c>
      <c r="S2106" s="2">
        <v>112899</v>
      </c>
      <c r="T2106" s="2">
        <v>48013</v>
      </c>
      <c r="U2106" s="2">
        <v>64886</v>
      </c>
      <c r="V2106" s="2">
        <v>82079</v>
      </c>
      <c r="W2106" s="2">
        <v>19234</v>
      </c>
      <c r="X2106" s="2">
        <v>7723</v>
      </c>
      <c r="Y2106" s="2" t="s">
        <v>41</v>
      </c>
      <c r="Z2106" s="2">
        <v>59</v>
      </c>
      <c r="AA2106" s="2">
        <v>2.8</v>
      </c>
      <c r="AB2106" s="2" t="s">
        <v>64</v>
      </c>
    </row>
    <row r="2107" spans="1:28" x14ac:dyDescent="0.25">
      <c r="A2107" s="4" t="s">
        <v>2907</v>
      </c>
      <c r="B2107" s="4" t="s">
        <v>900</v>
      </c>
      <c r="C2107" s="4">
        <v>34</v>
      </c>
      <c r="D2107" s="4" t="s">
        <v>30</v>
      </c>
      <c r="E2107" s="4" t="s">
        <v>122</v>
      </c>
      <c r="F2107" s="4" t="s">
        <v>72</v>
      </c>
      <c r="G2107" s="5">
        <v>44688</v>
      </c>
      <c r="H2107" s="5">
        <v>44705</v>
      </c>
      <c r="I2107" s="4">
        <v>17</v>
      </c>
      <c r="J2107" s="4" t="s">
        <v>33</v>
      </c>
      <c r="K2107" s="4" t="s">
        <v>47</v>
      </c>
      <c r="L2107" s="4" t="s">
        <v>48</v>
      </c>
      <c r="M2107" s="4" t="s">
        <v>95</v>
      </c>
      <c r="N2107" s="4" t="s">
        <v>109</v>
      </c>
      <c r="O2107" s="4" t="s">
        <v>234</v>
      </c>
      <c r="P2107" s="4">
        <v>157</v>
      </c>
      <c r="Q2107" s="4" t="s">
        <v>103</v>
      </c>
      <c r="R2107" s="4" t="s">
        <v>111</v>
      </c>
      <c r="S2107" s="4">
        <v>77517</v>
      </c>
      <c r="T2107" s="4">
        <v>61717</v>
      </c>
      <c r="U2107" s="4">
        <v>15800</v>
      </c>
      <c r="V2107" s="4">
        <v>61642</v>
      </c>
      <c r="W2107" s="4">
        <v>4430</v>
      </c>
      <c r="X2107" s="4">
        <v>9161</v>
      </c>
      <c r="Y2107" s="4" t="s">
        <v>41</v>
      </c>
      <c r="Z2107" s="4">
        <v>76</v>
      </c>
      <c r="AA2107" s="4">
        <v>2</v>
      </c>
      <c r="AB2107" s="4" t="s">
        <v>64</v>
      </c>
    </row>
    <row r="2108" spans="1:28" x14ac:dyDescent="0.25">
      <c r="A2108" s="2" t="s">
        <v>2908</v>
      </c>
      <c r="B2108" s="2" t="s">
        <v>201</v>
      </c>
      <c r="C2108" s="2">
        <v>26</v>
      </c>
      <c r="D2108" s="2" t="s">
        <v>30</v>
      </c>
      <c r="E2108" s="2" t="s">
        <v>45</v>
      </c>
      <c r="F2108" s="2" t="s">
        <v>129</v>
      </c>
      <c r="G2108" s="3">
        <v>44977</v>
      </c>
      <c r="H2108" s="3">
        <v>44987</v>
      </c>
      <c r="I2108" s="2">
        <v>10</v>
      </c>
      <c r="J2108" s="2" t="s">
        <v>115</v>
      </c>
      <c r="K2108" s="2" t="s">
        <v>116</v>
      </c>
      <c r="L2108" s="2" t="s">
        <v>117</v>
      </c>
      <c r="M2108" s="2" t="s">
        <v>95</v>
      </c>
      <c r="N2108" s="2" t="s">
        <v>62</v>
      </c>
      <c r="O2108" s="2" t="s">
        <v>509</v>
      </c>
      <c r="P2108" s="2">
        <v>387</v>
      </c>
      <c r="Q2108" s="2" t="s">
        <v>103</v>
      </c>
      <c r="R2108" s="2" t="s">
        <v>111</v>
      </c>
      <c r="S2108" s="2">
        <v>141154</v>
      </c>
      <c r="T2108" s="2">
        <v>124133</v>
      </c>
      <c r="U2108" s="2">
        <v>17021</v>
      </c>
      <c r="V2108" s="2">
        <v>110707</v>
      </c>
      <c r="W2108" s="2">
        <v>25089</v>
      </c>
      <c r="X2108" s="2">
        <v>574</v>
      </c>
      <c r="Y2108" s="2" t="s">
        <v>41</v>
      </c>
      <c r="Z2108" s="2">
        <v>45</v>
      </c>
      <c r="AA2108" s="2">
        <v>2.1</v>
      </c>
      <c r="AB2108" s="2" t="s">
        <v>137</v>
      </c>
    </row>
    <row r="2109" spans="1:28" x14ac:dyDescent="0.25">
      <c r="A2109" s="4" t="s">
        <v>2909</v>
      </c>
      <c r="B2109" s="4" t="s">
        <v>302</v>
      </c>
      <c r="C2109" s="4">
        <v>69</v>
      </c>
      <c r="D2109" s="4" t="s">
        <v>30</v>
      </c>
      <c r="E2109" s="4" t="s">
        <v>154</v>
      </c>
      <c r="F2109" s="4" t="s">
        <v>46</v>
      </c>
      <c r="G2109" s="5">
        <v>44827</v>
      </c>
      <c r="H2109" s="5">
        <v>44851</v>
      </c>
      <c r="I2109" s="4">
        <v>24</v>
      </c>
      <c r="J2109" s="4" t="s">
        <v>58</v>
      </c>
      <c r="K2109" s="4" t="s">
        <v>88</v>
      </c>
      <c r="L2109" s="4" t="s">
        <v>60</v>
      </c>
      <c r="M2109" s="4" t="s">
        <v>95</v>
      </c>
      <c r="N2109" s="4" t="s">
        <v>109</v>
      </c>
      <c r="O2109" s="4" t="s">
        <v>382</v>
      </c>
      <c r="P2109" s="4">
        <v>286</v>
      </c>
      <c r="Q2109" s="4" t="s">
        <v>50</v>
      </c>
      <c r="R2109" s="4" t="s">
        <v>136</v>
      </c>
      <c r="S2109" s="4">
        <v>51715</v>
      </c>
      <c r="T2109" s="4">
        <v>0</v>
      </c>
      <c r="U2109" s="4">
        <v>51715</v>
      </c>
      <c r="V2109" s="4">
        <v>15880</v>
      </c>
      <c r="W2109" s="4">
        <v>21576</v>
      </c>
      <c r="X2109" s="4">
        <v>11297</v>
      </c>
      <c r="Y2109" s="4" t="s">
        <v>41</v>
      </c>
      <c r="Z2109" s="4">
        <v>80</v>
      </c>
      <c r="AA2109" s="4">
        <v>3</v>
      </c>
      <c r="AB2109" s="4" t="s">
        <v>64</v>
      </c>
    </row>
    <row r="2110" spans="1:28" x14ac:dyDescent="0.25">
      <c r="A2110" s="2" t="s">
        <v>2910</v>
      </c>
      <c r="B2110" s="2" t="s">
        <v>582</v>
      </c>
      <c r="C2110" s="2">
        <v>75</v>
      </c>
      <c r="D2110" s="2" t="s">
        <v>30</v>
      </c>
      <c r="E2110" s="2" t="s">
        <v>31</v>
      </c>
      <c r="F2110" s="2" t="s">
        <v>94</v>
      </c>
      <c r="G2110" s="3">
        <v>44968</v>
      </c>
      <c r="H2110" s="3">
        <v>44992</v>
      </c>
      <c r="I2110" s="2">
        <v>24</v>
      </c>
      <c r="J2110" s="2" t="s">
        <v>140</v>
      </c>
      <c r="K2110" s="2" t="s">
        <v>167</v>
      </c>
      <c r="L2110" s="2" t="s">
        <v>142</v>
      </c>
      <c r="M2110" s="2" t="s">
        <v>108</v>
      </c>
      <c r="N2110" s="2" t="s">
        <v>62</v>
      </c>
      <c r="O2110" s="2" t="s">
        <v>205</v>
      </c>
      <c r="P2110" s="2">
        <v>132</v>
      </c>
      <c r="Q2110" s="2" t="s">
        <v>50</v>
      </c>
      <c r="R2110" s="2" t="s">
        <v>51</v>
      </c>
      <c r="S2110" s="2">
        <v>160873</v>
      </c>
      <c r="T2110" s="2">
        <v>93549</v>
      </c>
      <c r="U2110" s="2">
        <v>67324</v>
      </c>
      <c r="V2110" s="2">
        <v>144213</v>
      </c>
      <c r="W2110" s="2">
        <v>13822</v>
      </c>
      <c r="X2110" s="2">
        <v>1213</v>
      </c>
      <c r="Y2110" s="2" t="s">
        <v>41</v>
      </c>
      <c r="Z2110" s="2">
        <v>61</v>
      </c>
      <c r="AA2110" s="2">
        <v>5</v>
      </c>
      <c r="AB2110" s="2" t="s">
        <v>64</v>
      </c>
    </row>
    <row r="2111" spans="1:28" x14ac:dyDescent="0.25">
      <c r="A2111" s="4" t="s">
        <v>2911</v>
      </c>
      <c r="B2111" s="4" t="s">
        <v>1254</v>
      </c>
      <c r="C2111" s="4">
        <v>33</v>
      </c>
      <c r="D2111" s="4" t="s">
        <v>55</v>
      </c>
      <c r="E2111" s="4" t="s">
        <v>45</v>
      </c>
      <c r="F2111" s="4" t="s">
        <v>32</v>
      </c>
      <c r="G2111" s="5">
        <v>44607</v>
      </c>
      <c r="H2111" s="5">
        <v>44623</v>
      </c>
      <c r="I2111" s="4">
        <v>16</v>
      </c>
      <c r="J2111" s="4" t="s">
        <v>123</v>
      </c>
      <c r="K2111" s="4" t="s">
        <v>251</v>
      </c>
      <c r="L2111" s="4" t="s">
        <v>125</v>
      </c>
      <c r="M2111" s="4" t="s">
        <v>101</v>
      </c>
      <c r="N2111" s="4" t="s">
        <v>62</v>
      </c>
      <c r="O2111" s="4" t="s">
        <v>464</v>
      </c>
      <c r="P2111" s="4">
        <v>408</v>
      </c>
      <c r="Q2111" s="4" t="s">
        <v>50</v>
      </c>
      <c r="R2111" s="4" t="s">
        <v>51</v>
      </c>
      <c r="S2111" s="4">
        <v>161140</v>
      </c>
      <c r="T2111" s="4">
        <v>68116</v>
      </c>
      <c r="U2111" s="4">
        <v>93024</v>
      </c>
      <c r="V2111" s="4">
        <v>135073</v>
      </c>
      <c r="W2111" s="4">
        <v>17920</v>
      </c>
      <c r="X2111" s="4">
        <v>7460</v>
      </c>
      <c r="Y2111" s="4" t="s">
        <v>91</v>
      </c>
      <c r="Z2111" s="4">
        <v>85</v>
      </c>
      <c r="AA2111" s="4">
        <v>4.3</v>
      </c>
      <c r="AB2111" s="4" t="s">
        <v>64</v>
      </c>
    </row>
    <row r="2112" spans="1:28" x14ac:dyDescent="0.25">
      <c r="A2112" s="2" t="s">
        <v>2912</v>
      </c>
      <c r="B2112" s="2" t="s">
        <v>870</v>
      </c>
      <c r="C2112" s="2">
        <v>40</v>
      </c>
      <c r="D2112" s="2" t="s">
        <v>30</v>
      </c>
      <c r="E2112" s="2" t="s">
        <v>56</v>
      </c>
      <c r="F2112" s="2" t="s">
        <v>129</v>
      </c>
      <c r="G2112" s="3">
        <v>45642</v>
      </c>
      <c r="H2112" s="3">
        <v>45647</v>
      </c>
      <c r="I2112" s="2">
        <v>5</v>
      </c>
      <c r="J2112" s="2" t="s">
        <v>33</v>
      </c>
      <c r="K2112" s="2" t="s">
        <v>233</v>
      </c>
      <c r="L2112" s="2" t="s">
        <v>35</v>
      </c>
      <c r="M2112" s="2" t="s">
        <v>95</v>
      </c>
      <c r="N2112" s="2" t="s">
        <v>118</v>
      </c>
      <c r="O2112" s="2" t="s">
        <v>135</v>
      </c>
      <c r="P2112" s="2">
        <v>107</v>
      </c>
      <c r="Q2112" s="2" t="s">
        <v>39</v>
      </c>
      <c r="R2112" s="2" t="s">
        <v>111</v>
      </c>
      <c r="S2112" s="2">
        <v>156094</v>
      </c>
      <c r="T2112" s="2">
        <v>128907</v>
      </c>
      <c r="U2112" s="2">
        <v>27187</v>
      </c>
      <c r="V2112" s="2">
        <v>141544</v>
      </c>
      <c r="W2112" s="2">
        <v>4540</v>
      </c>
      <c r="X2112" s="2">
        <v>5485</v>
      </c>
      <c r="Y2112" s="2" t="s">
        <v>41</v>
      </c>
      <c r="Z2112" s="2">
        <v>49</v>
      </c>
      <c r="AA2112" s="2">
        <v>4.7</v>
      </c>
      <c r="AB2112" s="2" t="s">
        <v>104</v>
      </c>
    </row>
    <row r="2113" spans="1:28" x14ac:dyDescent="0.25">
      <c r="A2113" s="4" t="s">
        <v>2913</v>
      </c>
      <c r="B2113" s="4" t="s">
        <v>881</v>
      </c>
      <c r="C2113" s="4">
        <v>33</v>
      </c>
      <c r="D2113" s="4" t="s">
        <v>55</v>
      </c>
      <c r="E2113" s="4" t="s">
        <v>122</v>
      </c>
      <c r="F2113" s="4" t="s">
        <v>32</v>
      </c>
      <c r="G2113" s="5">
        <v>45290</v>
      </c>
      <c r="H2113" s="5">
        <v>45317</v>
      </c>
      <c r="I2113" s="4">
        <v>27</v>
      </c>
      <c r="J2113" s="4" t="s">
        <v>33</v>
      </c>
      <c r="K2113" s="4" t="s">
        <v>197</v>
      </c>
      <c r="L2113" s="4" t="s">
        <v>198</v>
      </c>
      <c r="M2113" s="4" t="s">
        <v>83</v>
      </c>
      <c r="N2113" s="4" t="s">
        <v>37</v>
      </c>
      <c r="O2113" s="4" t="s">
        <v>189</v>
      </c>
      <c r="P2113" s="4">
        <v>444</v>
      </c>
      <c r="Q2113" s="4" t="s">
        <v>50</v>
      </c>
      <c r="R2113" s="4" t="s">
        <v>136</v>
      </c>
      <c r="S2113" s="4">
        <v>23648</v>
      </c>
      <c r="T2113" s="4">
        <v>0</v>
      </c>
      <c r="U2113" s="4">
        <v>23648</v>
      </c>
      <c r="V2113" s="4">
        <v>5153</v>
      </c>
      <c r="W2113" s="4">
        <v>2132</v>
      </c>
      <c r="X2113" s="4">
        <v>13235</v>
      </c>
      <c r="Y2113" s="4" t="s">
        <v>41</v>
      </c>
      <c r="Z2113" s="4">
        <v>87</v>
      </c>
      <c r="AA2113" s="4">
        <v>3</v>
      </c>
      <c r="AB2113" s="4" t="s">
        <v>137</v>
      </c>
    </row>
    <row r="2114" spans="1:28" x14ac:dyDescent="0.25">
      <c r="A2114" s="2" t="s">
        <v>2914</v>
      </c>
      <c r="B2114" s="2" t="s">
        <v>2103</v>
      </c>
      <c r="C2114" s="2">
        <v>33</v>
      </c>
      <c r="D2114" s="2" t="s">
        <v>30</v>
      </c>
      <c r="E2114" s="2" t="s">
        <v>87</v>
      </c>
      <c r="F2114" s="2" t="s">
        <v>32</v>
      </c>
      <c r="G2114" s="3">
        <v>45006</v>
      </c>
      <c r="H2114" s="3">
        <v>45019</v>
      </c>
      <c r="I2114" s="2">
        <v>13</v>
      </c>
      <c r="J2114" s="2" t="s">
        <v>202</v>
      </c>
      <c r="K2114" s="2" t="s">
        <v>203</v>
      </c>
      <c r="L2114" s="2" t="s">
        <v>204</v>
      </c>
      <c r="M2114" s="2" t="s">
        <v>143</v>
      </c>
      <c r="N2114" s="2" t="s">
        <v>118</v>
      </c>
      <c r="O2114" s="2" t="s">
        <v>119</v>
      </c>
      <c r="P2114" s="2">
        <v>44</v>
      </c>
      <c r="Q2114" s="2" t="s">
        <v>50</v>
      </c>
      <c r="R2114" s="2" t="s">
        <v>90</v>
      </c>
      <c r="S2114" s="2">
        <v>149879</v>
      </c>
      <c r="T2114" s="2">
        <v>117617</v>
      </c>
      <c r="U2114" s="2">
        <v>32262</v>
      </c>
      <c r="V2114" s="2">
        <v>118914</v>
      </c>
      <c r="W2114" s="2">
        <v>25070</v>
      </c>
      <c r="X2114" s="2">
        <v>4168</v>
      </c>
      <c r="Y2114" s="2" t="s">
        <v>41</v>
      </c>
      <c r="Z2114" s="2">
        <v>85</v>
      </c>
      <c r="AA2114" s="2">
        <v>2.2000000000000002</v>
      </c>
      <c r="AB2114" s="2" t="s">
        <v>52</v>
      </c>
    </row>
    <row r="2115" spans="1:28" x14ac:dyDescent="0.25">
      <c r="A2115" s="4" t="s">
        <v>2915</v>
      </c>
      <c r="B2115" s="4" t="s">
        <v>1076</v>
      </c>
      <c r="C2115" s="4">
        <v>38</v>
      </c>
      <c r="D2115" s="4" t="s">
        <v>55</v>
      </c>
      <c r="E2115" s="4" t="s">
        <v>67</v>
      </c>
      <c r="F2115" s="4" t="s">
        <v>46</v>
      </c>
      <c r="G2115" s="5">
        <v>45262</v>
      </c>
      <c r="H2115" s="5">
        <v>45265</v>
      </c>
      <c r="I2115" s="4">
        <v>3</v>
      </c>
      <c r="J2115" s="4" t="s">
        <v>33</v>
      </c>
      <c r="K2115" s="4" t="s">
        <v>107</v>
      </c>
      <c r="L2115" s="4" t="s">
        <v>48</v>
      </c>
      <c r="M2115" s="4" t="s">
        <v>143</v>
      </c>
      <c r="N2115" s="4" t="s">
        <v>37</v>
      </c>
      <c r="O2115" s="4" t="s">
        <v>416</v>
      </c>
      <c r="P2115" s="4">
        <v>243</v>
      </c>
      <c r="Q2115" s="4" t="s">
        <v>39</v>
      </c>
      <c r="R2115" s="4" t="s">
        <v>90</v>
      </c>
      <c r="S2115" s="4">
        <v>118110</v>
      </c>
      <c r="T2115" s="4">
        <v>71911</v>
      </c>
      <c r="U2115" s="4">
        <v>46199</v>
      </c>
      <c r="V2115" s="4">
        <v>106403</v>
      </c>
      <c r="W2115" s="4">
        <v>3238</v>
      </c>
      <c r="X2115" s="4">
        <v>4766</v>
      </c>
      <c r="Y2115" s="4" t="s">
        <v>41</v>
      </c>
      <c r="Z2115" s="4">
        <v>56</v>
      </c>
      <c r="AA2115" s="4">
        <v>4.3</v>
      </c>
      <c r="AB2115" s="4" t="s">
        <v>42</v>
      </c>
    </row>
    <row r="2116" spans="1:28" x14ac:dyDescent="0.25">
      <c r="A2116" s="2" t="s">
        <v>2916</v>
      </c>
      <c r="B2116" s="2" t="s">
        <v>2347</v>
      </c>
      <c r="C2116" s="2">
        <v>8</v>
      </c>
      <c r="D2116" s="2" t="s">
        <v>55</v>
      </c>
      <c r="E2116" s="2" t="s">
        <v>122</v>
      </c>
      <c r="F2116" s="2" t="s">
        <v>72</v>
      </c>
      <c r="G2116" s="3">
        <v>44879</v>
      </c>
      <c r="H2116" s="3">
        <v>44890</v>
      </c>
      <c r="I2116" s="2">
        <v>11</v>
      </c>
      <c r="J2116" s="2" t="s">
        <v>33</v>
      </c>
      <c r="K2116" s="2" t="s">
        <v>81</v>
      </c>
      <c r="L2116" s="2" t="s">
        <v>82</v>
      </c>
      <c r="M2116" s="2" t="s">
        <v>61</v>
      </c>
      <c r="N2116" s="2" t="s">
        <v>118</v>
      </c>
      <c r="O2116" s="2" t="s">
        <v>1000</v>
      </c>
      <c r="P2116" s="2">
        <v>425</v>
      </c>
      <c r="Q2116" s="2" t="s">
        <v>39</v>
      </c>
      <c r="R2116" s="2" t="s">
        <v>111</v>
      </c>
      <c r="S2116" s="2">
        <v>165696</v>
      </c>
      <c r="T2116" s="2">
        <v>123157</v>
      </c>
      <c r="U2116" s="2">
        <v>42539</v>
      </c>
      <c r="V2116" s="2">
        <v>141389</v>
      </c>
      <c r="W2116" s="2">
        <v>9172</v>
      </c>
      <c r="X2116" s="2">
        <v>10754</v>
      </c>
      <c r="Y2116" s="2" t="s">
        <v>41</v>
      </c>
      <c r="Z2116" s="2">
        <v>56</v>
      </c>
      <c r="AA2116" s="2">
        <v>2</v>
      </c>
      <c r="AB2116" s="2" t="s">
        <v>64</v>
      </c>
    </row>
    <row r="2117" spans="1:28" x14ac:dyDescent="0.25">
      <c r="A2117" s="4" t="s">
        <v>2917</v>
      </c>
      <c r="B2117" s="4" t="s">
        <v>689</v>
      </c>
      <c r="C2117" s="4">
        <v>20</v>
      </c>
      <c r="D2117" s="4" t="s">
        <v>30</v>
      </c>
      <c r="E2117" s="4" t="s">
        <v>45</v>
      </c>
      <c r="F2117" s="4" t="s">
        <v>157</v>
      </c>
      <c r="G2117" s="5">
        <v>44957</v>
      </c>
      <c r="H2117" s="5">
        <v>44972</v>
      </c>
      <c r="I2117" s="4">
        <v>15</v>
      </c>
      <c r="J2117" s="4" t="s">
        <v>140</v>
      </c>
      <c r="K2117" s="4" t="s">
        <v>167</v>
      </c>
      <c r="L2117" s="4" t="s">
        <v>142</v>
      </c>
      <c r="M2117" s="4" t="s">
        <v>143</v>
      </c>
      <c r="N2117" s="4" t="s">
        <v>109</v>
      </c>
      <c r="O2117" s="4" t="s">
        <v>390</v>
      </c>
      <c r="P2117" s="4">
        <v>409</v>
      </c>
      <c r="Q2117" s="4" t="s">
        <v>103</v>
      </c>
      <c r="R2117" s="4" t="s">
        <v>136</v>
      </c>
      <c r="S2117" s="4">
        <v>79817</v>
      </c>
      <c r="T2117" s="4">
        <v>0</v>
      </c>
      <c r="U2117" s="4">
        <v>79817</v>
      </c>
      <c r="V2117" s="4">
        <v>52405</v>
      </c>
      <c r="W2117" s="4">
        <v>19680</v>
      </c>
      <c r="X2117" s="4">
        <v>4149</v>
      </c>
      <c r="Y2117" s="4" t="s">
        <v>41</v>
      </c>
      <c r="Z2117" s="4">
        <v>64</v>
      </c>
      <c r="AA2117" s="4">
        <v>2.5</v>
      </c>
      <c r="AB2117" s="4" t="s">
        <v>52</v>
      </c>
    </row>
    <row r="2118" spans="1:28" x14ac:dyDescent="0.25">
      <c r="A2118" s="2" t="s">
        <v>2918</v>
      </c>
      <c r="B2118" s="2" t="s">
        <v>1056</v>
      </c>
      <c r="C2118" s="2">
        <v>48</v>
      </c>
      <c r="D2118" s="2" t="s">
        <v>30</v>
      </c>
      <c r="E2118" s="2" t="s">
        <v>122</v>
      </c>
      <c r="F2118" s="2" t="s">
        <v>32</v>
      </c>
      <c r="G2118" s="3">
        <v>45186</v>
      </c>
      <c r="H2118" s="3">
        <v>45205</v>
      </c>
      <c r="I2118" s="2">
        <v>19</v>
      </c>
      <c r="J2118" s="2" t="s">
        <v>202</v>
      </c>
      <c r="K2118" s="2" t="s">
        <v>225</v>
      </c>
      <c r="L2118" s="2" t="s">
        <v>226</v>
      </c>
      <c r="M2118" s="2" t="s">
        <v>61</v>
      </c>
      <c r="N2118" s="2" t="s">
        <v>37</v>
      </c>
      <c r="O2118" s="2" t="s">
        <v>379</v>
      </c>
      <c r="P2118" s="2">
        <v>184</v>
      </c>
      <c r="Q2118" s="2" t="s">
        <v>50</v>
      </c>
      <c r="R2118" s="2" t="s">
        <v>40</v>
      </c>
      <c r="S2118" s="2">
        <v>139470</v>
      </c>
      <c r="T2118" s="2">
        <v>63370</v>
      </c>
      <c r="U2118" s="2">
        <v>76100</v>
      </c>
      <c r="V2118" s="2">
        <v>109676</v>
      </c>
      <c r="W2118" s="2">
        <v>22518</v>
      </c>
      <c r="X2118" s="2">
        <v>5388</v>
      </c>
      <c r="Y2118" s="2" t="s">
        <v>91</v>
      </c>
      <c r="Z2118" s="2">
        <v>77</v>
      </c>
      <c r="AA2118" s="2">
        <v>2.8</v>
      </c>
      <c r="AB2118" s="2" t="s">
        <v>104</v>
      </c>
    </row>
    <row r="2119" spans="1:28" x14ac:dyDescent="0.25">
      <c r="A2119" s="4" t="s">
        <v>2919</v>
      </c>
      <c r="B2119" s="4" t="s">
        <v>188</v>
      </c>
      <c r="C2119" s="4">
        <v>38</v>
      </c>
      <c r="D2119" s="4" t="s">
        <v>30</v>
      </c>
      <c r="E2119" s="4" t="s">
        <v>67</v>
      </c>
      <c r="F2119" s="4" t="s">
        <v>80</v>
      </c>
      <c r="G2119" s="5">
        <v>45594</v>
      </c>
      <c r="H2119" s="5">
        <v>45623</v>
      </c>
      <c r="I2119" s="4">
        <v>29</v>
      </c>
      <c r="J2119" s="4" t="s">
        <v>115</v>
      </c>
      <c r="K2119" s="4" t="s">
        <v>160</v>
      </c>
      <c r="L2119" s="4" t="s">
        <v>117</v>
      </c>
      <c r="M2119" s="4" t="s">
        <v>130</v>
      </c>
      <c r="N2119" s="4" t="s">
        <v>62</v>
      </c>
      <c r="O2119" s="4" t="s">
        <v>96</v>
      </c>
      <c r="P2119" s="4">
        <v>198</v>
      </c>
      <c r="Q2119" s="4" t="s">
        <v>39</v>
      </c>
      <c r="R2119" s="4" t="s">
        <v>111</v>
      </c>
      <c r="S2119" s="4">
        <v>48315</v>
      </c>
      <c r="T2119" s="4">
        <v>36402</v>
      </c>
      <c r="U2119" s="4">
        <v>11913</v>
      </c>
      <c r="V2119" s="4">
        <v>21367</v>
      </c>
      <c r="W2119" s="4">
        <v>9931</v>
      </c>
      <c r="X2119" s="4">
        <v>14551</v>
      </c>
      <c r="Y2119" s="4" t="s">
        <v>41</v>
      </c>
      <c r="Z2119" s="4">
        <v>86</v>
      </c>
      <c r="AA2119" s="4">
        <v>2.4</v>
      </c>
      <c r="AB2119" s="4" t="s">
        <v>42</v>
      </c>
    </row>
    <row r="2120" spans="1:28" x14ac:dyDescent="0.25">
      <c r="A2120" s="2" t="s">
        <v>2920</v>
      </c>
      <c r="B2120" s="2" t="s">
        <v>444</v>
      </c>
      <c r="C2120" s="2">
        <v>50</v>
      </c>
      <c r="D2120" s="2" t="s">
        <v>55</v>
      </c>
      <c r="E2120" s="2" t="s">
        <v>79</v>
      </c>
      <c r="F2120" s="2" t="s">
        <v>46</v>
      </c>
      <c r="G2120" s="3">
        <v>45022</v>
      </c>
      <c r="H2120" s="3">
        <v>45023</v>
      </c>
      <c r="I2120" s="2">
        <v>1</v>
      </c>
      <c r="J2120" s="2" t="s">
        <v>140</v>
      </c>
      <c r="K2120" s="2" t="s">
        <v>141</v>
      </c>
      <c r="L2120" s="2" t="s">
        <v>142</v>
      </c>
      <c r="M2120" s="2" t="s">
        <v>101</v>
      </c>
      <c r="N2120" s="2" t="s">
        <v>37</v>
      </c>
      <c r="O2120" s="2" t="s">
        <v>266</v>
      </c>
      <c r="P2120" s="2">
        <v>163</v>
      </c>
      <c r="Q2120" s="2" t="s">
        <v>50</v>
      </c>
      <c r="R2120" s="2" t="s">
        <v>136</v>
      </c>
      <c r="S2120" s="2">
        <v>84736</v>
      </c>
      <c r="T2120" s="2">
        <v>0</v>
      </c>
      <c r="U2120" s="2">
        <v>84736</v>
      </c>
      <c r="V2120" s="2">
        <v>51331</v>
      </c>
      <c r="W2120" s="2">
        <v>27316</v>
      </c>
      <c r="X2120" s="2">
        <v>5092</v>
      </c>
      <c r="Y2120" s="2" t="s">
        <v>41</v>
      </c>
      <c r="Z2120" s="2">
        <v>97</v>
      </c>
      <c r="AA2120" s="2">
        <v>5</v>
      </c>
      <c r="AB2120" s="2" t="s">
        <v>52</v>
      </c>
    </row>
    <row r="2121" spans="1:28" x14ac:dyDescent="0.25">
      <c r="A2121" s="4" t="s">
        <v>2921</v>
      </c>
      <c r="B2121" s="4" t="s">
        <v>999</v>
      </c>
      <c r="C2121" s="4">
        <v>5</v>
      </c>
      <c r="D2121" s="4" t="s">
        <v>30</v>
      </c>
      <c r="E2121" s="4" t="s">
        <v>67</v>
      </c>
      <c r="F2121" s="4" t="s">
        <v>94</v>
      </c>
      <c r="G2121" s="5">
        <v>45637</v>
      </c>
      <c r="H2121" s="5">
        <v>45650</v>
      </c>
      <c r="I2121" s="4">
        <v>13</v>
      </c>
      <c r="J2121" s="4" t="s">
        <v>33</v>
      </c>
      <c r="K2121" s="4" t="s">
        <v>233</v>
      </c>
      <c r="L2121" s="4" t="s">
        <v>35</v>
      </c>
      <c r="M2121" s="4" t="s">
        <v>101</v>
      </c>
      <c r="N2121" s="4" t="s">
        <v>62</v>
      </c>
      <c r="O2121" s="4" t="s">
        <v>96</v>
      </c>
      <c r="P2121" s="4">
        <v>206</v>
      </c>
      <c r="Q2121" s="4" t="s">
        <v>39</v>
      </c>
      <c r="R2121" s="4" t="s">
        <v>136</v>
      </c>
      <c r="S2121" s="4">
        <v>73845</v>
      </c>
      <c r="T2121" s="4">
        <v>0</v>
      </c>
      <c r="U2121" s="4">
        <v>73845</v>
      </c>
      <c r="V2121" s="4">
        <v>50638</v>
      </c>
      <c r="W2121" s="4">
        <v>16978</v>
      </c>
      <c r="X2121" s="4">
        <v>3212</v>
      </c>
      <c r="Y2121" s="4" t="s">
        <v>41</v>
      </c>
      <c r="Z2121" s="4">
        <v>69</v>
      </c>
      <c r="AA2121" s="4">
        <v>2.2999999999999998</v>
      </c>
      <c r="AB2121" s="4" t="s">
        <v>52</v>
      </c>
    </row>
    <row r="2122" spans="1:28" x14ac:dyDescent="0.25">
      <c r="A2122" s="2" t="s">
        <v>2922</v>
      </c>
      <c r="B2122" s="2" t="s">
        <v>597</v>
      </c>
      <c r="C2122" s="2">
        <v>63</v>
      </c>
      <c r="D2122" s="2" t="s">
        <v>55</v>
      </c>
      <c r="E2122" s="2" t="s">
        <v>87</v>
      </c>
      <c r="F2122" s="2" t="s">
        <v>94</v>
      </c>
      <c r="G2122" s="3">
        <v>44736</v>
      </c>
      <c r="H2122" s="3">
        <v>44747</v>
      </c>
      <c r="I2122" s="2">
        <v>11</v>
      </c>
      <c r="J2122" s="2" t="s">
        <v>33</v>
      </c>
      <c r="K2122" s="2" t="s">
        <v>81</v>
      </c>
      <c r="L2122" s="2" t="s">
        <v>82</v>
      </c>
      <c r="M2122" s="2" t="s">
        <v>108</v>
      </c>
      <c r="N2122" s="2" t="s">
        <v>109</v>
      </c>
      <c r="O2122" s="2" t="s">
        <v>178</v>
      </c>
      <c r="P2122" s="2">
        <v>109</v>
      </c>
      <c r="Q2122" s="2" t="s">
        <v>103</v>
      </c>
      <c r="R2122" s="2" t="s">
        <v>111</v>
      </c>
      <c r="S2122" s="2">
        <v>53655</v>
      </c>
      <c r="T2122" s="2">
        <v>43823</v>
      </c>
      <c r="U2122" s="2">
        <v>9832</v>
      </c>
      <c r="V2122" s="2">
        <v>27492</v>
      </c>
      <c r="W2122" s="2">
        <v>8685</v>
      </c>
      <c r="X2122" s="2">
        <v>12657</v>
      </c>
      <c r="Y2122" s="2" t="s">
        <v>41</v>
      </c>
      <c r="Z2122" s="2">
        <v>58</v>
      </c>
      <c r="AA2122" s="2">
        <v>2.1</v>
      </c>
      <c r="AB2122" s="2" t="s">
        <v>64</v>
      </c>
    </row>
    <row r="2123" spans="1:28" x14ac:dyDescent="0.25">
      <c r="A2123" s="4" t="s">
        <v>2923</v>
      </c>
      <c r="B2123" s="4" t="s">
        <v>1426</v>
      </c>
      <c r="C2123" s="4">
        <v>77</v>
      </c>
      <c r="D2123" s="4" t="s">
        <v>55</v>
      </c>
      <c r="E2123" s="4" t="s">
        <v>67</v>
      </c>
      <c r="F2123" s="4" t="s">
        <v>114</v>
      </c>
      <c r="G2123" s="5">
        <v>45412</v>
      </c>
      <c r="H2123" s="5">
        <v>45440</v>
      </c>
      <c r="I2123" s="4">
        <v>28</v>
      </c>
      <c r="J2123" s="4" t="s">
        <v>33</v>
      </c>
      <c r="K2123" s="4" t="s">
        <v>34</v>
      </c>
      <c r="L2123" s="4" t="s">
        <v>35</v>
      </c>
      <c r="M2123" s="4" t="s">
        <v>143</v>
      </c>
      <c r="N2123" s="4" t="s">
        <v>118</v>
      </c>
      <c r="O2123" s="4" t="s">
        <v>431</v>
      </c>
      <c r="P2123" s="4">
        <v>371</v>
      </c>
      <c r="Q2123" s="4" t="s">
        <v>103</v>
      </c>
      <c r="R2123" s="4" t="s">
        <v>111</v>
      </c>
      <c r="S2123" s="4">
        <v>128431</v>
      </c>
      <c r="T2123" s="4">
        <v>96408</v>
      </c>
      <c r="U2123" s="4">
        <v>32023</v>
      </c>
      <c r="V2123" s="4">
        <v>108097</v>
      </c>
      <c r="W2123" s="4">
        <v>6645</v>
      </c>
      <c r="X2123" s="4">
        <v>12567</v>
      </c>
      <c r="Y2123" s="4" t="s">
        <v>41</v>
      </c>
      <c r="Z2123" s="4">
        <v>69</v>
      </c>
      <c r="AA2123" s="4">
        <v>3.7</v>
      </c>
      <c r="AB2123" s="4" t="s">
        <v>64</v>
      </c>
    </row>
    <row r="2124" spans="1:28" x14ac:dyDescent="0.25">
      <c r="A2124" s="2" t="s">
        <v>2924</v>
      </c>
      <c r="B2124" s="2" t="s">
        <v>876</v>
      </c>
      <c r="C2124" s="2">
        <v>68</v>
      </c>
      <c r="D2124" s="2" t="s">
        <v>30</v>
      </c>
      <c r="E2124" s="2" t="s">
        <v>67</v>
      </c>
      <c r="F2124" s="2" t="s">
        <v>150</v>
      </c>
      <c r="G2124" s="3">
        <v>44648</v>
      </c>
      <c r="H2124" s="3">
        <v>44670</v>
      </c>
      <c r="I2124" s="2">
        <v>22</v>
      </c>
      <c r="J2124" s="2" t="s">
        <v>33</v>
      </c>
      <c r="K2124" s="2" t="s">
        <v>107</v>
      </c>
      <c r="L2124" s="2" t="s">
        <v>48</v>
      </c>
      <c r="M2124" s="2" t="s">
        <v>108</v>
      </c>
      <c r="N2124" s="2" t="s">
        <v>37</v>
      </c>
      <c r="O2124" s="2" t="s">
        <v>161</v>
      </c>
      <c r="P2124" s="2">
        <v>266</v>
      </c>
      <c r="Q2124" s="2" t="s">
        <v>50</v>
      </c>
      <c r="R2124" s="2" t="s">
        <v>111</v>
      </c>
      <c r="S2124" s="2">
        <v>66759</v>
      </c>
      <c r="T2124" s="2">
        <v>47478</v>
      </c>
      <c r="U2124" s="2">
        <v>19281</v>
      </c>
      <c r="V2124" s="2">
        <v>41947</v>
      </c>
      <c r="W2124" s="2">
        <v>11943</v>
      </c>
      <c r="X2124" s="2">
        <v>7972</v>
      </c>
      <c r="Y2124" s="2" t="s">
        <v>41</v>
      </c>
      <c r="Z2124" s="2">
        <v>60</v>
      </c>
      <c r="AA2124" s="2">
        <v>5</v>
      </c>
      <c r="AB2124" s="2" t="s">
        <v>42</v>
      </c>
    </row>
    <row r="2125" spans="1:28" x14ac:dyDescent="0.25">
      <c r="A2125" s="4" t="s">
        <v>2925</v>
      </c>
      <c r="B2125" s="4" t="s">
        <v>1562</v>
      </c>
      <c r="C2125" s="4">
        <v>8</v>
      </c>
      <c r="D2125" s="4" t="s">
        <v>55</v>
      </c>
      <c r="E2125" s="4" t="s">
        <v>79</v>
      </c>
      <c r="F2125" s="4" t="s">
        <v>157</v>
      </c>
      <c r="G2125" s="5">
        <v>45018</v>
      </c>
      <c r="H2125" s="5">
        <v>45043</v>
      </c>
      <c r="I2125" s="4">
        <v>25</v>
      </c>
      <c r="J2125" s="4" t="s">
        <v>33</v>
      </c>
      <c r="K2125" s="4" t="s">
        <v>107</v>
      </c>
      <c r="L2125" s="4" t="s">
        <v>48</v>
      </c>
      <c r="M2125" s="4" t="s">
        <v>134</v>
      </c>
      <c r="N2125" s="4" t="s">
        <v>118</v>
      </c>
      <c r="O2125" s="4" t="s">
        <v>455</v>
      </c>
      <c r="P2125" s="4">
        <v>147</v>
      </c>
      <c r="Q2125" s="4" t="s">
        <v>103</v>
      </c>
      <c r="R2125" s="4" t="s">
        <v>90</v>
      </c>
      <c r="S2125" s="4">
        <v>52425</v>
      </c>
      <c r="T2125" s="4">
        <v>39600</v>
      </c>
      <c r="U2125" s="4">
        <v>12825</v>
      </c>
      <c r="V2125" s="4">
        <v>22166</v>
      </c>
      <c r="W2125" s="4">
        <v>12333</v>
      </c>
      <c r="X2125" s="4">
        <v>14849</v>
      </c>
      <c r="Y2125" s="4" t="s">
        <v>41</v>
      </c>
      <c r="Z2125" s="4">
        <v>51</v>
      </c>
      <c r="AA2125" s="4">
        <v>4.8</v>
      </c>
      <c r="AB2125" s="4" t="s">
        <v>42</v>
      </c>
    </row>
    <row r="2126" spans="1:28" x14ac:dyDescent="0.25">
      <c r="A2126" s="2" t="s">
        <v>2926</v>
      </c>
      <c r="B2126" s="2" t="s">
        <v>261</v>
      </c>
      <c r="C2126" s="2">
        <v>47</v>
      </c>
      <c r="D2126" s="2" t="s">
        <v>55</v>
      </c>
      <c r="E2126" s="2" t="s">
        <v>87</v>
      </c>
      <c r="F2126" s="2" t="s">
        <v>157</v>
      </c>
      <c r="G2126" s="3">
        <v>44565</v>
      </c>
      <c r="H2126" s="3">
        <v>44580</v>
      </c>
      <c r="I2126" s="2">
        <v>15</v>
      </c>
      <c r="J2126" s="2" t="s">
        <v>123</v>
      </c>
      <c r="K2126" s="2" t="s">
        <v>251</v>
      </c>
      <c r="L2126" s="2" t="s">
        <v>125</v>
      </c>
      <c r="M2126" s="2" t="s">
        <v>83</v>
      </c>
      <c r="N2126" s="2" t="s">
        <v>37</v>
      </c>
      <c r="O2126" s="2" t="s">
        <v>431</v>
      </c>
      <c r="P2126" s="2">
        <v>102</v>
      </c>
      <c r="Q2126" s="2" t="s">
        <v>69</v>
      </c>
      <c r="R2126" s="2" t="s">
        <v>40</v>
      </c>
      <c r="S2126" s="2">
        <v>75568</v>
      </c>
      <c r="T2126" s="2">
        <v>50670</v>
      </c>
      <c r="U2126" s="2">
        <v>24898</v>
      </c>
      <c r="V2126" s="2">
        <v>30478</v>
      </c>
      <c r="W2126" s="2">
        <v>26996</v>
      </c>
      <c r="X2126" s="2">
        <v>14390</v>
      </c>
      <c r="Y2126" s="2" t="s">
        <v>41</v>
      </c>
      <c r="Z2126" s="2">
        <v>55</v>
      </c>
      <c r="AA2126" s="2">
        <v>3.7</v>
      </c>
      <c r="AB2126" s="2" t="s">
        <v>64</v>
      </c>
    </row>
    <row r="2127" spans="1:28" x14ac:dyDescent="0.25">
      <c r="A2127" s="4" t="s">
        <v>2927</v>
      </c>
      <c r="B2127" s="4" t="s">
        <v>2347</v>
      </c>
      <c r="C2127" s="4">
        <v>25</v>
      </c>
      <c r="D2127" s="4" t="s">
        <v>30</v>
      </c>
      <c r="E2127" s="4" t="s">
        <v>45</v>
      </c>
      <c r="F2127" s="4" t="s">
        <v>57</v>
      </c>
      <c r="G2127" s="5">
        <v>45018</v>
      </c>
      <c r="H2127" s="5">
        <v>45030</v>
      </c>
      <c r="I2127" s="4">
        <v>12</v>
      </c>
      <c r="J2127" s="4" t="s">
        <v>73</v>
      </c>
      <c r="K2127" s="4" t="s">
        <v>74</v>
      </c>
      <c r="L2127" s="4" t="s">
        <v>73</v>
      </c>
      <c r="M2127" s="4" t="s">
        <v>143</v>
      </c>
      <c r="N2127" s="4" t="s">
        <v>62</v>
      </c>
      <c r="O2127" s="4" t="s">
        <v>396</v>
      </c>
      <c r="P2127" s="4">
        <v>83</v>
      </c>
      <c r="Q2127" s="4" t="s">
        <v>50</v>
      </c>
      <c r="R2127" s="4" t="s">
        <v>136</v>
      </c>
      <c r="S2127" s="4">
        <v>133487</v>
      </c>
      <c r="T2127" s="4">
        <v>0</v>
      </c>
      <c r="U2127" s="4">
        <v>133487</v>
      </c>
      <c r="V2127" s="4">
        <v>110774</v>
      </c>
      <c r="W2127" s="4">
        <v>15783</v>
      </c>
      <c r="X2127" s="4">
        <v>5865</v>
      </c>
      <c r="Y2127" s="4" t="s">
        <v>41</v>
      </c>
      <c r="Z2127" s="4">
        <v>77</v>
      </c>
      <c r="AA2127" s="4">
        <v>4</v>
      </c>
      <c r="AB2127" s="4" t="s">
        <v>52</v>
      </c>
    </row>
    <row r="2128" spans="1:28" x14ac:dyDescent="0.25">
      <c r="A2128" s="2" t="s">
        <v>2928</v>
      </c>
      <c r="B2128" s="2" t="s">
        <v>588</v>
      </c>
      <c r="C2128" s="2">
        <v>62</v>
      </c>
      <c r="D2128" s="2" t="s">
        <v>30</v>
      </c>
      <c r="E2128" s="2" t="s">
        <v>122</v>
      </c>
      <c r="F2128" s="2" t="s">
        <v>32</v>
      </c>
      <c r="G2128" s="3">
        <v>44757</v>
      </c>
      <c r="H2128" s="3">
        <v>44780</v>
      </c>
      <c r="I2128" s="2">
        <v>23</v>
      </c>
      <c r="J2128" s="2" t="s">
        <v>33</v>
      </c>
      <c r="K2128" s="2" t="s">
        <v>174</v>
      </c>
      <c r="L2128" s="2" t="s">
        <v>48</v>
      </c>
      <c r="M2128" s="2" t="s">
        <v>95</v>
      </c>
      <c r="N2128" s="2" t="s">
        <v>37</v>
      </c>
      <c r="O2128" s="2" t="s">
        <v>217</v>
      </c>
      <c r="P2128" s="2">
        <v>190</v>
      </c>
      <c r="Q2128" s="2" t="s">
        <v>39</v>
      </c>
      <c r="R2128" s="2" t="s">
        <v>40</v>
      </c>
      <c r="S2128" s="2">
        <v>26097</v>
      </c>
      <c r="T2128" s="2">
        <v>13020</v>
      </c>
      <c r="U2128" s="2">
        <v>13077</v>
      </c>
      <c r="V2128" s="2">
        <v>15777</v>
      </c>
      <c r="W2128" s="2">
        <v>3194</v>
      </c>
      <c r="X2128" s="2">
        <v>4854</v>
      </c>
      <c r="Y2128" s="2" t="s">
        <v>41</v>
      </c>
      <c r="Z2128" s="2">
        <v>91</v>
      </c>
      <c r="AA2128" s="2">
        <v>4.7</v>
      </c>
      <c r="AB2128" s="2" t="s">
        <v>64</v>
      </c>
    </row>
    <row r="2129" spans="1:28" x14ac:dyDescent="0.25">
      <c r="A2129" s="4" t="s">
        <v>2929</v>
      </c>
      <c r="B2129" s="4" t="s">
        <v>2930</v>
      </c>
      <c r="C2129" s="4">
        <v>65</v>
      </c>
      <c r="D2129" s="4" t="s">
        <v>55</v>
      </c>
      <c r="E2129" s="4" t="s">
        <v>67</v>
      </c>
      <c r="F2129" s="4" t="s">
        <v>94</v>
      </c>
      <c r="G2129" s="5">
        <v>45449</v>
      </c>
      <c r="H2129" s="5">
        <v>45457</v>
      </c>
      <c r="I2129" s="4">
        <v>8</v>
      </c>
      <c r="J2129" s="4" t="s">
        <v>33</v>
      </c>
      <c r="K2129" s="4" t="s">
        <v>81</v>
      </c>
      <c r="L2129" s="4" t="s">
        <v>82</v>
      </c>
      <c r="M2129" s="4" t="s">
        <v>134</v>
      </c>
      <c r="N2129" s="4" t="s">
        <v>118</v>
      </c>
      <c r="O2129" s="4" t="s">
        <v>259</v>
      </c>
      <c r="P2129" s="4">
        <v>449</v>
      </c>
      <c r="Q2129" s="4" t="s">
        <v>69</v>
      </c>
      <c r="R2129" s="4" t="s">
        <v>90</v>
      </c>
      <c r="S2129" s="4">
        <v>132608</v>
      </c>
      <c r="T2129" s="4">
        <v>110754</v>
      </c>
      <c r="U2129" s="4">
        <v>21854</v>
      </c>
      <c r="V2129" s="4">
        <v>110855</v>
      </c>
      <c r="W2129" s="4">
        <v>7356</v>
      </c>
      <c r="X2129" s="4">
        <v>12814</v>
      </c>
      <c r="Y2129" s="4" t="s">
        <v>41</v>
      </c>
      <c r="Z2129" s="4">
        <v>88</v>
      </c>
      <c r="AA2129" s="4">
        <v>2.6</v>
      </c>
      <c r="AB2129" s="4" t="s">
        <v>64</v>
      </c>
    </row>
    <row r="2130" spans="1:28" x14ac:dyDescent="0.25">
      <c r="A2130" s="2" t="s">
        <v>2931</v>
      </c>
      <c r="B2130" s="2" t="s">
        <v>1612</v>
      </c>
      <c r="C2130" s="2">
        <v>53</v>
      </c>
      <c r="D2130" s="2" t="s">
        <v>55</v>
      </c>
      <c r="E2130" s="2" t="s">
        <v>79</v>
      </c>
      <c r="F2130" s="2" t="s">
        <v>129</v>
      </c>
      <c r="G2130" s="3">
        <v>45165</v>
      </c>
      <c r="H2130" s="3">
        <v>45170</v>
      </c>
      <c r="I2130" s="2">
        <v>5</v>
      </c>
      <c r="J2130" s="2" t="s">
        <v>33</v>
      </c>
      <c r="K2130" s="2" t="s">
        <v>233</v>
      </c>
      <c r="L2130" s="2" t="s">
        <v>35</v>
      </c>
      <c r="M2130" s="2" t="s">
        <v>143</v>
      </c>
      <c r="N2130" s="2" t="s">
        <v>62</v>
      </c>
      <c r="O2130" s="2" t="s">
        <v>337</v>
      </c>
      <c r="P2130" s="2">
        <v>425</v>
      </c>
      <c r="Q2130" s="2" t="s">
        <v>39</v>
      </c>
      <c r="R2130" s="2" t="s">
        <v>136</v>
      </c>
      <c r="S2130" s="2">
        <v>139033</v>
      </c>
      <c r="T2130" s="2">
        <v>0</v>
      </c>
      <c r="U2130" s="2">
        <v>139033</v>
      </c>
      <c r="V2130" s="2">
        <v>122151</v>
      </c>
      <c r="W2130" s="2">
        <v>9606</v>
      </c>
      <c r="X2130" s="2">
        <v>3981</v>
      </c>
      <c r="Y2130" s="2" t="s">
        <v>91</v>
      </c>
      <c r="Z2130" s="2">
        <v>78</v>
      </c>
      <c r="AA2130" s="2">
        <v>4</v>
      </c>
      <c r="AB2130" s="2" t="s">
        <v>42</v>
      </c>
    </row>
    <row r="2131" spans="1:28" x14ac:dyDescent="0.25">
      <c r="A2131" s="4" t="s">
        <v>2932</v>
      </c>
      <c r="B2131" s="4" t="s">
        <v>1883</v>
      </c>
      <c r="C2131" s="4">
        <v>12</v>
      </c>
      <c r="D2131" s="4" t="s">
        <v>55</v>
      </c>
      <c r="E2131" s="4" t="s">
        <v>87</v>
      </c>
      <c r="F2131" s="4" t="s">
        <v>129</v>
      </c>
      <c r="G2131" s="5">
        <v>44805</v>
      </c>
      <c r="H2131" s="5">
        <v>44809</v>
      </c>
      <c r="I2131" s="4">
        <v>4</v>
      </c>
      <c r="J2131" s="4" t="s">
        <v>140</v>
      </c>
      <c r="K2131" s="4" t="s">
        <v>141</v>
      </c>
      <c r="L2131" s="4" t="s">
        <v>142</v>
      </c>
      <c r="M2131" s="4" t="s">
        <v>61</v>
      </c>
      <c r="N2131" s="4" t="s">
        <v>109</v>
      </c>
      <c r="O2131" s="4" t="s">
        <v>131</v>
      </c>
      <c r="P2131" s="4">
        <v>259</v>
      </c>
      <c r="Q2131" s="4" t="s">
        <v>39</v>
      </c>
      <c r="R2131" s="4" t="s">
        <v>51</v>
      </c>
      <c r="S2131" s="4">
        <v>27234</v>
      </c>
      <c r="T2131" s="4">
        <v>17275</v>
      </c>
      <c r="U2131" s="4">
        <v>9959</v>
      </c>
      <c r="V2131" s="4">
        <v>15731</v>
      </c>
      <c r="W2131" s="4">
        <v>4435</v>
      </c>
      <c r="X2131" s="4">
        <v>6547</v>
      </c>
      <c r="Y2131" s="4" t="s">
        <v>41</v>
      </c>
      <c r="Z2131" s="4">
        <v>83</v>
      </c>
      <c r="AA2131" s="4">
        <v>4.9000000000000004</v>
      </c>
      <c r="AB2131" s="4" t="s">
        <v>42</v>
      </c>
    </row>
    <row r="2132" spans="1:28" x14ac:dyDescent="0.25">
      <c r="A2132" s="2" t="s">
        <v>2933</v>
      </c>
      <c r="B2132" s="2" t="s">
        <v>550</v>
      </c>
      <c r="C2132" s="2">
        <v>67</v>
      </c>
      <c r="D2132" s="2" t="s">
        <v>30</v>
      </c>
      <c r="E2132" s="2" t="s">
        <v>56</v>
      </c>
      <c r="F2132" s="2" t="s">
        <v>114</v>
      </c>
      <c r="G2132" s="3">
        <v>44686</v>
      </c>
      <c r="H2132" s="3">
        <v>44710</v>
      </c>
      <c r="I2132" s="2">
        <v>24</v>
      </c>
      <c r="J2132" s="2" t="s">
        <v>115</v>
      </c>
      <c r="K2132" s="2" t="s">
        <v>116</v>
      </c>
      <c r="L2132" s="2" t="s">
        <v>117</v>
      </c>
      <c r="M2132" s="2" t="s">
        <v>130</v>
      </c>
      <c r="N2132" s="2" t="s">
        <v>109</v>
      </c>
      <c r="O2132" s="2" t="s">
        <v>428</v>
      </c>
      <c r="P2132" s="2">
        <v>373</v>
      </c>
      <c r="Q2132" s="2" t="s">
        <v>69</v>
      </c>
      <c r="R2132" s="2" t="s">
        <v>90</v>
      </c>
      <c r="S2132" s="2">
        <v>128633</v>
      </c>
      <c r="T2132" s="2">
        <v>110760</v>
      </c>
      <c r="U2132" s="2">
        <v>17873</v>
      </c>
      <c r="V2132" s="2">
        <v>90650</v>
      </c>
      <c r="W2132" s="2">
        <v>23352</v>
      </c>
      <c r="X2132" s="2">
        <v>11919</v>
      </c>
      <c r="Y2132" s="2" t="s">
        <v>41</v>
      </c>
      <c r="Z2132" s="2">
        <v>45</v>
      </c>
      <c r="AA2132" s="2">
        <v>4.4000000000000004</v>
      </c>
      <c r="AB2132" s="2" t="s">
        <v>64</v>
      </c>
    </row>
    <row r="2133" spans="1:28" x14ac:dyDescent="0.25">
      <c r="A2133" s="4" t="s">
        <v>2934</v>
      </c>
      <c r="B2133" s="4" t="s">
        <v>1338</v>
      </c>
      <c r="C2133" s="4">
        <v>32</v>
      </c>
      <c r="D2133" s="4" t="s">
        <v>55</v>
      </c>
      <c r="E2133" s="4" t="s">
        <v>67</v>
      </c>
      <c r="F2133" s="4" t="s">
        <v>57</v>
      </c>
      <c r="G2133" s="5">
        <v>45294</v>
      </c>
      <c r="H2133" s="5">
        <v>45310</v>
      </c>
      <c r="I2133" s="4">
        <v>16</v>
      </c>
      <c r="J2133" s="4" t="s">
        <v>140</v>
      </c>
      <c r="K2133" s="4" t="s">
        <v>167</v>
      </c>
      <c r="L2133" s="4" t="s">
        <v>142</v>
      </c>
      <c r="M2133" s="4" t="s">
        <v>143</v>
      </c>
      <c r="N2133" s="4" t="s">
        <v>62</v>
      </c>
      <c r="O2133" s="4" t="s">
        <v>580</v>
      </c>
      <c r="P2133" s="4">
        <v>466</v>
      </c>
      <c r="Q2133" s="4" t="s">
        <v>50</v>
      </c>
      <c r="R2133" s="4" t="s">
        <v>136</v>
      </c>
      <c r="S2133" s="4">
        <v>125836</v>
      </c>
      <c r="T2133" s="4">
        <v>0</v>
      </c>
      <c r="U2133" s="4">
        <v>125836</v>
      </c>
      <c r="V2133" s="4">
        <v>92129</v>
      </c>
      <c r="W2133" s="4">
        <v>21298</v>
      </c>
      <c r="X2133" s="4">
        <v>10844</v>
      </c>
      <c r="Y2133" s="4" t="s">
        <v>41</v>
      </c>
      <c r="Z2133" s="4">
        <v>88</v>
      </c>
      <c r="AA2133" s="4">
        <v>4.0999999999999996</v>
      </c>
      <c r="AB2133" s="4" t="s">
        <v>42</v>
      </c>
    </row>
    <row r="2134" spans="1:28" x14ac:dyDescent="0.25">
      <c r="A2134" s="2" t="s">
        <v>2935</v>
      </c>
      <c r="B2134" s="2" t="s">
        <v>1364</v>
      </c>
      <c r="C2134" s="2">
        <v>81</v>
      </c>
      <c r="D2134" s="2" t="s">
        <v>30</v>
      </c>
      <c r="E2134" s="2" t="s">
        <v>122</v>
      </c>
      <c r="F2134" s="2" t="s">
        <v>72</v>
      </c>
      <c r="G2134" s="3">
        <v>44698</v>
      </c>
      <c r="H2134" s="3">
        <v>44706</v>
      </c>
      <c r="I2134" s="2">
        <v>8</v>
      </c>
      <c r="J2134" s="2" t="s">
        <v>115</v>
      </c>
      <c r="K2134" s="2" t="s">
        <v>116</v>
      </c>
      <c r="L2134" s="2" t="s">
        <v>117</v>
      </c>
      <c r="M2134" s="2" t="s">
        <v>36</v>
      </c>
      <c r="N2134" s="2" t="s">
        <v>37</v>
      </c>
      <c r="O2134" s="2" t="s">
        <v>390</v>
      </c>
      <c r="P2134" s="2">
        <v>489</v>
      </c>
      <c r="Q2134" s="2" t="s">
        <v>39</v>
      </c>
      <c r="R2134" s="2" t="s">
        <v>90</v>
      </c>
      <c r="S2134" s="2">
        <v>131835</v>
      </c>
      <c r="T2134" s="2">
        <v>104195</v>
      </c>
      <c r="U2134" s="2">
        <v>27640</v>
      </c>
      <c r="V2134" s="2">
        <v>101630</v>
      </c>
      <c r="W2134" s="2">
        <v>19807</v>
      </c>
      <c r="X2134" s="2">
        <v>5458</v>
      </c>
      <c r="Y2134" s="2" t="s">
        <v>41</v>
      </c>
      <c r="Z2134" s="2">
        <v>41</v>
      </c>
      <c r="AA2134" s="2">
        <v>4.7</v>
      </c>
      <c r="AB2134" s="2" t="s">
        <v>104</v>
      </c>
    </row>
    <row r="2135" spans="1:28" x14ac:dyDescent="0.25">
      <c r="A2135" s="4" t="s">
        <v>2936</v>
      </c>
      <c r="B2135" s="4" t="s">
        <v>1426</v>
      </c>
      <c r="C2135" s="4">
        <v>58</v>
      </c>
      <c r="D2135" s="4" t="s">
        <v>55</v>
      </c>
      <c r="E2135" s="4" t="s">
        <v>56</v>
      </c>
      <c r="F2135" s="4" t="s">
        <v>157</v>
      </c>
      <c r="G2135" s="5">
        <v>45258</v>
      </c>
      <c r="H2135" s="5">
        <v>45287</v>
      </c>
      <c r="I2135" s="4">
        <v>29</v>
      </c>
      <c r="J2135" s="4" t="s">
        <v>115</v>
      </c>
      <c r="K2135" s="4" t="s">
        <v>160</v>
      </c>
      <c r="L2135" s="4" t="s">
        <v>117</v>
      </c>
      <c r="M2135" s="4" t="s">
        <v>130</v>
      </c>
      <c r="N2135" s="4" t="s">
        <v>37</v>
      </c>
      <c r="O2135" s="4" t="s">
        <v>543</v>
      </c>
      <c r="P2135" s="4">
        <v>312</v>
      </c>
      <c r="Q2135" s="4" t="s">
        <v>50</v>
      </c>
      <c r="R2135" s="4" t="s">
        <v>136</v>
      </c>
      <c r="S2135" s="4">
        <v>88155</v>
      </c>
      <c r="T2135" s="4">
        <v>0</v>
      </c>
      <c r="U2135" s="4">
        <v>88155</v>
      </c>
      <c r="V2135" s="4">
        <v>56278</v>
      </c>
      <c r="W2135" s="4">
        <v>22470</v>
      </c>
      <c r="X2135" s="4">
        <v>4870</v>
      </c>
      <c r="Y2135" s="4" t="s">
        <v>41</v>
      </c>
      <c r="Z2135" s="4">
        <v>43</v>
      </c>
      <c r="AA2135" s="4">
        <v>2</v>
      </c>
      <c r="AB2135" s="4" t="s">
        <v>42</v>
      </c>
    </row>
    <row r="2136" spans="1:28" x14ac:dyDescent="0.25">
      <c r="A2136" s="2" t="s">
        <v>2937</v>
      </c>
      <c r="B2136" s="2" t="s">
        <v>2116</v>
      </c>
      <c r="C2136" s="2">
        <v>19</v>
      </c>
      <c r="D2136" s="2" t="s">
        <v>30</v>
      </c>
      <c r="E2136" s="2" t="s">
        <v>31</v>
      </c>
      <c r="F2136" s="2" t="s">
        <v>80</v>
      </c>
      <c r="G2136" s="3">
        <v>44974</v>
      </c>
      <c r="H2136" s="3">
        <v>45000</v>
      </c>
      <c r="I2136" s="2">
        <v>26</v>
      </c>
      <c r="J2136" s="2" t="s">
        <v>123</v>
      </c>
      <c r="K2136" s="2" t="s">
        <v>251</v>
      </c>
      <c r="L2136" s="2" t="s">
        <v>125</v>
      </c>
      <c r="M2136" s="2" t="s">
        <v>61</v>
      </c>
      <c r="N2136" s="2" t="s">
        <v>109</v>
      </c>
      <c r="O2136" s="2" t="s">
        <v>68</v>
      </c>
      <c r="P2136" s="2">
        <v>382</v>
      </c>
      <c r="Q2136" s="2" t="s">
        <v>39</v>
      </c>
      <c r="R2136" s="2" t="s">
        <v>136</v>
      </c>
      <c r="S2136" s="2">
        <v>193136</v>
      </c>
      <c r="T2136" s="2">
        <v>0</v>
      </c>
      <c r="U2136" s="2">
        <v>193136</v>
      </c>
      <c r="V2136" s="2">
        <v>148337</v>
      </c>
      <c r="W2136" s="2">
        <v>25316</v>
      </c>
      <c r="X2136" s="2">
        <v>14564</v>
      </c>
      <c r="Y2136" s="2" t="s">
        <v>91</v>
      </c>
      <c r="Z2136" s="2">
        <v>91</v>
      </c>
      <c r="AA2136" s="2">
        <v>2.9</v>
      </c>
      <c r="AB2136" s="2" t="s">
        <v>42</v>
      </c>
    </row>
    <row r="2137" spans="1:28" x14ac:dyDescent="0.25">
      <c r="A2137" s="4" t="s">
        <v>2938</v>
      </c>
      <c r="B2137" s="4" t="s">
        <v>1050</v>
      </c>
      <c r="C2137" s="4">
        <v>38</v>
      </c>
      <c r="D2137" s="4" t="s">
        <v>30</v>
      </c>
      <c r="E2137" s="4" t="s">
        <v>79</v>
      </c>
      <c r="F2137" s="4" t="s">
        <v>94</v>
      </c>
      <c r="G2137" s="5">
        <v>45238</v>
      </c>
      <c r="H2137" s="5">
        <v>45249</v>
      </c>
      <c r="I2137" s="4">
        <v>11</v>
      </c>
      <c r="J2137" s="4" t="s">
        <v>58</v>
      </c>
      <c r="K2137" s="4" t="s">
        <v>88</v>
      </c>
      <c r="L2137" s="4" t="s">
        <v>60</v>
      </c>
      <c r="M2137" s="4" t="s">
        <v>108</v>
      </c>
      <c r="N2137" s="4" t="s">
        <v>109</v>
      </c>
      <c r="O2137" s="4" t="s">
        <v>181</v>
      </c>
      <c r="P2137" s="4">
        <v>17</v>
      </c>
      <c r="Q2137" s="4" t="s">
        <v>50</v>
      </c>
      <c r="R2137" s="4" t="s">
        <v>111</v>
      </c>
      <c r="S2137" s="4">
        <v>89078</v>
      </c>
      <c r="T2137" s="4">
        <v>63324</v>
      </c>
      <c r="U2137" s="4">
        <v>25754</v>
      </c>
      <c r="V2137" s="4">
        <v>80813</v>
      </c>
      <c r="W2137" s="4">
        <v>4268</v>
      </c>
      <c r="X2137" s="4">
        <v>1819</v>
      </c>
      <c r="Y2137" s="4" t="s">
        <v>41</v>
      </c>
      <c r="Z2137" s="4">
        <v>80</v>
      </c>
      <c r="AA2137" s="4">
        <v>2</v>
      </c>
      <c r="AB2137" s="4" t="s">
        <v>42</v>
      </c>
    </row>
    <row r="2138" spans="1:28" x14ac:dyDescent="0.25">
      <c r="A2138" s="2" t="s">
        <v>2939</v>
      </c>
      <c r="B2138" s="2" t="s">
        <v>1346</v>
      </c>
      <c r="C2138" s="2">
        <v>14</v>
      </c>
      <c r="D2138" s="2" t="s">
        <v>30</v>
      </c>
      <c r="E2138" s="2" t="s">
        <v>67</v>
      </c>
      <c r="F2138" s="2" t="s">
        <v>150</v>
      </c>
      <c r="G2138" s="3">
        <v>45464</v>
      </c>
      <c r="H2138" s="3">
        <v>45486</v>
      </c>
      <c r="I2138" s="2">
        <v>22</v>
      </c>
      <c r="J2138" s="2" t="s">
        <v>123</v>
      </c>
      <c r="K2138" s="2" t="s">
        <v>251</v>
      </c>
      <c r="L2138" s="2" t="s">
        <v>125</v>
      </c>
      <c r="M2138" s="2" t="s">
        <v>95</v>
      </c>
      <c r="N2138" s="2" t="s">
        <v>109</v>
      </c>
      <c r="O2138" s="2" t="s">
        <v>135</v>
      </c>
      <c r="P2138" s="2">
        <v>468</v>
      </c>
      <c r="Q2138" s="2" t="s">
        <v>50</v>
      </c>
      <c r="R2138" s="2" t="s">
        <v>51</v>
      </c>
      <c r="S2138" s="2">
        <v>138361</v>
      </c>
      <c r="T2138" s="2">
        <v>66185</v>
      </c>
      <c r="U2138" s="2">
        <v>72176</v>
      </c>
      <c r="V2138" s="2">
        <v>104282</v>
      </c>
      <c r="W2138" s="2">
        <v>18388</v>
      </c>
      <c r="X2138" s="2">
        <v>14841</v>
      </c>
      <c r="Y2138" s="2" t="s">
        <v>41</v>
      </c>
      <c r="Z2138" s="2">
        <v>78</v>
      </c>
      <c r="AA2138" s="2">
        <v>2.8</v>
      </c>
      <c r="AB2138" s="2" t="s">
        <v>42</v>
      </c>
    </row>
    <row r="2139" spans="1:28" x14ac:dyDescent="0.25">
      <c r="A2139" s="4" t="s">
        <v>2940</v>
      </c>
      <c r="B2139" s="4" t="s">
        <v>1487</v>
      </c>
      <c r="C2139" s="4">
        <v>70</v>
      </c>
      <c r="D2139" s="4" t="s">
        <v>55</v>
      </c>
      <c r="E2139" s="4" t="s">
        <v>45</v>
      </c>
      <c r="F2139" s="4" t="s">
        <v>94</v>
      </c>
      <c r="G2139" s="5">
        <v>45226</v>
      </c>
      <c r="H2139" s="5">
        <v>45242</v>
      </c>
      <c r="I2139" s="4">
        <v>16</v>
      </c>
      <c r="J2139" s="4" t="s">
        <v>202</v>
      </c>
      <c r="K2139" s="4" t="s">
        <v>225</v>
      </c>
      <c r="L2139" s="4" t="s">
        <v>226</v>
      </c>
      <c r="M2139" s="4" t="s">
        <v>101</v>
      </c>
      <c r="N2139" s="4" t="s">
        <v>62</v>
      </c>
      <c r="O2139" s="4" t="s">
        <v>102</v>
      </c>
      <c r="P2139" s="4">
        <v>13</v>
      </c>
      <c r="Q2139" s="4" t="s">
        <v>39</v>
      </c>
      <c r="R2139" s="4" t="s">
        <v>111</v>
      </c>
      <c r="S2139" s="4">
        <v>150341</v>
      </c>
      <c r="T2139" s="4">
        <v>97123</v>
      </c>
      <c r="U2139" s="4">
        <v>53218</v>
      </c>
      <c r="V2139" s="4">
        <v>128598</v>
      </c>
      <c r="W2139" s="4">
        <v>7755</v>
      </c>
      <c r="X2139" s="4">
        <v>12812</v>
      </c>
      <c r="Y2139" s="4" t="s">
        <v>41</v>
      </c>
      <c r="Z2139" s="4">
        <v>75</v>
      </c>
      <c r="AA2139" s="4">
        <v>4.4000000000000004</v>
      </c>
      <c r="AB2139" s="4" t="s">
        <v>137</v>
      </c>
    </row>
    <row r="2140" spans="1:28" x14ac:dyDescent="0.25">
      <c r="A2140" s="2" t="s">
        <v>2941</v>
      </c>
      <c r="B2140" s="2" t="s">
        <v>886</v>
      </c>
      <c r="C2140" s="2">
        <v>71</v>
      </c>
      <c r="D2140" s="2" t="s">
        <v>30</v>
      </c>
      <c r="E2140" s="2" t="s">
        <v>31</v>
      </c>
      <c r="F2140" s="2" t="s">
        <v>57</v>
      </c>
      <c r="G2140" s="3">
        <v>45497</v>
      </c>
      <c r="H2140" s="3">
        <v>45506</v>
      </c>
      <c r="I2140" s="2">
        <v>9</v>
      </c>
      <c r="J2140" s="2" t="s">
        <v>202</v>
      </c>
      <c r="K2140" s="2" t="s">
        <v>225</v>
      </c>
      <c r="L2140" s="2" t="s">
        <v>226</v>
      </c>
      <c r="M2140" s="2" t="s">
        <v>75</v>
      </c>
      <c r="N2140" s="2" t="s">
        <v>62</v>
      </c>
      <c r="O2140" s="2" t="s">
        <v>168</v>
      </c>
      <c r="P2140" s="2">
        <v>500</v>
      </c>
      <c r="Q2140" s="2" t="s">
        <v>69</v>
      </c>
      <c r="R2140" s="2" t="s">
        <v>51</v>
      </c>
      <c r="S2140" s="2">
        <v>132836</v>
      </c>
      <c r="T2140" s="2">
        <v>89965</v>
      </c>
      <c r="U2140" s="2">
        <v>42871</v>
      </c>
      <c r="V2140" s="2">
        <v>96507</v>
      </c>
      <c r="W2140" s="2">
        <v>23654</v>
      </c>
      <c r="X2140" s="2">
        <v>11212</v>
      </c>
      <c r="Y2140" s="2" t="s">
        <v>91</v>
      </c>
      <c r="Z2140" s="2">
        <v>43</v>
      </c>
      <c r="AA2140" s="2">
        <v>4.2</v>
      </c>
      <c r="AB2140" s="2" t="s">
        <v>42</v>
      </c>
    </row>
    <row r="2141" spans="1:28" x14ac:dyDescent="0.25">
      <c r="A2141" s="4" t="s">
        <v>2942</v>
      </c>
      <c r="B2141" s="4" t="s">
        <v>774</v>
      </c>
      <c r="C2141" s="4">
        <v>54</v>
      </c>
      <c r="D2141" s="4" t="s">
        <v>55</v>
      </c>
      <c r="E2141" s="4" t="s">
        <v>87</v>
      </c>
      <c r="F2141" s="4" t="s">
        <v>57</v>
      </c>
      <c r="G2141" s="5">
        <v>44566</v>
      </c>
      <c r="H2141" s="5">
        <v>44568</v>
      </c>
      <c r="I2141" s="4">
        <v>2</v>
      </c>
      <c r="J2141" s="4" t="s">
        <v>140</v>
      </c>
      <c r="K2141" s="4" t="s">
        <v>167</v>
      </c>
      <c r="L2141" s="4" t="s">
        <v>142</v>
      </c>
      <c r="M2141" s="4" t="s">
        <v>95</v>
      </c>
      <c r="N2141" s="4" t="s">
        <v>118</v>
      </c>
      <c r="O2141" s="4" t="s">
        <v>241</v>
      </c>
      <c r="P2141" s="4">
        <v>350</v>
      </c>
      <c r="Q2141" s="4" t="s">
        <v>39</v>
      </c>
      <c r="R2141" s="4" t="s">
        <v>136</v>
      </c>
      <c r="S2141" s="4">
        <v>145591</v>
      </c>
      <c r="T2141" s="4">
        <v>0</v>
      </c>
      <c r="U2141" s="4">
        <v>145591</v>
      </c>
      <c r="V2141" s="4">
        <v>137733</v>
      </c>
      <c r="W2141" s="4">
        <v>4392</v>
      </c>
      <c r="X2141" s="4">
        <v>637</v>
      </c>
      <c r="Y2141" s="4" t="s">
        <v>41</v>
      </c>
      <c r="Z2141" s="4">
        <v>50</v>
      </c>
      <c r="AA2141" s="4">
        <v>3</v>
      </c>
      <c r="AB2141" s="4" t="s">
        <v>64</v>
      </c>
    </row>
    <row r="2142" spans="1:28" x14ac:dyDescent="0.25">
      <c r="A2142" s="2" t="s">
        <v>2943</v>
      </c>
      <c r="B2142" s="2" t="s">
        <v>1969</v>
      </c>
      <c r="C2142" s="2">
        <v>54</v>
      </c>
      <c r="D2142" s="2" t="s">
        <v>55</v>
      </c>
      <c r="E2142" s="2" t="s">
        <v>45</v>
      </c>
      <c r="F2142" s="2" t="s">
        <v>80</v>
      </c>
      <c r="G2142" s="3">
        <v>45445</v>
      </c>
      <c r="H2142" s="3">
        <v>45448</v>
      </c>
      <c r="I2142" s="2">
        <v>3</v>
      </c>
      <c r="J2142" s="2" t="s">
        <v>140</v>
      </c>
      <c r="K2142" s="2" t="s">
        <v>167</v>
      </c>
      <c r="L2142" s="2" t="s">
        <v>142</v>
      </c>
      <c r="M2142" s="2" t="s">
        <v>36</v>
      </c>
      <c r="N2142" s="2" t="s">
        <v>109</v>
      </c>
      <c r="O2142" s="2" t="s">
        <v>259</v>
      </c>
      <c r="P2142" s="2">
        <v>229</v>
      </c>
      <c r="Q2142" s="2" t="s">
        <v>69</v>
      </c>
      <c r="R2142" s="2" t="s">
        <v>90</v>
      </c>
      <c r="S2142" s="2">
        <v>46592</v>
      </c>
      <c r="T2142" s="2">
        <v>29649</v>
      </c>
      <c r="U2142" s="2">
        <v>16943</v>
      </c>
      <c r="V2142" s="2">
        <v>20350</v>
      </c>
      <c r="W2142" s="2">
        <v>21059</v>
      </c>
      <c r="X2142" s="2">
        <v>3625</v>
      </c>
      <c r="Y2142" s="2" t="s">
        <v>91</v>
      </c>
      <c r="Z2142" s="2">
        <v>56</v>
      </c>
      <c r="AA2142" s="2">
        <v>2.2999999999999998</v>
      </c>
      <c r="AB2142" s="2" t="s">
        <v>137</v>
      </c>
    </row>
    <row r="2143" spans="1:28" x14ac:dyDescent="0.25">
      <c r="A2143" s="4" t="s">
        <v>2944</v>
      </c>
      <c r="B2143" s="4" t="s">
        <v>1457</v>
      </c>
      <c r="C2143" s="4">
        <v>17</v>
      </c>
      <c r="D2143" s="4" t="s">
        <v>30</v>
      </c>
      <c r="E2143" s="4" t="s">
        <v>31</v>
      </c>
      <c r="F2143" s="4" t="s">
        <v>129</v>
      </c>
      <c r="G2143" s="5">
        <v>45075</v>
      </c>
      <c r="H2143" s="5">
        <v>45100</v>
      </c>
      <c r="I2143" s="4">
        <v>25</v>
      </c>
      <c r="J2143" s="4" t="s">
        <v>33</v>
      </c>
      <c r="K2143" s="4" t="s">
        <v>197</v>
      </c>
      <c r="L2143" s="4" t="s">
        <v>198</v>
      </c>
      <c r="M2143" s="4" t="s">
        <v>108</v>
      </c>
      <c r="N2143" s="4" t="s">
        <v>118</v>
      </c>
      <c r="O2143" s="4" t="s">
        <v>571</v>
      </c>
      <c r="P2143" s="4">
        <v>417</v>
      </c>
      <c r="Q2143" s="4" t="s">
        <v>69</v>
      </c>
      <c r="R2143" s="4" t="s">
        <v>40</v>
      </c>
      <c r="S2143" s="4">
        <v>68855</v>
      </c>
      <c r="T2143" s="4">
        <v>48121</v>
      </c>
      <c r="U2143" s="4">
        <v>20734</v>
      </c>
      <c r="V2143" s="4">
        <v>37361</v>
      </c>
      <c r="W2143" s="4">
        <v>13714</v>
      </c>
      <c r="X2143" s="4">
        <v>13898</v>
      </c>
      <c r="Y2143" s="4" t="s">
        <v>41</v>
      </c>
      <c r="Z2143" s="4">
        <v>73</v>
      </c>
      <c r="AA2143" s="4">
        <v>2.2999999999999998</v>
      </c>
      <c r="AB2143" s="4" t="s">
        <v>104</v>
      </c>
    </row>
    <row r="2144" spans="1:28" x14ac:dyDescent="0.25">
      <c r="A2144" s="2" t="s">
        <v>2945</v>
      </c>
      <c r="B2144" s="2" t="s">
        <v>2109</v>
      </c>
      <c r="C2144" s="2">
        <v>13</v>
      </c>
      <c r="D2144" s="2" t="s">
        <v>55</v>
      </c>
      <c r="E2144" s="2" t="s">
        <v>31</v>
      </c>
      <c r="F2144" s="2" t="s">
        <v>32</v>
      </c>
      <c r="G2144" s="3">
        <v>44608</v>
      </c>
      <c r="H2144" s="3">
        <v>44612</v>
      </c>
      <c r="I2144" s="2">
        <v>4</v>
      </c>
      <c r="J2144" s="2" t="s">
        <v>33</v>
      </c>
      <c r="K2144" s="2" t="s">
        <v>81</v>
      </c>
      <c r="L2144" s="2" t="s">
        <v>82</v>
      </c>
      <c r="M2144" s="2" t="s">
        <v>101</v>
      </c>
      <c r="N2144" s="2" t="s">
        <v>37</v>
      </c>
      <c r="O2144" s="2" t="s">
        <v>222</v>
      </c>
      <c r="P2144" s="2">
        <v>321</v>
      </c>
      <c r="Q2144" s="2" t="s">
        <v>103</v>
      </c>
      <c r="R2144" s="2" t="s">
        <v>111</v>
      </c>
      <c r="S2144" s="2">
        <v>85656</v>
      </c>
      <c r="T2144" s="2">
        <v>70075</v>
      </c>
      <c r="U2144" s="2">
        <v>15581</v>
      </c>
      <c r="V2144" s="2">
        <v>69418</v>
      </c>
      <c r="W2144" s="2">
        <v>7119</v>
      </c>
      <c r="X2144" s="2">
        <v>4127</v>
      </c>
      <c r="Y2144" s="2" t="s">
        <v>41</v>
      </c>
      <c r="Z2144" s="2">
        <v>52</v>
      </c>
      <c r="AA2144" s="2">
        <v>3.2</v>
      </c>
      <c r="AB2144" s="2" t="s">
        <v>52</v>
      </c>
    </row>
    <row r="2145" spans="1:28" x14ac:dyDescent="0.25">
      <c r="A2145" s="4" t="s">
        <v>2946</v>
      </c>
      <c r="B2145" s="4" t="s">
        <v>183</v>
      </c>
      <c r="C2145" s="4">
        <v>35</v>
      </c>
      <c r="D2145" s="4" t="s">
        <v>30</v>
      </c>
      <c r="E2145" s="4" t="s">
        <v>79</v>
      </c>
      <c r="F2145" s="4" t="s">
        <v>114</v>
      </c>
      <c r="G2145" s="5">
        <v>44909</v>
      </c>
      <c r="H2145" s="5">
        <v>44915</v>
      </c>
      <c r="I2145" s="4">
        <v>6</v>
      </c>
      <c r="J2145" s="4" t="s">
        <v>202</v>
      </c>
      <c r="K2145" s="4" t="s">
        <v>225</v>
      </c>
      <c r="L2145" s="4" t="s">
        <v>226</v>
      </c>
      <c r="M2145" s="4" t="s">
        <v>83</v>
      </c>
      <c r="N2145" s="4" t="s">
        <v>118</v>
      </c>
      <c r="O2145" s="4" t="s">
        <v>464</v>
      </c>
      <c r="P2145" s="4">
        <v>161</v>
      </c>
      <c r="Q2145" s="4" t="s">
        <v>39</v>
      </c>
      <c r="R2145" s="4" t="s">
        <v>51</v>
      </c>
      <c r="S2145" s="4">
        <v>36768</v>
      </c>
      <c r="T2145" s="4">
        <v>14789</v>
      </c>
      <c r="U2145" s="4">
        <v>21979</v>
      </c>
      <c r="V2145" s="4">
        <v>8568</v>
      </c>
      <c r="W2145" s="4">
        <v>12230</v>
      </c>
      <c r="X2145" s="4">
        <v>12462</v>
      </c>
      <c r="Y2145" s="4" t="s">
        <v>41</v>
      </c>
      <c r="Z2145" s="4">
        <v>98</v>
      </c>
      <c r="AA2145" s="4">
        <v>4.2</v>
      </c>
      <c r="AB2145" s="4" t="s">
        <v>52</v>
      </c>
    </row>
    <row r="2146" spans="1:28" x14ac:dyDescent="0.25">
      <c r="A2146" s="2" t="s">
        <v>2947</v>
      </c>
      <c r="B2146" s="2" t="s">
        <v>1073</v>
      </c>
      <c r="C2146" s="2">
        <v>13</v>
      </c>
      <c r="D2146" s="2" t="s">
        <v>30</v>
      </c>
      <c r="E2146" s="2" t="s">
        <v>31</v>
      </c>
      <c r="F2146" s="2" t="s">
        <v>114</v>
      </c>
      <c r="G2146" s="3">
        <v>44874</v>
      </c>
      <c r="H2146" s="3">
        <v>44885</v>
      </c>
      <c r="I2146" s="2">
        <v>11</v>
      </c>
      <c r="J2146" s="2" t="s">
        <v>33</v>
      </c>
      <c r="K2146" s="2" t="s">
        <v>107</v>
      </c>
      <c r="L2146" s="2" t="s">
        <v>48</v>
      </c>
      <c r="M2146" s="2" t="s">
        <v>143</v>
      </c>
      <c r="N2146" s="2" t="s">
        <v>62</v>
      </c>
      <c r="O2146" s="2" t="s">
        <v>194</v>
      </c>
      <c r="P2146" s="2">
        <v>252</v>
      </c>
      <c r="Q2146" s="2" t="s">
        <v>39</v>
      </c>
      <c r="R2146" s="2" t="s">
        <v>111</v>
      </c>
      <c r="S2146" s="2">
        <v>90038</v>
      </c>
      <c r="T2146" s="2">
        <v>69771</v>
      </c>
      <c r="U2146" s="2">
        <v>20267</v>
      </c>
      <c r="V2146" s="2">
        <v>80153</v>
      </c>
      <c r="W2146" s="2">
        <v>5007</v>
      </c>
      <c r="X2146" s="2">
        <v>1325</v>
      </c>
      <c r="Y2146" s="2" t="s">
        <v>41</v>
      </c>
      <c r="Z2146" s="2">
        <v>98</v>
      </c>
      <c r="AA2146" s="2">
        <v>3</v>
      </c>
      <c r="AB2146" s="2" t="s">
        <v>137</v>
      </c>
    </row>
    <row r="2147" spans="1:28" x14ac:dyDescent="0.25">
      <c r="A2147" s="4" t="s">
        <v>2948</v>
      </c>
      <c r="B2147" s="4" t="s">
        <v>582</v>
      </c>
      <c r="C2147" s="4">
        <v>70</v>
      </c>
      <c r="D2147" s="4" t="s">
        <v>55</v>
      </c>
      <c r="E2147" s="4" t="s">
        <v>45</v>
      </c>
      <c r="F2147" s="4" t="s">
        <v>80</v>
      </c>
      <c r="G2147" s="5">
        <v>45250</v>
      </c>
      <c r="H2147" s="5">
        <v>45253</v>
      </c>
      <c r="I2147" s="4">
        <v>3</v>
      </c>
      <c r="J2147" s="4" t="s">
        <v>33</v>
      </c>
      <c r="K2147" s="4" t="s">
        <v>99</v>
      </c>
      <c r="L2147" s="4" t="s">
        <v>100</v>
      </c>
      <c r="M2147" s="4" t="s">
        <v>101</v>
      </c>
      <c r="N2147" s="4" t="s">
        <v>118</v>
      </c>
      <c r="O2147" s="4" t="s">
        <v>355</v>
      </c>
      <c r="P2147" s="4">
        <v>319</v>
      </c>
      <c r="Q2147" s="4" t="s">
        <v>103</v>
      </c>
      <c r="R2147" s="4" t="s">
        <v>136</v>
      </c>
      <c r="S2147" s="4">
        <v>98594</v>
      </c>
      <c r="T2147" s="4">
        <v>0</v>
      </c>
      <c r="U2147" s="4">
        <v>98594</v>
      </c>
      <c r="V2147" s="4">
        <v>69701</v>
      </c>
      <c r="W2147" s="4">
        <v>21542</v>
      </c>
      <c r="X2147" s="4">
        <v>5700</v>
      </c>
      <c r="Y2147" s="4" t="s">
        <v>91</v>
      </c>
      <c r="Z2147" s="4">
        <v>70</v>
      </c>
      <c r="AA2147" s="4">
        <v>2.6</v>
      </c>
      <c r="AB2147" s="4" t="s">
        <v>42</v>
      </c>
    </row>
    <row r="2148" spans="1:28" x14ac:dyDescent="0.25">
      <c r="A2148" s="2" t="s">
        <v>2949</v>
      </c>
      <c r="B2148" s="2" t="s">
        <v>1046</v>
      </c>
      <c r="C2148" s="2">
        <v>38</v>
      </c>
      <c r="D2148" s="2" t="s">
        <v>30</v>
      </c>
      <c r="E2148" s="2" t="s">
        <v>154</v>
      </c>
      <c r="F2148" s="2" t="s">
        <v>72</v>
      </c>
      <c r="G2148" s="3">
        <v>45657</v>
      </c>
      <c r="H2148" s="3">
        <v>45657</v>
      </c>
      <c r="I2148" s="2">
        <v>1</v>
      </c>
      <c r="J2148" s="2" t="s">
        <v>123</v>
      </c>
      <c r="K2148" s="2" t="s">
        <v>124</v>
      </c>
      <c r="L2148" s="2" t="s">
        <v>125</v>
      </c>
      <c r="M2148" s="2" t="s">
        <v>143</v>
      </c>
      <c r="N2148" s="2" t="s">
        <v>62</v>
      </c>
      <c r="O2148" s="2" t="s">
        <v>591</v>
      </c>
      <c r="P2148" s="2">
        <v>197</v>
      </c>
      <c r="Q2148" s="2" t="s">
        <v>50</v>
      </c>
      <c r="R2148" s="2" t="s">
        <v>90</v>
      </c>
      <c r="S2148" s="2">
        <v>100010</v>
      </c>
      <c r="T2148" s="2">
        <v>60989</v>
      </c>
      <c r="U2148" s="2">
        <v>39021</v>
      </c>
      <c r="V2148" s="2">
        <v>68955</v>
      </c>
      <c r="W2148" s="2">
        <v>24559</v>
      </c>
      <c r="X2148" s="2">
        <v>4804</v>
      </c>
      <c r="Y2148" s="2" t="s">
        <v>41</v>
      </c>
      <c r="Z2148" s="2">
        <v>93</v>
      </c>
      <c r="AA2148" s="2">
        <v>3.5</v>
      </c>
      <c r="AB2148" s="2" t="s">
        <v>104</v>
      </c>
    </row>
    <row r="2149" spans="1:28" x14ac:dyDescent="0.25">
      <c r="A2149" s="4" t="s">
        <v>2950</v>
      </c>
      <c r="B2149" s="4" t="s">
        <v>219</v>
      </c>
      <c r="C2149" s="4">
        <v>42</v>
      </c>
      <c r="D2149" s="4" t="s">
        <v>30</v>
      </c>
      <c r="E2149" s="4" t="s">
        <v>67</v>
      </c>
      <c r="F2149" s="4" t="s">
        <v>129</v>
      </c>
      <c r="G2149" s="5">
        <v>45325</v>
      </c>
      <c r="H2149" s="5">
        <v>45333</v>
      </c>
      <c r="I2149" s="4">
        <v>8</v>
      </c>
      <c r="J2149" s="4" t="s">
        <v>33</v>
      </c>
      <c r="K2149" s="4" t="s">
        <v>197</v>
      </c>
      <c r="L2149" s="4" t="s">
        <v>198</v>
      </c>
      <c r="M2149" s="4" t="s">
        <v>130</v>
      </c>
      <c r="N2149" s="4" t="s">
        <v>109</v>
      </c>
      <c r="O2149" s="4" t="s">
        <v>438</v>
      </c>
      <c r="P2149" s="4">
        <v>113</v>
      </c>
      <c r="Q2149" s="4" t="s">
        <v>69</v>
      </c>
      <c r="R2149" s="4" t="s">
        <v>90</v>
      </c>
      <c r="S2149" s="4">
        <v>44995</v>
      </c>
      <c r="T2149" s="4">
        <v>30799</v>
      </c>
      <c r="U2149" s="4">
        <v>14196</v>
      </c>
      <c r="V2149" s="4">
        <v>35295</v>
      </c>
      <c r="W2149" s="4">
        <v>4706</v>
      </c>
      <c r="X2149" s="4">
        <v>3955</v>
      </c>
      <c r="Y2149" s="4" t="s">
        <v>41</v>
      </c>
      <c r="Z2149" s="4">
        <v>59</v>
      </c>
      <c r="AA2149" s="4">
        <v>2.6</v>
      </c>
      <c r="AB2149" s="4" t="s">
        <v>52</v>
      </c>
    </row>
    <row r="2150" spans="1:28" x14ac:dyDescent="0.25">
      <c r="A2150" s="2" t="s">
        <v>2951</v>
      </c>
      <c r="B2150" s="2" t="s">
        <v>1064</v>
      </c>
      <c r="C2150" s="2">
        <v>66</v>
      </c>
      <c r="D2150" s="2" t="s">
        <v>55</v>
      </c>
      <c r="E2150" s="2" t="s">
        <v>45</v>
      </c>
      <c r="F2150" s="2" t="s">
        <v>80</v>
      </c>
      <c r="G2150" s="3">
        <v>44844</v>
      </c>
      <c r="H2150" s="3">
        <v>44868</v>
      </c>
      <c r="I2150" s="2">
        <v>24</v>
      </c>
      <c r="J2150" s="2" t="s">
        <v>140</v>
      </c>
      <c r="K2150" s="2" t="s">
        <v>141</v>
      </c>
      <c r="L2150" s="2" t="s">
        <v>142</v>
      </c>
      <c r="M2150" s="2" t="s">
        <v>83</v>
      </c>
      <c r="N2150" s="2" t="s">
        <v>62</v>
      </c>
      <c r="O2150" s="2" t="s">
        <v>571</v>
      </c>
      <c r="P2150" s="2">
        <v>28</v>
      </c>
      <c r="Q2150" s="2" t="s">
        <v>50</v>
      </c>
      <c r="R2150" s="2" t="s">
        <v>51</v>
      </c>
      <c r="S2150" s="2">
        <v>156429</v>
      </c>
      <c r="T2150" s="2">
        <v>91319</v>
      </c>
      <c r="U2150" s="2">
        <v>65110</v>
      </c>
      <c r="V2150" s="2">
        <v>127258</v>
      </c>
      <c r="W2150" s="2">
        <v>14090</v>
      </c>
      <c r="X2150" s="2">
        <v>10706</v>
      </c>
      <c r="Y2150" s="2" t="s">
        <v>41</v>
      </c>
      <c r="Z2150" s="2">
        <v>73</v>
      </c>
      <c r="AA2150" s="2">
        <v>4.8</v>
      </c>
      <c r="AB2150" s="2" t="s">
        <v>64</v>
      </c>
    </row>
    <row r="2151" spans="1:28" x14ac:dyDescent="0.25">
      <c r="A2151" s="4" t="s">
        <v>2952</v>
      </c>
      <c r="B2151" s="4" t="s">
        <v>437</v>
      </c>
      <c r="C2151" s="4">
        <v>80</v>
      </c>
      <c r="D2151" s="4" t="s">
        <v>30</v>
      </c>
      <c r="E2151" s="4" t="s">
        <v>79</v>
      </c>
      <c r="F2151" s="4" t="s">
        <v>157</v>
      </c>
      <c r="G2151" s="5">
        <v>44692</v>
      </c>
      <c r="H2151" s="5">
        <v>44699</v>
      </c>
      <c r="I2151" s="4">
        <v>7</v>
      </c>
      <c r="J2151" s="4" t="s">
        <v>58</v>
      </c>
      <c r="K2151" s="4" t="s">
        <v>88</v>
      </c>
      <c r="L2151" s="4" t="s">
        <v>60</v>
      </c>
      <c r="M2151" s="4" t="s">
        <v>83</v>
      </c>
      <c r="N2151" s="4" t="s">
        <v>37</v>
      </c>
      <c r="O2151" s="4" t="s">
        <v>211</v>
      </c>
      <c r="P2151" s="4">
        <v>319</v>
      </c>
      <c r="Q2151" s="4" t="s">
        <v>103</v>
      </c>
      <c r="R2151" s="4" t="s">
        <v>111</v>
      </c>
      <c r="S2151" s="4">
        <v>84595</v>
      </c>
      <c r="T2151" s="4">
        <v>55579</v>
      </c>
      <c r="U2151" s="4">
        <v>29016</v>
      </c>
      <c r="V2151" s="4">
        <v>49012</v>
      </c>
      <c r="W2151" s="4">
        <v>23956</v>
      </c>
      <c r="X2151" s="4">
        <v>7827</v>
      </c>
      <c r="Y2151" s="4" t="s">
        <v>41</v>
      </c>
      <c r="Z2151" s="4">
        <v>72</v>
      </c>
      <c r="AA2151" s="4">
        <v>2.1</v>
      </c>
      <c r="AB2151" s="4" t="s">
        <v>104</v>
      </c>
    </row>
    <row r="2152" spans="1:28" x14ac:dyDescent="0.25">
      <c r="A2152" s="2" t="s">
        <v>2953</v>
      </c>
      <c r="B2152" s="2" t="s">
        <v>1437</v>
      </c>
      <c r="C2152" s="2">
        <v>18</v>
      </c>
      <c r="D2152" s="2" t="s">
        <v>30</v>
      </c>
      <c r="E2152" s="2" t="s">
        <v>87</v>
      </c>
      <c r="F2152" s="2" t="s">
        <v>80</v>
      </c>
      <c r="G2152" s="3">
        <v>44659</v>
      </c>
      <c r="H2152" s="3">
        <v>44681</v>
      </c>
      <c r="I2152" s="2">
        <v>22</v>
      </c>
      <c r="J2152" s="2" t="s">
        <v>58</v>
      </c>
      <c r="K2152" s="2" t="s">
        <v>88</v>
      </c>
      <c r="L2152" s="2" t="s">
        <v>60</v>
      </c>
      <c r="M2152" s="2" t="s">
        <v>143</v>
      </c>
      <c r="N2152" s="2" t="s">
        <v>62</v>
      </c>
      <c r="O2152" s="2" t="s">
        <v>580</v>
      </c>
      <c r="P2152" s="2">
        <v>74</v>
      </c>
      <c r="Q2152" s="2" t="s">
        <v>103</v>
      </c>
      <c r="R2152" s="2" t="s">
        <v>90</v>
      </c>
      <c r="S2152" s="2">
        <v>90708</v>
      </c>
      <c r="T2152" s="2">
        <v>79785</v>
      </c>
      <c r="U2152" s="2">
        <v>10923</v>
      </c>
      <c r="V2152" s="2">
        <v>78912</v>
      </c>
      <c r="W2152" s="2">
        <v>5665</v>
      </c>
      <c r="X2152" s="2">
        <v>2606</v>
      </c>
      <c r="Y2152" s="2" t="s">
        <v>41</v>
      </c>
      <c r="Z2152" s="2">
        <v>55</v>
      </c>
      <c r="AA2152" s="2">
        <v>3.9</v>
      </c>
      <c r="AB2152" s="2" t="s">
        <v>64</v>
      </c>
    </row>
    <row r="2153" spans="1:28" x14ac:dyDescent="0.25">
      <c r="A2153" s="4" t="s">
        <v>2954</v>
      </c>
      <c r="B2153" s="4" t="s">
        <v>960</v>
      </c>
      <c r="C2153" s="4">
        <v>15</v>
      </c>
      <c r="D2153" s="4" t="s">
        <v>30</v>
      </c>
      <c r="E2153" s="4" t="s">
        <v>31</v>
      </c>
      <c r="F2153" s="4" t="s">
        <v>32</v>
      </c>
      <c r="G2153" s="5">
        <v>44790</v>
      </c>
      <c r="H2153" s="5">
        <v>44804</v>
      </c>
      <c r="I2153" s="4">
        <v>14</v>
      </c>
      <c r="J2153" s="4" t="s">
        <v>202</v>
      </c>
      <c r="K2153" s="4" t="s">
        <v>203</v>
      </c>
      <c r="L2153" s="4" t="s">
        <v>204</v>
      </c>
      <c r="M2153" s="4" t="s">
        <v>108</v>
      </c>
      <c r="N2153" s="4" t="s">
        <v>37</v>
      </c>
      <c r="O2153" s="4" t="s">
        <v>471</v>
      </c>
      <c r="P2153" s="4">
        <v>467</v>
      </c>
      <c r="Q2153" s="4" t="s">
        <v>103</v>
      </c>
      <c r="R2153" s="4" t="s">
        <v>51</v>
      </c>
      <c r="S2153" s="4">
        <v>144776</v>
      </c>
      <c r="T2153" s="4">
        <v>62775</v>
      </c>
      <c r="U2153" s="4">
        <v>82001</v>
      </c>
      <c r="V2153" s="4">
        <v>132549</v>
      </c>
      <c r="W2153" s="4">
        <v>2299</v>
      </c>
      <c r="X2153" s="4">
        <v>8491</v>
      </c>
      <c r="Y2153" s="4" t="s">
        <v>41</v>
      </c>
      <c r="Z2153" s="4">
        <v>91</v>
      </c>
      <c r="AA2153" s="4">
        <v>4.2</v>
      </c>
      <c r="AB2153" s="4" t="s">
        <v>52</v>
      </c>
    </row>
    <row r="2154" spans="1:28" x14ac:dyDescent="0.25">
      <c r="A2154" s="2" t="s">
        <v>2955</v>
      </c>
      <c r="B2154" s="2" t="s">
        <v>1426</v>
      </c>
      <c r="C2154" s="2">
        <v>19</v>
      </c>
      <c r="D2154" s="2" t="s">
        <v>55</v>
      </c>
      <c r="E2154" s="2" t="s">
        <v>45</v>
      </c>
      <c r="F2154" s="2" t="s">
        <v>150</v>
      </c>
      <c r="G2154" s="3">
        <v>45491</v>
      </c>
      <c r="H2154" s="3">
        <v>45496</v>
      </c>
      <c r="I2154" s="2">
        <v>5</v>
      </c>
      <c r="J2154" s="2" t="s">
        <v>73</v>
      </c>
      <c r="K2154" s="2" t="s">
        <v>74</v>
      </c>
      <c r="L2154" s="2" t="s">
        <v>73</v>
      </c>
      <c r="M2154" s="2" t="s">
        <v>130</v>
      </c>
      <c r="N2154" s="2" t="s">
        <v>109</v>
      </c>
      <c r="O2154" s="2" t="s">
        <v>227</v>
      </c>
      <c r="P2154" s="2">
        <v>165</v>
      </c>
      <c r="Q2154" s="2" t="s">
        <v>50</v>
      </c>
      <c r="R2154" s="2" t="s">
        <v>51</v>
      </c>
      <c r="S2154" s="2">
        <v>118643</v>
      </c>
      <c r="T2154" s="2">
        <v>58186</v>
      </c>
      <c r="U2154" s="2">
        <v>60457</v>
      </c>
      <c r="V2154" s="2">
        <v>110028</v>
      </c>
      <c r="W2154" s="2">
        <v>1342</v>
      </c>
      <c r="X2154" s="2">
        <v>3478</v>
      </c>
      <c r="Y2154" s="2" t="s">
        <v>41</v>
      </c>
      <c r="Z2154" s="2">
        <v>95</v>
      </c>
      <c r="AA2154" s="2">
        <v>2.5</v>
      </c>
      <c r="AB2154" s="2" t="s">
        <v>52</v>
      </c>
    </row>
    <row r="2155" spans="1:28" x14ac:dyDescent="0.25">
      <c r="A2155" s="4" t="s">
        <v>2956</v>
      </c>
      <c r="B2155" s="4" t="s">
        <v>1097</v>
      </c>
      <c r="C2155" s="4">
        <v>73</v>
      </c>
      <c r="D2155" s="4" t="s">
        <v>30</v>
      </c>
      <c r="E2155" s="4" t="s">
        <v>67</v>
      </c>
      <c r="F2155" s="4" t="s">
        <v>72</v>
      </c>
      <c r="G2155" s="5">
        <v>44984</v>
      </c>
      <c r="H2155" s="5">
        <v>44999</v>
      </c>
      <c r="I2155" s="4">
        <v>15</v>
      </c>
      <c r="J2155" s="4" t="s">
        <v>202</v>
      </c>
      <c r="K2155" s="4" t="s">
        <v>203</v>
      </c>
      <c r="L2155" s="4" t="s">
        <v>204</v>
      </c>
      <c r="M2155" s="4" t="s">
        <v>83</v>
      </c>
      <c r="N2155" s="4" t="s">
        <v>37</v>
      </c>
      <c r="O2155" s="4" t="s">
        <v>497</v>
      </c>
      <c r="P2155" s="4">
        <v>266</v>
      </c>
      <c r="Q2155" s="4" t="s">
        <v>69</v>
      </c>
      <c r="R2155" s="4" t="s">
        <v>136</v>
      </c>
      <c r="S2155" s="4">
        <v>149631</v>
      </c>
      <c r="T2155" s="4">
        <v>0</v>
      </c>
      <c r="U2155" s="4">
        <v>149631</v>
      </c>
      <c r="V2155" s="4">
        <v>125460</v>
      </c>
      <c r="W2155" s="4">
        <v>21547</v>
      </c>
      <c r="X2155" s="4">
        <v>1572</v>
      </c>
      <c r="Y2155" s="4" t="s">
        <v>41</v>
      </c>
      <c r="Z2155" s="4">
        <v>92</v>
      </c>
      <c r="AA2155" s="4">
        <v>4.5</v>
      </c>
      <c r="AB2155" s="4" t="s">
        <v>42</v>
      </c>
    </row>
    <row r="2156" spans="1:28" x14ac:dyDescent="0.25">
      <c r="A2156" s="2" t="s">
        <v>2957</v>
      </c>
      <c r="B2156" s="2" t="s">
        <v>938</v>
      </c>
      <c r="C2156" s="2">
        <v>40</v>
      </c>
      <c r="D2156" s="2" t="s">
        <v>55</v>
      </c>
      <c r="E2156" s="2" t="s">
        <v>122</v>
      </c>
      <c r="F2156" s="2" t="s">
        <v>129</v>
      </c>
      <c r="G2156" s="3">
        <v>45560</v>
      </c>
      <c r="H2156" s="3">
        <v>45587</v>
      </c>
      <c r="I2156" s="2">
        <v>27</v>
      </c>
      <c r="J2156" s="2" t="s">
        <v>140</v>
      </c>
      <c r="K2156" s="2" t="s">
        <v>167</v>
      </c>
      <c r="L2156" s="2" t="s">
        <v>142</v>
      </c>
      <c r="M2156" s="2" t="s">
        <v>101</v>
      </c>
      <c r="N2156" s="2" t="s">
        <v>118</v>
      </c>
      <c r="O2156" s="2" t="s">
        <v>181</v>
      </c>
      <c r="P2156" s="2">
        <v>158</v>
      </c>
      <c r="Q2156" s="2" t="s">
        <v>39</v>
      </c>
      <c r="R2156" s="2" t="s">
        <v>111</v>
      </c>
      <c r="S2156" s="2">
        <v>83903</v>
      </c>
      <c r="T2156" s="2">
        <v>74427</v>
      </c>
      <c r="U2156" s="2">
        <v>9476</v>
      </c>
      <c r="V2156" s="2">
        <v>58710</v>
      </c>
      <c r="W2156" s="2">
        <v>14304</v>
      </c>
      <c r="X2156" s="2">
        <v>6885</v>
      </c>
      <c r="Y2156" s="2" t="s">
        <v>41</v>
      </c>
      <c r="Z2156" s="2">
        <v>74</v>
      </c>
      <c r="AA2156" s="2">
        <v>4.3</v>
      </c>
      <c r="AB2156" s="2" t="s">
        <v>137</v>
      </c>
    </row>
    <row r="2157" spans="1:28" x14ac:dyDescent="0.25">
      <c r="A2157" s="4" t="s">
        <v>2958</v>
      </c>
      <c r="B2157" s="4" t="s">
        <v>1457</v>
      </c>
      <c r="C2157" s="4">
        <v>73</v>
      </c>
      <c r="D2157" s="4" t="s">
        <v>55</v>
      </c>
      <c r="E2157" s="4" t="s">
        <v>67</v>
      </c>
      <c r="F2157" s="4" t="s">
        <v>157</v>
      </c>
      <c r="G2157" s="5">
        <v>45639</v>
      </c>
      <c r="H2157" s="5">
        <v>45645</v>
      </c>
      <c r="I2157" s="4">
        <v>6</v>
      </c>
      <c r="J2157" s="4" t="s">
        <v>33</v>
      </c>
      <c r="K2157" s="4" t="s">
        <v>174</v>
      </c>
      <c r="L2157" s="4" t="s">
        <v>48</v>
      </c>
      <c r="M2157" s="4" t="s">
        <v>61</v>
      </c>
      <c r="N2157" s="4" t="s">
        <v>118</v>
      </c>
      <c r="O2157" s="4" t="s">
        <v>189</v>
      </c>
      <c r="P2157" s="4">
        <v>148</v>
      </c>
      <c r="Q2157" s="4" t="s">
        <v>103</v>
      </c>
      <c r="R2157" s="4" t="s">
        <v>111</v>
      </c>
      <c r="S2157" s="4">
        <v>174884</v>
      </c>
      <c r="T2157" s="4">
        <v>141670</v>
      </c>
      <c r="U2157" s="4">
        <v>33214</v>
      </c>
      <c r="V2157" s="4">
        <v>140759</v>
      </c>
      <c r="W2157" s="4">
        <v>25276</v>
      </c>
      <c r="X2157" s="4">
        <v>5278</v>
      </c>
      <c r="Y2157" s="4" t="s">
        <v>41</v>
      </c>
      <c r="Z2157" s="4">
        <v>55</v>
      </c>
      <c r="AA2157" s="4">
        <v>4.0999999999999996</v>
      </c>
      <c r="AB2157" s="4" t="s">
        <v>64</v>
      </c>
    </row>
    <row r="2158" spans="1:28" x14ac:dyDescent="0.25">
      <c r="A2158" s="2" t="s">
        <v>2959</v>
      </c>
      <c r="B2158" s="2" t="s">
        <v>29</v>
      </c>
      <c r="C2158" s="2">
        <v>71</v>
      </c>
      <c r="D2158" s="2" t="s">
        <v>55</v>
      </c>
      <c r="E2158" s="2" t="s">
        <v>45</v>
      </c>
      <c r="F2158" s="2" t="s">
        <v>114</v>
      </c>
      <c r="G2158" s="3">
        <v>45576</v>
      </c>
      <c r="H2158" s="3">
        <v>45587</v>
      </c>
      <c r="I2158" s="2">
        <v>11</v>
      </c>
      <c r="J2158" s="2" t="s">
        <v>58</v>
      </c>
      <c r="K2158" s="2" t="s">
        <v>59</v>
      </c>
      <c r="L2158" s="2" t="s">
        <v>60</v>
      </c>
      <c r="M2158" s="2" t="s">
        <v>61</v>
      </c>
      <c r="N2158" s="2" t="s">
        <v>118</v>
      </c>
      <c r="O2158" s="2" t="s">
        <v>399</v>
      </c>
      <c r="P2158" s="2">
        <v>176</v>
      </c>
      <c r="Q2158" s="2" t="s">
        <v>103</v>
      </c>
      <c r="R2158" s="2" t="s">
        <v>51</v>
      </c>
      <c r="S2158" s="2">
        <v>161073</v>
      </c>
      <c r="T2158" s="2">
        <v>99408</v>
      </c>
      <c r="U2158" s="2">
        <v>61665</v>
      </c>
      <c r="V2158" s="2">
        <v>124740</v>
      </c>
      <c r="W2158" s="2">
        <v>21865</v>
      </c>
      <c r="X2158" s="2">
        <v>13724</v>
      </c>
      <c r="Y2158" s="2" t="s">
        <v>41</v>
      </c>
      <c r="Z2158" s="2">
        <v>86</v>
      </c>
      <c r="AA2158" s="2">
        <v>2.2000000000000002</v>
      </c>
      <c r="AB2158" s="2" t="s">
        <v>137</v>
      </c>
    </row>
    <row r="2159" spans="1:28" x14ac:dyDescent="0.25">
      <c r="A2159" s="4" t="s">
        <v>2960</v>
      </c>
      <c r="B2159" s="4" t="s">
        <v>670</v>
      </c>
      <c r="C2159" s="4">
        <v>44</v>
      </c>
      <c r="D2159" s="4" t="s">
        <v>30</v>
      </c>
      <c r="E2159" s="4" t="s">
        <v>45</v>
      </c>
      <c r="F2159" s="4" t="s">
        <v>32</v>
      </c>
      <c r="G2159" s="5">
        <v>44616</v>
      </c>
      <c r="H2159" s="5">
        <v>44617</v>
      </c>
      <c r="I2159" s="4">
        <v>1</v>
      </c>
      <c r="J2159" s="4" t="s">
        <v>202</v>
      </c>
      <c r="K2159" s="4" t="s">
        <v>203</v>
      </c>
      <c r="L2159" s="4" t="s">
        <v>204</v>
      </c>
      <c r="M2159" s="4" t="s">
        <v>61</v>
      </c>
      <c r="N2159" s="4" t="s">
        <v>62</v>
      </c>
      <c r="O2159" s="4" t="s">
        <v>438</v>
      </c>
      <c r="P2159" s="4">
        <v>78</v>
      </c>
      <c r="Q2159" s="4" t="s">
        <v>103</v>
      </c>
      <c r="R2159" s="4" t="s">
        <v>40</v>
      </c>
      <c r="S2159" s="4">
        <v>122148</v>
      </c>
      <c r="T2159" s="4">
        <v>72250</v>
      </c>
      <c r="U2159" s="4">
        <v>49898</v>
      </c>
      <c r="V2159" s="4">
        <v>97128</v>
      </c>
      <c r="W2159" s="4">
        <v>20259</v>
      </c>
      <c r="X2159" s="4">
        <v>3373</v>
      </c>
      <c r="Y2159" s="4" t="s">
        <v>41</v>
      </c>
      <c r="Z2159" s="4">
        <v>75</v>
      </c>
      <c r="AA2159" s="4">
        <v>3.1</v>
      </c>
      <c r="AB2159" s="4" t="s">
        <v>137</v>
      </c>
    </row>
    <row r="2160" spans="1:28" x14ac:dyDescent="0.25">
      <c r="A2160" s="2" t="s">
        <v>2961</v>
      </c>
      <c r="B2160" s="2" t="s">
        <v>1838</v>
      </c>
      <c r="C2160" s="2">
        <v>38</v>
      </c>
      <c r="D2160" s="2" t="s">
        <v>55</v>
      </c>
      <c r="E2160" s="2" t="s">
        <v>45</v>
      </c>
      <c r="F2160" s="2" t="s">
        <v>80</v>
      </c>
      <c r="G2160" s="3">
        <v>45262</v>
      </c>
      <c r="H2160" s="3">
        <v>45288</v>
      </c>
      <c r="I2160" s="2">
        <v>26</v>
      </c>
      <c r="J2160" s="2" t="s">
        <v>123</v>
      </c>
      <c r="K2160" s="2" t="s">
        <v>124</v>
      </c>
      <c r="L2160" s="2" t="s">
        <v>125</v>
      </c>
      <c r="M2160" s="2" t="s">
        <v>36</v>
      </c>
      <c r="N2160" s="2" t="s">
        <v>37</v>
      </c>
      <c r="O2160" s="2" t="s">
        <v>119</v>
      </c>
      <c r="P2160" s="2">
        <v>325</v>
      </c>
      <c r="Q2160" s="2" t="s">
        <v>50</v>
      </c>
      <c r="R2160" s="2" t="s">
        <v>111</v>
      </c>
      <c r="S2160" s="2">
        <v>110141</v>
      </c>
      <c r="T2160" s="2">
        <v>76263</v>
      </c>
      <c r="U2160" s="2">
        <v>33878</v>
      </c>
      <c r="V2160" s="2">
        <v>89074</v>
      </c>
      <c r="W2160" s="2">
        <v>6112</v>
      </c>
      <c r="X2160" s="2">
        <v>11150</v>
      </c>
      <c r="Y2160" s="2" t="s">
        <v>41</v>
      </c>
      <c r="Z2160" s="2">
        <v>96</v>
      </c>
      <c r="AA2160" s="2">
        <v>4.2</v>
      </c>
      <c r="AB2160" s="2" t="s">
        <v>64</v>
      </c>
    </row>
    <row r="2161" spans="1:28" x14ac:dyDescent="0.25">
      <c r="A2161" s="4" t="s">
        <v>2962</v>
      </c>
      <c r="B2161" s="4" t="s">
        <v>881</v>
      </c>
      <c r="C2161" s="4">
        <v>24</v>
      </c>
      <c r="D2161" s="4" t="s">
        <v>55</v>
      </c>
      <c r="E2161" s="4" t="s">
        <v>154</v>
      </c>
      <c r="F2161" s="4" t="s">
        <v>57</v>
      </c>
      <c r="G2161" s="5">
        <v>44940</v>
      </c>
      <c r="H2161" s="5">
        <v>44945</v>
      </c>
      <c r="I2161" s="4">
        <v>5</v>
      </c>
      <c r="J2161" s="4" t="s">
        <v>33</v>
      </c>
      <c r="K2161" s="4" t="s">
        <v>197</v>
      </c>
      <c r="L2161" s="4" t="s">
        <v>198</v>
      </c>
      <c r="M2161" s="4" t="s">
        <v>36</v>
      </c>
      <c r="N2161" s="4" t="s">
        <v>62</v>
      </c>
      <c r="O2161" s="4" t="s">
        <v>63</v>
      </c>
      <c r="P2161" s="4">
        <v>464</v>
      </c>
      <c r="Q2161" s="4" t="s">
        <v>103</v>
      </c>
      <c r="R2161" s="4" t="s">
        <v>90</v>
      </c>
      <c r="S2161" s="4">
        <v>141214</v>
      </c>
      <c r="T2161" s="4">
        <v>91354</v>
      </c>
      <c r="U2161" s="4">
        <v>49860</v>
      </c>
      <c r="V2161" s="4">
        <v>124959</v>
      </c>
      <c r="W2161" s="4">
        <v>6306</v>
      </c>
      <c r="X2161" s="4">
        <v>6660</v>
      </c>
      <c r="Y2161" s="4" t="s">
        <v>91</v>
      </c>
      <c r="Z2161" s="4">
        <v>93</v>
      </c>
      <c r="AA2161" s="4">
        <v>4.5999999999999996</v>
      </c>
      <c r="AB2161" s="4" t="s">
        <v>104</v>
      </c>
    </row>
    <row r="2162" spans="1:28" x14ac:dyDescent="0.25">
      <c r="A2162" s="2" t="s">
        <v>2963</v>
      </c>
      <c r="B2162" s="2" t="s">
        <v>1331</v>
      </c>
      <c r="C2162" s="2">
        <v>70</v>
      </c>
      <c r="D2162" s="2" t="s">
        <v>30</v>
      </c>
      <c r="E2162" s="2" t="s">
        <v>67</v>
      </c>
      <c r="F2162" s="2" t="s">
        <v>57</v>
      </c>
      <c r="G2162" s="3">
        <v>45404</v>
      </c>
      <c r="H2162" s="3">
        <v>45419</v>
      </c>
      <c r="I2162" s="2">
        <v>15</v>
      </c>
      <c r="J2162" s="2" t="s">
        <v>73</v>
      </c>
      <c r="K2162" s="2" t="s">
        <v>74</v>
      </c>
      <c r="L2162" s="2" t="s">
        <v>73</v>
      </c>
      <c r="M2162" s="2" t="s">
        <v>143</v>
      </c>
      <c r="N2162" s="2" t="s">
        <v>118</v>
      </c>
      <c r="O2162" s="2" t="s">
        <v>38</v>
      </c>
      <c r="P2162" s="2">
        <v>294</v>
      </c>
      <c r="Q2162" s="2" t="s">
        <v>39</v>
      </c>
      <c r="R2162" s="2" t="s">
        <v>40</v>
      </c>
      <c r="S2162" s="2">
        <v>73995</v>
      </c>
      <c r="T2162" s="2">
        <v>38249</v>
      </c>
      <c r="U2162" s="2">
        <v>35746</v>
      </c>
      <c r="V2162" s="2">
        <v>35727</v>
      </c>
      <c r="W2162" s="2">
        <v>25076</v>
      </c>
      <c r="X2162" s="2">
        <v>9887</v>
      </c>
      <c r="Y2162" s="2" t="s">
        <v>41</v>
      </c>
      <c r="Z2162" s="2">
        <v>79</v>
      </c>
      <c r="AA2162" s="2">
        <v>2.6</v>
      </c>
      <c r="AB2162" s="2" t="s">
        <v>64</v>
      </c>
    </row>
    <row r="2163" spans="1:28" x14ac:dyDescent="0.25">
      <c r="A2163" s="4" t="s">
        <v>2964</v>
      </c>
      <c r="B2163" s="4" t="s">
        <v>970</v>
      </c>
      <c r="C2163" s="4">
        <v>5</v>
      </c>
      <c r="D2163" s="4" t="s">
        <v>30</v>
      </c>
      <c r="E2163" s="4" t="s">
        <v>45</v>
      </c>
      <c r="F2163" s="4" t="s">
        <v>57</v>
      </c>
      <c r="G2163" s="5">
        <v>45374</v>
      </c>
      <c r="H2163" s="5">
        <v>45403</v>
      </c>
      <c r="I2163" s="4">
        <v>29</v>
      </c>
      <c r="J2163" s="4" t="s">
        <v>33</v>
      </c>
      <c r="K2163" s="4" t="s">
        <v>278</v>
      </c>
      <c r="L2163" s="4" t="s">
        <v>279</v>
      </c>
      <c r="M2163" s="4" t="s">
        <v>36</v>
      </c>
      <c r="N2163" s="4" t="s">
        <v>118</v>
      </c>
      <c r="O2163" s="4" t="s">
        <v>553</v>
      </c>
      <c r="P2163" s="4">
        <v>130</v>
      </c>
      <c r="Q2163" s="4" t="s">
        <v>50</v>
      </c>
      <c r="R2163" s="4" t="s">
        <v>136</v>
      </c>
      <c r="S2163" s="4">
        <v>55863</v>
      </c>
      <c r="T2163" s="4">
        <v>0</v>
      </c>
      <c r="U2163" s="4">
        <v>55863</v>
      </c>
      <c r="V2163" s="4">
        <v>38188</v>
      </c>
      <c r="W2163" s="4">
        <v>8124</v>
      </c>
      <c r="X2163" s="4">
        <v>7003</v>
      </c>
      <c r="Y2163" s="4" t="s">
        <v>41</v>
      </c>
      <c r="Z2163" s="4">
        <v>56</v>
      </c>
      <c r="AA2163" s="4">
        <v>2.2000000000000002</v>
      </c>
      <c r="AB2163" s="4" t="s">
        <v>104</v>
      </c>
    </row>
    <row r="2164" spans="1:28" x14ac:dyDescent="0.25">
      <c r="A2164" s="2" t="s">
        <v>2965</v>
      </c>
      <c r="B2164" s="2" t="s">
        <v>1876</v>
      </c>
      <c r="C2164" s="2">
        <v>26</v>
      </c>
      <c r="D2164" s="2" t="s">
        <v>55</v>
      </c>
      <c r="E2164" s="2" t="s">
        <v>67</v>
      </c>
      <c r="F2164" s="2" t="s">
        <v>150</v>
      </c>
      <c r="G2164" s="3">
        <v>45389</v>
      </c>
      <c r="H2164" s="3">
        <v>45413</v>
      </c>
      <c r="I2164" s="2">
        <v>24</v>
      </c>
      <c r="J2164" s="2" t="s">
        <v>33</v>
      </c>
      <c r="K2164" s="2" t="s">
        <v>197</v>
      </c>
      <c r="L2164" s="2" t="s">
        <v>198</v>
      </c>
      <c r="M2164" s="2" t="s">
        <v>130</v>
      </c>
      <c r="N2164" s="2" t="s">
        <v>37</v>
      </c>
      <c r="O2164" s="2" t="s">
        <v>647</v>
      </c>
      <c r="P2164" s="2">
        <v>485</v>
      </c>
      <c r="Q2164" s="2" t="s">
        <v>39</v>
      </c>
      <c r="R2164" s="2" t="s">
        <v>90</v>
      </c>
      <c r="S2164" s="2">
        <v>121203</v>
      </c>
      <c r="T2164" s="2">
        <v>84177</v>
      </c>
      <c r="U2164" s="2">
        <v>37026</v>
      </c>
      <c r="V2164" s="2">
        <v>100047</v>
      </c>
      <c r="W2164" s="2">
        <v>4926</v>
      </c>
      <c r="X2164" s="2">
        <v>11911</v>
      </c>
      <c r="Y2164" s="2" t="s">
        <v>41</v>
      </c>
      <c r="Z2164" s="2">
        <v>70</v>
      </c>
      <c r="AA2164" s="2">
        <v>3.8</v>
      </c>
      <c r="AB2164" s="2" t="s">
        <v>64</v>
      </c>
    </row>
    <row r="2165" spans="1:28" x14ac:dyDescent="0.25">
      <c r="A2165" s="4" t="s">
        <v>2966</v>
      </c>
      <c r="B2165" s="4" t="s">
        <v>582</v>
      </c>
      <c r="C2165" s="4">
        <v>57</v>
      </c>
      <c r="D2165" s="4" t="s">
        <v>55</v>
      </c>
      <c r="E2165" s="4" t="s">
        <v>45</v>
      </c>
      <c r="F2165" s="4" t="s">
        <v>94</v>
      </c>
      <c r="G2165" s="5">
        <v>45443</v>
      </c>
      <c r="H2165" s="5">
        <v>45455</v>
      </c>
      <c r="I2165" s="4">
        <v>12</v>
      </c>
      <c r="J2165" s="4" t="s">
        <v>73</v>
      </c>
      <c r="K2165" s="4" t="s">
        <v>74</v>
      </c>
      <c r="L2165" s="4" t="s">
        <v>73</v>
      </c>
      <c r="M2165" s="4" t="s">
        <v>134</v>
      </c>
      <c r="N2165" s="4" t="s">
        <v>109</v>
      </c>
      <c r="O2165" s="4" t="s">
        <v>455</v>
      </c>
      <c r="P2165" s="4">
        <v>92</v>
      </c>
      <c r="Q2165" s="4" t="s">
        <v>69</v>
      </c>
      <c r="R2165" s="4" t="s">
        <v>111</v>
      </c>
      <c r="S2165" s="4">
        <v>32831</v>
      </c>
      <c r="T2165" s="4">
        <v>27480</v>
      </c>
      <c r="U2165" s="4">
        <v>5351</v>
      </c>
      <c r="V2165" s="4">
        <v>17235</v>
      </c>
      <c r="W2165" s="4">
        <v>10397</v>
      </c>
      <c r="X2165" s="4">
        <v>4055</v>
      </c>
      <c r="Y2165" s="4" t="s">
        <v>91</v>
      </c>
      <c r="Z2165" s="4">
        <v>69</v>
      </c>
      <c r="AA2165" s="4">
        <v>3.4</v>
      </c>
      <c r="AB2165" s="4" t="s">
        <v>64</v>
      </c>
    </row>
    <row r="2166" spans="1:28" x14ac:dyDescent="0.25">
      <c r="A2166" s="2" t="s">
        <v>2967</v>
      </c>
      <c r="B2166" s="2" t="s">
        <v>1243</v>
      </c>
      <c r="C2166" s="2">
        <v>64</v>
      </c>
      <c r="D2166" s="2" t="s">
        <v>30</v>
      </c>
      <c r="E2166" s="2" t="s">
        <v>45</v>
      </c>
      <c r="F2166" s="2" t="s">
        <v>94</v>
      </c>
      <c r="G2166" s="3">
        <v>44956</v>
      </c>
      <c r="H2166" s="3">
        <v>44980</v>
      </c>
      <c r="I2166" s="2">
        <v>24</v>
      </c>
      <c r="J2166" s="2" t="s">
        <v>115</v>
      </c>
      <c r="K2166" s="2" t="s">
        <v>116</v>
      </c>
      <c r="L2166" s="2" t="s">
        <v>117</v>
      </c>
      <c r="M2166" s="2" t="s">
        <v>134</v>
      </c>
      <c r="N2166" s="2" t="s">
        <v>109</v>
      </c>
      <c r="O2166" s="2" t="s">
        <v>144</v>
      </c>
      <c r="P2166" s="2">
        <v>17</v>
      </c>
      <c r="Q2166" s="2" t="s">
        <v>69</v>
      </c>
      <c r="R2166" s="2" t="s">
        <v>111</v>
      </c>
      <c r="S2166" s="2">
        <v>146733</v>
      </c>
      <c r="T2166" s="2">
        <v>117431</v>
      </c>
      <c r="U2166" s="2">
        <v>29302</v>
      </c>
      <c r="V2166" s="2">
        <v>107729</v>
      </c>
      <c r="W2166" s="2">
        <v>23641</v>
      </c>
      <c r="X2166" s="2">
        <v>11004</v>
      </c>
      <c r="Y2166" s="2" t="s">
        <v>41</v>
      </c>
      <c r="Z2166" s="2">
        <v>53</v>
      </c>
      <c r="AA2166" s="2">
        <v>4.7</v>
      </c>
      <c r="AB2166" s="2" t="s">
        <v>42</v>
      </c>
    </row>
    <row r="2167" spans="1:28" x14ac:dyDescent="0.25">
      <c r="A2167" s="4" t="s">
        <v>2968</v>
      </c>
      <c r="B2167" s="4" t="s">
        <v>384</v>
      </c>
      <c r="C2167" s="4">
        <v>18</v>
      </c>
      <c r="D2167" s="4" t="s">
        <v>55</v>
      </c>
      <c r="E2167" s="4" t="s">
        <v>31</v>
      </c>
      <c r="F2167" s="4" t="s">
        <v>57</v>
      </c>
      <c r="G2167" s="5">
        <v>45278</v>
      </c>
      <c r="H2167" s="5">
        <v>45284</v>
      </c>
      <c r="I2167" s="4">
        <v>6</v>
      </c>
      <c r="J2167" s="4" t="s">
        <v>33</v>
      </c>
      <c r="K2167" s="4" t="s">
        <v>278</v>
      </c>
      <c r="L2167" s="4" t="s">
        <v>279</v>
      </c>
      <c r="M2167" s="4" t="s">
        <v>61</v>
      </c>
      <c r="N2167" s="4" t="s">
        <v>109</v>
      </c>
      <c r="O2167" s="4" t="s">
        <v>355</v>
      </c>
      <c r="P2167" s="4">
        <v>76</v>
      </c>
      <c r="Q2167" s="4" t="s">
        <v>39</v>
      </c>
      <c r="R2167" s="4" t="s">
        <v>111</v>
      </c>
      <c r="S2167" s="4">
        <v>150369</v>
      </c>
      <c r="T2167" s="4">
        <v>103147</v>
      </c>
      <c r="U2167" s="4">
        <v>47222</v>
      </c>
      <c r="V2167" s="4">
        <v>134445</v>
      </c>
      <c r="W2167" s="4">
        <v>11991</v>
      </c>
      <c r="X2167" s="4">
        <v>1224</v>
      </c>
      <c r="Y2167" s="4" t="s">
        <v>41</v>
      </c>
      <c r="Z2167" s="4">
        <v>41</v>
      </c>
      <c r="AA2167" s="4">
        <v>3.2</v>
      </c>
      <c r="AB2167" s="4" t="s">
        <v>64</v>
      </c>
    </row>
    <row r="2168" spans="1:28" x14ac:dyDescent="0.25">
      <c r="A2168" s="2" t="s">
        <v>2969</v>
      </c>
      <c r="B2168" s="2" t="s">
        <v>470</v>
      </c>
      <c r="C2168" s="2">
        <v>38</v>
      </c>
      <c r="D2168" s="2" t="s">
        <v>30</v>
      </c>
      <c r="E2168" s="2" t="s">
        <v>67</v>
      </c>
      <c r="F2168" s="2" t="s">
        <v>94</v>
      </c>
      <c r="G2168" s="3">
        <v>45074</v>
      </c>
      <c r="H2168" s="3">
        <v>45088</v>
      </c>
      <c r="I2168" s="2">
        <v>14</v>
      </c>
      <c r="J2168" s="2" t="s">
        <v>33</v>
      </c>
      <c r="K2168" s="2" t="s">
        <v>197</v>
      </c>
      <c r="L2168" s="2" t="s">
        <v>198</v>
      </c>
      <c r="M2168" s="2" t="s">
        <v>36</v>
      </c>
      <c r="N2168" s="2" t="s">
        <v>109</v>
      </c>
      <c r="O2168" s="2" t="s">
        <v>376</v>
      </c>
      <c r="P2168" s="2">
        <v>203</v>
      </c>
      <c r="Q2168" s="2" t="s">
        <v>50</v>
      </c>
      <c r="R2168" s="2" t="s">
        <v>136</v>
      </c>
      <c r="S2168" s="2">
        <v>102457</v>
      </c>
      <c r="T2168" s="2">
        <v>0</v>
      </c>
      <c r="U2168" s="2">
        <v>102457</v>
      </c>
      <c r="V2168" s="2">
        <v>86524</v>
      </c>
      <c r="W2168" s="2">
        <v>5253</v>
      </c>
      <c r="X2168" s="2">
        <v>8152</v>
      </c>
      <c r="Y2168" s="2" t="s">
        <v>41</v>
      </c>
      <c r="Z2168" s="2">
        <v>77</v>
      </c>
      <c r="AA2168" s="2">
        <v>3.7</v>
      </c>
      <c r="AB2168" s="2" t="s">
        <v>104</v>
      </c>
    </row>
    <row r="2169" spans="1:28" x14ac:dyDescent="0.25">
      <c r="A2169" s="4" t="s">
        <v>2970</v>
      </c>
      <c r="B2169" s="4" t="s">
        <v>499</v>
      </c>
      <c r="C2169" s="4">
        <v>43</v>
      </c>
      <c r="D2169" s="4" t="s">
        <v>30</v>
      </c>
      <c r="E2169" s="4" t="s">
        <v>56</v>
      </c>
      <c r="F2169" s="4" t="s">
        <v>114</v>
      </c>
      <c r="G2169" s="5">
        <v>44633</v>
      </c>
      <c r="H2169" s="5">
        <v>44643</v>
      </c>
      <c r="I2169" s="4">
        <v>10</v>
      </c>
      <c r="J2169" s="4" t="s">
        <v>33</v>
      </c>
      <c r="K2169" s="4" t="s">
        <v>174</v>
      </c>
      <c r="L2169" s="4" t="s">
        <v>48</v>
      </c>
      <c r="M2169" s="4" t="s">
        <v>36</v>
      </c>
      <c r="N2169" s="4" t="s">
        <v>62</v>
      </c>
      <c r="O2169" s="4" t="s">
        <v>530</v>
      </c>
      <c r="P2169" s="4">
        <v>439</v>
      </c>
      <c r="Q2169" s="4" t="s">
        <v>103</v>
      </c>
      <c r="R2169" s="4" t="s">
        <v>136</v>
      </c>
      <c r="S2169" s="4">
        <v>87425</v>
      </c>
      <c r="T2169" s="4">
        <v>0</v>
      </c>
      <c r="U2169" s="4">
        <v>87425</v>
      </c>
      <c r="V2169" s="4">
        <v>74084</v>
      </c>
      <c r="W2169" s="4">
        <v>10625</v>
      </c>
      <c r="X2169" s="4">
        <v>1852</v>
      </c>
      <c r="Y2169" s="4" t="s">
        <v>41</v>
      </c>
      <c r="Z2169" s="4">
        <v>56</v>
      </c>
      <c r="AA2169" s="4">
        <v>2.6</v>
      </c>
      <c r="AB2169" s="4" t="s">
        <v>137</v>
      </c>
    </row>
    <row r="2170" spans="1:28" x14ac:dyDescent="0.25">
      <c r="A2170" s="2" t="s">
        <v>2971</v>
      </c>
      <c r="B2170" s="2" t="s">
        <v>903</v>
      </c>
      <c r="C2170" s="2">
        <v>26</v>
      </c>
      <c r="D2170" s="2" t="s">
        <v>30</v>
      </c>
      <c r="E2170" s="2" t="s">
        <v>87</v>
      </c>
      <c r="F2170" s="2" t="s">
        <v>57</v>
      </c>
      <c r="G2170" s="3">
        <v>45238</v>
      </c>
      <c r="H2170" s="3">
        <v>45239</v>
      </c>
      <c r="I2170" s="2">
        <v>1</v>
      </c>
      <c r="J2170" s="2" t="s">
        <v>115</v>
      </c>
      <c r="K2170" s="2" t="s">
        <v>160</v>
      </c>
      <c r="L2170" s="2" t="s">
        <v>117</v>
      </c>
      <c r="M2170" s="2" t="s">
        <v>108</v>
      </c>
      <c r="N2170" s="2" t="s">
        <v>109</v>
      </c>
      <c r="O2170" s="2" t="s">
        <v>102</v>
      </c>
      <c r="P2170" s="2">
        <v>419</v>
      </c>
      <c r="Q2170" s="2" t="s">
        <v>39</v>
      </c>
      <c r="R2170" s="2" t="s">
        <v>136</v>
      </c>
      <c r="S2170" s="2">
        <v>140007</v>
      </c>
      <c r="T2170" s="2">
        <v>0</v>
      </c>
      <c r="U2170" s="2">
        <v>140007</v>
      </c>
      <c r="V2170" s="2">
        <v>109068</v>
      </c>
      <c r="W2170" s="2">
        <v>22874</v>
      </c>
      <c r="X2170" s="2">
        <v>4899</v>
      </c>
      <c r="Y2170" s="2" t="s">
        <v>41</v>
      </c>
      <c r="Z2170" s="2">
        <v>91</v>
      </c>
      <c r="AA2170" s="2">
        <v>3.2</v>
      </c>
      <c r="AB2170" s="2" t="s">
        <v>52</v>
      </c>
    </row>
    <row r="2171" spans="1:28" x14ac:dyDescent="0.25">
      <c r="A2171" s="4" t="s">
        <v>2972</v>
      </c>
      <c r="B2171" s="4" t="s">
        <v>1586</v>
      </c>
      <c r="C2171" s="4">
        <v>16</v>
      </c>
      <c r="D2171" s="4" t="s">
        <v>55</v>
      </c>
      <c r="E2171" s="4" t="s">
        <v>122</v>
      </c>
      <c r="F2171" s="4" t="s">
        <v>114</v>
      </c>
      <c r="G2171" s="5">
        <v>45217</v>
      </c>
      <c r="H2171" s="5">
        <v>45242</v>
      </c>
      <c r="I2171" s="4">
        <v>25</v>
      </c>
      <c r="J2171" s="4" t="s">
        <v>115</v>
      </c>
      <c r="K2171" s="4" t="s">
        <v>116</v>
      </c>
      <c r="L2171" s="4" t="s">
        <v>117</v>
      </c>
      <c r="M2171" s="4" t="s">
        <v>143</v>
      </c>
      <c r="N2171" s="4" t="s">
        <v>109</v>
      </c>
      <c r="O2171" s="4" t="s">
        <v>448</v>
      </c>
      <c r="P2171" s="4">
        <v>310</v>
      </c>
      <c r="Q2171" s="4" t="s">
        <v>69</v>
      </c>
      <c r="R2171" s="4" t="s">
        <v>90</v>
      </c>
      <c r="S2171" s="4">
        <v>66065</v>
      </c>
      <c r="T2171" s="4">
        <v>46314</v>
      </c>
      <c r="U2171" s="4">
        <v>19751</v>
      </c>
      <c r="V2171" s="4">
        <v>25168</v>
      </c>
      <c r="W2171" s="4">
        <v>27680</v>
      </c>
      <c r="X2171" s="4">
        <v>8550</v>
      </c>
      <c r="Y2171" s="4" t="s">
        <v>41</v>
      </c>
      <c r="Z2171" s="4">
        <v>78</v>
      </c>
      <c r="AA2171" s="4">
        <v>4.0999999999999996</v>
      </c>
      <c r="AB2171" s="4" t="s">
        <v>137</v>
      </c>
    </row>
    <row r="2172" spans="1:28" x14ac:dyDescent="0.25">
      <c r="A2172" s="2" t="s">
        <v>2973</v>
      </c>
      <c r="B2172" s="2" t="s">
        <v>586</v>
      </c>
      <c r="C2172" s="2">
        <v>14</v>
      </c>
      <c r="D2172" s="2" t="s">
        <v>30</v>
      </c>
      <c r="E2172" s="2" t="s">
        <v>79</v>
      </c>
      <c r="F2172" s="2" t="s">
        <v>129</v>
      </c>
      <c r="G2172" s="3">
        <v>44860</v>
      </c>
      <c r="H2172" s="3">
        <v>44865</v>
      </c>
      <c r="I2172" s="2">
        <v>5</v>
      </c>
      <c r="J2172" s="2" t="s">
        <v>33</v>
      </c>
      <c r="K2172" s="2" t="s">
        <v>233</v>
      </c>
      <c r="L2172" s="2" t="s">
        <v>35</v>
      </c>
      <c r="M2172" s="2" t="s">
        <v>95</v>
      </c>
      <c r="N2172" s="2" t="s">
        <v>109</v>
      </c>
      <c r="O2172" s="2" t="s">
        <v>492</v>
      </c>
      <c r="P2172" s="2">
        <v>37</v>
      </c>
      <c r="Q2172" s="2" t="s">
        <v>103</v>
      </c>
      <c r="R2172" s="2" t="s">
        <v>136</v>
      </c>
      <c r="S2172" s="2">
        <v>150631</v>
      </c>
      <c r="T2172" s="2">
        <v>0</v>
      </c>
      <c r="U2172" s="2">
        <v>150631</v>
      </c>
      <c r="V2172" s="2">
        <v>130411</v>
      </c>
      <c r="W2172" s="2">
        <v>13788</v>
      </c>
      <c r="X2172" s="2">
        <v>1919</v>
      </c>
      <c r="Y2172" s="2" t="s">
        <v>41</v>
      </c>
      <c r="Z2172" s="2">
        <v>83</v>
      </c>
      <c r="AA2172" s="2">
        <v>3.5</v>
      </c>
      <c r="AB2172" s="2" t="s">
        <v>64</v>
      </c>
    </row>
    <row r="2173" spans="1:28" x14ac:dyDescent="0.25">
      <c r="A2173" s="4" t="s">
        <v>2974</v>
      </c>
      <c r="B2173" s="4" t="s">
        <v>1644</v>
      </c>
      <c r="C2173" s="4">
        <v>51</v>
      </c>
      <c r="D2173" s="4" t="s">
        <v>55</v>
      </c>
      <c r="E2173" s="4" t="s">
        <v>67</v>
      </c>
      <c r="F2173" s="4" t="s">
        <v>114</v>
      </c>
      <c r="G2173" s="5">
        <v>44590</v>
      </c>
      <c r="H2173" s="5">
        <v>44606</v>
      </c>
      <c r="I2173" s="4">
        <v>16</v>
      </c>
      <c r="J2173" s="4" t="s">
        <v>33</v>
      </c>
      <c r="K2173" s="4" t="s">
        <v>278</v>
      </c>
      <c r="L2173" s="4" t="s">
        <v>279</v>
      </c>
      <c r="M2173" s="4" t="s">
        <v>61</v>
      </c>
      <c r="N2173" s="4" t="s">
        <v>109</v>
      </c>
      <c r="O2173" s="4" t="s">
        <v>246</v>
      </c>
      <c r="P2173" s="4">
        <v>264</v>
      </c>
      <c r="Q2173" s="4" t="s">
        <v>39</v>
      </c>
      <c r="R2173" s="4" t="s">
        <v>40</v>
      </c>
      <c r="S2173" s="4">
        <v>154246</v>
      </c>
      <c r="T2173" s="4">
        <v>101044</v>
      </c>
      <c r="U2173" s="4">
        <v>53202</v>
      </c>
      <c r="V2173" s="4">
        <v>128706</v>
      </c>
      <c r="W2173" s="4">
        <v>17752</v>
      </c>
      <c r="X2173" s="4">
        <v>4074</v>
      </c>
      <c r="Y2173" s="4" t="s">
        <v>91</v>
      </c>
      <c r="Z2173" s="4">
        <v>93</v>
      </c>
      <c r="AA2173" s="4">
        <v>3.9</v>
      </c>
      <c r="AB2173" s="4" t="s">
        <v>64</v>
      </c>
    </row>
    <row r="2174" spans="1:28" x14ac:dyDescent="0.25">
      <c r="A2174" s="2" t="s">
        <v>2975</v>
      </c>
      <c r="B2174" s="2" t="s">
        <v>1283</v>
      </c>
      <c r="C2174" s="2">
        <v>58</v>
      </c>
      <c r="D2174" s="2" t="s">
        <v>30</v>
      </c>
      <c r="E2174" s="2" t="s">
        <v>67</v>
      </c>
      <c r="F2174" s="2" t="s">
        <v>94</v>
      </c>
      <c r="G2174" s="3">
        <v>44610</v>
      </c>
      <c r="H2174" s="3">
        <v>44628</v>
      </c>
      <c r="I2174" s="2">
        <v>18</v>
      </c>
      <c r="J2174" s="2" t="s">
        <v>123</v>
      </c>
      <c r="K2174" s="2" t="s">
        <v>251</v>
      </c>
      <c r="L2174" s="2" t="s">
        <v>125</v>
      </c>
      <c r="M2174" s="2" t="s">
        <v>101</v>
      </c>
      <c r="N2174" s="2" t="s">
        <v>118</v>
      </c>
      <c r="O2174" s="2" t="s">
        <v>390</v>
      </c>
      <c r="P2174" s="2">
        <v>123</v>
      </c>
      <c r="Q2174" s="2" t="s">
        <v>69</v>
      </c>
      <c r="R2174" s="2" t="s">
        <v>90</v>
      </c>
      <c r="S2174" s="2">
        <v>40542</v>
      </c>
      <c r="T2174" s="2">
        <v>30218</v>
      </c>
      <c r="U2174" s="2">
        <v>10324</v>
      </c>
      <c r="V2174" s="2">
        <v>17966</v>
      </c>
      <c r="W2174" s="2">
        <v>7108</v>
      </c>
      <c r="X2174" s="2">
        <v>13796</v>
      </c>
      <c r="Y2174" s="2" t="s">
        <v>41</v>
      </c>
      <c r="Z2174" s="2">
        <v>79</v>
      </c>
      <c r="AA2174" s="2">
        <v>2.6</v>
      </c>
      <c r="AB2174" s="2" t="s">
        <v>137</v>
      </c>
    </row>
    <row r="2175" spans="1:28" x14ac:dyDescent="0.25">
      <c r="A2175" s="4" t="s">
        <v>2976</v>
      </c>
      <c r="B2175" s="4" t="s">
        <v>868</v>
      </c>
      <c r="C2175" s="4">
        <v>40</v>
      </c>
      <c r="D2175" s="4" t="s">
        <v>30</v>
      </c>
      <c r="E2175" s="4" t="s">
        <v>122</v>
      </c>
      <c r="F2175" s="4" t="s">
        <v>72</v>
      </c>
      <c r="G2175" s="5">
        <v>44880</v>
      </c>
      <c r="H2175" s="5">
        <v>44898</v>
      </c>
      <c r="I2175" s="4">
        <v>18</v>
      </c>
      <c r="J2175" s="4" t="s">
        <v>33</v>
      </c>
      <c r="K2175" s="4" t="s">
        <v>197</v>
      </c>
      <c r="L2175" s="4" t="s">
        <v>198</v>
      </c>
      <c r="M2175" s="4" t="s">
        <v>61</v>
      </c>
      <c r="N2175" s="4" t="s">
        <v>37</v>
      </c>
      <c r="O2175" s="4" t="s">
        <v>161</v>
      </c>
      <c r="P2175" s="4">
        <v>73</v>
      </c>
      <c r="Q2175" s="4" t="s">
        <v>69</v>
      </c>
      <c r="R2175" s="4" t="s">
        <v>40</v>
      </c>
      <c r="S2175" s="4">
        <v>149073</v>
      </c>
      <c r="T2175" s="4">
        <v>81937</v>
      </c>
      <c r="U2175" s="4">
        <v>67136</v>
      </c>
      <c r="V2175" s="4">
        <v>128803</v>
      </c>
      <c r="W2175" s="4">
        <v>10459</v>
      </c>
      <c r="X2175" s="4">
        <v>7865</v>
      </c>
      <c r="Y2175" s="4" t="s">
        <v>41</v>
      </c>
      <c r="Z2175" s="4">
        <v>77</v>
      </c>
      <c r="AA2175" s="4">
        <v>2.5</v>
      </c>
      <c r="AB2175" s="4" t="s">
        <v>64</v>
      </c>
    </row>
    <row r="2176" spans="1:28" x14ac:dyDescent="0.25">
      <c r="A2176" s="2" t="s">
        <v>2977</v>
      </c>
      <c r="B2176" s="2" t="s">
        <v>948</v>
      </c>
      <c r="C2176" s="2">
        <v>69</v>
      </c>
      <c r="D2176" s="2" t="s">
        <v>30</v>
      </c>
      <c r="E2176" s="2" t="s">
        <v>45</v>
      </c>
      <c r="F2176" s="2" t="s">
        <v>46</v>
      </c>
      <c r="G2176" s="3">
        <v>44885</v>
      </c>
      <c r="H2176" s="3">
        <v>44901</v>
      </c>
      <c r="I2176" s="2">
        <v>16</v>
      </c>
      <c r="J2176" s="2" t="s">
        <v>33</v>
      </c>
      <c r="K2176" s="2" t="s">
        <v>81</v>
      </c>
      <c r="L2176" s="2" t="s">
        <v>82</v>
      </c>
      <c r="M2176" s="2" t="s">
        <v>101</v>
      </c>
      <c r="N2176" s="2" t="s">
        <v>109</v>
      </c>
      <c r="O2176" s="2" t="s">
        <v>126</v>
      </c>
      <c r="P2176" s="2">
        <v>375</v>
      </c>
      <c r="Q2176" s="2" t="s">
        <v>39</v>
      </c>
      <c r="R2176" s="2" t="s">
        <v>40</v>
      </c>
      <c r="S2176" s="2">
        <v>104061</v>
      </c>
      <c r="T2176" s="2">
        <v>47052</v>
      </c>
      <c r="U2176" s="2">
        <v>57009</v>
      </c>
      <c r="V2176" s="2">
        <v>86100</v>
      </c>
      <c r="W2176" s="2">
        <v>1975</v>
      </c>
      <c r="X2176" s="2">
        <v>11625</v>
      </c>
      <c r="Y2176" s="2" t="s">
        <v>41</v>
      </c>
      <c r="Z2176" s="2">
        <v>45</v>
      </c>
      <c r="AA2176" s="2">
        <v>4.3</v>
      </c>
      <c r="AB2176" s="2" t="s">
        <v>42</v>
      </c>
    </row>
    <row r="2177" spans="1:28" x14ac:dyDescent="0.25">
      <c r="A2177" s="4" t="s">
        <v>2978</v>
      </c>
      <c r="B2177" s="4" t="s">
        <v>1291</v>
      </c>
      <c r="C2177" s="4">
        <v>83</v>
      </c>
      <c r="D2177" s="4" t="s">
        <v>55</v>
      </c>
      <c r="E2177" s="4" t="s">
        <v>67</v>
      </c>
      <c r="F2177" s="4" t="s">
        <v>157</v>
      </c>
      <c r="G2177" s="5">
        <v>45588</v>
      </c>
      <c r="H2177" s="5">
        <v>45589</v>
      </c>
      <c r="I2177" s="4">
        <v>1</v>
      </c>
      <c r="J2177" s="4" t="s">
        <v>33</v>
      </c>
      <c r="K2177" s="4" t="s">
        <v>278</v>
      </c>
      <c r="L2177" s="4" t="s">
        <v>279</v>
      </c>
      <c r="M2177" s="4" t="s">
        <v>130</v>
      </c>
      <c r="N2177" s="4" t="s">
        <v>62</v>
      </c>
      <c r="O2177" s="4" t="s">
        <v>246</v>
      </c>
      <c r="P2177" s="4">
        <v>320</v>
      </c>
      <c r="Q2177" s="4" t="s">
        <v>39</v>
      </c>
      <c r="R2177" s="4" t="s">
        <v>40</v>
      </c>
      <c r="S2177" s="4">
        <v>140474</v>
      </c>
      <c r="T2177" s="4">
        <v>62367</v>
      </c>
      <c r="U2177" s="4">
        <v>78107</v>
      </c>
      <c r="V2177" s="4">
        <v>108294</v>
      </c>
      <c r="W2177" s="4">
        <v>24697</v>
      </c>
      <c r="X2177" s="4">
        <v>3399</v>
      </c>
      <c r="Y2177" s="4" t="s">
        <v>41</v>
      </c>
      <c r="Z2177" s="4">
        <v>59</v>
      </c>
      <c r="AA2177" s="4">
        <v>3</v>
      </c>
      <c r="AB2177" s="4" t="s">
        <v>64</v>
      </c>
    </row>
    <row r="2178" spans="1:28" x14ac:dyDescent="0.25">
      <c r="A2178" s="2" t="s">
        <v>2979</v>
      </c>
      <c r="B2178" s="2" t="s">
        <v>2712</v>
      </c>
      <c r="C2178" s="2">
        <v>51</v>
      </c>
      <c r="D2178" s="2" t="s">
        <v>30</v>
      </c>
      <c r="E2178" s="2" t="s">
        <v>154</v>
      </c>
      <c r="F2178" s="2" t="s">
        <v>114</v>
      </c>
      <c r="G2178" s="3">
        <v>45562</v>
      </c>
      <c r="H2178" s="3">
        <v>45570</v>
      </c>
      <c r="I2178" s="2">
        <v>8</v>
      </c>
      <c r="J2178" s="2" t="s">
        <v>140</v>
      </c>
      <c r="K2178" s="2" t="s">
        <v>141</v>
      </c>
      <c r="L2178" s="2" t="s">
        <v>142</v>
      </c>
      <c r="M2178" s="2" t="s">
        <v>143</v>
      </c>
      <c r="N2178" s="2" t="s">
        <v>109</v>
      </c>
      <c r="O2178" s="2" t="s">
        <v>509</v>
      </c>
      <c r="P2178" s="2">
        <v>410</v>
      </c>
      <c r="Q2178" s="2" t="s">
        <v>50</v>
      </c>
      <c r="R2178" s="2" t="s">
        <v>136</v>
      </c>
      <c r="S2178" s="2">
        <v>79858</v>
      </c>
      <c r="T2178" s="2">
        <v>0</v>
      </c>
      <c r="U2178" s="2">
        <v>79858</v>
      </c>
      <c r="V2178" s="2">
        <v>67419</v>
      </c>
      <c r="W2178" s="2">
        <v>5784</v>
      </c>
      <c r="X2178" s="2">
        <v>5744</v>
      </c>
      <c r="Y2178" s="2" t="s">
        <v>41</v>
      </c>
      <c r="Z2178" s="2">
        <v>65</v>
      </c>
      <c r="AA2178" s="2">
        <v>3.9</v>
      </c>
      <c r="AB2178" s="2" t="s">
        <v>42</v>
      </c>
    </row>
    <row r="2179" spans="1:28" x14ac:dyDescent="0.25">
      <c r="A2179" s="4" t="s">
        <v>2980</v>
      </c>
      <c r="B2179" s="4" t="s">
        <v>675</v>
      </c>
      <c r="C2179" s="4">
        <v>77</v>
      </c>
      <c r="D2179" s="4" t="s">
        <v>30</v>
      </c>
      <c r="E2179" s="4" t="s">
        <v>79</v>
      </c>
      <c r="F2179" s="4" t="s">
        <v>80</v>
      </c>
      <c r="G2179" s="5">
        <v>44759</v>
      </c>
      <c r="H2179" s="5">
        <v>44762</v>
      </c>
      <c r="I2179" s="4">
        <v>3</v>
      </c>
      <c r="J2179" s="4" t="s">
        <v>115</v>
      </c>
      <c r="K2179" s="4" t="s">
        <v>116</v>
      </c>
      <c r="L2179" s="4" t="s">
        <v>117</v>
      </c>
      <c r="M2179" s="4" t="s">
        <v>36</v>
      </c>
      <c r="N2179" s="4" t="s">
        <v>37</v>
      </c>
      <c r="O2179" s="4" t="s">
        <v>194</v>
      </c>
      <c r="P2179" s="4">
        <v>205</v>
      </c>
      <c r="Q2179" s="4" t="s">
        <v>39</v>
      </c>
      <c r="R2179" s="4" t="s">
        <v>136</v>
      </c>
      <c r="S2179" s="4">
        <v>124569</v>
      </c>
      <c r="T2179" s="4">
        <v>0</v>
      </c>
      <c r="U2179" s="4">
        <v>124569</v>
      </c>
      <c r="V2179" s="4">
        <v>90194</v>
      </c>
      <c r="W2179" s="4">
        <v>29794</v>
      </c>
      <c r="X2179" s="4">
        <v>2240</v>
      </c>
      <c r="Y2179" s="4" t="s">
        <v>41</v>
      </c>
      <c r="Z2179" s="4">
        <v>67</v>
      </c>
      <c r="AA2179" s="4">
        <v>3.3</v>
      </c>
      <c r="AB2179" s="4" t="s">
        <v>104</v>
      </c>
    </row>
    <row r="2180" spans="1:28" x14ac:dyDescent="0.25">
      <c r="A2180" s="2" t="s">
        <v>2981</v>
      </c>
      <c r="B2180" s="2" t="s">
        <v>273</v>
      </c>
      <c r="C2180" s="2">
        <v>64</v>
      </c>
      <c r="D2180" s="2" t="s">
        <v>30</v>
      </c>
      <c r="E2180" s="2" t="s">
        <v>154</v>
      </c>
      <c r="F2180" s="2" t="s">
        <v>72</v>
      </c>
      <c r="G2180" s="3">
        <v>45393</v>
      </c>
      <c r="H2180" s="3">
        <v>45406</v>
      </c>
      <c r="I2180" s="2">
        <v>13</v>
      </c>
      <c r="J2180" s="2" t="s">
        <v>58</v>
      </c>
      <c r="K2180" s="2" t="s">
        <v>59</v>
      </c>
      <c r="L2180" s="2" t="s">
        <v>60</v>
      </c>
      <c r="M2180" s="2" t="s">
        <v>36</v>
      </c>
      <c r="N2180" s="2" t="s">
        <v>62</v>
      </c>
      <c r="O2180" s="2" t="s">
        <v>205</v>
      </c>
      <c r="P2180" s="2">
        <v>109</v>
      </c>
      <c r="Q2180" s="2" t="s">
        <v>39</v>
      </c>
      <c r="R2180" s="2" t="s">
        <v>90</v>
      </c>
      <c r="S2180" s="2">
        <v>135094</v>
      </c>
      <c r="T2180" s="2">
        <v>104682</v>
      </c>
      <c r="U2180" s="2">
        <v>30412</v>
      </c>
      <c r="V2180" s="2">
        <v>123875</v>
      </c>
      <c r="W2180" s="2">
        <v>6080</v>
      </c>
      <c r="X2180" s="2">
        <v>3667</v>
      </c>
      <c r="Y2180" s="2" t="s">
        <v>91</v>
      </c>
      <c r="Z2180" s="2">
        <v>56</v>
      </c>
      <c r="AA2180" s="2">
        <v>4.9000000000000004</v>
      </c>
      <c r="AB2180" s="2" t="s">
        <v>52</v>
      </c>
    </row>
    <row r="2181" spans="1:28" x14ac:dyDescent="0.25">
      <c r="A2181" s="4" t="s">
        <v>2982</v>
      </c>
      <c r="B2181" s="4" t="s">
        <v>1020</v>
      </c>
      <c r="C2181" s="4">
        <v>11</v>
      </c>
      <c r="D2181" s="4" t="s">
        <v>30</v>
      </c>
      <c r="E2181" s="4" t="s">
        <v>31</v>
      </c>
      <c r="F2181" s="4" t="s">
        <v>114</v>
      </c>
      <c r="G2181" s="5">
        <v>45603</v>
      </c>
      <c r="H2181" s="5">
        <v>45614</v>
      </c>
      <c r="I2181" s="4">
        <v>11</v>
      </c>
      <c r="J2181" s="4" t="s">
        <v>202</v>
      </c>
      <c r="K2181" s="4" t="s">
        <v>203</v>
      </c>
      <c r="L2181" s="4" t="s">
        <v>204</v>
      </c>
      <c r="M2181" s="4" t="s">
        <v>83</v>
      </c>
      <c r="N2181" s="4" t="s">
        <v>37</v>
      </c>
      <c r="O2181" s="4" t="s">
        <v>222</v>
      </c>
      <c r="P2181" s="4">
        <v>318</v>
      </c>
      <c r="Q2181" s="4" t="s">
        <v>69</v>
      </c>
      <c r="R2181" s="4" t="s">
        <v>51</v>
      </c>
      <c r="S2181" s="4">
        <v>143785</v>
      </c>
      <c r="T2181" s="4">
        <v>75026</v>
      </c>
      <c r="U2181" s="4">
        <v>68759</v>
      </c>
      <c r="V2181" s="4">
        <v>104376</v>
      </c>
      <c r="W2181" s="4">
        <v>28025</v>
      </c>
      <c r="X2181" s="4">
        <v>7257</v>
      </c>
      <c r="Y2181" s="4" t="s">
        <v>41</v>
      </c>
      <c r="Z2181" s="4">
        <v>48</v>
      </c>
      <c r="AA2181" s="4">
        <v>2.6</v>
      </c>
      <c r="AB2181" s="4" t="s">
        <v>52</v>
      </c>
    </row>
    <row r="2182" spans="1:28" x14ac:dyDescent="0.25">
      <c r="A2182" s="2" t="s">
        <v>2983</v>
      </c>
      <c r="B2182" s="2" t="s">
        <v>201</v>
      </c>
      <c r="C2182" s="2">
        <v>78</v>
      </c>
      <c r="D2182" s="2" t="s">
        <v>30</v>
      </c>
      <c r="E2182" s="2" t="s">
        <v>56</v>
      </c>
      <c r="F2182" s="2" t="s">
        <v>46</v>
      </c>
      <c r="G2182" s="3">
        <v>45042</v>
      </c>
      <c r="H2182" s="3">
        <v>45057</v>
      </c>
      <c r="I2182" s="2">
        <v>15</v>
      </c>
      <c r="J2182" s="2" t="s">
        <v>123</v>
      </c>
      <c r="K2182" s="2" t="s">
        <v>251</v>
      </c>
      <c r="L2182" s="2" t="s">
        <v>125</v>
      </c>
      <c r="M2182" s="2" t="s">
        <v>61</v>
      </c>
      <c r="N2182" s="2" t="s">
        <v>118</v>
      </c>
      <c r="O2182" s="2" t="s">
        <v>181</v>
      </c>
      <c r="P2182" s="2">
        <v>311</v>
      </c>
      <c r="Q2182" s="2" t="s">
        <v>69</v>
      </c>
      <c r="R2182" s="2" t="s">
        <v>111</v>
      </c>
      <c r="S2182" s="2">
        <v>66019</v>
      </c>
      <c r="T2182" s="2">
        <v>49464</v>
      </c>
      <c r="U2182" s="2">
        <v>16555</v>
      </c>
      <c r="V2182" s="2">
        <v>45719</v>
      </c>
      <c r="W2182" s="2">
        <v>15084</v>
      </c>
      <c r="X2182" s="2">
        <v>3736</v>
      </c>
      <c r="Y2182" s="2" t="s">
        <v>41</v>
      </c>
      <c r="Z2182" s="2">
        <v>57</v>
      </c>
      <c r="AA2182" s="2">
        <v>4.0999999999999996</v>
      </c>
      <c r="AB2182" s="2" t="s">
        <v>52</v>
      </c>
    </row>
    <row r="2183" spans="1:28" x14ac:dyDescent="0.25">
      <c r="A2183" s="4" t="s">
        <v>2984</v>
      </c>
      <c r="B2183" s="4" t="s">
        <v>956</v>
      </c>
      <c r="C2183" s="4">
        <v>23</v>
      </c>
      <c r="D2183" s="4" t="s">
        <v>55</v>
      </c>
      <c r="E2183" s="4" t="s">
        <v>154</v>
      </c>
      <c r="F2183" s="4" t="s">
        <v>46</v>
      </c>
      <c r="G2183" s="5">
        <v>44830</v>
      </c>
      <c r="H2183" s="5">
        <v>44851</v>
      </c>
      <c r="I2183" s="4">
        <v>21</v>
      </c>
      <c r="J2183" s="4" t="s">
        <v>33</v>
      </c>
      <c r="K2183" s="4" t="s">
        <v>34</v>
      </c>
      <c r="L2183" s="4" t="s">
        <v>35</v>
      </c>
      <c r="M2183" s="4" t="s">
        <v>83</v>
      </c>
      <c r="N2183" s="4" t="s">
        <v>109</v>
      </c>
      <c r="O2183" s="4" t="s">
        <v>205</v>
      </c>
      <c r="P2183" s="4">
        <v>343</v>
      </c>
      <c r="Q2183" s="4" t="s">
        <v>69</v>
      </c>
      <c r="R2183" s="4" t="s">
        <v>40</v>
      </c>
      <c r="S2183" s="4">
        <v>93202</v>
      </c>
      <c r="T2183" s="4">
        <v>49967</v>
      </c>
      <c r="U2183" s="4">
        <v>43235</v>
      </c>
      <c r="V2183" s="4">
        <v>72468</v>
      </c>
      <c r="W2183" s="4">
        <v>15541</v>
      </c>
      <c r="X2183" s="4">
        <v>3842</v>
      </c>
      <c r="Y2183" s="4" t="s">
        <v>91</v>
      </c>
      <c r="Z2183" s="4">
        <v>82</v>
      </c>
      <c r="AA2183" s="4">
        <v>2.5</v>
      </c>
      <c r="AB2183" s="4" t="s">
        <v>52</v>
      </c>
    </row>
    <row r="2184" spans="1:28" x14ac:dyDescent="0.25">
      <c r="A2184" s="2" t="s">
        <v>2985</v>
      </c>
      <c r="B2184" s="2" t="s">
        <v>66</v>
      </c>
      <c r="C2184" s="2">
        <v>76</v>
      </c>
      <c r="D2184" s="2" t="s">
        <v>30</v>
      </c>
      <c r="E2184" s="2" t="s">
        <v>122</v>
      </c>
      <c r="F2184" s="2" t="s">
        <v>94</v>
      </c>
      <c r="G2184" s="3">
        <v>44983</v>
      </c>
      <c r="H2184" s="3">
        <v>44991</v>
      </c>
      <c r="I2184" s="2">
        <v>8</v>
      </c>
      <c r="J2184" s="2" t="s">
        <v>123</v>
      </c>
      <c r="K2184" s="2" t="s">
        <v>124</v>
      </c>
      <c r="L2184" s="2" t="s">
        <v>125</v>
      </c>
      <c r="M2184" s="2" t="s">
        <v>36</v>
      </c>
      <c r="N2184" s="2" t="s">
        <v>62</v>
      </c>
      <c r="O2184" s="2" t="s">
        <v>399</v>
      </c>
      <c r="P2184" s="2">
        <v>107</v>
      </c>
      <c r="Q2184" s="2" t="s">
        <v>50</v>
      </c>
      <c r="R2184" s="2" t="s">
        <v>90</v>
      </c>
      <c r="S2184" s="2">
        <v>88598</v>
      </c>
      <c r="T2184" s="2">
        <v>72611</v>
      </c>
      <c r="U2184" s="2">
        <v>15987</v>
      </c>
      <c r="V2184" s="2">
        <v>62039</v>
      </c>
      <c r="W2184" s="2">
        <v>11414</v>
      </c>
      <c r="X2184" s="2">
        <v>11152</v>
      </c>
      <c r="Y2184" s="2" t="s">
        <v>41</v>
      </c>
      <c r="Z2184" s="2">
        <v>85</v>
      </c>
      <c r="AA2184" s="2">
        <v>2.9</v>
      </c>
      <c r="AB2184" s="2" t="s">
        <v>64</v>
      </c>
    </row>
    <row r="2185" spans="1:28" x14ac:dyDescent="0.25">
      <c r="A2185" s="4" t="s">
        <v>2986</v>
      </c>
      <c r="B2185" s="4" t="s">
        <v>236</v>
      </c>
      <c r="C2185" s="4">
        <v>14</v>
      </c>
      <c r="D2185" s="4" t="s">
        <v>55</v>
      </c>
      <c r="E2185" s="4" t="s">
        <v>67</v>
      </c>
      <c r="F2185" s="4" t="s">
        <v>32</v>
      </c>
      <c r="G2185" s="5">
        <v>44962</v>
      </c>
      <c r="H2185" s="5">
        <v>44987</v>
      </c>
      <c r="I2185" s="4">
        <v>25</v>
      </c>
      <c r="J2185" s="4" t="s">
        <v>58</v>
      </c>
      <c r="K2185" s="4" t="s">
        <v>88</v>
      </c>
      <c r="L2185" s="4" t="s">
        <v>60</v>
      </c>
      <c r="M2185" s="4" t="s">
        <v>83</v>
      </c>
      <c r="N2185" s="4" t="s">
        <v>62</v>
      </c>
      <c r="O2185" s="4" t="s">
        <v>461</v>
      </c>
      <c r="P2185" s="4">
        <v>444</v>
      </c>
      <c r="Q2185" s="4" t="s">
        <v>39</v>
      </c>
      <c r="R2185" s="4" t="s">
        <v>40</v>
      </c>
      <c r="S2185" s="4">
        <v>152853</v>
      </c>
      <c r="T2185" s="4">
        <v>66082</v>
      </c>
      <c r="U2185" s="4">
        <v>86771</v>
      </c>
      <c r="V2185" s="4">
        <v>137621</v>
      </c>
      <c r="W2185" s="4">
        <v>6451</v>
      </c>
      <c r="X2185" s="4">
        <v>5802</v>
      </c>
      <c r="Y2185" s="4" t="s">
        <v>41</v>
      </c>
      <c r="Z2185" s="4">
        <v>74</v>
      </c>
      <c r="AA2185" s="4">
        <v>3.7</v>
      </c>
      <c r="AB2185" s="4" t="s">
        <v>64</v>
      </c>
    </row>
    <row r="2186" spans="1:28" x14ac:dyDescent="0.25">
      <c r="A2186" s="2" t="s">
        <v>2987</v>
      </c>
      <c r="B2186" s="2" t="s">
        <v>1838</v>
      </c>
      <c r="C2186" s="2">
        <v>9</v>
      </c>
      <c r="D2186" s="2" t="s">
        <v>30</v>
      </c>
      <c r="E2186" s="2" t="s">
        <v>154</v>
      </c>
      <c r="F2186" s="2" t="s">
        <v>72</v>
      </c>
      <c r="G2186" s="3">
        <v>45083</v>
      </c>
      <c r="H2186" s="3">
        <v>45094</v>
      </c>
      <c r="I2186" s="2">
        <v>11</v>
      </c>
      <c r="J2186" s="2" t="s">
        <v>33</v>
      </c>
      <c r="K2186" s="2" t="s">
        <v>99</v>
      </c>
      <c r="L2186" s="2" t="s">
        <v>100</v>
      </c>
      <c r="M2186" s="2" t="s">
        <v>143</v>
      </c>
      <c r="N2186" s="2" t="s">
        <v>118</v>
      </c>
      <c r="O2186" s="2" t="s">
        <v>416</v>
      </c>
      <c r="P2186" s="2">
        <v>61</v>
      </c>
      <c r="Q2186" s="2" t="s">
        <v>103</v>
      </c>
      <c r="R2186" s="2" t="s">
        <v>51</v>
      </c>
      <c r="S2186" s="2">
        <v>71452</v>
      </c>
      <c r="T2186" s="2">
        <v>49413</v>
      </c>
      <c r="U2186" s="2">
        <v>22039</v>
      </c>
      <c r="V2186" s="2">
        <v>31208</v>
      </c>
      <c r="W2186" s="2">
        <v>25789</v>
      </c>
      <c r="X2186" s="2">
        <v>9743</v>
      </c>
      <c r="Y2186" s="2" t="s">
        <v>41</v>
      </c>
      <c r="Z2186" s="2">
        <v>51</v>
      </c>
      <c r="AA2186" s="2">
        <v>3.1</v>
      </c>
      <c r="AB2186" s="2" t="s">
        <v>52</v>
      </c>
    </row>
    <row r="2187" spans="1:28" x14ac:dyDescent="0.25">
      <c r="A2187" s="4" t="s">
        <v>2988</v>
      </c>
      <c r="B2187" s="4" t="s">
        <v>277</v>
      </c>
      <c r="C2187" s="4">
        <v>30</v>
      </c>
      <c r="D2187" s="4" t="s">
        <v>55</v>
      </c>
      <c r="E2187" s="4" t="s">
        <v>79</v>
      </c>
      <c r="F2187" s="4" t="s">
        <v>80</v>
      </c>
      <c r="G2187" s="5">
        <v>45071</v>
      </c>
      <c r="H2187" s="5">
        <v>45095</v>
      </c>
      <c r="I2187" s="4">
        <v>24</v>
      </c>
      <c r="J2187" s="4" t="s">
        <v>33</v>
      </c>
      <c r="K2187" s="4" t="s">
        <v>81</v>
      </c>
      <c r="L2187" s="4" t="s">
        <v>82</v>
      </c>
      <c r="M2187" s="4" t="s">
        <v>36</v>
      </c>
      <c r="N2187" s="4" t="s">
        <v>109</v>
      </c>
      <c r="O2187" s="4" t="s">
        <v>266</v>
      </c>
      <c r="P2187" s="4">
        <v>495</v>
      </c>
      <c r="Q2187" s="4" t="s">
        <v>103</v>
      </c>
      <c r="R2187" s="4" t="s">
        <v>90</v>
      </c>
      <c r="S2187" s="4">
        <v>89057</v>
      </c>
      <c r="T2187" s="4">
        <v>76109</v>
      </c>
      <c r="U2187" s="4">
        <v>12948</v>
      </c>
      <c r="V2187" s="4">
        <v>63467</v>
      </c>
      <c r="W2187" s="4">
        <v>14574</v>
      </c>
      <c r="X2187" s="4">
        <v>8134</v>
      </c>
      <c r="Y2187" s="4" t="s">
        <v>91</v>
      </c>
      <c r="Z2187" s="4">
        <v>46</v>
      </c>
      <c r="AA2187" s="4">
        <v>3.3</v>
      </c>
      <c r="AB2187" s="4" t="s">
        <v>104</v>
      </c>
    </row>
    <row r="2188" spans="1:28" x14ac:dyDescent="0.25">
      <c r="A2188" s="2" t="s">
        <v>2989</v>
      </c>
      <c r="B2188" s="2" t="s">
        <v>188</v>
      </c>
      <c r="C2188" s="2">
        <v>35</v>
      </c>
      <c r="D2188" s="2" t="s">
        <v>55</v>
      </c>
      <c r="E2188" s="2" t="s">
        <v>87</v>
      </c>
      <c r="F2188" s="2" t="s">
        <v>57</v>
      </c>
      <c r="G2188" s="3">
        <v>45553</v>
      </c>
      <c r="H2188" s="3">
        <v>45578</v>
      </c>
      <c r="I2188" s="2">
        <v>25</v>
      </c>
      <c r="J2188" s="2" t="s">
        <v>73</v>
      </c>
      <c r="K2188" s="2" t="s">
        <v>74</v>
      </c>
      <c r="L2188" s="2" t="s">
        <v>73</v>
      </c>
      <c r="M2188" s="2" t="s">
        <v>83</v>
      </c>
      <c r="N2188" s="2" t="s">
        <v>62</v>
      </c>
      <c r="O2188" s="2" t="s">
        <v>331</v>
      </c>
      <c r="P2188" s="2">
        <v>359</v>
      </c>
      <c r="Q2188" s="2" t="s">
        <v>50</v>
      </c>
      <c r="R2188" s="2" t="s">
        <v>111</v>
      </c>
      <c r="S2188" s="2">
        <v>34738</v>
      </c>
      <c r="T2188" s="2">
        <v>30881</v>
      </c>
      <c r="U2188" s="2">
        <v>3857</v>
      </c>
      <c r="V2188" s="2">
        <v>6064</v>
      </c>
      <c r="W2188" s="2">
        <v>14684</v>
      </c>
      <c r="X2188" s="2">
        <v>10420</v>
      </c>
      <c r="Y2188" s="2" t="s">
        <v>41</v>
      </c>
      <c r="Z2188" s="2">
        <v>51</v>
      </c>
      <c r="AA2188" s="2">
        <v>2.2999999999999998</v>
      </c>
      <c r="AB2188" s="2" t="s">
        <v>42</v>
      </c>
    </row>
    <row r="2189" spans="1:28" x14ac:dyDescent="0.25">
      <c r="A2189" s="4" t="s">
        <v>2990</v>
      </c>
      <c r="B2189" s="4" t="s">
        <v>54</v>
      </c>
      <c r="C2189" s="4">
        <v>43</v>
      </c>
      <c r="D2189" s="4" t="s">
        <v>55</v>
      </c>
      <c r="E2189" s="4" t="s">
        <v>67</v>
      </c>
      <c r="F2189" s="4" t="s">
        <v>72</v>
      </c>
      <c r="G2189" s="5">
        <v>45485</v>
      </c>
      <c r="H2189" s="5">
        <v>45490</v>
      </c>
      <c r="I2189" s="4">
        <v>5</v>
      </c>
      <c r="J2189" s="4" t="s">
        <v>33</v>
      </c>
      <c r="K2189" s="4" t="s">
        <v>233</v>
      </c>
      <c r="L2189" s="4" t="s">
        <v>35</v>
      </c>
      <c r="M2189" s="4" t="s">
        <v>83</v>
      </c>
      <c r="N2189" s="4" t="s">
        <v>109</v>
      </c>
      <c r="O2189" s="4" t="s">
        <v>428</v>
      </c>
      <c r="P2189" s="4">
        <v>46</v>
      </c>
      <c r="Q2189" s="4" t="s">
        <v>103</v>
      </c>
      <c r="R2189" s="4" t="s">
        <v>40</v>
      </c>
      <c r="S2189" s="4">
        <v>71307</v>
      </c>
      <c r="T2189" s="4">
        <v>42318</v>
      </c>
      <c r="U2189" s="4">
        <v>28989</v>
      </c>
      <c r="V2189" s="4">
        <v>56216</v>
      </c>
      <c r="W2189" s="4">
        <v>3135</v>
      </c>
      <c r="X2189" s="4">
        <v>10590</v>
      </c>
      <c r="Y2189" s="4" t="s">
        <v>41</v>
      </c>
      <c r="Z2189" s="4">
        <v>75</v>
      </c>
      <c r="AA2189" s="4">
        <v>4.8</v>
      </c>
      <c r="AB2189" s="4" t="s">
        <v>137</v>
      </c>
    </row>
    <row r="2190" spans="1:28" x14ac:dyDescent="0.25">
      <c r="A2190" s="2" t="s">
        <v>2991</v>
      </c>
      <c r="B2190" s="2" t="s">
        <v>517</v>
      </c>
      <c r="C2190" s="2">
        <v>54</v>
      </c>
      <c r="D2190" s="2" t="s">
        <v>30</v>
      </c>
      <c r="E2190" s="2" t="s">
        <v>87</v>
      </c>
      <c r="F2190" s="2" t="s">
        <v>46</v>
      </c>
      <c r="G2190" s="3">
        <v>44591</v>
      </c>
      <c r="H2190" s="3">
        <v>44620</v>
      </c>
      <c r="I2190" s="2">
        <v>29</v>
      </c>
      <c r="J2190" s="2" t="s">
        <v>33</v>
      </c>
      <c r="K2190" s="2" t="s">
        <v>34</v>
      </c>
      <c r="L2190" s="2" t="s">
        <v>35</v>
      </c>
      <c r="M2190" s="2" t="s">
        <v>143</v>
      </c>
      <c r="N2190" s="2" t="s">
        <v>118</v>
      </c>
      <c r="O2190" s="2" t="s">
        <v>248</v>
      </c>
      <c r="P2190" s="2">
        <v>450</v>
      </c>
      <c r="Q2190" s="2" t="s">
        <v>69</v>
      </c>
      <c r="R2190" s="2" t="s">
        <v>111</v>
      </c>
      <c r="S2190" s="2">
        <v>118578</v>
      </c>
      <c r="T2190" s="2">
        <v>80414</v>
      </c>
      <c r="U2190" s="2">
        <v>38164</v>
      </c>
      <c r="V2190" s="2">
        <v>92785</v>
      </c>
      <c r="W2190" s="2">
        <v>11689</v>
      </c>
      <c r="X2190" s="2">
        <v>13595</v>
      </c>
      <c r="Y2190" s="2" t="s">
        <v>41</v>
      </c>
      <c r="Z2190" s="2">
        <v>67</v>
      </c>
      <c r="AA2190" s="2">
        <v>2.2999999999999998</v>
      </c>
      <c r="AB2190" s="2" t="s">
        <v>64</v>
      </c>
    </row>
    <row r="2191" spans="1:28" x14ac:dyDescent="0.25">
      <c r="A2191" s="4" t="s">
        <v>2992</v>
      </c>
      <c r="B2191" s="4" t="s">
        <v>2667</v>
      </c>
      <c r="C2191" s="4">
        <v>11</v>
      </c>
      <c r="D2191" s="4" t="s">
        <v>55</v>
      </c>
      <c r="E2191" s="4" t="s">
        <v>87</v>
      </c>
      <c r="F2191" s="4" t="s">
        <v>129</v>
      </c>
      <c r="G2191" s="5">
        <v>45337</v>
      </c>
      <c r="H2191" s="5">
        <v>45353</v>
      </c>
      <c r="I2191" s="4">
        <v>16</v>
      </c>
      <c r="J2191" s="4" t="s">
        <v>33</v>
      </c>
      <c r="K2191" s="4" t="s">
        <v>47</v>
      </c>
      <c r="L2191" s="4" t="s">
        <v>48</v>
      </c>
      <c r="M2191" s="4" t="s">
        <v>95</v>
      </c>
      <c r="N2191" s="4" t="s">
        <v>37</v>
      </c>
      <c r="O2191" s="4" t="s">
        <v>431</v>
      </c>
      <c r="P2191" s="4">
        <v>324</v>
      </c>
      <c r="Q2191" s="4" t="s">
        <v>69</v>
      </c>
      <c r="R2191" s="4" t="s">
        <v>51</v>
      </c>
      <c r="S2191" s="4">
        <v>92345</v>
      </c>
      <c r="T2191" s="4">
        <v>46794</v>
      </c>
      <c r="U2191" s="4">
        <v>45551</v>
      </c>
      <c r="V2191" s="4">
        <v>82141</v>
      </c>
      <c r="W2191" s="4">
        <v>3916</v>
      </c>
      <c r="X2191" s="4">
        <v>4727</v>
      </c>
      <c r="Y2191" s="4" t="s">
        <v>41</v>
      </c>
      <c r="Z2191" s="4">
        <v>43</v>
      </c>
      <c r="AA2191" s="4">
        <v>3.8</v>
      </c>
      <c r="AB2191" s="4" t="s">
        <v>137</v>
      </c>
    </row>
    <row r="2192" spans="1:28" x14ac:dyDescent="0.25">
      <c r="A2192" s="2" t="s">
        <v>2993</v>
      </c>
      <c r="B2192" s="2" t="s">
        <v>1107</v>
      </c>
      <c r="C2192" s="2">
        <v>12</v>
      </c>
      <c r="D2192" s="2" t="s">
        <v>55</v>
      </c>
      <c r="E2192" s="2" t="s">
        <v>45</v>
      </c>
      <c r="F2192" s="2" t="s">
        <v>80</v>
      </c>
      <c r="G2192" s="3">
        <v>44890</v>
      </c>
      <c r="H2192" s="3">
        <v>44907</v>
      </c>
      <c r="I2192" s="2">
        <v>17</v>
      </c>
      <c r="J2192" s="2" t="s">
        <v>202</v>
      </c>
      <c r="K2192" s="2" t="s">
        <v>225</v>
      </c>
      <c r="L2192" s="2" t="s">
        <v>226</v>
      </c>
      <c r="M2192" s="2" t="s">
        <v>61</v>
      </c>
      <c r="N2192" s="2" t="s">
        <v>62</v>
      </c>
      <c r="O2192" s="2" t="s">
        <v>678</v>
      </c>
      <c r="P2192" s="2">
        <v>317</v>
      </c>
      <c r="Q2192" s="2" t="s">
        <v>103</v>
      </c>
      <c r="R2192" s="2" t="s">
        <v>111</v>
      </c>
      <c r="S2192" s="2">
        <v>164244</v>
      </c>
      <c r="T2192" s="2">
        <v>108533</v>
      </c>
      <c r="U2192" s="2">
        <v>55711</v>
      </c>
      <c r="V2192" s="2">
        <v>139150</v>
      </c>
      <c r="W2192" s="2">
        <v>8083</v>
      </c>
      <c r="X2192" s="2">
        <v>13983</v>
      </c>
      <c r="Y2192" s="2" t="s">
        <v>41</v>
      </c>
      <c r="Z2192" s="2">
        <v>84</v>
      </c>
      <c r="AA2192" s="2">
        <v>4</v>
      </c>
      <c r="AB2192" s="2" t="s">
        <v>52</v>
      </c>
    </row>
    <row r="2193" spans="1:28" x14ac:dyDescent="0.25">
      <c r="A2193" s="4" t="s">
        <v>2994</v>
      </c>
      <c r="B2193" s="4" t="s">
        <v>615</v>
      </c>
      <c r="C2193" s="4">
        <v>18</v>
      </c>
      <c r="D2193" s="4" t="s">
        <v>30</v>
      </c>
      <c r="E2193" s="4" t="s">
        <v>87</v>
      </c>
      <c r="F2193" s="4" t="s">
        <v>114</v>
      </c>
      <c r="G2193" s="5">
        <v>45068</v>
      </c>
      <c r="H2193" s="5">
        <v>45085</v>
      </c>
      <c r="I2193" s="4">
        <v>17</v>
      </c>
      <c r="J2193" s="4" t="s">
        <v>58</v>
      </c>
      <c r="K2193" s="4" t="s">
        <v>88</v>
      </c>
      <c r="L2193" s="4" t="s">
        <v>60</v>
      </c>
      <c r="M2193" s="4" t="s">
        <v>108</v>
      </c>
      <c r="N2193" s="4" t="s">
        <v>109</v>
      </c>
      <c r="O2193" s="4" t="s">
        <v>406</v>
      </c>
      <c r="P2193" s="4">
        <v>365</v>
      </c>
      <c r="Q2193" s="4" t="s">
        <v>50</v>
      </c>
      <c r="R2193" s="4" t="s">
        <v>40</v>
      </c>
      <c r="S2193" s="4">
        <v>165816</v>
      </c>
      <c r="T2193" s="4">
        <v>87266</v>
      </c>
      <c r="U2193" s="4">
        <v>78550</v>
      </c>
      <c r="V2193" s="4">
        <v>132857</v>
      </c>
      <c r="W2193" s="4">
        <v>23685</v>
      </c>
      <c r="X2193" s="4">
        <v>7168</v>
      </c>
      <c r="Y2193" s="4" t="s">
        <v>41</v>
      </c>
      <c r="Z2193" s="4">
        <v>71</v>
      </c>
      <c r="AA2193" s="4">
        <v>2.2999999999999998</v>
      </c>
      <c r="AB2193" s="4" t="s">
        <v>137</v>
      </c>
    </row>
    <row r="2194" spans="1:28" x14ac:dyDescent="0.25">
      <c r="A2194" s="2" t="s">
        <v>2995</v>
      </c>
      <c r="B2194" s="2" t="s">
        <v>401</v>
      </c>
      <c r="C2194" s="2">
        <v>60</v>
      </c>
      <c r="D2194" s="2" t="s">
        <v>30</v>
      </c>
      <c r="E2194" s="2" t="s">
        <v>31</v>
      </c>
      <c r="F2194" s="2" t="s">
        <v>80</v>
      </c>
      <c r="G2194" s="3">
        <v>45243</v>
      </c>
      <c r="H2194" s="3">
        <v>45255</v>
      </c>
      <c r="I2194" s="2">
        <v>12</v>
      </c>
      <c r="J2194" s="2" t="s">
        <v>115</v>
      </c>
      <c r="K2194" s="2" t="s">
        <v>160</v>
      </c>
      <c r="L2194" s="2" t="s">
        <v>117</v>
      </c>
      <c r="M2194" s="2" t="s">
        <v>134</v>
      </c>
      <c r="N2194" s="2" t="s">
        <v>118</v>
      </c>
      <c r="O2194" s="2" t="s">
        <v>184</v>
      </c>
      <c r="P2194" s="2">
        <v>341</v>
      </c>
      <c r="Q2194" s="2" t="s">
        <v>50</v>
      </c>
      <c r="R2194" s="2" t="s">
        <v>51</v>
      </c>
      <c r="S2194" s="2">
        <v>69290</v>
      </c>
      <c r="T2194" s="2">
        <v>36301</v>
      </c>
      <c r="U2194" s="2">
        <v>32989</v>
      </c>
      <c r="V2194" s="2">
        <v>38676</v>
      </c>
      <c r="W2194" s="2">
        <v>20887</v>
      </c>
      <c r="X2194" s="2">
        <v>4819</v>
      </c>
      <c r="Y2194" s="2" t="s">
        <v>41</v>
      </c>
      <c r="Z2194" s="2">
        <v>43</v>
      </c>
      <c r="AA2194" s="2">
        <v>3.8</v>
      </c>
      <c r="AB2194" s="2" t="s">
        <v>137</v>
      </c>
    </row>
    <row r="2195" spans="1:28" x14ac:dyDescent="0.25">
      <c r="A2195" s="4" t="s">
        <v>2996</v>
      </c>
      <c r="B2195" s="4" t="s">
        <v>1838</v>
      </c>
      <c r="C2195" s="4">
        <v>71</v>
      </c>
      <c r="D2195" s="4" t="s">
        <v>30</v>
      </c>
      <c r="E2195" s="4" t="s">
        <v>45</v>
      </c>
      <c r="F2195" s="4" t="s">
        <v>46</v>
      </c>
      <c r="G2195" s="5">
        <v>44810</v>
      </c>
      <c r="H2195" s="5">
        <v>44825</v>
      </c>
      <c r="I2195" s="4">
        <v>15</v>
      </c>
      <c r="J2195" s="4" t="s">
        <v>33</v>
      </c>
      <c r="K2195" s="4" t="s">
        <v>278</v>
      </c>
      <c r="L2195" s="4" t="s">
        <v>279</v>
      </c>
      <c r="M2195" s="4" t="s">
        <v>101</v>
      </c>
      <c r="N2195" s="4" t="s">
        <v>118</v>
      </c>
      <c r="O2195" s="4" t="s">
        <v>365</v>
      </c>
      <c r="P2195" s="4">
        <v>160</v>
      </c>
      <c r="Q2195" s="4" t="s">
        <v>69</v>
      </c>
      <c r="R2195" s="4" t="s">
        <v>136</v>
      </c>
      <c r="S2195" s="4">
        <v>58887</v>
      </c>
      <c r="T2195" s="4">
        <v>0</v>
      </c>
      <c r="U2195" s="4">
        <v>58887</v>
      </c>
      <c r="V2195" s="4">
        <v>46651</v>
      </c>
      <c r="W2195" s="4">
        <v>3333</v>
      </c>
      <c r="X2195" s="4">
        <v>6336</v>
      </c>
      <c r="Y2195" s="4" t="s">
        <v>41</v>
      </c>
      <c r="Z2195" s="4">
        <v>95</v>
      </c>
      <c r="AA2195" s="4">
        <v>4.9000000000000004</v>
      </c>
      <c r="AB2195" s="4" t="s">
        <v>104</v>
      </c>
    </row>
    <row r="2196" spans="1:28" x14ac:dyDescent="0.25">
      <c r="A2196" s="2" t="s">
        <v>2997</v>
      </c>
      <c r="B2196" s="2" t="s">
        <v>243</v>
      </c>
      <c r="C2196" s="2">
        <v>64</v>
      </c>
      <c r="D2196" s="2" t="s">
        <v>30</v>
      </c>
      <c r="E2196" s="2" t="s">
        <v>154</v>
      </c>
      <c r="F2196" s="2" t="s">
        <v>46</v>
      </c>
      <c r="G2196" s="3">
        <v>44854</v>
      </c>
      <c r="H2196" s="3">
        <v>44872</v>
      </c>
      <c r="I2196" s="2">
        <v>18</v>
      </c>
      <c r="J2196" s="2" t="s">
        <v>58</v>
      </c>
      <c r="K2196" s="2" t="s">
        <v>88</v>
      </c>
      <c r="L2196" s="2" t="s">
        <v>60</v>
      </c>
      <c r="M2196" s="2" t="s">
        <v>134</v>
      </c>
      <c r="N2196" s="2" t="s">
        <v>62</v>
      </c>
      <c r="O2196" s="2" t="s">
        <v>246</v>
      </c>
      <c r="P2196" s="2">
        <v>486</v>
      </c>
      <c r="Q2196" s="2" t="s">
        <v>50</v>
      </c>
      <c r="R2196" s="2" t="s">
        <v>40</v>
      </c>
      <c r="S2196" s="2">
        <v>170096</v>
      </c>
      <c r="T2196" s="2">
        <v>118650</v>
      </c>
      <c r="U2196" s="2">
        <v>51446</v>
      </c>
      <c r="V2196" s="2">
        <v>132109</v>
      </c>
      <c r="W2196" s="2">
        <v>21860</v>
      </c>
      <c r="X2196" s="2">
        <v>11816</v>
      </c>
      <c r="Y2196" s="2" t="s">
        <v>41</v>
      </c>
      <c r="Z2196" s="2">
        <v>52</v>
      </c>
      <c r="AA2196" s="2">
        <v>3.1</v>
      </c>
      <c r="AB2196" s="2" t="s">
        <v>137</v>
      </c>
    </row>
    <row r="2197" spans="1:28" x14ac:dyDescent="0.25">
      <c r="A2197" s="4" t="s">
        <v>2998</v>
      </c>
      <c r="B2197" s="4" t="s">
        <v>858</v>
      </c>
      <c r="C2197" s="4">
        <v>34</v>
      </c>
      <c r="D2197" s="4" t="s">
        <v>55</v>
      </c>
      <c r="E2197" s="4" t="s">
        <v>87</v>
      </c>
      <c r="F2197" s="4" t="s">
        <v>150</v>
      </c>
      <c r="G2197" s="5">
        <v>45562</v>
      </c>
      <c r="H2197" s="5">
        <v>45573</v>
      </c>
      <c r="I2197" s="4">
        <v>11</v>
      </c>
      <c r="J2197" s="4" t="s">
        <v>202</v>
      </c>
      <c r="K2197" s="4" t="s">
        <v>203</v>
      </c>
      <c r="L2197" s="4" t="s">
        <v>204</v>
      </c>
      <c r="M2197" s="4" t="s">
        <v>101</v>
      </c>
      <c r="N2197" s="4" t="s">
        <v>62</v>
      </c>
      <c r="O2197" s="4" t="s">
        <v>390</v>
      </c>
      <c r="P2197" s="4">
        <v>393</v>
      </c>
      <c r="Q2197" s="4" t="s">
        <v>69</v>
      </c>
      <c r="R2197" s="4" t="s">
        <v>51</v>
      </c>
      <c r="S2197" s="4">
        <v>91307</v>
      </c>
      <c r="T2197" s="4">
        <v>59164</v>
      </c>
      <c r="U2197" s="4">
        <v>32143</v>
      </c>
      <c r="V2197" s="4">
        <v>79172</v>
      </c>
      <c r="W2197" s="4">
        <v>1757</v>
      </c>
      <c r="X2197" s="4">
        <v>8489</v>
      </c>
      <c r="Y2197" s="4" t="s">
        <v>41</v>
      </c>
      <c r="Z2197" s="4">
        <v>57</v>
      </c>
      <c r="AA2197" s="4">
        <v>4.9000000000000004</v>
      </c>
      <c r="AB2197" s="4" t="s">
        <v>137</v>
      </c>
    </row>
    <row r="2198" spans="1:28" x14ac:dyDescent="0.25">
      <c r="A2198" s="2" t="s">
        <v>2999</v>
      </c>
      <c r="B2198" s="2" t="s">
        <v>815</v>
      </c>
      <c r="C2198" s="2">
        <v>10</v>
      </c>
      <c r="D2198" s="2" t="s">
        <v>30</v>
      </c>
      <c r="E2198" s="2" t="s">
        <v>56</v>
      </c>
      <c r="F2198" s="2" t="s">
        <v>157</v>
      </c>
      <c r="G2198" s="3">
        <v>45584</v>
      </c>
      <c r="H2198" s="3">
        <v>45586</v>
      </c>
      <c r="I2198" s="2">
        <v>2</v>
      </c>
      <c r="J2198" s="2" t="s">
        <v>202</v>
      </c>
      <c r="K2198" s="2" t="s">
        <v>225</v>
      </c>
      <c r="L2198" s="2" t="s">
        <v>226</v>
      </c>
      <c r="M2198" s="2" t="s">
        <v>101</v>
      </c>
      <c r="N2198" s="2" t="s">
        <v>109</v>
      </c>
      <c r="O2198" s="2" t="s">
        <v>548</v>
      </c>
      <c r="P2198" s="2">
        <v>301</v>
      </c>
      <c r="Q2198" s="2" t="s">
        <v>39</v>
      </c>
      <c r="R2198" s="2" t="s">
        <v>136</v>
      </c>
      <c r="S2198" s="2">
        <v>68079</v>
      </c>
      <c r="T2198" s="2">
        <v>0</v>
      </c>
      <c r="U2198" s="2">
        <v>68079</v>
      </c>
      <c r="V2198" s="2">
        <v>28079</v>
      </c>
      <c r="W2198" s="2">
        <v>25807</v>
      </c>
      <c r="X2198" s="2">
        <v>11968</v>
      </c>
      <c r="Y2198" s="2" t="s">
        <v>41</v>
      </c>
      <c r="Z2198" s="2">
        <v>40</v>
      </c>
      <c r="AA2198" s="2">
        <v>2.5</v>
      </c>
      <c r="AB2198" s="2" t="s">
        <v>52</v>
      </c>
    </row>
    <row r="2199" spans="1:28" x14ac:dyDescent="0.25">
      <c r="A2199" s="4" t="s">
        <v>3000</v>
      </c>
      <c r="B2199" s="4" t="s">
        <v>1872</v>
      </c>
      <c r="C2199" s="4">
        <v>16</v>
      </c>
      <c r="D2199" s="4" t="s">
        <v>30</v>
      </c>
      <c r="E2199" s="4" t="s">
        <v>87</v>
      </c>
      <c r="F2199" s="4" t="s">
        <v>46</v>
      </c>
      <c r="G2199" s="5">
        <v>45474</v>
      </c>
      <c r="H2199" s="5">
        <v>45480</v>
      </c>
      <c r="I2199" s="4">
        <v>6</v>
      </c>
      <c r="J2199" s="4" t="s">
        <v>33</v>
      </c>
      <c r="K2199" s="4" t="s">
        <v>233</v>
      </c>
      <c r="L2199" s="4" t="s">
        <v>35</v>
      </c>
      <c r="M2199" s="4" t="s">
        <v>130</v>
      </c>
      <c r="N2199" s="4" t="s">
        <v>118</v>
      </c>
      <c r="O2199" s="4" t="s">
        <v>222</v>
      </c>
      <c r="P2199" s="4">
        <v>65</v>
      </c>
      <c r="Q2199" s="4" t="s">
        <v>39</v>
      </c>
      <c r="R2199" s="4" t="s">
        <v>111</v>
      </c>
      <c r="S2199" s="4">
        <v>156880</v>
      </c>
      <c r="T2199" s="4">
        <v>106010</v>
      </c>
      <c r="U2199" s="4">
        <v>50870</v>
      </c>
      <c r="V2199" s="4">
        <v>137125</v>
      </c>
      <c r="W2199" s="4">
        <v>7153</v>
      </c>
      <c r="X2199" s="4">
        <v>11874</v>
      </c>
      <c r="Y2199" s="4" t="s">
        <v>41</v>
      </c>
      <c r="Z2199" s="4">
        <v>71</v>
      </c>
      <c r="AA2199" s="4">
        <v>3</v>
      </c>
      <c r="AB2199" s="4" t="s">
        <v>52</v>
      </c>
    </row>
    <row r="2200" spans="1:28" x14ac:dyDescent="0.25">
      <c r="A2200" s="2" t="s">
        <v>3001</v>
      </c>
      <c r="B2200" s="2" t="s">
        <v>1551</v>
      </c>
      <c r="C2200" s="2">
        <v>74</v>
      </c>
      <c r="D2200" s="2" t="s">
        <v>30</v>
      </c>
      <c r="E2200" s="2" t="s">
        <v>79</v>
      </c>
      <c r="F2200" s="2" t="s">
        <v>129</v>
      </c>
      <c r="G2200" s="3">
        <v>45344</v>
      </c>
      <c r="H2200" s="3">
        <v>45352</v>
      </c>
      <c r="I2200" s="2">
        <v>8</v>
      </c>
      <c r="J2200" s="2" t="s">
        <v>115</v>
      </c>
      <c r="K2200" s="2" t="s">
        <v>160</v>
      </c>
      <c r="L2200" s="2" t="s">
        <v>117</v>
      </c>
      <c r="M2200" s="2" t="s">
        <v>61</v>
      </c>
      <c r="N2200" s="2" t="s">
        <v>118</v>
      </c>
      <c r="O2200" s="2" t="s">
        <v>390</v>
      </c>
      <c r="P2200" s="2">
        <v>34</v>
      </c>
      <c r="Q2200" s="2" t="s">
        <v>69</v>
      </c>
      <c r="R2200" s="2" t="s">
        <v>40</v>
      </c>
      <c r="S2200" s="2">
        <v>105377</v>
      </c>
      <c r="T2200" s="2">
        <v>59827</v>
      </c>
      <c r="U2200" s="2">
        <v>45550</v>
      </c>
      <c r="V2200" s="2">
        <v>81272</v>
      </c>
      <c r="W2200" s="2">
        <v>19397</v>
      </c>
      <c r="X2200" s="2">
        <v>3774</v>
      </c>
      <c r="Y2200" s="2" t="s">
        <v>41</v>
      </c>
      <c r="Z2200" s="2">
        <v>53</v>
      </c>
      <c r="AA2200" s="2">
        <v>2.1</v>
      </c>
      <c r="AB2200" s="2" t="s">
        <v>137</v>
      </c>
    </row>
    <row r="2201" spans="1:28" x14ac:dyDescent="0.25">
      <c r="A2201" s="4" t="s">
        <v>3002</v>
      </c>
      <c r="B2201" s="4" t="s">
        <v>1876</v>
      </c>
      <c r="C2201" s="4">
        <v>56</v>
      </c>
      <c r="D2201" s="4" t="s">
        <v>30</v>
      </c>
      <c r="E2201" s="4" t="s">
        <v>79</v>
      </c>
      <c r="F2201" s="4" t="s">
        <v>72</v>
      </c>
      <c r="G2201" s="5">
        <v>44646</v>
      </c>
      <c r="H2201" s="5">
        <v>44653</v>
      </c>
      <c r="I2201" s="4">
        <v>7</v>
      </c>
      <c r="J2201" s="4" t="s">
        <v>58</v>
      </c>
      <c r="K2201" s="4" t="s">
        <v>88</v>
      </c>
      <c r="L2201" s="4" t="s">
        <v>60</v>
      </c>
      <c r="M2201" s="4" t="s">
        <v>61</v>
      </c>
      <c r="N2201" s="4" t="s">
        <v>118</v>
      </c>
      <c r="O2201" s="4" t="s">
        <v>178</v>
      </c>
      <c r="P2201" s="4">
        <v>350</v>
      </c>
      <c r="Q2201" s="4" t="s">
        <v>103</v>
      </c>
      <c r="R2201" s="4" t="s">
        <v>40</v>
      </c>
      <c r="S2201" s="4">
        <v>83459</v>
      </c>
      <c r="T2201" s="4">
        <v>56801</v>
      </c>
      <c r="U2201" s="4">
        <v>26658</v>
      </c>
      <c r="V2201" s="4">
        <v>58448</v>
      </c>
      <c r="W2201" s="4">
        <v>10329</v>
      </c>
      <c r="X2201" s="4">
        <v>12268</v>
      </c>
      <c r="Y2201" s="4" t="s">
        <v>41</v>
      </c>
      <c r="Z2201" s="4">
        <v>42</v>
      </c>
      <c r="AA2201" s="4">
        <v>4.9000000000000004</v>
      </c>
      <c r="AB2201" s="4" t="s">
        <v>137</v>
      </c>
    </row>
    <row r="2202" spans="1:28" x14ac:dyDescent="0.25">
      <c r="A2202" s="2" t="s">
        <v>3003</v>
      </c>
      <c r="B2202" s="2" t="s">
        <v>1085</v>
      </c>
      <c r="C2202" s="2">
        <v>24</v>
      </c>
      <c r="D2202" s="2" t="s">
        <v>55</v>
      </c>
      <c r="E2202" s="2" t="s">
        <v>154</v>
      </c>
      <c r="F2202" s="2" t="s">
        <v>157</v>
      </c>
      <c r="G2202" s="3">
        <v>45346</v>
      </c>
      <c r="H2202" s="3">
        <v>45368</v>
      </c>
      <c r="I2202" s="2">
        <v>22</v>
      </c>
      <c r="J2202" s="2" t="s">
        <v>123</v>
      </c>
      <c r="K2202" s="2" t="s">
        <v>251</v>
      </c>
      <c r="L2202" s="2" t="s">
        <v>125</v>
      </c>
      <c r="M2202" s="2" t="s">
        <v>61</v>
      </c>
      <c r="N2202" s="2" t="s">
        <v>109</v>
      </c>
      <c r="O2202" s="2" t="s">
        <v>365</v>
      </c>
      <c r="P2202" s="2">
        <v>271</v>
      </c>
      <c r="Q2202" s="2" t="s">
        <v>103</v>
      </c>
      <c r="R2202" s="2" t="s">
        <v>111</v>
      </c>
      <c r="S2202" s="2">
        <v>159058</v>
      </c>
      <c r="T2202" s="2">
        <v>126996</v>
      </c>
      <c r="U2202" s="2">
        <v>32062</v>
      </c>
      <c r="V2202" s="2">
        <v>141584</v>
      </c>
      <c r="W2202" s="2">
        <v>4718</v>
      </c>
      <c r="X2202" s="2">
        <v>11561</v>
      </c>
      <c r="Y2202" s="2" t="s">
        <v>41</v>
      </c>
      <c r="Z2202" s="2">
        <v>74</v>
      </c>
      <c r="AA2202" s="2">
        <v>4.4000000000000004</v>
      </c>
      <c r="AB2202" s="2" t="s">
        <v>104</v>
      </c>
    </row>
    <row r="2203" spans="1:28" x14ac:dyDescent="0.25">
      <c r="A2203" s="4" t="s">
        <v>3004</v>
      </c>
      <c r="B2203" s="4" t="s">
        <v>232</v>
      </c>
      <c r="C2203" s="4">
        <v>74</v>
      </c>
      <c r="D2203" s="4" t="s">
        <v>55</v>
      </c>
      <c r="E2203" s="4" t="s">
        <v>67</v>
      </c>
      <c r="F2203" s="4" t="s">
        <v>72</v>
      </c>
      <c r="G2203" s="5">
        <v>45544</v>
      </c>
      <c r="H2203" s="5">
        <v>45574</v>
      </c>
      <c r="I2203" s="4">
        <v>30</v>
      </c>
      <c r="J2203" s="4" t="s">
        <v>123</v>
      </c>
      <c r="K2203" s="4" t="s">
        <v>251</v>
      </c>
      <c r="L2203" s="4" t="s">
        <v>125</v>
      </c>
      <c r="M2203" s="4" t="s">
        <v>95</v>
      </c>
      <c r="N2203" s="4" t="s">
        <v>37</v>
      </c>
      <c r="O2203" s="4" t="s">
        <v>950</v>
      </c>
      <c r="P2203" s="4">
        <v>123</v>
      </c>
      <c r="Q2203" s="4" t="s">
        <v>50</v>
      </c>
      <c r="R2203" s="4" t="s">
        <v>111</v>
      </c>
      <c r="S2203" s="4">
        <v>108347</v>
      </c>
      <c r="T2203" s="4">
        <v>94376</v>
      </c>
      <c r="U2203" s="4">
        <v>13971</v>
      </c>
      <c r="V2203" s="4">
        <v>86162</v>
      </c>
      <c r="W2203" s="4">
        <v>9861</v>
      </c>
      <c r="X2203" s="4">
        <v>11302</v>
      </c>
      <c r="Y2203" s="4" t="s">
        <v>41</v>
      </c>
      <c r="Z2203" s="4">
        <v>83</v>
      </c>
      <c r="AA2203" s="4">
        <v>2.6</v>
      </c>
      <c r="AB2203" s="4" t="s">
        <v>52</v>
      </c>
    </row>
    <row r="2204" spans="1:28" x14ac:dyDescent="0.25">
      <c r="A2204" s="2" t="s">
        <v>3005</v>
      </c>
      <c r="B2204" s="2" t="s">
        <v>557</v>
      </c>
      <c r="C2204" s="2">
        <v>28</v>
      </c>
      <c r="D2204" s="2" t="s">
        <v>30</v>
      </c>
      <c r="E2204" s="2" t="s">
        <v>31</v>
      </c>
      <c r="F2204" s="2" t="s">
        <v>72</v>
      </c>
      <c r="G2204" s="3">
        <v>45365</v>
      </c>
      <c r="H2204" s="3">
        <v>45371</v>
      </c>
      <c r="I2204" s="2">
        <v>6</v>
      </c>
      <c r="J2204" s="2" t="s">
        <v>58</v>
      </c>
      <c r="K2204" s="2" t="s">
        <v>59</v>
      </c>
      <c r="L2204" s="2" t="s">
        <v>60</v>
      </c>
      <c r="M2204" s="2" t="s">
        <v>143</v>
      </c>
      <c r="N2204" s="2" t="s">
        <v>109</v>
      </c>
      <c r="O2204" s="2" t="s">
        <v>492</v>
      </c>
      <c r="P2204" s="2">
        <v>496</v>
      </c>
      <c r="Q2204" s="2" t="s">
        <v>39</v>
      </c>
      <c r="R2204" s="2" t="s">
        <v>90</v>
      </c>
      <c r="S2204" s="2">
        <v>79017</v>
      </c>
      <c r="T2204" s="2">
        <v>62179</v>
      </c>
      <c r="U2204" s="2">
        <v>16838</v>
      </c>
      <c r="V2204" s="2">
        <v>64107</v>
      </c>
      <c r="W2204" s="2">
        <v>3304</v>
      </c>
      <c r="X2204" s="2">
        <v>8280</v>
      </c>
      <c r="Y2204" s="2" t="s">
        <v>41</v>
      </c>
      <c r="Z2204" s="2">
        <v>40</v>
      </c>
      <c r="AA2204" s="2">
        <v>3.8</v>
      </c>
      <c r="AB2204" s="2" t="s">
        <v>42</v>
      </c>
    </row>
    <row r="2205" spans="1:28" x14ac:dyDescent="0.25">
      <c r="A2205" s="4" t="s">
        <v>3006</v>
      </c>
      <c r="B2205" s="4" t="s">
        <v>1612</v>
      </c>
      <c r="C2205" s="4">
        <v>29</v>
      </c>
      <c r="D2205" s="4" t="s">
        <v>30</v>
      </c>
      <c r="E2205" s="4" t="s">
        <v>87</v>
      </c>
      <c r="F2205" s="4" t="s">
        <v>129</v>
      </c>
      <c r="G2205" s="5">
        <v>45629</v>
      </c>
      <c r="H2205" s="5">
        <v>45657</v>
      </c>
      <c r="I2205" s="4">
        <v>28</v>
      </c>
      <c r="J2205" s="4" t="s">
        <v>115</v>
      </c>
      <c r="K2205" s="4" t="s">
        <v>116</v>
      </c>
      <c r="L2205" s="4" t="s">
        <v>117</v>
      </c>
      <c r="M2205" s="4" t="s">
        <v>61</v>
      </c>
      <c r="N2205" s="4" t="s">
        <v>118</v>
      </c>
      <c r="O2205" s="4" t="s">
        <v>89</v>
      </c>
      <c r="P2205" s="4">
        <v>487</v>
      </c>
      <c r="Q2205" s="4" t="s">
        <v>69</v>
      </c>
      <c r="R2205" s="4" t="s">
        <v>90</v>
      </c>
      <c r="S2205" s="4">
        <v>150943</v>
      </c>
      <c r="T2205" s="4">
        <v>100821</v>
      </c>
      <c r="U2205" s="4">
        <v>50122</v>
      </c>
      <c r="V2205" s="4">
        <v>105386</v>
      </c>
      <c r="W2205" s="4">
        <v>28857</v>
      </c>
      <c r="X2205" s="4">
        <v>12262</v>
      </c>
      <c r="Y2205" s="4" t="s">
        <v>41</v>
      </c>
      <c r="Z2205" s="4">
        <v>73</v>
      </c>
      <c r="AA2205" s="4">
        <v>2.6</v>
      </c>
      <c r="AB2205" s="4" t="s">
        <v>137</v>
      </c>
    </row>
    <row r="2206" spans="1:28" x14ac:dyDescent="0.25">
      <c r="A2206" s="2" t="s">
        <v>3007</v>
      </c>
      <c r="B2206" s="2" t="s">
        <v>1818</v>
      </c>
      <c r="C2206" s="2">
        <v>42</v>
      </c>
      <c r="D2206" s="2" t="s">
        <v>55</v>
      </c>
      <c r="E2206" s="2" t="s">
        <v>154</v>
      </c>
      <c r="F2206" s="2" t="s">
        <v>46</v>
      </c>
      <c r="G2206" s="3">
        <v>45359</v>
      </c>
      <c r="H2206" s="3">
        <v>45372</v>
      </c>
      <c r="I2206" s="2">
        <v>13</v>
      </c>
      <c r="J2206" s="2" t="s">
        <v>202</v>
      </c>
      <c r="K2206" s="2" t="s">
        <v>225</v>
      </c>
      <c r="L2206" s="2" t="s">
        <v>226</v>
      </c>
      <c r="M2206" s="2" t="s">
        <v>101</v>
      </c>
      <c r="N2206" s="2" t="s">
        <v>109</v>
      </c>
      <c r="O2206" s="2" t="s">
        <v>266</v>
      </c>
      <c r="P2206" s="2">
        <v>186</v>
      </c>
      <c r="Q2206" s="2" t="s">
        <v>50</v>
      </c>
      <c r="R2206" s="2" t="s">
        <v>136</v>
      </c>
      <c r="S2206" s="2">
        <v>56927</v>
      </c>
      <c r="T2206" s="2">
        <v>0</v>
      </c>
      <c r="U2206" s="2">
        <v>56927</v>
      </c>
      <c r="V2206" s="2">
        <v>52820</v>
      </c>
      <c r="W2206" s="2">
        <v>1891</v>
      </c>
      <c r="X2206" s="2">
        <v>1703</v>
      </c>
      <c r="Y2206" s="2" t="s">
        <v>41</v>
      </c>
      <c r="Z2206" s="2">
        <v>47</v>
      </c>
      <c r="AA2206" s="2">
        <v>4.9000000000000004</v>
      </c>
      <c r="AB2206" s="2" t="s">
        <v>52</v>
      </c>
    </row>
    <row r="2207" spans="1:28" x14ac:dyDescent="0.25">
      <c r="A2207" s="4" t="s">
        <v>3008</v>
      </c>
      <c r="B2207" s="4" t="s">
        <v>1517</v>
      </c>
      <c r="C2207" s="4">
        <v>43</v>
      </c>
      <c r="D2207" s="4" t="s">
        <v>30</v>
      </c>
      <c r="E2207" s="4" t="s">
        <v>79</v>
      </c>
      <c r="F2207" s="4" t="s">
        <v>150</v>
      </c>
      <c r="G2207" s="5">
        <v>44851</v>
      </c>
      <c r="H2207" s="5">
        <v>44852</v>
      </c>
      <c r="I2207" s="4">
        <v>1</v>
      </c>
      <c r="J2207" s="4" t="s">
        <v>33</v>
      </c>
      <c r="K2207" s="4" t="s">
        <v>107</v>
      </c>
      <c r="L2207" s="4" t="s">
        <v>48</v>
      </c>
      <c r="M2207" s="4" t="s">
        <v>130</v>
      </c>
      <c r="N2207" s="4" t="s">
        <v>118</v>
      </c>
      <c r="O2207" s="4" t="s">
        <v>135</v>
      </c>
      <c r="P2207" s="4">
        <v>439</v>
      </c>
      <c r="Q2207" s="4" t="s">
        <v>103</v>
      </c>
      <c r="R2207" s="4" t="s">
        <v>90</v>
      </c>
      <c r="S2207" s="4">
        <v>82319</v>
      </c>
      <c r="T2207" s="4">
        <v>51927</v>
      </c>
      <c r="U2207" s="4">
        <v>30392</v>
      </c>
      <c r="V2207" s="4">
        <v>54487</v>
      </c>
      <c r="W2207" s="4">
        <v>23233</v>
      </c>
      <c r="X2207" s="4">
        <v>2706</v>
      </c>
      <c r="Y2207" s="4" t="s">
        <v>41</v>
      </c>
      <c r="Z2207" s="4">
        <v>69</v>
      </c>
      <c r="AA2207" s="4">
        <v>3</v>
      </c>
      <c r="AB2207" s="4" t="s">
        <v>42</v>
      </c>
    </row>
    <row r="2208" spans="1:28" x14ac:dyDescent="0.25">
      <c r="A2208" s="2" t="s">
        <v>3009</v>
      </c>
      <c r="B2208" s="2" t="s">
        <v>306</v>
      </c>
      <c r="C2208" s="2">
        <v>49</v>
      </c>
      <c r="D2208" s="2" t="s">
        <v>30</v>
      </c>
      <c r="E2208" s="2" t="s">
        <v>31</v>
      </c>
      <c r="F2208" s="2" t="s">
        <v>72</v>
      </c>
      <c r="G2208" s="3">
        <v>44714</v>
      </c>
      <c r="H2208" s="3">
        <v>44715</v>
      </c>
      <c r="I2208" s="2">
        <v>1</v>
      </c>
      <c r="J2208" s="2" t="s">
        <v>115</v>
      </c>
      <c r="K2208" s="2" t="s">
        <v>160</v>
      </c>
      <c r="L2208" s="2" t="s">
        <v>117</v>
      </c>
      <c r="M2208" s="2" t="s">
        <v>130</v>
      </c>
      <c r="N2208" s="2" t="s">
        <v>118</v>
      </c>
      <c r="O2208" s="2" t="s">
        <v>76</v>
      </c>
      <c r="P2208" s="2">
        <v>118</v>
      </c>
      <c r="Q2208" s="2" t="s">
        <v>103</v>
      </c>
      <c r="R2208" s="2" t="s">
        <v>40</v>
      </c>
      <c r="S2208" s="2">
        <v>166743</v>
      </c>
      <c r="T2208" s="2">
        <v>116083</v>
      </c>
      <c r="U2208" s="2">
        <v>50660</v>
      </c>
      <c r="V2208" s="2">
        <v>138221</v>
      </c>
      <c r="W2208" s="2">
        <v>25967</v>
      </c>
      <c r="X2208" s="2">
        <v>1607</v>
      </c>
      <c r="Y2208" s="2" t="s">
        <v>41</v>
      </c>
      <c r="Z2208" s="2">
        <v>96</v>
      </c>
      <c r="AA2208" s="2">
        <v>3.8</v>
      </c>
      <c r="AB2208" s="2" t="s">
        <v>64</v>
      </c>
    </row>
    <row r="2209" spans="1:28" x14ac:dyDescent="0.25">
      <c r="A2209" s="4" t="s">
        <v>3010</v>
      </c>
      <c r="B2209" s="4" t="s">
        <v>1166</v>
      </c>
      <c r="C2209" s="4">
        <v>62</v>
      </c>
      <c r="D2209" s="4" t="s">
        <v>30</v>
      </c>
      <c r="E2209" s="4" t="s">
        <v>45</v>
      </c>
      <c r="F2209" s="4" t="s">
        <v>157</v>
      </c>
      <c r="G2209" s="5">
        <v>44880</v>
      </c>
      <c r="H2209" s="5">
        <v>44894</v>
      </c>
      <c r="I2209" s="4">
        <v>14</v>
      </c>
      <c r="J2209" s="4" t="s">
        <v>115</v>
      </c>
      <c r="K2209" s="4" t="s">
        <v>160</v>
      </c>
      <c r="L2209" s="4" t="s">
        <v>117</v>
      </c>
      <c r="M2209" s="4" t="s">
        <v>130</v>
      </c>
      <c r="N2209" s="4" t="s">
        <v>62</v>
      </c>
      <c r="O2209" s="4" t="s">
        <v>234</v>
      </c>
      <c r="P2209" s="4">
        <v>219</v>
      </c>
      <c r="Q2209" s="4" t="s">
        <v>39</v>
      </c>
      <c r="R2209" s="4" t="s">
        <v>40</v>
      </c>
      <c r="S2209" s="4">
        <v>43419</v>
      </c>
      <c r="T2209" s="4">
        <v>21913</v>
      </c>
      <c r="U2209" s="4">
        <v>21506</v>
      </c>
      <c r="V2209" s="4">
        <v>11054</v>
      </c>
      <c r="W2209" s="4">
        <v>27108</v>
      </c>
      <c r="X2209" s="4">
        <v>3460</v>
      </c>
      <c r="Y2209" s="4" t="s">
        <v>41</v>
      </c>
      <c r="Z2209" s="4">
        <v>67</v>
      </c>
      <c r="AA2209" s="4">
        <v>3.3</v>
      </c>
      <c r="AB2209" s="4" t="s">
        <v>42</v>
      </c>
    </row>
    <row r="2210" spans="1:28" x14ac:dyDescent="0.25">
      <c r="A2210" s="2" t="s">
        <v>3011</v>
      </c>
      <c r="B2210" s="2" t="s">
        <v>277</v>
      </c>
      <c r="C2210" s="2">
        <v>27</v>
      </c>
      <c r="D2210" s="2" t="s">
        <v>55</v>
      </c>
      <c r="E2210" s="2" t="s">
        <v>154</v>
      </c>
      <c r="F2210" s="2" t="s">
        <v>150</v>
      </c>
      <c r="G2210" s="3">
        <v>45147</v>
      </c>
      <c r="H2210" s="3">
        <v>45161</v>
      </c>
      <c r="I2210" s="2">
        <v>14</v>
      </c>
      <c r="J2210" s="2" t="s">
        <v>123</v>
      </c>
      <c r="K2210" s="2" t="s">
        <v>124</v>
      </c>
      <c r="L2210" s="2" t="s">
        <v>125</v>
      </c>
      <c r="M2210" s="2" t="s">
        <v>61</v>
      </c>
      <c r="N2210" s="2" t="s">
        <v>109</v>
      </c>
      <c r="O2210" s="2" t="s">
        <v>399</v>
      </c>
      <c r="P2210" s="2">
        <v>296</v>
      </c>
      <c r="Q2210" s="2" t="s">
        <v>50</v>
      </c>
      <c r="R2210" s="2" t="s">
        <v>51</v>
      </c>
      <c r="S2210" s="2">
        <v>87569</v>
      </c>
      <c r="T2210" s="2">
        <v>60299</v>
      </c>
      <c r="U2210" s="2">
        <v>27270</v>
      </c>
      <c r="V2210" s="2">
        <v>51421</v>
      </c>
      <c r="W2210" s="2">
        <v>21938</v>
      </c>
      <c r="X2210" s="2">
        <v>10700</v>
      </c>
      <c r="Y2210" s="2" t="s">
        <v>41</v>
      </c>
      <c r="Z2210" s="2">
        <v>65</v>
      </c>
      <c r="AA2210" s="2">
        <v>2.5</v>
      </c>
      <c r="AB2210" s="2" t="s">
        <v>42</v>
      </c>
    </row>
    <row r="2211" spans="1:28" x14ac:dyDescent="0.25">
      <c r="A2211" s="4" t="s">
        <v>3012</v>
      </c>
      <c r="B2211" s="4" t="s">
        <v>265</v>
      </c>
      <c r="C2211" s="4">
        <v>46</v>
      </c>
      <c r="D2211" s="4" t="s">
        <v>55</v>
      </c>
      <c r="E2211" s="4" t="s">
        <v>79</v>
      </c>
      <c r="F2211" s="4" t="s">
        <v>46</v>
      </c>
      <c r="G2211" s="5">
        <v>44715</v>
      </c>
      <c r="H2211" s="5">
        <v>44740</v>
      </c>
      <c r="I2211" s="4">
        <v>25</v>
      </c>
      <c r="J2211" s="4" t="s">
        <v>58</v>
      </c>
      <c r="K2211" s="4" t="s">
        <v>59</v>
      </c>
      <c r="L2211" s="4" t="s">
        <v>60</v>
      </c>
      <c r="M2211" s="4" t="s">
        <v>95</v>
      </c>
      <c r="N2211" s="4" t="s">
        <v>109</v>
      </c>
      <c r="O2211" s="4" t="s">
        <v>352</v>
      </c>
      <c r="P2211" s="4">
        <v>434</v>
      </c>
      <c r="Q2211" s="4" t="s">
        <v>39</v>
      </c>
      <c r="R2211" s="4" t="s">
        <v>111</v>
      </c>
      <c r="S2211" s="4">
        <v>73635</v>
      </c>
      <c r="T2211" s="4">
        <v>61183</v>
      </c>
      <c r="U2211" s="4">
        <v>12452</v>
      </c>
      <c r="V2211" s="4">
        <v>50973</v>
      </c>
      <c r="W2211" s="4">
        <v>12431</v>
      </c>
      <c r="X2211" s="4">
        <v>7339</v>
      </c>
      <c r="Y2211" s="4" t="s">
        <v>41</v>
      </c>
      <c r="Z2211" s="4">
        <v>67</v>
      </c>
      <c r="AA2211" s="4">
        <v>4.7</v>
      </c>
      <c r="AB2211" s="4" t="s">
        <v>137</v>
      </c>
    </row>
    <row r="2212" spans="1:28" x14ac:dyDescent="0.25">
      <c r="A2212" s="2" t="s">
        <v>3013</v>
      </c>
      <c r="B2212" s="2" t="s">
        <v>1309</v>
      </c>
      <c r="C2212" s="2">
        <v>79</v>
      </c>
      <c r="D2212" s="2" t="s">
        <v>30</v>
      </c>
      <c r="E2212" s="2" t="s">
        <v>45</v>
      </c>
      <c r="F2212" s="2" t="s">
        <v>150</v>
      </c>
      <c r="G2212" s="3">
        <v>45557</v>
      </c>
      <c r="H2212" s="3">
        <v>45581</v>
      </c>
      <c r="I2212" s="2">
        <v>24</v>
      </c>
      <c r="J2212" s="2" t="s">
        <v>123</v>
      </c>
      <c r="K2212" s="2" t="s">
        <v>251</v>
      </c>
      <c r="L2212" s="2" t="s">
        <v>125</v>
      </c>
      <c r="M2212" s="2" t="s">
        <v>36</v>
      </c>
      <c r="N2212" s="2" t="s">
        <v>37</v>
      </c>
      <c r="O2212" s="2" t="s">
        <v>497</v>
      </c>
      <c r="P2212" s="2">
        <v>203</v>
      </c>
      <c r="Q2212" s="2" t="s">
        <v>103</v>
      </c>
      <c r="R2212" s="2" t="s">
        <v>51</v>
      </c>
      <c r="S2212" s="2">
        <v>141508</v>
      </c>
      <c r="T2212" s="2">
        <v>59431</v>
      </c>
      <c r="U2212" s="2">
        <v>82077</v>
      </c>
      <c r="V2212" s="2">
        <v>113411</v>
      </c>
      <c r="W2212" s="2">
        <v>10176</v>
      </c>
      <c r="X2212" s="2">
        <v>14660</v>
      </c>
      <c r="Y2212" s="2" t="s">
        <v>41</v>
      </c>
      <c r="Z2212" s="2">
        <v>81</v>
      </c>
      <c r="AA2212" s="2">
        <v>2</v>
      </c>
      <c r="AB2212" s="2" t="s">
        <v>42</v>
      </c>
    </row>
    <row r="2213" spans="1:28" x14ac:dyDescent="0.25">
      <c r="A2213" s="4" t="s">
        <v>3014</v>
      </c>
      <c r="B2213" s="4" t="s">
        <v>1311</v>
      </c>
      <c r="C2213" s="4">
        <v>57</v>
      </c>
      <c r="D2213" s="4" t="s">
        <v>30</v>
      </c>
      <c r="E2213" s="4" t="s">
        <v>122</v>
      </c>
      <c r="F2213" s="4" t="s">
        <v>46</v>
      </c>
      <c r="G2213" s="5">
        <v>44901</v>
      </c>
      <c r="H2213" s="5">
        <v>44915</v>
      </c>
      <c r="I2213" s="4">
        <v>14</v>
      </c>
      <c r="J2213" s="4" t="s">
        <v>140</v>
      </c>
      <c r="K2213" s="4" t="s">
        <v>167</v>
      </c>
      <c r="L2213" s="4" t="s">
        <v>142</v>
      </c>
      <c r="M2213" s="4" t="s">
        <v>101</v>
      </c>
      <c r="N2213" s="4" t="s">
        <v>37</v>
      </c>
      <c r="O2213" s="4" t="s">
        <v>950</v>
      </c>
      <c r="P2213" s="4">
        <v>24</v>
      </c>
      <c r="Q2213" s="4" t="s">
        <v>69</v>
      </c>
      <c r="R2213" s="4" t="s">
        <v>136</v>
      </c>
      <c r="S2213" s="4">
        <v>138332</v>
      </c>
      <c r="T2213" s="4">
        <v>0</v>
      </c>
      <c r="U2213" s="4">
        <v>138332</v>
      </c>
      <c r="V2213" s="4">
        <v>109183</v>
      </c>
      <c r="W2213" s="4">
        <v>14344</v>
      </c>
      <c r="X2213" s="4">
        <v>14250</v>
      </c>
      <c r="Y2213" s="4" t="s">
        <v>41</v>
      </c>
      <c r="Z2213" s="4">
        <v>80</v>
      </c>
      <c r="AA2213" s="4">
        <v>3.2</v>
      </c>
      <c r="AB2213" s="4" t="s">
        <v>42</v>
      </c>
    </row>
    <row r="2214" spans="1:28" x14ac:dyDescent="0.25">
      <c r="A2214" s="2" t="s">
        <v>3015</v>
      </c>
      <c r="B2214" s="2" t="s">
        <v>1666</v>
      </c>
      <c r="C2214" s="2">
        <v>69</v>
      </c>
      <c r="D2214" s="2" t="s">
        <v>30</v>
      </c>
      <c r="E2214" s="2" t="s">
        <v>122</v>
      </c>
      <c r="F2214" s="2" t="s">
        <v>46</v>
      </c>
      <c r="G2214" s="3">
        <v>44771</v>
      </c>
      <c r="H2214" s="3">
        <v>44785</v>
      </c>
      <c r="I2214" s="2">
        <v>14</v>
      </c>
      <c r="J2214" s="2" t="s">
        <v>140</v>
      </c>
      <c r="K2214" s="2" t="s">
        <v>141</v>
      </c>
      <c r="L2214" s="2" t="s">
        <v>142</v>
      </c>
      <c r="M2214" s="2" t="s">
        <v>95</v>
      </c>
      <c r="N2214" s="2" t="s">
        <v>62</v>
      </c>
      <c r="O2214" s="2" t="s">
        <v>548</v>
      </c>
      <c r="P2214" s="2">
        <v>328</v>
      </c>
      <c r="Q2214" s="2" t="s">
        <v>39</v>
      </c>
      <c r="R2214" s="2" t="s">
        <v>40</v>
      </c>
      <c r="S2214" s="2">
        <v>103758</v>
      </c>
      <c r="T2214" s="2">
        <v>65345</v>
      </c>
      <c r="U2214" s="2">
        <v>38413</v>
      </c>
      <c r="V2214" s="2">
        <v>92721</v>
      </c>
      <c r="W2214" s="2">
        <v>6727</v>
      </c>
      <c r="X2214" s="2">
        <v>2300</v>
      </c>
      <c r="Y2214" s="2" t="s">
        <v>41</v>
      </c>
      <c r="Z2214" s="2">
        <v>75</v>
      </c>
      <c r="AA2214" s="2">
        <v>2</v>
      </c>
      <c r="AB2214" s="2" t="s">
        <v>42</v>
      </c>
    </row>
    <row r="2215" spans="1:28" x14ac:dyDescent="0.25">
      <c r="A2215" s="4" t="s">
        <v>3016</v>
      </c>
      <c r="B2215" s="4" t="s">
        <v>532</v>
      </c>
      <c r="C2215" s="4">
        <v>38</v>
      </c>
      <c r="D2215" s="4" t="s">
        <v>30</v>
      </c>
      <c r="E2215" s="4" t="s">
        <v>154</v>
      </c>
      <c r="F2215" s="4" t="s">
        <v>150</v>
      </c>
      <c r="G2215" s="5">
        <v>45336</v>
      </c>
      <c r="H2215" s="5">
        <v>45344</v>
      </c>
      <c r="I2215" s="4">
        <v>8</v>
      </c>
      <c r="J2215" s="4" t="s">
        <v>33</v>
      </c>
      <c r="K2215" s="4" t="s">
        <v>47</v>
      </c>
      <c r="L2215" s="4" t="s">
        <v>48</v>
      </c>
      <c r="M2215" s="4" t="s">
        <v>134</v>
      </c>
      <c r="N2215" s="4" t="s">
        <v>37</v>
      </c>
      <c r="O2215" s="4" t="s">
        <v>211</v>
      </c>
      <c r="P2215" s="4">
        <v>437</v>
      </c>
      <c r="Q2215" s="4" t="s">
        <v>103</v>
      </c>
      <c r="R2215" s="4" t="s">
        <v>90</v>
      </c>
      <c r="S2215" s="4">
        <v>114246</v>
      </c>
      <c r="T2215" s="4">
        <v>91611</v>
      </c>
      <c r="U2215" s="4">
        <v>22635</v>
      </c>
      <c r="V2215" s="4">
        <v>87605</v>
      </c>
      <c r="W2215" s="4">
        <v>22966</v>
      </c>
      <c r="X2215" s="4">
        <v>2098</v>
      </c>
      <c r="Y2215" s="4" t="s">
        <v>41</v>
      </c>
      <c r="Z2215" s="4">
        <v>57</v>
      </c>
      <c r="AA2215" s="4">
        <v>3.1</v>
      </c>
      <c r="AB2215" s="4" t="s">
        <v>42</v>
      </c>
    </row>
    <row r="2216" spans="1:28" x14ac:dyDescent="0.25">
      <c r="A2216" s="2" t="s">
        <v>3017</v>
      </c>
      <c r="B2216" s="2" t="s">
        <v>1778</v>
      </c>
      <c r="C2216" s="2">
        <v>74</v>
      </c>
      <c r="D2216" s="2" t="s">
        <v>30</v>
      </c>
      <c r="E2216" s="2" t="s">
        <v>31</v>
      </c>
      <c r="F2216" s="2" t="s">
        <v>32</v>
      </c>
      <c r="G2216" s="3">
        <v>45240</v>
      </c>
      <c r="H2216" s="3">
        <v>45257</v>
      </c>
      <c r="I2216" s="2">
        <v>17</v>
      </c>
      <c r="J2216" s="2" t="s">
        <v>58</v>
      </c>
      <c r="K2216" s="2" t="s">
        <v>59</v>
      </c>
      <c r="L2216" s="2" t="s">
        <v>60</v>
      </c>
      <c r="M2216" s="2" t="s">
        <v>101</v>
      </c>
      <c r="N2216" s="2" t="s">
        <v>62</v>
      </c>
      <c r="O2216" s="2" t="s">
        <v>431</v>
      </c>
      <c r="P2216" s="2">
        <v>178</v>
      </c>
      <c r="Q2216" s="2" t="s">
        <v>39</v>
      </c>
      <c r="R2216" s="2" t="s">
        <v>136</v>
      </c>
      <c r="S2216" s="2">
        <v>106816</v>
      </c>
      <c r="T2216" s="2">
        <v>0</v>
      </c>
      <c r="U2216" s="2">
        <v>106816</v>
      </c>
      <c r="V2216" s="2">
        <v>94062</v>
      </c>
      <c r="W2216" s="2">
        <v>5690</v>
      </c>
      <c r="X2216" s="2">
        <v>2686</v>
      </c>
      <c r="Y2216" s="2" t="s">
        <v>41</v>
      </c>
      <c r="Z2216" s="2">
        <v>60</v>
      </c>
      <c r="AA2216" s="2">
        <v>2.2000000000000002</v>
      </c>
      <c r="AB2216" s="2" t="s">
        <v>104</v>
      </c>
    </row>
    <row r="2217" spans="1:28" x14ac:dyDescent="0.25">
      <c r="A2217" s="4" t="s">
        <v>3018</v>
      </c>
      <c r="B2217" s="4" t="s">
        <v>381</v>
      </c>
      <c r="C2217" s="4">
        <v>13</v>
      </c>
      <c r="D2217" s="4" t="s">
        <v>55</v>
      </c>
      <c r="E2217" s="4" t="s">
        <v>87</v>
      </c>
      <c r="F2217" s="4" t="s">
        <v>46</v>
      </c>
      <c r="G2217" s="5">
        <v>45498</v>
      </c>
      <c r="H2217" s="5">
        <v>45506</v>
      </c>
      <c r="I2217" s="4">
        <v>8</v>
      </c>
      <c r="J2217" s="4" t="s">
        <v>202</v>
      </c>
      <c r="K2217" s="4" t="s">
        <v>203</v>
      </c>
      <c r="L2217" s="4" t="s">
        <v>204</v>
      </c>
      <c r="M2217" s="4" t="s">
        <v>36</v>
      </c>
      <c r="N2217" s="4" t="s">
        <v>118</v>
      </c>
      <c r="O2217" s="4" t="s">
        <v>1000</v>
      </c>
      <c r="P2217" s="4">
        <v>123</v>
      </c>
      <c r="Q2217" s="4" t="s">
        <v>39</v>
      </c>
      <c r="R2217" s="4" t="s">
        <v>111</v>
      </c>
      <c r="S2217" s="4">
        <v>41851</v>
      </c>
      <c r="T2217" s="4">
        <v>36778</v>
      </c>
      <c r="U2217" s="4">
        <v>5073</v>
      </c>
      <c r="V2217" s="4">
        <v>11673</v>
      </c>
      <c r="W2217" s="4">
        <v>19498</v>
      </c>
      <c r="X2217" s="4">
        <v>9392</v>
      </c>
      <c r="Y2217" s="4" t="s">
        <v>91</v>
      </c>
      <c r="Z2217" s="4">
        <v>82</v>
      </c>
      <c r="AA2217" s="4">
        <v>2</v>
      </c>
      <c r="AB2217" s="4" t="s">
        <v>52</v>
      </c>
    </row>
    <row r="2218" spans="1:28" x14ac:dyDescent="0.25">
      <c r="A2218" s="2" t="s">
        <v>3019</v>
      </c>
      <c r="B2218" s="2" t="s">
        <v>2243</v>
      </c>
      <c r="C2218" s="2">
        <v>18</v>
      </c>
      <c r="D2218" s="2" t="s">
        <v>30</v>
      </c>
      <c r="E2218" s="2" t="s">
        <v>79</v>
      </c>
      <c r="F2218" s="2" t="s">
        <v>57</v>
      </c>
      <c r="G2218" s="3">
        <v>44619</v>
      </c>
      <c r="H2218" s="3">
        <v>44647</v>
      </c>
      <c r="I2218" s="2">
        <v>28</v>
      </c>
      <c r="J2218" s="2" t="s">
        <v>58</v>
      </c>
      <c r="K2218" s="2" t="s">
        <v>88</v>
      </c>
      <c r="L2218" s="2" t="s">
        <v>60</v>
      </c>
      <c r="M2218" s="2" t="s">
        <v>83</v>
      </c>
      <c r="N2218" s="2" t="s">
        <v>118</v>
      </c>
      <c r="O2218" s="2" t="s">
        <v>358</v>
      </c>
      <c r="P2218" s="2">
        <v>135</v>
      </c>
      <c r="Q2218" s="2" t="s">
        <v>50</v>
      </c>
      <c r="R2218" s="2" t="s">
        <v>136</v>
      </c>
      <c r="S2218" s="2">
        <v>85545</v>
      </c>
      <c r="T2218" s="2">
        <v>0</v>
      </c>
      <c r="U2218" s="2">
        <v>85545</v>
      </c>
      <c r="V2218" s="2">
        <v>76447</v>
      </c>
      <c r="W2218" s="2">
        <v>6506</v>
      </c>
      <c r="X2218" s="2">
        <v>1958</v>
      </c>
      <c r="Y2218" s="2" t="s">
        <v>41</v>
      </c>
      <c r="Z2218" s="2">
        <v>50</v>
      </c>
      <c r="AA2218" s="2">
        <v>2.1</v>
      </c>
      <c r="AB2218" s="2" t="s">
        <v>42</v>
      </c>
    </row>
    <row r="2219" spans="1:28" x14ac:dyDescent="0.25">
      <c r="A2219" s="4" t="s">
        <v>3020</v>
      </c>
      <c r="B2219" s="4" t="s">
        <v>1117</v>
      </c>
      <c r="C2219" s="4">
        <v>16</v>
      </c>
      <c r="D2219" s="4" t="s">
        <v>55</v>
      </c>
      <c r="E2219" s="4" t="s">
        <v>67</v>
      </c>
      <c r="F2219" s="4" t="s">
        <v>80</v>
      </c>
      <c r="G2219" s="5">
        <v>45117</v>
      </c>
      <c r="H2219" s="5">
        <v>45136</v>
      </c>
      <c r="I2219" s="4">
        <v>19</v>
      </c>
      <c r="J2219" s="4" t="s">
        <v>33</v>
      </c>
      <c r="K2219" s="4" t="s">
        <v>197</v>
      </c>
      <c r="L2219" s="4" t="s">
        <v>198</v>
      </c>
      <c r="M2219" s="4" t="s">
        <v>75</v>
      </c>
      <c r="N2219" s="4" t="s">
        <v>37</v>
      </c>
      <c r="O2219" s="4" t="s">
        <v>406</v>
      </c>
      <c r="P2219" s="4">
        <v>169</v>
      </c>
      <c r="Q2219" s="4" t="s">
        <v>69</v>
      </c>
      <c r="R2219" s="4" t="s">
        <v>136</v>
      </c>
      <c r="S2219" s="4">
        <v>98865</v>
      </c>
      <c r="T2219" s="4">
        <v>0</v>
      </c>
      <c r="U2219" s="4">
        <v>98865</v>
      </c>
      <c r="V2219" s="4">
        <v>86482</v>
      </c>
      <c r="W2219" s="4">
        <v>4913</v>
      </c>
      <c r="X2219" s="4">
        <v>5981</v>
      </c>
      <c r="Y2219" s="4" t="s">
        <v>41</v>
      </c>
      <c r="Z2219" s="4">
        <v>76</v>
      </c>
      <c r="AA2219" s="4">
        <v>2.6</v>
      </c>
      <c r="AB2219" s="4" t="s">
        <v>52</v>
      </c>
    </row>
    <row r="2220" spans="1:28" x14ac:dyDescent="0.25">
      <c r="A2220" s="2" t="s">
        <v>3021</v>
      </c>
      <c r="B2220" s="2" t="s">
        <v>1128</v>
      </c>
      <c r="C2220" s="2">
        <v>64</v>
      </c>
      <c r="D2220" s="2" t="s">
        <v>55</v>
      </c>
      <c r="E2220" s="2" t="s">
        <v>87</v>
      </c>
      <c r="F2220" s="2" t="s">
        <v>72</v>
      </c>
      <c r="G2220" s="3">
        <v>45338</v>
      </c>
      <c r="H2220" s="3">
        <v>45360</v>
      </c>
      <c r="I2220" s="2">
        <v>22</v>
      </c>
      <c r="J2220" s="2" t="s">
        <v>123</v>
      </c>
      <c r="K2220" s="2" t="s">
        <v>251</v>
      </c>
      <c r="L2220" s="2" t="s">
        <v>125</v>
      </c>
      <c r="M2220" s="2" t="s">
        <v>36</v>
      </c>
      <c r="N2220" s="2" t="s">
        <v>37</v>
      </c>
      <c r="O2220" s="2" t="s">
        <v>326</v>
      </c>
      <c r="P2220" s="2">
        <v>58</v>
      </c>
      <c r="Q2220" s="2" t="s">
        <v>39</v>
      </c>
      <c r="R2220" s="2" t="s">
        <v>136</v>
      </c>
      <c r="S2220" s="2">
        <v>56822</v>
      </c>
      <c r="T2220" s="2">
        <v>0</v>
      </c>
      <c r="U2220" s="2">
        <v>56822</v>
      </c>
      <c r="V2220" s="2">
        <v>31365</v>
      </c>
      <c r="W2220" s="2">
        <v>6630</v>
      </c>
      <c r="X2220" s="2">
        <v>13888</v>
      </c>
      <c r="Y2220" s="2" t="s">
        <v>41</v>
      </c>
      <c r="Z2220" s="2">
        <v>95</v>
      </c>
      <c r="AA2220" s="2">
        <v>3.7</v>
      </c>
      <c r="AB2220" s="2" t="s">
        <v>137</v>
      </c>
    </row>
    <row r="2221" spans="1:28" x14ac:dyDescent="0.25">
      <c r="A2221" s="4" t="s">
        <v>3022</v>
      </c>
      <c r="B2221" s="4" t="s">
        <v>771</v>
      </c>
      <c r="C2221" s="4">
        <v>45</v>
      </c>
      <c r="D2221" s="4" t="s">
        <v>30</v>
      </c>
      <c r="E2221" s="4" t="s">
        <v>45</v>
      </c>
      <c r="F2221" s="4" t="s">
        <v>94</v>
      </c>
      <c r="G2221" s="5">
        <v>44889</v>
      </c>
      <c r="H2221" s="5">
        <v>44905</v>
      </c>
      <c r="I2221" s="4">
        <v>16</v>
      </c>
      <c r="J2221" s="4" t="s">
        <v>33</v>
      </c>
      <c r="K2221" s="4" t="s">
        <v>107</v>
      </c>
      <c r="L2221" s="4" t="s">
        <v>48</v>
      </c>
      <c r="M2221" s="4" t="s">
        <v>108</v>
      </c>
      <c r="N2221" s="4" t="s">
        <v>109</v>
      </c>
      <c r="O2221" s="4" t="s">
        <v>571</v>
      </c>
      <c r="P2221" s="4">
        <v>307</v>
      </c>
      <c r="Q2221" s="4" t="s">
        <v>69</v>
      </c>
      <c r="R2221" s="4" t="s">
        <v>136</v>
      </c>
      <c r="S2221" s="4">
        <v>140429</v>
      </c>
      <c r="T2221" s="4">
        <v>0</v>
      </c>
      <c r="U2221" s="4">
        <v>140429</v>
      </c>
      <c r="V2221" s="4">
        <v>106885</v>
      </c>
      <c r="W2221" s="4">
        <v>19459</v>
      </c>
      <c r="X2221" s="4">
        <v>11523</v>
      </c>
      <c r="Y2221" s="4" t="s">
        <v>41</v>
      </c>
      <c r="Z2221" s="4">
        <v>67</v>
      </c>
      <c r="AA2221" s="4">
        <v>4.7</v>
      </c>
      <c r="AB2221" s="4" t="s">
        <v>42</v>
      </c>
    </row>
    <row r="2222" spans="1:28" x14ac:dyDescent="0.25">
      <c r="A2222" s="2" t="s">
        <v>3023</v>
      </c>
      <c r="B2222" s="2" t="s">
        <v>470</v>
      </c>
      <c r="C2222" s="2">
        <v>68</v>
      </c>
      <c r="D2222" s="2" t="s">
        <v>30</v>
      </c>
      <c r="E2222" s="2" t="s">
        <v>56</v>
      </c>
      <c r="F2222" s="2" t="s">
        <v>57</v>
      </c>
      <c r="G2222" s="3">
        <v>44584</v>
      </c>
      <c r="H2222" s="3">
        <v>44590</v>
      </c>
      <c r="I2222" s="2">
        <v>6</v>
      </c>
      <c r="J2222" s="2" t="s">
        <v>73</v>
      </c>
      <c r="K2222" s="2" t="s">
        <v>74</v>
      </c>
      <c r="L2222" s="2" t="s">
        <v>73</v>
      </c>
      <c r="M2222" s="2" t="s">
        <v>36</v>
      </c>
      <c r="N2222" s="2" t="s">
        <v>109</v>
      </c>
      <c r="O2222" s="2" t="s">
        <v>321</v>
      </c>
      <c r="P2222" s="2">
        <v>391</v>
      </c>
      <c r="Q2222" s="2" t="s">
        <v>50</v>
      </c>
      <c r="R2222" s="2" t="s">
        <v>136</v>
      </c>
      <c r="S2222" s="2">
        <v>131250</v>
      </c>
      <c r="T2222" s="2">
        <v>0</v>
      </c>
      <c r="U2222" s="2">
        <v>131250</v>
      </c>
      <c r="V2222" s="2">
        <v>105595</v>
      </c>
      <c r="W2222" s="2">
        <v>20121</v>
      </c>
      <c r="X2222" s="2">
        <v>2296</v>
      </c>
      <c r="Y2222" s="2" t="s">
        <v>41</v>
      </c>
      <c r="Z2222" s="2">
        <v>70</v>
      </c>
      <c r="AA2222" s="2">
        <v>2.6</v>
      </c>
      <c r="AB2222" s="2" t="s">
        <v>52</v>
      </c>
    </row>
    <row r="2223" spans="1:28" x14ac:dyDescent="0.25">
      <c r="A2223" s="4" t="s">
        <v>3024</v>
      </c>
      <c r="B2223" s="4" t="s">
        <v>1915</v>
      </c>
      <c r="C2223" s="4">
        <v>29</v>
      </c>
      <c r="D2223" s="4" t="s">
        <v>30</v>
      </c>
      <c r="E2223" s="4" t="s">
        <v>67</v>
      </c>
      <c r="F2223" s="4" t="s">
        <v>32</v>
      </c>
      <c r="G2223" s="5">
        <v>44980</v>
      </c>
      <c r="H2223" s="5">
        <v>44996</v>
      </c>
      <c r="I2223" s="4">
        <v>16</v>
      </c>
      <c r="J2223" s="4" t="s">
        <v>58</v>
      </c>
      <c r="K2223" s="4" t="s">
        <v>88</v>
      </c>
      <c r="L2223" s="4" t="s">
        <v>60</v>
      </c>
      <c r="M2223" s="4" t="s">
        <v>75</v>
      </c>
      <c r="N2223" s="4" t="s">
        <v>118</v>
      </c>
      <c r="O2223" s="4" t="s">
        <v>520</v>
      </c>
      <c r="P2223" s="4">
        <v>125</v>
      </c>
      <c r="Q2223" s="4" t="s">
        <v>103</v>
      </c>
      <c r="R2223" s="4" t="s">
        <v>51</v>
      </c>
      <c r="S2223" s="4">
        <v>167050</v>
      </c>
      <c r="T2223" s="4">
        <v>94943</v>
      </c>
      <c r="U2223" s="4">
        <v>72107</v>
      </c>
      <c r="V2223" s="4">
        <v>135550</v>
      </c>
      <c r="W2223" s="4">
        <v>29531</v>
      </c>
      <c r="X2223" s="4">
        <v>544</v>
      </c>
      <c r="Y2223" s="4" t="s">
        <v>91</v>
      </c>
      <c r="Z2223" s="4">
        <v>90</v>
      </c>
      <c r="AA2223" s="4">
        <v>4</v>
      </c>
      <c r="AB2223" s="4" t="s">
        <v>104</v>
      </c>
    </row>
    <row r="2224" spans="1:28" x14ac:dyDescent="0.25">
      <c r="A2224" s="2" t="s">
        <v>3025</v>
      </c>
      <c r="B2224" s="2" t="s">
        <v>774</v>
      </c>
      <c r="C2224" s="2">
        <v>34</v>
      </c>
      <c r="D2224" s="2" t="s">
        <v>30</v>
      </c>
      <c r="E2224" s="2" t="s">
        <v>45</v>
      </c>
      <c r="F2224" s="2" t="s">
        <v>129</v>
      </c>
      <c r="G2224" s="3">
        <v>44988</v>
      </c>
      <c r="H2224" s="3">
        <v>44995</v>
      </c>
      <c r="I2224" s="2">
        <v>7</v>
      </c>
      <c r="J2224" s="2" t="s">
        <v>33</v>
      </c>
      <c r="K2224" s="2" t="s">
        <v>34</v>
      </c>
      <c r="L2224" s="2" t="s">
        <v>35</v>
      </c>
      <c r="M2224" s="2" t="s">
        <v>61</v>
      </c>
      <c r="N2224" s="2" t="s">
        <v>109</v>
      </c>
      <c r="O2224" s="2" t="s">
        <v>438</v>
      </c>
      <c r="P2224" s="2">
        <v>323</v>
      </c>
      <c r="Q2224" s="2" t="s">
        <v>103</v>
      </c>
      <c r="R2224" s="2" t="s">
        <v>90</v>
      </c>
      <c r="S2224" s="2">
        <v>170988</v>
      </c>
      <c r="T2224" s="2">
        <v>110008</v>
      </c>
      <c r="U2224" s="2">
        <v>60980</v>
      </c>
      <c r="V2224" s="2">
        <v>126978</v>
      </c>
      <c r="W2224" s="2">
        <v>29779</v>
      </c>
      <c r="X2224" s="2">
        <v>12926</v>
      </c>
      <c r="Y2224" s="2" t="s">
        <v>41</v>
      </c>
      <c r="Z2224" s="2">
        <v>89</v>
      </c>
      <c r="AA2224" s="2">
        <v>3.8</v>
      </c>
      <c r="AB2224" s="2" t="s">
        <v>64</v>
      </c>
    </row>
    <row r="2225" spans="1:28" x14ac:dyDescent="0.25">
      <c r="A2225" s="4" t="s">
        <v>3026</v>
      </c>
      <c r="B2225" s="4" t="s">
        <v>635</v>
      </c>
      <c r="C2225" s="4">
        <v>67</v>
      </c>
      <c r="D2225" s="4" t="s">
        <v>55</v>
      </c>
      <c r="E2225" s="4" t="s">
        <v>56</v>
      </c>
      <c r="F2225" s="4" t="s">
        <v>32</v>
      </c>
      <c r="G2225" s="5">
        <v>44914</v>
      </c>
      <c r="H2225" s="5">
        <v>44920</v>
      </c>
      <c r="I2225" s="4">
        <v>6</v>
      </c>
      <c r="J2225" s="4" t="s">
        <v>33</v>
      </c>
      <c r="K2225" s="4" t="s">
        <v>197</v>
      </c>
      <c r="L2225" s="4" t="s">
        <v>198</v>
      </c>
      <c r="M2225" s="4" t="s">
        <v>143</v>
      </c>
      <c r="N2225" s="4" t="s">
        <v>109</v>
      </c>
      <c r="O2225" s="4" t="s">
        <v>428</v>
      </c>
      <c r="P2225" s="4">
        <v>145</v>
      </c>
      <c r="Q2225" s="4" t="s">
        <v>50</v>
      </c>
      <c r="R2225" s="4" t="s">
        <v>40</v>
      </c>
      <c r="S2225" s="4">
        <v>107964</v>
      </c>
      <c r="T2225" s="4">
        <v>59863</v>
      </c>
      <c r="U2225" s="4">
        <v>48101</v>
      </c>
      <c r="V2225" s="4">
        <v>88376</v>
      </c>
      <c r="W2225" s="4">
        <v>4677</v>
      </c>
      <c r="X2225" s="4">
        <v>10391</v>
      </c>
      <c r="Y2225" s="4" t="s">
        <v>41</v>
      </c>
      <c r="Z2225" s="4">
        <v>75</v>
      </c>
      <c r="AA2225" s="4">
        <v>2.2999999999999998</v>
      </c>
      <c r="AB2225" s="4" t="s">
        <v>52</v>
      </c>
    </row>
    <row r="2226" spans="1:28" x14ac:dyDescent="0.25">
      <c r="A2226" s="2" t="s">
        <v>3027</v>
      </c>
      <c r="B2226" s="2" t="s">
        <v>991</v>
      </c>
      <c r="C2226" s="2">
        <v>65</v>
      </c>
      <c r="D2226" s="2" t="s">
        <v>55</v>
      </c>
      <c r="E2226" s="2" t="s">
        <v>122</v>
      </c>
      <c r="F2226" s="2" t="s">
        <v>46</v>
      </c>
      <c r="G2226" s="3">
        <v>44851</v>
      </c>
      <c r="H2226" s="3">
        <v>44873</v>
      </c>
      <c r="I2226" s="2">
        <v>22</v>
      </c>
      <c r="J2226" s="2" t="s">
        <v>33</v>
      </c>
      <c r="K2226" s="2" t="s">
        <v>47</v>
      </c>
      <c r="L2226" s="2" t="s">
        <v>48</v>
      </c>
      <c r="M2226" s="2" t="s">
        <v>101</v>
      </c>
      <c r="N2226" s="2" t="s">
        <v>62</v>
      </c>
      <c r="O2226" s="2" t="s">
        <v>208</v>
      </c>
      <c r="P2226" s="2">
        <v>262</v>
      </c>
      <c r="Q2226" s="2" t="s">
        <v>50</v>
      </c>
      <c r="R2226" s="2" t="s">
        <v>40</v>
      </c>
      <c r="S2226" s="2">
        <v>64233</v>
      </c>
      <c r="T2226" s="2">
        <v>35300</v>
      </c>
      <c r="U2226" s="2">
        <v>28933</v>
      </c>
      <c r="V2226" s="2">
        <v>39894</v>
      </c>
      <c r="W2226" s="2">
        <v>10010</v>
      </c>
      <c r="X2226" s="2">
        <v>13031</v>
      </c>
      <c r="Y2226" s="2" t="s">
        <v>41</v>
      </c>
      <c r="Z2226" s="2">
        <v>74</v>
      </c>
      <c r="AA2226" s="2">
        <v>4.4000000000000004</v>
      </c>
      <c r="AB2226" s="2" t="s">
        <v>64</v>
      </c>
    </row>
    <row r="2227" spans="1:28" x14ac:dyDescent="0.25">
      <c r="A2227" s="4" t="s">
        <v>3028</v>
      </c>
      <c r="B2227" s="4" t="s">
        <v>985</v>
      </c>
      <c r="C2227" s="4">
        <v>35</v>
      </c>
      <c r="D2227" s="4" t="s">
        <v>30</v>
      </c>
      <c r="E2227" s="4" t="s">
        <v>87</v>
      </c>
      <c r="F2227" s="4" t="s">
        <v>46</v>
      </c>
      <c r="G2227" s="5">
        <v>44991</v>
      </c>
      <c r="H2227" s="5">
        <v>45000</v>
      </c>
      <c r="I2227" s="4">
        <v>9</v>
      </c>
      <c r="J2227" s="4" t="s">
        <v>33</v>
      </c>
      <c r="K2227" s="4" t="s">
        <v>197</v>
      </c>
      <c r="L2227" s="4" t="s">
        <v>198</v>
      </c>
      <c r="M2227" s="4" t="s">
        <v>130</v>
      </c>
      <c r="N2227" s="4" t="s">
        <v>118</v>
      </c>
      <c r="O2227" s="4" t="s">
        <v>234</v>
      </c>
      <c r="P2227" s="4">
        <v>88</v>
      </c>
      <c r="Q2227" s="4" t="s">
        <v>50</v>
      </c>
      <c r="R2227" s="4" t="s">
        <v>90</v>
      </c>
      <c r="S2227" s="4">
        <v>150532</v>
      </c>
      <c r="T2227" s="4">
        <v>131944</v>
      </c>
      <c r="U2227" s="4">
        <v>18588</v>
      </c>
      <c r="V2227" s="4">
        <v>135551</v>
      </c>
      <c r="W2227" s="4">
        <v>8314</v>
      </c>
      <c r="X2227" s="4">
        <v>4153</v>
      </c>
      <c r="Y2227" s="4" t="s">
        <v>41</v>
      </c>
      <c r="Z2227" s="4">
        <v>54</v>
      </c>
      <c r="AA2227" s="4">
        <v>3.2</v>
      </c>
      <c r="AB2227" s="4" t="s">
        <v>64</v>
      </c>
    </row>
    <row r="2228" spans="1:28" x14ac:dyDescent="0.25">
      <c r="A2228" s="2" t="s">
        <v>3029</v>
      </c>
      <c r="B2228" s="2" t="s">
        <v>1726</v>
      </c>
      <c r="C2228" s="2">
        <v>11</v>
      </c>
      <c r="D2228" s="2" t="s">
        <v>55</v>
      </c>
      <c r="E2228" s="2" t="s">
        <v>45</v>
      </c>
      <c r="F2228" s="2" t="s">
        <v>129</v>
      </c>
      <c r="G2228" s="3">
        <v>45558</v>
      </c>
      <c r="H2228" s="3">
        <v>45578</v>
      </c>
      <c r="I2228" s="2">
        <v>20</v>
      </c>
      <c r="J2228" s="2" t="s">
        <v>33</v>
      </c>
      <c r="K2228" s="2" t="s">
        <v>81</v>
      </c>
      <c r="L2228" s="2" t="s">
        <v>82</v>
      </c>
      <c r="M2228" s="2" t="s">
        <v>95</v>
      </c>
      <c r="N2228" s="2" t="s">
        <v>118</v>
      </c>
      <c r="O2228" s="2" t="s">
        <v>175</v>
      </c>
      <c r="P2228" s="2">
        <v>42</v>
      </c>
      <c r="Q2228" s="2" t="s">
        <v>69</v>
      </c>
      <c r="R2228" s="2" t="s">
        <v>111</v>
      </c>
      <c r="S2228" s="2">
        <v>136513</v>
      </c>
      <c r="T2228" s="2">
        <v>98988</v>
      </c>
      <c r="U2228" s="2">
        <v>37525</v>
      </c>
      <c r="V2228" s="2">
        <v>123406</v>
      </c>
      <c r="W2228" s="2">
        <v>1284</v>
      </c>
      <c r="X2228" s="2">
        <v>10885</v>
      </c>
      <c r="Y2228" s="2" t="s">
        <v>91</v>
      </c>
      <c r="Z2228" s="2">
        <v>48</v>
      </c>
      <c r="AA2228" s="2">
        <v>4.8</v>
      </c>
      <c r="AB2228" s="2" t="s">
        <v>64</v>
      </c>
    </row>
    <row r="2229" spans="1:28" x14ac:dyDescent="0.25">
      <c r="A2229" s="4" t="s">
        <v>3030</v>
      </c>
      <c r="B2229" s="4" t="s">
        <v>44</v>
      </c>
      <c r="C2229" s="4">
        <v>63</v>
      </c>
      <c r="D2229" s="4" t="s">
        <v>30</v>
      </c>
      <c r="E2229" s="4" t="s">
        <v>67</v>
      </c>
      <c r="F2229" s="4" t="s">
        <v>46</v>
      </c>
      <c r="G2229" s="5">
        <v>45253</v>
      </c>
      <c r="H2229" s="5">
        <v>45275</v>
      </c>
      <c r="I2229" s="4">
        <v>22</v>
      </c>
      <c r="J2229" s="4" t="s">
        <v>115</v>
      </c>
      <c r="K2229" s="4" t="s">
        <v>160</v>
      </c>
      <c r="L2229" s="4" t="s">
        <v>117</v>
      </c>
      <c r="M2229" s="4" t="s">
        <v>143</v>
      </c>
      <c r="N2229" s="4" t="s">
        <v>109</v>
      </c>
      <c r="O2229" s="4" t="s">
        <v>199</v>
      </c>
      <c r="P2229" s="4">
        <v>455</v>
      </c>
      <c r="Q2229" s="4" t="s">
        <v>50</v>
      </c>
      <c r="R2229" s="4" t="s">
        <v>90</v>
      </c>
      <c r="S2229" s="4">
        <v>42905</v>
      </c>
      <c r="T2229" s="4">
        <v>29042</v>
      </c>
      <c r="U2229" s="4">
        <v>13863</v>
      </c>
      <c r="V2229" s="4">
        <v>31322</v>
      </c>
      <c r="W2229" s="4">
        <v>4436</v>
      </c>
      <c r="X2229" s="4">
        <v>4429</v>
      </c>
      <c r="Y2229" s="4" t="s">
        <v>41</v>
      </c>
      <c r="Z2229" s="4">
        <v>74</v>
      </c>
      <c r="AA2229" s="4">
        <v>4.8</v>
      </c>
      <c r="AB2229" s="4" t="s">
        <v>42</v>
      </c>
    </row>
    <row r="2230" spans="1:28" x14ac:dyDescent="0.25">
      <c r="A2230" s="2" t="s">
        <v>3031</v>
      </c>
      <c r="B2230" s="2" t="s">
        <v>153</v>
      </c>
      <c r="C2230" s="2">
        <v>80</v>
      </c>
      <c r="D2230" s="2" t="s">
        <v>55</v>
      </c>
      <c r="E2230" s="2" t="s">
        <v>56</v>
      </c>
      <c r="F2230" s="2" t="s">
        <v>94</v>
      </c>
      <c r="G2230" s="3">
        <v>45146</v>
      </c>
      <c r="H2230" s="3">
        <v>45163</v>
      </c>
      <c r="I2230" s="2">
        <v>17</v>
      </c>
      <c r="J2230" s="2" t="s">
        <v>33</v>
      </c>
      <c r="K2230" s="2" t="s">
        <v>278</v>
      </c>
      <c r="L2230" s="2" t="s">
        <v>279</v>
      </c>
      <c r="M2230" s="2" t="s">
        <v>134</v>
      </c>
      <c r="N2230" s="2" t="s">
        <v>118</v>
      </c>
      <c r="O2230" s="2" t="s">
        <v>211</v>
      </c>
      <c r="P2230" s="2">
        <v>143</v>
      </c>
      <c r="Q2230" s="2" t="s">
        <v>103</v>
      </c>
      <c r="R2230" s="2" t="s">
        <v>40</v>
      </c>
      <c r="S2230" s="2">
        <v>117719</v>
      </c>
      <c r="T2230" s="2">
        <v>70351</v>
      </c>
      <c r="U2230" s="2">
        <v>47368</v>
      </c>
      <c r="V2230" s="2">
        <v>97222</v>
      </c>
      <c r="W2230" s="2">
        <v>10658</v>
      </c>
      <c r="X2230" s="2">
        <v>8138</v>
      </c>
      <c r="Y2230" s="2" t="s">
        <v>41</v>
      </c>
      <c r="Z2230" s="2">
        <v>58</v>
      </c>
      <c r="AA2230" s="2">
        <v>3.5</v>
      </c>
      <c r="AB2230" s="2" t="s">
        <v>52</v>
      </c>
    </row>
    <row r="2231" spans="1:28" x14ac:dyDescent="0.25">
      <c r="A2231" s="4" t="s">
        <v>3032</v>
      </c>
      <c r="B2231" s="4" t="s">
        <v>499</v>
      </c>
      <c r="C2231" s="4">
        <v>62</v>
      </c>
      <c r="D2231" s="4" t="s">
        <v>30</v>
      </c>
      <c r="E2231" s="4" t="s">
        <v>67</v>
      </c>
      <c r="F2231" s="4" t="s">
        <v>32</v>
      </c>
      <c r="G2231" s="5">
        <v>45088</v>
      </c>
      <c r="H2231" s="5">
        <v>45107</v>
      </c>
      <c r="I2231" s="4">
        <v>19</v>
      </c>
      <c r="J2231" s="4" t="s">
        <v>123</v>
      </c>
      <c r="K2231" s="4" t="s">
        <v>251</v>
      </c>
      <c r="L2231" s="4" t="s">
        <v>125</v>
      </c>
      <c r="M2231" s="4" t="s">
        <v>108</v>
      </c>
      <c r="N2231" s="4" t="s">
        <v>118</v>
      </c>
      <c r="O2231" s="4" t="s">
        <v>161</v>
      </c>
      <c r="P2231" s="4">
        <v>155</v>
      </c>
      <c r="Q2231" s="4" t="s">
        <v>50</v>
      </c>
      <c r="R2231" s="4" t="s">
        <v>136</v>
      </c>
      <c r="S2231" s="4">
        <v>156098</v>
      </c>
      <c r="T2231" s="4">
        <v>0</v>
      </c>
      <c r="U2231" s="4">
        <v>156098</v>
      </c>
      <c r="V2231" s="4">
        <v>115269</v>
      </c>
      <c r="W2231" s="4">
        <v>23733</v>
      </c>
      <c r="X2231" s="4">
        <v>13622</v>
      </c>
      <c r="Y2231" s="4" t="s">
        <v>41</v>
      </c>
      <c r="Z2231" s="4">
        <v>73</v>
      </c>
      <c r="AA2231" s="4">
        <v>2.2000000000000002</v>
      </c>
      <c r="AB2231" s="4" t="s">
        <v>52</v>
      </c>
    </row>
    <row r="2232" spans="1:28" x14ac:dyDescent="0.25">
      <c r="A2232" s="2" t="s">
        <v>3033</v>
      </c>
      <c r="B2232" s="2" t="s">
        <v>273</v>
      </c>
      <c r="C2232" s="2">
        <v>25</v>
      </c>
      <c r="D2232" s="2" t="s">
        <v>30</v>
      </c>
      <c r="E2232" s="2" t="s">
        <v>154</v>
      </c>
      <c r="F2232" s="2" t="s">
        <v>94</v>
      </c>
      <c r="G2232" s="3">
        <v>45608</v>
      </c>
      <c r="H2232" s="3">
        <v>45626</v>
      </c>
      <c r="I2232" s="2">
        <v>18</v>
      </c>
      <c r="J2232" s="2" t="s">
        <v>115</v>
      </c>
      <c r="K2232" s="2" t="s">
        <v>116</v>
      </c>
      <c r="L2232" s="2" t="s">
        <v>117</v>
      </c>
      <c r="M2232" s="2" t="s">
        <v>108</v>
      </c>
      <c r="N2232" s="2" t="s">
        <v>118</v>
      </c>
      <c r="O2232" s="2" t="s">
        <v>194</v>
      </c>
      <c r="P2232" s="2">
        <v>313</v>
      </c>
      <c r="Q2232" s="2" t="s">
        <v>39</v>
      </c>
      <c r="R2232" s="2" t="s">
        <v>90</v>
      </c>
      <c r="S2232" s="2">
        <v>85584</v>
      </c>
      <c r="T2232" s="2">
        <v>75188</v>
      </c>
      <c r="U2232" s="2">
        <v>10396</v>
      </c>
      <c r="V2232" s="2">
        <v>70536</v>
      </c>
      <c r="W2232" s="2">
        <v>8806</v>
      </c>
      <c r="X2232" s="2">
        <v>1846</v>
      </c>
      <c r="Y2232" s="2" t="s">
        <v>41</v>
      </c>
      <c r="Z2232" s="2">
        <v>44</v>
      </c>
      <c r="AA2232" s="2">
        <v>2.7</v>
      </c>
      <c r="AB2232" s="2" t="s">
        <v>42</v>
      </c>
    </row>
    <row r="2233" spans="1:28" x14ac:dyDescent="0.25">
      <c r="A2233" s="4" t="s">
        <v>3034</v>
      </c>
      <c r="B2233" s="4" t="s">
        <v>774</v>
      </c>
      <c r="C2233" s="4">
        <v>60</v>
      </c>
      <c r="D2233" s="4" t="s">
        <v>30</v>
      </c>
      <c r="E2233" s="4" t="s">
        <v>45</v>
      </c>
      <c r="F2233" s="4" t="s">
        <v>46</v>
      </c>
      <c r="G2233" s="5">
        <v>45641</v>
      </c>
      <c r="H2233" s="5">
        <v>45649</v>
      </c>
      <c r="I2233" s="4">
        <v>8</v>
      </c>
      <c r="J2233" s="4" t="s">
        <v>33</v>
      </c>
      <c r="K2233" s="4" t="s">
        <v>233</v>
      </c>
      <c r="L2233" s="4" t="s">
        <v>35</v>
      </c>
      <c r="M2233" s="4" t="s">
        <v>83</v>
      </c>
      <c r="N2233" s="4" t="s">
        <v>37</v>
      </c>
      <c r="O2233" s="4" t="s">
        <v>591</v>
      </c>
      <c r="P2233" s="4">
        <v>384</v>
      </c>
      <c r="Q2233" s="4" t="s">
        <v>103</v>
      </c>
      <c r="R2233" s="4" t="s">
        <v>90</v>
      </c>
      <c r="S2233" s="4">
        <v>125080</v>
      </c>
      <c r="T2233" s="4">
        <v>81173</v>
      </c>
      <c r="U2233" s="4">
        <v>43907</v>
      </c>
      <c r="V2233" s="4">
        <v>99909</v>
      </c>
      <c r="W2233" s="4">
        <v>9236</v>
      </c>
      <c r="X2233" s="4">
        <v>14194</v>
      </c>
      <c r="Y2233" s="4" t="s">
        <v>91</v>
      </c>
      <c r="Z2233" s="4">
        <v>60</v>
      </c>
      <c r="AA2233" s="4">
        <v>4.9000000000000004</v>
      </c>
      <c r="AB2233" s="4" t="s">
        <v>104</v>
      </c>
    </row>
    <row r="2234" spans="1:28" x14ac:dyDescent="0.25">
      <c r="A2234" s="2" t="s">
        <v>3035</v>
      </c>
      <c r="B2234" s="2" t="s">
        <v>2271</v>
      </c>
      <c r="C2234" s="2">
        <v>72</v>
      </c>
      <c r="D2234" s="2" t="s">
        <v>55</v>
      </c>
      <c r="E2234" s="2" t="s">
        <v>79</v>
      </c>
      <c r="F2234" s="2" t="s">
        <v>157</v>
      </c>
      <c r="G2234" s="3">
        <v>44943</v>
      </c>
      <c r="H2234" s="3">
        <v>44953</v>
      </c>
      <c r="I2234" s="2">
        <v>10</v>
      </c>
      <c r="J2234" s="2" t="s">
        <v>33</v>
      </c>
      <c r="K2234" s="2" t="s">
        <v>174</v>
      </c>
      <c r="L2234" s="2" t="s">
        <v>48</v>
      </c>
      <c r="M2234" s="2" t="s">
        <v>143</v>
      </c>
      <c r="N2234" s="2" t="s">
        <v>109</v>
      </c>
      <c r="O2234" s="2" t="s">
        <v>591</v>
      </c>
      <c r="P2234" s="2">
        <v>23</v>
      </c>
      <c r="Q2234" s="2" t="s">
        <v>103</v>
      </c>
      <c r="R2234" s="2" t="s">
        <v>136</v>
      </c>
      <c r="S2234" s="2">
        <v>55422</v>
      </c>
      <c r="T2234" s="2">
        <v>0</v>
      </c>
      <c r="U2234" s="2">
        <v>55422</v>
      </c>
      <c r="V2234" s="2">
        <v>23045</v>
      </c>
      <c r="W2234" s="2">
        <v>20634</v>
      </c>
      <c r="X2234" s="2">
        <v>8413</v>
      </c>
      <c r="Y2234" s="2" t="s">
        <v>41</v>
      </c>
      <c r="Z2234" s="2">
        <v>70</v>
      </c>
      <c r="AA2234" s="2">
        <v>2.1</v>
      </c>
      <c r="AB2234" s="2" t="s">
        <v>104</v>
      </c>
    </row>
    <row r="2235" spans="1:28" x14ac:dyDescent="0.25">
      <c r="A2235" s="4" t="s">
        <v>3036</v>
      </c>
      <c r="B2235" s="4" t="s">
        <v>978</v>
      </c>
      <c r="C2235" s="4">
        <v>35</v>
      </c>
      <c r="D2235" s="4" t="s">
        <v>55</v>
      </c>
      <c r="E2235" s="4" t="s">
        <v>31</v>
      </c>
      <c r="F2235" s="4" t="s">
        <v>72</v>
      </c>
      <c r="G2235" s="5">
        <v>45564</v>
      </c>
      <c r="H2235" s="5">
        <v>45579</v>
      </c>
      <c r="I2235" s="4">
        <v>15</v>
      </c>
      <c r="J2235" s="4" t="s">
        <v>115</v>
      </c>
      <c r="K2235" s="4" t="s">
        <v>160</v>
      </c>
      <c r="L2235" s="4" t="s">
        <v>117</v>
      </c>
      <c r="M2235" s="4" t="s">
        <v>95</v>
      </c>
      <c r="N2235" s="4" t="s">
        <v>109</v>
      </c>
      <c r="O2235" s="4" t="s">
        <v>76</v>
      </c>
      <c r="P2235" s="4">
        <v>272</v>
      </c>
      <c r="Q2235" s="4" t="s">
        <v>50</v>
      </c>
      <c r="R2235" s="4" t="s">
        <v>51</v>
      </c>
      <c r="S2235" s="4">
        <v>88102</v>
      </c>
      <c r="T2235" s="4">
        <v>44660</v>
      </c>
      <c r="U2235" s="4">
        <v>43442</v>
      </c>
      <c r="V2235" s="4">
        <v>54594</v>
      </c>
      <c r="W2235" s="4">
        <v>21976</v>
      </c>
      <c r="X2235" s="4">
        <v>8037</v>
      </c>
      <c r="Y2235" s="4" t="s">
        <v>41</v>
      </c>
      <c r="Z2235" s="4">
        <v>97</v>
      </c>
      <c r="AA2235" s="4">
        <v>4.4000000000000004</v>
      </c>
      <c r="AB2235" s="4" t="s">
        <v>64</v>
      </c>
    </row>
    <row r="2236" spans="1:28" x14ac:dyDescent="0.25">
      <c r="A2236" s="2" t="s">
        <v>3037</v>
      </c>
      <c r="B2236" s="2" t="s">
        <v>1307</v>
      </c>
      <c r="C2236" s="2">
        <v>25</v>
      </c>
      <c r="D2236" s="2" t="s">
        <v>55</v>
      </c>
      <c r="E2236" s="2" t="s">
        <v>79</v>
      </c>
      <c r="F2236" s="2" t="s">
        <v>80</v>
      </c>
      <c r="G2236" s="3">
        <v>44766</v>
      </c>
      <c r="H2236" s="3">
        <v>44790</v>
      </c>
      <c r="I2236" s="2">
        <v>24</v>
      </c>
      <c r="J2236" s="2" t="s">
        <v>33</v>
      </c>
      <c r="K2236" s="2" t="s">
        <v>197</v>
      </c>
      <c r="L2236" s="2" t="s">
        <v>198</v>
      </c>
      <c r="M2236" s="2" t="s">
        <v>75</v>
      </c>
      <c r="N2236" s="2" t="s">
        <v>118</v>
      </c>
      <c r="O2236" s="2" t="s">
        <v>295</v>
      </c>
      <c r="P2236" s="2">
        <v>362</v>
      </c>
      <c r="Q2236" s="2" t="s">
        <v>69</v>
      </c>
      <c r="R2236" s="2" t="s">
        <v>51</v>
      </c>
      <c r="S2236" s="2">
        <v>57674</v>
      </c>
      <c r="T2236" s="2">
        <v>26207</v>
      </c>
      <c r="U2236" s="2">
        <v>31467</v>
      </c>
      <c r="V2236" s="2">
        <v>37103</v>
      </c>
      <c r="W2236" s="2">
        <v>4267</v>
      </c>
      <c r="X2236" s="2">
        <v>13590</v>
      </c>
      <c r="Y2236" s="2" t="s">
        <v>91</v>
      </c>
      <c r="Z2236" s="2">
        <v>92</v>
      </c>
      <c r="AA2236" s="2">
        <v>4.7</v>
      </c>
      <c r="AB2236" s="2" t="s">
        <v>42</v>
      </c>
    </row>
    <row r="2237" spans="1:28" x14ac:dyDescent="0.25">
      <c r="A2237" s="4" t="s">
        <v>3038</v>
      </c>
      <c r="B2237" s="4" t="s">
        <v>294</v>
      </c>
      <c r="C2237" s="4">
        <v>22</v>
      </c>
      <c r="D2237" s="4" t="s">
        <v>55</v>
      </c>
      <c r="E2237" s="4" t="s">
        <v>67</v>
      </c>
      <c r="F2237" s="4" t="s">
        <v>46</v>
      </c>
      <c r="G2237" s="5">
        <v>44950</v>
      </c>
      <c r="H2237" s="5">
        <v>44957</v>
      </c>
      <c r="I2237" s="4">
        <v>7</v>
      </c>
      <c r="J2237" s="4" t="s">
        <v>33</v>
      </c>
      <c r="K2237" s="4" t="s">
        <v>278</v>
      </c>
      <c r="L2237" s="4" t="s">
        <v>279</v>
      </c>
      <c r="M2237" s="4" t="s">
        <v>95</v>
      </c>
      <c r="N2237" s="4" t="s">
        <v>109</v>
      </c>
      <c r="O2237" s="4" t="s">
        <v>543</v>
      </c>
      <c r="P2237" s="4">
        <v>97</v>
      </c>
      <c r="Q2237" s="4" t="s">
        <v>50</v>
      </c>
      <c r="R2237" s="4" t="s">
        <v>51</v>
      </c>
      <c r="S2237" s="4">
        <v>154547</v>
      </c>
      <c r="T2237" s="4">
        <v>67736</v>
      </c>
      <c r="U2237" s="4">
        <v>86811</v>
      </c>
      <c r="V2237" s="4">
        <v>123946</v>
      </c>
      <c r="W2237" s="4">
        <v>24340</v>
      </c>
      <c r="X2237" s="4">
        <v>2118</v>
      </c>
      <c r="Y2237" s="4" t="s">
        <v>91</v>
      </c>
      <c r="Z2237" s="4">
        <v>43</v>
      </c>
      <c r="AA2237" s="4">
        <v>4.5</v>
      </c>
      <c r="AB2237" s="4" t="s">
        <v>42</v>
      </c>
    </row>
    <row r="2238" spans="1:28" x14ac:dyDescent="0.25">
      <c r="A2238" s="2" t="s">
        <v>3039</v>
      </c>
      <c r="B2238" s="2" t="s">
        <v>1440</v>
      </c>
      <c r="C2238" s="2">
        <v>28</v>
      </c>
      <c r="D2238" s="2" t="s">
        <v>30</v>
      </c>
      <c r="E2238" s="2" t="s">
        <v>154</v>
      </c>
      <c r="F2238" s="2" t="s">
        <v>46</v>
      </c>
      <c r="G2238" s="3">
        <v>44963</v>
      </c>
      <c r="H2238" s="3">
        <v>44990</v>
      </c>
      <c r="I2238" s="2">
        <v>27</v>
      </c>
      <c r="J2238" s="2" t="s">
        <v>33</v>
      </c>
      <c r="K2238" s="2" t="s">
        <v>197</v>
      </c>
      <c r="L2238" s="2" t="s">
        <v>198</v>
      </c>
      <c r="M2238" s="2" t="s">
        <v>101</v>
      </c>
      <c r="N2238" s="2" t="s">
        <v>62</v>
      </c>
      <c r="O2238" s="2" t="s">
        <v>256</v>
      </c>
      <c r="P2238" s="2">
        <v>58</v>
      </c>
      <c r="Q2238" s="2" t="s">
        <v>103</v>
      </c>
      <c r="R2238" s="2" t="s">
        <v>40</v>
      </c>
      <c r="S2238" s="2">
        <v>76129</v>
      </c>
      <c r="T2238" s="2">
        <v>30538</v>
      </c>
      <c r="U2238" s="2">
        <v>45591</v>
      </c>
      <c r="V2238" s="2">
        <v>63078</v>
      </c>
      <c r="W2238" s="2">
        <v>5383</v>
      </c>
      <c r="X2238" s="2">
        <v>5306</v>
      </c>
      <c r="Y2238" s="2" t="s">
        <v>41</v>
      </c>
      <c r="Z2238" s="2">
        <v>90</v>
      </c>
      <c r="AA2238" s="2">
        <v>4</v>
      </c>
      <c r="AB2238" s="2" t="s">
        <v>64</v>
      </c>
    </row>
    <row r="2239" spans="1:28" x14ac:dyDescent="0.25">
      <c r="A2239" s="4" t="s">
        <v>3040</v>
      </c>
      <c r="B2239" s="4" t="s">
        <v>491</v>
      </c>
      <c r="C2239" s="4">
        <v>66</v>
      </c>
      <c r="D2239" s="4" t="s">
        <v>55</v>
      </c>
      <c r="E2239" s="4" t="s">
        <v>122</v>
      </c>
      <c r="F2239" s="4" t="s">
        <v>150</v>
      </c>
      <c r="G2239" s="5">
        <v>44805</v>
      </c>
      <c r="H2239" s="5">
        <v>44834</v>
      </c>
      <c r="I2239" s="4">
        <v>29</v>
      </c>
      <c r="J2239" s="4" t="s">
        <v>140</v>
      </c>
      <c r="K2239" s="4" t="s">
        <v>141</v>
      </c>
      <c r="L2239" s="4" t="s">
        <v>142</v>
      </c>
      <c r="M2239" s="4" t="s">
        <v>143</v>
      </c>
      <c r="N2239" s="4" t="s">
        <v>118</v>
      </c>
      <c r="O2239" s="4" t="s">
        <v>234</v>
      </c>
      <c r="P2239" s="4">
        <v>416</v>
      </c>
      <c r="Q2239" s="4" t="s">
        <v>103</v>
      </c>
      <c r="R2239" s="4" t="s">
        <v>51</v>
      </c>
      <c r="S2239" s="4">
        <v>33993</v>
      </c>
      <c r="T2239" s="4">
        <v>22280</v>
      </c>
      <c r="U2239" s="4">
        <v>11713</v>
      </c>
      <c r="V2239" s="4">
        <v>25476</v>
      </c>
      <c r="W2239" s="4">
        <v>2633</v>
      </c>
      <c r="X2239" s="4">
        <v>2900</v>
      </c>
      <c r="Y2239" s="4" t="s">
        <v>41</v>
      </c>
      <c r="Z2239" s="4">
        <v>72</v>
      </c>
      <c r="AA2239" s="4">
        <v>4.5</v>
      </c>
      <c r="AB2239" s="4" t="s">
        <v>64</v>
      </c>
    </row>
    <row r="2240" spans="1:28" x14ac:dyDescent="0.25">
      <c r="A2240" s="2" t="s">
        <v>3041</v>
      </c>
      <c r="B2240" s="2" t="s">
        <v>687</v>
      </c>
      <c r="C2240" s="2">
        <v>40</v>
      </c>
      <c r="D2240" s="2" t="s">
        <v>30</v>
      </c>
      <c r="E2240" s="2" t="s">
        <v>45</v>
      </c>
      <c r="F2240" s="2" t="s">
        <v>129</v>
      </c>
      <c r="G2240" s="3">
        <v>44638</v>
      </c>
      <c r="H2240" s="3">
        <v>44653</v>
      </c>
      <c r="I2240" s="2">
        <v>15</v>
      </c>
      <c r="J2240" s="2" t="s">
        <v>115</v>
      </c>
      <c r="K2240" s="2" t="s">
        <v>116</v>
      </c>
      <c r="L2240" s="2" t="s">
        <v>117</v>
      </c>
      <c r="M2240" s="2" t="s">
        <v>101</v>
      </c>
      <c r="N2240" s="2" t="s">
        <v>62</v>
      </c>
      <c r="O2240" s="2" t="s">
        <v>355</v>
      </c>
      <c r="P2240" s="2">
        <v>418</v>
      </c>
      <c r="Q2240" s="2" t="s">
        <v>39</v>
      </c>
      <c r="R2240" s="2" t="s">
        <v>90</v>
      </c>
      <c r="S2240" s="2">
        <v>69029</v>
      </c>
      <c r="T2240" s="2">
        <v>51627</v>
      </c>
      <c r="U2240" s="2">
        <v>17402</v>
      </c>
      <c r="V2240" s="2">
        <v>28599</v>
      </c>
      <c r="W2240" s="2">
        <v>26369</v>
      </c>
      <c r="X2240" s="2">
        <v>9764</v>
      </c>
      <c r="Y2240" s="2" t="s">
        <v>41</v>
      </c>
      <c r="Z2240" s="2">
        <v>46</v>
      </c>
      <c r="AA2240" s="2">
        <v>3.3</v>
      </c>
      <c r="AB2240" s="2" t="s">
        <v>52</v>
      </c>
    </row>
    <row r="2241" spans="1:28" x14ac:dyDescent="0.25">
      <c r="A2241" s="4" t="s">
        <v>3042</v>
      </c>
      <c r="B2241" s="4" t="s">
        <v>903</v>
      </c>
      <c r="C2241" s="4">
        <v>18</v>
      </c>
      <c r="D2241" s="4" t="s">
        <v>55</v>
      </c>
      <c r="E2241" s="4" t="s">
        <v>122</v>
      </c>
      <c r="F2241" s="4" t="s">
        <v>80</v>
      </c>
      <c r="G2241" s="5">
        <v>45127</v>
      </c>
      <c r="H2241" s="5">
        <v>45137</v>
      </c>
      <c r="I2241" s="4">
        <v>10</v>
      </c>
      <c r="J2241" s="4" t="s">
        <v>123</v>
      </c>
      <c r="K2241" s="4" t="s">
        <v>251</v>
      </c>
      <c r="L2241" s="4" t="s">
        <v>125</v>
      </c>
      <c r="M2241" s="4" t="s">
        <v>83</v>
      </c>
      <c r="N2241" s="4" t="s">
        <v>37</v>
      </c>
      <c r="O2241" s="4" t="s">
        <v>368</v>
      </c>
      <c r="P2241" s="4">
        <v>60</v>
      </c>
      <c r="Q2241" s="4" t="s">
        <v>39</v>
      </c>
      <c r="R2241" s="4" t="s">
        <v>40</v>
      </c>
      <c r="S2241" s="4">
        <v>50287</v>
      </c>
      <c r="T2241" s="4">
        <v>32842</v>
      </c>
      <c r="U2241" s="4">
        <v>17445</v>
      </c>
      <c r="V2241" s="4">
        <v>30507</v>
      </c>
      <c r="W2241" s="4">
        <v>13745</v>
      </c>
      <c r="X2241" s="4">
        <v>2754</v>
      </c>
      <c r="Y2241" s="4" t="s">
        <v>41</v>
      </c>
      <c r="Z2241" s="4">
        <v>41</v>
      </c>
      <c r="AA2241" s="4">
        <v>4.9000000000000004</v>
      </c>
      <c r="AB2241" s="4" t="s">
        <v>104</v>
      </c>
    </row>
    <row r="2242" spans="1:28" x14ac:dyDescent="0.25">
      <c r="A2242" s="2" t="s">
        <v>3043</v>
      </c>
      <c r="B2242" s="2" t="s">
        <v>450</v>
      </c>
      <c r="C2242" s="2">
        <v>57</v>
      </c>
      <c r="D2242" s="2" t="s">
        <v>30</v>
      </c>
      <c r="E2242" s="2" t="s">
        <v>87</v>
      </c>
      <c r="F2242" s="2" t="s">
        <v>46</v>
      </c>
      <c r="G2242" s="3">
        <v>45051</v>
      </c>
      <c r="H2242" s="3">
        <v>45070</v>
      </c>
      <c r="I2242" s="2">
        <v>19</v>
      </c>
      <c r="J2242" s="2" t="s">
        <v>33</v>
      </c>
      <c r="K2242" s="2" t="s">
        <v>174</v>
      </c>
      <c r="L2242" s="2" t="s">
        <v>48</v>
      </c>
      <c r="M2242" s="2" t="s">
        <v>75</v>
      </c>
      <c r="N2242" s="2" t="s">
        <v>118</v>
      </c>
      <c r="O2242" s="2" t="s">
        <v>227</v>
      </c>
      <c r="P2242" s="2">
        <v>382</v>
      </c>
      <c r="Q2242" s="2" t="s">
        <v>50</v>
      </c>
      <c r="R2242" s="2" t="s">
        <v>136</v>
      </c>
      <c r="S2242" s="2">
        <v>158644</v>
      </c>
      <c r="T2242" s="2">
        <v>0</v>
      </c>
      <c r="U2242" s="2">
        <v>158644</v>
      </c>
      <c r="V2242" s="2">
        <v>136837</v>
      </c>
      <c r="W2242" s="2">
        <v>3442</v>
      </c>
      <c r="X2242" s="2">
        <v>14684</v>
      </c>
      <c r="Y2242" s="2" t="s">
        <v>41</v>
      </c>
      <c r="Z2242" s="2">
        <v>43</v>
      </c>
      <c r="AA2242" s="2">
        <v>4.8</v>
      </c>
      <c r="AB2242" s="2" t="s">
        <v>104</v>
      </c>
    </row>
    <row r="2243" spans="1:28" x14ac:dyDescent="0.25">
      <c r="A2243" s="4" t="s">
        <v>3044</v>
      </c>
      <c r="B2243" s="4" t="s">
        <v>586</v>
      </c>
      <c r="C2243" s="4">
        <v>14</v>
      </c>
      <c r="D2243" s="4" t="s">
        <v>55</v>
      </c>
      <c r="E2243" s="4" t="s">
        <v>31</v>
      </c>
      <c r="F2243" s="4" t="s">
        <v>114</v>
      </c>
      <c r="G2243" s="5">
        <v>44958</v>
      </c>
      <c r="H2243" s="5">
        <v>44986</v>
      </c>
      <c r="I2243" s="4">
        <v>28</v>
      </c>
      <c r="J2243" s="4" t="s">
        <v>33</v>
      </c>
      <c r="K2243" s="4" t="s">
        <v>174</v>
      </c>
      <c r="L2243" s="4" t="s">
        <v>48</v>
      </c>
      <c r="M2243" s="4" t="s">
        <v>95</v>
      </c>
      <c r="N2243" s="4" t="s">
        <v>62</v>
      </c>
      <c r="O2243" s="4" t="s">
        <v>241</v>
      </c>
      <c r="P2243" s="4">
        <v>306</v>
      </c>
      <c r="Q2243" s="4" t="s">
        <v>69</v>
      </c>
      <c r="R2243" s="4" t="s">
        <v>40</v>
      </c>
      <c r="S2243" s="4">
        <v>37028</v>
      </c>
      <c r="T2243" s="4">
        <v>16510</v>
      </c>
      <c r="U2243" s="4">
        <v>20518</v>
      </c>
      <c r="V2243" s="4">
        <v>27657</v>
      </c>
      <c r="W2243" s="4">
        <v>2727</v>
      </c>
      <c r="X2243" s="4">
        <v>3026</v>
      </c>
      <c r="Y2243" s="4" t="s">
        <v>41</v>
      </c>
      <c r="Z2243" s="4">
        <v>63</v>
      </c>
      <c r="AA2243" s="4">
        <v>2.1</v>
      </c>
      <c r="AB2243" s="4" t="s">
        <v>137</v>
      </c>
    </row>
    <row r="2244" spans="1:28" x14ac:dyDescent="0.25">
      <c r="A2244" s="2" t="s">
        <v>3045</v>
      </c>
      <c r="B2244" s="2" t="s">
        <v>1517</v>
      </c>
      <c r="C2244" s="2">
        <v>76</v>
      </c>
      <c r="D2244" s="2" t="s">
        <v>55</v>
      </c>
      <c r="E2244" s="2" t="s">
        <v>45</v>
      </c>
      <c r="F2244" s="2" t="s">
        <v>129</v>
      </c>
      <c r="G2244" s="3">
        <v>44874</v>
      </c>
      <c r="H2244" s="3">
        <v>44893</v>
      </c>
      <c r="I2244" s="2">
        <v>19</v>
      </c>
      <c r="J2244" s="2" t="s">
        <v>123</v>
      </c>
      <c r="K2244" s="2" t="s">
        <v>124</v>
      </c>
      <c r="L2244" s="2" t="s">
        <v>125</v>
      </c>
      <c r="M2244" s="2" t="s">
        <v>134</v>
      </c>
      <c r="N2244" s="2" t="s">
        <v>37</v>
      </c>
      <c r="O2244" s="2" t="s">
        <v>461</v>
      </c>
      <c r="P2244" s="2">
        <v>254</v>
      </c>
      <c r="Q2244" s="2" t="s">
        <v>103</v>
      </c>
      <c r="R2244" s="2" t="s">
        <v>40</v>
      </c>
      <c r="S2244" s="2">
        <v>51939</v>
      </c>
      <c r="T2244" s="2">
        <v>25402</v>
      </c>
      <c r="U2244" s="2">
        <v>26537</v>
      </c>
      <c r="V2244" s="2">
        <v>25151</v>
      </c>
      <c r="W2244" s="2">
        <v>15172</v>
      </c>
      <c r="X2244" s="2">
        <v>10361</v>
      </c>
      <c r="Y2244" s="2" t="s">
        <v>41</v>
      </c>
      <c r="Z2244" s="2">
        <v>78</v>
      </c>
      <c r="AA2244" s="2">
        <v>4.9000000000000004</v>
      </c>
      <c r="AB2244" s="2" t="s">
        <v>104</v>
      </c>
    </row>
    <row r="2245" spans="1:28" x14ac:dyDescent="0.25">
      <c r="A2245" s="4" t="s">
        <v>3046</v>
      </c>
      <c r="B2245" s="4" t="s">
        <v>450</v>
      </c>
      <c r="C2245" s="4">
        <v>48</v>
      </c>
      <c r="D2245" s="4" t="s">
        <v>55</v>
      </c>
      <c r="E2245" s="4" t="s">
        <v>45</v>
      </c>
      <c r="F2245" s="4" t="s">
        <v>46</v>
      </c>
      <c r="G2245" s="5">
        <v>44886</v>
      </c>
      <c r="H2245" s="5">
        <v>44913</v>
      </c>
      <c r="I2245" s="4">
        <v>27</v>
      </c>
      <c r="J2245" s="4" t="s">
        <v>115</v>
      </c>
      <c r="K2245" s="4" t="s">
        <v>160</v>
      </c>
      <c r="L2245" s="4" t="s">
        <v>117</v>
      </c>
      <c r="M2245" s="4" t="s">
        <v>143</v>
      </c>
      <c r="N2245" s="4" t="s">
        <v>118</v>
      </c>
      <c r="O2245" s="4" t="s">
        <v>171</v>
      </c>
      <c r="P2245" s="4">
        <v>232</v>
      </c>
      <c r="Q2245" s="4" t="s">
        <v>103</v>
      </c>
      <c r="R2245" s="4" t="s">
        <v>40</v>
      </c>
      <c r="S2245" s="4">
        <v>79668</v>
      </c>
      <c r="T2245" s="4">
        <v>41185</v>
      </c>
      <c r="U2245" s="4">
        <v>38483</v>
      </c>
      <c r="V2245" s="4">
        <v>48873</v>
      </c>
      <c r="W2245" s="4">
        <v>14413</v>
      </c>
      <c r="X2245" s="4">
        <v>11935</v>
      </c>
      <c r="Y2245" s="4" t="s">
        <v>41</v>
      </c>
      <c r="Z2245" s="4">
        <v>81</v>
      </c>
      <c r="AA2245" s="4">
        <v>3.3</v>
      </c>
      <c r="AB2245" s="4" t="s">
        <v>104</v>
      </c>
    </row>
    <row r="2246" spans="1:28" x14ac:dyDescent="0.25">
      <c r="A2246" s="2" t="s">
        <v>3047</v>
      </c>
      <c r="B2246" s="2" t="s">
        <v>367</v>
      </c>
      <c r="C2246" s="2">
        <v>47</v>
      </c>
      <c r="D2246" s="2" t="s">
        <v>55</v>
      </c>
      <c r="E2246" s="2" t="s">
        <v>154</v>
      </c>
      <c r="F2246" s="2" t="s">
        <v>46</v>
      </c>
      <c r="G2246" s="3">
        <v>44911</v>
      </c>
      <c r="H2246" s="3">
        <v>44934</v>
      </c>
      <c r="I2246" s="2">
        <v>23</v>
      </c>
      <c r="J2246" s="2" t="s">
        <v>33</v>
      </c>
      <c r="K2246" s="2" t="s">
        <v>197</v>
      </c>
      <c r="L2246" s="2" t="s">
        <v>198</v>
      </c>
      <c r="M2246" s="2" t="s">
        <v>101</v>
      </c>
      <c r="N2246" s="2" t="s">
        <v>37</v>
      </c>
      <c r="O2246" s="2" t="s">
        <v>455</v>
      </c>
      <c r="P2246" s="2">
        <v>188</v>
      </c>
      <c r="Q2246" s="2" t="s">
        <v>50</v>
      </c>
      <c r="R2246" s="2" t="s">
        <v>51</v>
      </c>
      <c r="S2246" s="2">
        <v>146318</v>
      </c>
      <c r="T2246" s="2">
        <v>70459</v>
      </c>
      <c r="U2246" s="2">
        <v>75859</v>
      </c>
      <c r="V2246" s="2">
        <v>122937</v>
      </c>
      <c r="W2246" s="2">
        <v>18445</v>
      </c>
      <c r="X2246" s="2">
        <v>1361</v>
      </c>
      <c r="Y2246" s="2" t="s">
        <v>41</v>
      </c>
      <c r="Z2246" s="2">
        <v>79</v>
      </c>
      <c r="AA2246" s="2">
        <v>4.5</v>
      </c>
      <c r="AB2246" s="2" t="s">
        <v>137</v>
      </c>
    </row>
    <row r="2247" spans="1:28" x14ac:dyDescent="0.25">
      <c r="A2247" s="4" t="s">
        <v>3048</v>
      </c>
      <c r="B2247" s="4" t="s">
        <v>2304</v>
      </c>
      <c r="C2247" s="4">
        <v>42</v>
      </c>
      <c r="D2247" s="4" t="s">
        <v>30</v>
      </c>
      <c r="E2247" s="4" t="s">
        <v>31</v>
      </c>
      <c r="F2247" s="4" t="s">
        <v>157</v>
      </c>
      <c r="G2247" s="5">
        <v>44784</v>
      </c>
      <c r="H2247" s="5">
        <v>44798</v>
      </c>
      <c r="I2247" s="4">
        <v>14</v>
      </c>
      <c r="J2247" s="4" t="s">
        <v>33</v>
      </c>
      <c r="K2247" s="4" t="s">
        <v>197</v>
      </c>
      <c r="L2247" s="4" t="s">
        <v>198</v>
      </c>
      <c r="M2247" s="4" t="s">
        <v>95</v>
      </c>
      <c r="N2247" s="4" t="s">
        <v>37</v>
      </c>
      <c r="O2247" s="4" t="s">
        <v>248</v>
      </c>
      <c r="P2247" s="4">
        <v>455</v>
      </c>
      <c r="Q2247" s="4" t="s">
        <v>50</v>
      </c>
      <c r="R2247" s="4" t="s">
        <v>40</v>
      </c>
      <c r="S2247" s="4">
        <v>49494</v>
      </c>
      <c r="T2247" s="4">
        <v>23954</v>
      </c>
      <c r="U2247" s="4">
        <v>25540</v>
      </c>
      <c r="V2247" s="4">
        <v>29097</v>
      </c>
      <c r="W2247" s="4">
        <v>4141</v>
      </c>
      <c r="X2247" s="4">
        <v>13152</v>
      </c>
      <c r="Y2247" s="4" t="s">
        <v>41</v>
      </c>
      <c r="Z2247" s="4">
        <v>40</v>
      </c>
      <c r="AA2247" s="4">
        <v>2.2999999999999998</v>
      </c>
      <c r="AB2247" s="4" t="s">
        <v>104</v>
      </c>
    </row>
    <row r="2248" spans="1:28" x14ac:dyDescent="0.25">
      <c r="A2248" s="2" t="s">
        <v>3049</v>
      </c>
      <c r="B2248" s="2" t="s">
        <v>1644</v>
      </c>
      <c r="C2248" s="2">
        <v>32</v>
      </c>
      <c r="D2248" s="2" t="s">
        <v>30</v>
      </c>
      <c r="E2248" s="2" t="s">
        <v>122</v>
      </c>
      <c r="F2248" s="2" t="s">
        <v>94</v>
      </c>
      <c r="G2248" s="3">
        <v>45413</v>
      </c>
      <c r="H2248" s="3">
        <v>45440</v>
      </c>
      <c r="I2248" s="2">
        <v>27</v>
      </c>
      <c r="J2248" s="2" t="s">
        <v>33</v>
      </c>
      <c r="K2248" s="2" t="s">
        <v>99</v>
      </c>
      <c r="L2248" s="2" t="s">
        <v>100</v>
      </c>
      <c r="M2248" s="2" t="s">
        <v>75</v>
      </c>
      <c r="N2248" s="2" t="s">
        <v>109</v>
      </c>
      <c r="O2248" s="2" t="s">
        <v>434</v>
      </c>
      <c r="P2248" s="2">
        <v>368</v>
      </c>
      <c r="Q2248" s="2" t="s">
        <v>50</v>
      </c>
      <c r="R2248" s="2" t="s">
        <v>136</v>
      </c>
      <c r="S2248" s="2">
        <v>167074</v>
      </c>
      <c r="T2248" s="2">
        <v>0</v>
      </c>
      <c r="U2248" s="2">
        <v>167074</v>
      </c>
      <c r="V2248" s="2">
        <v>136768</v>
      </c>
      <c r="W2248" s="2">
        <v>22131</v>
      </c>
      <c r="X2248" s="2">
        <v>4176</v>
      </c>
      <c r="Y2248" s="2" t="s">
        <v>41</v>
      </c>
      <c r="Z2248" s="2">
        <v>56</v>
      </c>
      <c r="AA2248" s="2">
        <v>3.9</v>
      </c>
      <c r="AB2248" s="2" t="s">
        <v>137</v>
      </c>
    </row>
    <row r="2249" spans="1:28" x14ac:dyDescent="0.25">
      <c r="A2249" s="4" t="s">
        <v>3050</v>
      </c>
      <c r="B2249" s="4" t="s">
        <v>1093</v>
      </c>
      <c r="C2249" s="4">
        <v>62</v>
      </c>
      <c r="D2249" s="4" t="s">
        <v>30</v>
      </c>
      <c r="E2249" s="4" t="s">
        <v>79</v>
      </c>
      <c r="F2249" s="4" t="s">
        <v>129</v>
      </c>
      <c r="G2249" s="5">
        <v>45277</v>
      </c>
      <c r="H2249" s="5">
        <v>45301</v>
      </c>
      <c r="I2249" s="4">
        <v>24</v>
      </c>
      <c r="J2249" s="4" t="s">
        <v>58</v>
      </c>
      <c r="K2249" s="4" t="s">
        <v>59</v>
      </c>
      <c r="L2249" s="4" t="s">
        <v>60</v>
      </c>
      <c r="M2249" s="4" t="s">
        <v>101</v>
      </c>
      <c r="N2249" s="4" t="s">
        <v>62</v>
      </c>
      <c r="O2249" s="4" t="s">
        <v>543</v>
      </c>
      <c r="P2249" s="4">
        <v>197</v>
      </c>
      <c r="Q2249" s="4" t="s">
        <v>39</v>
      </c>
      <c r="R2249" s="4" t="s">
        <v>111</v>
      </c>
      <c r="S2249" s="4">
        <v>116378</v>
      </c>
      <c r="T2249" s="4">
        <v>90258</v>
      </c>
      <c r="U2249" s="4">
        <v>26120</v>
      </c>
      <c r="V2249" s="4">
        <v>90620</v>
      </c>
      <c r="W2249" s="4">
        <v>14224</v>
      </c>
      <c r="X2249" s="4">
        <v>8939</v>
      </c>
      <c r="Y2249" s="4" t="s">
        <v>41</v>
      </c>
      <c r="Z2249" s="4">
        <v>83</v>
      </c>
      <c r="AA2249" s="4">
        <v>3.6</v>
      </c>
      <c r="AB2249" s="4" t="s">
        <v>104</v>
      </c>
    </row>
    <row r="2250" spans="1:28" x14ac:dyDescent="0.25">
      <c r="A2250" s="2" t="s">
        <v>3051</v>
      </c>
      <c r="B2250" s="2" t="s">
        <v>802</v>
      </c>
      <c r="C2250" s="2">
        <v>71</v>
      </c>
      <c r="D2250" s="2" t="s">
        <v>30</v>
      </c>
      <c r="E2250" s="2" t="s">
        <v>87</v>
      </c>
      <c r="F2250" s="2" t="s">
        <v>129</v>
      </c>
      <c r="G2250" s="3">
        <v>45212</v>
      </c>
      <c r="H2250" s="3">
        <v>45220</v>
      </c>
      <c r="I2250" s="2">
        <v>8</v>
      </c>
      <c r="J2250" s="2" t="s">
        <v>33</v>
      </c>
      <c r="K2250" s="2" t="s">
        <v>197</v>
      </c>
      <c r="L2250" s="2" t="s">
        <v>198</v>
      </c>
      <c r="M2250" s="2" t="s">
        <v>36</v>
      </c>
      <c r="N2250" s="2" t="s">
        <v>118</v>
      </c>
      <c r="O2250" s="2" t="s">
        <v>214</v>
      </c>
      <c r="P2250" s="2">
        <v>279</v>
      </c>
      <c r="Q2250" s="2" t="s">
        <v>103</v>
      </c>
      <c r="R2250" s="2" t="s">
        <v>111</v>
      </c>
      <c r="S2250" s="2">
        <v>180945</v>
      </c>
      <c r="T2250" s="2">
        <v>128822</v>
      </c>
      <c r="U2250" s="2">
        <v>52123</v>
      </c>
      <c r="V2250" s="2">
        <v>141954</v>
      </c>
      <c r="W2250" s="2">
        <v>23107</v>
      </c>
      <c r="X2250" s="2">
        <v>13242</v>
      </c>
      <c r="Y2250" s="2" t="s">
        <v>91</v>
      </c>
      <c r="Z2250" s="2">
        <v>97</v>
      </c>
      <c r="AA2250" s="2">
        <v>3.8</v>
      </c>
      <c r="AB2250" s="2" t="s">
        <v>64</v>
      </c>
    </row>
    <row r="2251" spans="1:28" x14ac:dyDescent="0.25">
      <c r="A2251" s="4" t="s">
        <v>3052</v>
      </c>
      <c r="B2251" s="4" t="s">
        <v>800</v>
      </c>
      <c r="C2251" s="4">
        <v>41</v>
      </c>
      <c r="D2251" s="4" t="s">
        <v>30</v>
      </c>
      <c r="E2251" s="4" t="s">
        <v>87</v>
      </c>
      <c r="F2251" s="4" t="s">
        <v>157</v>
      </c>
      <c r="G2251" s="5">
        <v>44878</v>
      </c>
      <c r="H2251" s="5">
        <v>44893</v>
      </c>
      <c r="I2251" s="4">
        <v>15</v>
      </c>
      <c r="J2251" s="4" t="s">
        <v>33</v>
      </c>
      <c r="K2251" s="4" t="s">
        <v>47</v>
      </c>
      <c r="L2251" s="4" t="s">
        <v>48</v>
      </c>
      <c r="M2251" s="4" t="s">
        <v>61</v>
      </c>
      <c r="N2251" s="4" t="s">
        <v>37</v>
      </c>
      <c r="O2251" s="4" t="s">
        <v>76</v>
      </c>
      <c r="P2251" s="4">
        <v>450</v>
      </c>
      <c r="Q2251" s="4" t="s">
        <v>69</v>
      </c>
      <c r="R2251" s="4" t="s">
        <v>40</v>
      </c>
      <c r="S2251" s="4">
        <v>145158</v>
      </c>
      <c r="T2251" s="4">
        <v>66360</v>
      </c>
      <c r="U2251" s="4">
        <v>78798</v>
      </c>
      <c r="V2251" s="4">
        <v>101508</v>
      </c>
      <c r="W2251" s="4">
        <v>29457</v>
      </c>
      <c r="X2251" s="4">
        <v>10534</v>
      </c>
      <c r="Y2251" s="4" t="s">
        <v>91</v>
      </c>
      <c r="Z2251" s="4">
        <v>89</v>
      </c>
      <c r="AA2251" s="4">
        <v>3.7</v>
      </c>
      <c r="AB2251" s="4" t="s">
        <v>137</v>
      </c>
    </row>
    <row r="2252" spans="1:28" x14ac:dyDescent="0.25">
      <c r="A2252" s="2" t="s">
        <v>3053</v>
      </c>
      <c r="B2252" s="2" t="s">
        <v>1522</v>
      </c>
      <c r="C2252" s="2">
        <v>12</v>
      </c>
      <c r="D2252" s="2" t="s">
        <v>30</v>
      </c>
      <c r="E2252" s="2" t="s">
        <v>31</v>
      </c>
      <c r="F2252" s="2" t="s">
        <v>129</v>
      </c>
      <c r="G2252" s="3">
        <v>44647</v>
      </c>
      <c r="H2252" s="3">
        <v>44666</v>
      </c>
      <c r="I2252" s="2">
        <v>19</v>
      </c>
      <c r="J2252" s="2" t="s">
        <v>73</v>
      </c>
      <c r="K2252" s="2" t="s">
        <v>74</v>
      </c>
      <c r="L2252" s="2" t="s">
        <v>73</v>
      </c>
      <c r="M2252" s="2" t="s">
        <v>36</v>
      </c>
      <c r="N2252" s="2" t="s">
        <v>109</v>
      </c>
      <c r="O2252" s="2" t="s">
        <v>396</v>
      </c>
      <c r="P2252" s="2">
        <v>148</v>
      </c>
      <c r="Q2252" s="2" t="s">
        <v>50</v>
      </c>
      <c r="R2252" s="2" t="s">
        <v>111</v>
      </c>
      <c r="S2252" s="2">
        <v>110345</v>
      </c>
      <c r="T2252" s="2">
        <v>71428</v>
      </c>
      <c r="U2252" s="2">
        <v>38917</v>
      </c>
      <c r="V2252" s="2">
        <v>76720</v>
      </c>
      <c r="W2252" s="2">
        <v>26899</v>
      </c>
      <c r="X2252" s="2">
        <v>2275</v>
      </c>
      <c r="Y2252" s="2" t="s">
        <v>41</v>
      </c>
      <c r="Z2252" s="2">
        <v>82</v>
      </c>
      <c r="AA2252" s="2">
        <v>2.9</v>
      </c>
      <c r="AB2252" s="2" t="s">
        <v>104</v>
      </c>
    </row>
    <row r="2253" spans="1:28" x14ac:dyDescent="0.25">
      <c r="A2253" s="4" t="s">
        <v>3054</v>
      </c>
      <c r="B2253" s="4" t="s">
        <v>1107</v>
      </c>
      <c r="C2253" s="4">
        <v>68</v>
      </c>
      <c r="D2253" s="4" t="s">
        <v>30</v>
      </c>
      <c r="E2253" s="4" t="s">
        <v>122</v>
      </c>
      <c r="F2253" s="4" t="s">
        <v>114</v>
      </c>
      <c r="G2253" s="5">
        <v>45016</v>
      </c>
      <c r="H2253" s="5">
        <v>45021</v>
      </c>
      <c r="I2253" s="4">
        <v>5</v>
      </c>
      <c r="J2253" s="4" t="s">
        <v>202</v>
      </c>
      <c r="K2253" s="4" t="s">
        <v>225</v>
      </c>
      <c r="L2253" s="4" t="s">
        <v>226</v>
      </c>
      <c r="M2253" s="4" t="s">
        <v>134</v>
      </c>
      <c r="N2253" s="4" t="s">
        <v>62</v>
      </c>
      <c r="O2253" s="4" t="s">
        <v>580</v>
      </c>
      <c r="P2253" s="4">
        <v>234</v>
      </c>
      <c r="Q2253" s="4" t="s">
        <v>69</v>
      </c>
      <c r="R2253" s="4" t="s">
        <v>40</v>
      </c>
      <c r="S2253" s="4">
        <v>48504</v>
      </c>
      <c r="T2253" s="4">
        <v>19808</v>
      </c>
      <c r="U2253" s="4">
        <v>28696</v>
      </c>
      <c r="V2253" s="4">
        <v>13876</v>
      </c>
      <c r="W2253" s="4">
        <v>25589</v>
      </c>
      <c r="X2253" s="4">
        <v>4570</v>
      </c>
      <c r="Y2253" s="4" t="s">
        <v>41</v>
      </c>
      <c r="Z2253" s="4">
        <v>73</v>
      </c>
      <c r="AA2253" s="4">
        <v>2.8</v>
      </c>
      <c r="AB2253" s="4" t="s">
        <v>137</v>
      </c>
    </row>
    <row r="2254" spans="1:28" x14ac:dyDescent="0.25">
      <c r="A2254" s="2" t="s">
        <v>3055</v>
      </c>
      <c r="B2254" s="2" t="s">
        <v>381</v>
      </c>
      <c r="C2254" s="2">
        <v>75</v>
      </c>
      <c r="D2254" s="2" t="s">
        <v>30</v>
      </c>
      <c r="E2254" s="2" t="s">
        <v>87</v>
      </c>
      <c r="F2254" s="2" t="s">
        <v>32</v>
      </c>
      <c r="G2254" s="3">
        <v>45536</v>
      </c>
      <c r="H2254" s="3">
        <v>45543</v>
      </c>
      <c r="I2254" s="2">
        <v>7</v>
      </c>
      <c r="J2254" s="2" t="s">
        <v>33</v>
      </c>
      <c r="K2254" s="2" t="s">
        <v>34</v>
      </c>
      <c r="L2254" s="2" t="s">
        <v>35</v>
      </c>
      <c r="M2254" s="2" t="s">
        <v>101</v>
      </c>
      <c r="N2254" s="2" t="s">
        <v>109</v>
      </c>
      <c r="O2254" s="2" t="s">
        <v>343</v>
      </c>
      <c r="P2254" s="2">
        <v>313</v>
      </c>
      <c r="Q2254" s="2" t="s">
        <v>39</v>
      </c>
      <c r="R2254" s="2" t="s">
        <v>111</v>
      </c>
      <c r="S2254" s="2">
        <v>103163</v>
      </c>
      <c r="T2254" s="2">
        <v>63233</v>
      </c>
      <c r="U2254" s="2">
        <v>39930</v>
      </c>
      <c r="V2254" s="2">
        <v>86140</v>
      </c>
      <c r="W2254" s="2">
        <v>14558</v>
      </c>
      <c r="X2254" s="2">
        <v>1275</v>
      </c>
      <c r="Y2254" s="2" t="s">
        <v>41</v>
      </c>
      <c r="Z2254" s="2">
        <v>80</v>
      </c>
      <c r="AA2254" s="2">
        <v>3.8</v>
      </c>
      <c r="AB2254" s="2" t="s">
        <v>137</v>
      </c>
    </row>
    <row r="2255" spans="1:28" x14ac:dyDescent="0.25">
      <c r="A2255" s="4" t="s">
        <v>3056</v>
      </c>
      <c r="B2255" s="4" t="s">
        <v>727</v>
      </c>
      <c r="C2255" s="4">
        <v>11</v>
      </c>
      <c r="D2255" s="4" t="s">
        <v>55</v>
      </c>
      <c r="E2255" s="4" t="s">
        <v>87</v>
      </c>
      <c r="F2255" s="4" t="s">
        <v>57</v>
      </c>
      <c r="G2255" s="5">
        <v>44691</v>
      </c>
      <c r="H2255" s="5">
        <v>44708</v>
      </c>
      <c r="I2255" s="4">
        <v>17</v>
      </c>
      <c r="J2255" s="4" t="s">
        <v>115</v>
      </c>
      <c r="K2255" s="4" t="s">
        <v>160</v>
      </c>
      <c r="L2255" s="4" t="s">
        <v>117</v>
      </c>
      <c r="M2255" s="4" t="s">
        <v>95</v>
      </c>
      <c r="N2255" s="4" t="s">
        <v>37</v>
      </c>
      <c r="O2255" s="4" t="s">
        <v>376</v>
      </c>
      <c r="P2255" s="4">
        <v>279</v>
      </c>
      <c r="Q2255" s="4" t="s">
        <v>69</v>
      </c>
      <c r="R2255" s="4" t="s">
        <v>111</v>
      </c>
      <c r="S2255" s="4">
        <v>43083</v>
      </c>
      <c r="T2255" s="4">
        <v>36015</v>
      </c>
      <c r="U2255" s="4">
        <v>7068</v>
      </c>
      <c r="V2255" s="4">
        <v>29576</v>
      </c>
      <c r="W2255" s="4">
        <v>1105</v>
      </c>
      <c r="X2255" s="4">
        <v>9128</v>
      </c>
      <c r="Y2255" s="4" t="s">
        <v>41</v>
      </c>
      <c r="Z2255" s="4">
        <v>42</v>
      </c>
      <c r="AA2255" s="4">
        <v>2</v>
      </c>
      <c r="AB2255" s="4" t="s">
        <v>104</v>
      </c>
    </row>
    <row r="2256" spans="1:28" x14ac:dyDescent="0.25">
      <c r="A2256" s="2" t="s">
        <v>3057</v>
      </c>
      <c r="B2256" s="2" t="s">
        <v>354</v>
      </c>
      <c r="C2256" s="2">
        <v>17</v>
      </c>
      <c r="D2256" s="2" t="s">
        <v>55</v>
      </c>
      <c r="E2256" s="2" t="s">
        <v>154</v>
      </c>
      <c r="F2256" s="2" t="s">
        <v>129</v>
      </c>
      <c r="G2256" s="3">
        <v>44833</v>
      </c>
      <c r="H2256" s="3">
        <v>44857</v>
      </c>
      <c r="I2256" s="2">
        <v>24</v>
      </c>
      <c r="J2256" s="2" t="s">
        <v>33</v>
      </c>
      <c r="K2256" s="2" t="s">
        <v>34</v>
      </c>
      <c r="L2256" s="2" t="s">
        <v>35</v>
      </c>
      <c r="M2256" s="2" t="s">
        <v>108</v>
      </c>
      <c r="N2256" s="2" t="s">
        <v>109</v>
      </c>
      <c r="O2256" s="2" t="s">
        <v>464</v>
      </c>
      <c r="P2256" s="2">
        <v>164</v>
      </c>
      <c r="Q2256" s="2" t="s">
        <v>69</v>
      </c>
      <c r="R2256" s="2" t="s">
        <v>90</v>
      </c>
      <c r="S2256" s="2">
        <v>71951</v>
      </c>
      <c r="T2256" s="2">
        <v>62784</v>
      </c>
      <c r="U2256" s="2">
        <v>9167</v>
      </c>
      <c r="V2256" s="2">
        <v>36953</v>
      </c>
      <c r="W2256" s="2">
        <v>28270</v>
      </c>
      <c r="X2256" s="2">
        <v>1755</v>
      </c>
      <c r="Y2256" s="2" t="s">
        <v>41</v>
      </c>
      <c r="Z2256" s="2">
        <v>76</v>
      </c>
      <c r="AA2256" s="2">
        <v>2.6</v>
      </c>
      <c r="AB2256" s="2" t="s">
        <v>52</v>
      </c>
    </row>
    <row r="2257" spans="1:28" x14ac:dyDescent="0.25">
      <c r="A2257" s="4" t="s">
        <v>3058</v>
      </c>
      <c r="B2257" s="4" t="s">
        <v>3059</v>
      </c>
      <c r="C2257" s="4">
        <v>19</v>
      </c>
      <c r="D2257" s="4" t="s">
        <v>55</v>
      </c>
      <c r="E2257" s="4" t="s">
        <v>67</v>
      </c>
      <c r="F2257" s="4" t="s">
        <v>150</v>
      </c>
      <c r="G2257" s="5">
        <v>45455</v>
      </c>
      <c r="H2257" s="5">
        <v>45475</v>
      </c>
      <c r="I2257" s="4">
        <v>20</v>
      </c>
      <c r="J2257" s="4" t="s">
        <v>202</v>
      </c>
      <c r="K2257" s="4" t="s">
        <v>225</v>
      </c>
      <c r="L2257" s="4" t="s">
        <v>226</v>
      </c>
      <c r="M2257" s="4" t="s">
        <v>36</v>
      </c>
      <c r="N2257" s="4" t="s">
        <v>62</v>
      </c>
      <c r="O2257" s="4" t="s">
        <v>161</v>
      </c>
      <c r="P2257" s="4">
        <v>315</v>
      </c>
      <c r="Q2257" s="4" t="s">
        <v>50</v>
      </c>
      <c r="R2257" s="4" t="s">
        <v>90</v>
      </c>
      <c r="S2257" s="4">
        <v>70962</v>
      </c>
      <c r="T2257" s="4">
        <v>47460</v>
      </c>
      <c r="U2257" s="4">
        <v>23502</v>
      </c>
      <c r="V2257" s="4">
        <v>26381</v>
      </c>
      <c r="W2257" s="4">
        <v>26935</v>
      </c>
      <c r="X2257" s="4">
        <v>13660</v>
      </c>
      <c r="Y2257" s="4" t="s">
        <v>41</v>
      </c>
      <c r="Z2257" s="4">
        <v>49</v>
      </c>
      <c r="AA2257" s="4">
        <v>4.2</v>
      </c>
      <c r="AB2257" s="4" t="s">
        <v>52</v>
      </c>
    </row>
    <row r="2258" spans="1:28" x14ac:dyDescent="0.25">
      <c r="A2258" s="2" t="s">
        <v>3060</v>
      </c>
      <c r="B2258" s="2" t="s">
        <v>261</v>
      </c>
      <c r="C2258" s="2">
        <v>53</v>
      </c>
      <c r="D2258" s="2" t="s">
        <v>30</v>
      </c>
      <c r="E2258" s="2" t="s">
        <v>154</v>
      </c>
      <c r="F2258" s="2" t="s">
        <v>72</v>
      </c>
      <c r="G2258" s="3">
        <v>45236</v>
      </c>
      <c r="H2258" s="3">
        <v>45253</v>
      </c>
      <c r="I2258" s="2">
        <v>17</v>
      </c>
      <c r="J2258" s="2" t="s">
        <v>115</v>
      </c>
      <c r="K2258" s="2" t="s">
        <v>116</v>
      </c>
      <c r="L2258" s="2" t="s">
        <v>117</v>
      </c>
      <c r="M2258" s="2" t="s">
        <v>108</v>
      </c>
      <c r="N2258" s="2" t="s">
        <v>37</v>
      </c>
      <c r="O2258" s="2" t="s">
        <v>509</v>
      </c>
      <c r="P2258" s="2">
        <v>33</v>
      </c>
      <c r="Q2258" s="2" t="s">
        <v>103</v>
      </c>
      <c r="R2258" s="2" t="s">
        <v>90</v>
      </c>
      <c r="S2258" s="2">
        <v>81935</v>
      </c>
      <c r="T2258" s="2">
        <v>70148</v>
      </c>
      <c r="U2258" s="2">
        <v>11787</v>
      </c>
      <c r="V2258" s="2">
        <v>45877</v>
      </c>
      <c r="W2258" s="2">
        <v>27631</v>
      </c>
      <c r="X2258" s="2">
        <v>5853</v>
      </c>
      <c r="Y2258" s="2" t="s">
        <v>41</v>
      </c>
      <c r="Z2258" s="2">
        <v>78</v>
      </c>
      <c r="AA2258" s="2">
        <v>3.2</v>
      </c>
      <c r="AB2258" s="2" t="s">
        <v>52</v>
      </c>
    </row>
    <row r="2259" spans="1:28" x14ac:dyDescent="0.25">
      <c r="A2259" s="4" t="s">
        <v>3061</v>
      </c>
      <c r="B2259" s="4" t="s">
        <v>1763</v>
      </c>
      <c r="C2259" s="4">
        <v>40</v>
      </c>
      <c r="D2259" s="4" t="s">
        <v>55</v>
      </c>
      <c r="E2259" s="4" t="s">
        <v>56</v>
      </c>
      <c r="F2259" s="4" t="s">
        <v>94</v>
      </c>
      <c r="G2259" s="5">
        <v>44852</v>
      </c>
      <c r="H2259" s="5">
        <v>44882</v>
      </c>
      <c r="I2259" s="4">
        <v>30</v>
      </c>
      <c r="J2259" s="4" t="s">
        <v>33</v>
      </c>
      <c r="K2259" s="4" t="s">
        <v>47</v>
      </c>
      <c r="L2259" s="4" t="s">
        <v>48</v>
      </c>
      <c r="M2259" s="4" t="s">
        <v>75</v>
      </c>
      <c r="N2259" s="4" t="s">
        <v>62</v>
      </c>
      <c r="O2259" s="4" t="s">
        <v>416</v>
      </c>
      <c r="P2259" s="4">
        <v>486</v>
      </c>
      <c r="Q2259" s="4" t="s">
        <v>50</v>
      </c>
      <c r="R2259" s="4" t="s">
        <v>51</v>
      </c>
      <c r="S2259" s="4">
        <v>109043</v>
      </c>
      <c r="T2259" s="4">
        <v>53248</v>
      </c>
      <c r="U2259" s="4">
        <v>55795</v>
      </c>
      <c r="V2259" s="4">
        <v>91162</v>
      </c>
      <c r="W2259" s="4">
        <v>1064</v>
      </c>
      <c r="X2259" s="4">
        <v>14920</v>
      </c>
      <c r="Y2259" s="4" t="s">
        <v>41</v>
      </c>
      <c r="Z2259" s="4">
        <v>81</v>
      </c>
      <c r="AA2259" s="4">
        <v>4.3</v>
      </c>
      <c r="AB2259" s="4" t="s">
        <v>137</v>
      </c>
    </row>
    <row r="2260" spans="1:28" x14ac:dyDescent="0.25">
      <c r="A2260" s="2" t="s">
        <v>3062</v>
      </c>
      <c r="B2260" s="2" t="s">
        <v>2251</v>
      </c>
      <c r="C2260" s="2">
        <v>52</v>
      </c>
      <c r="D2260" s="2" t="s">
        <v>55</v>
      </c>
      <c r="E2260" s="2" t="s">
        <v>31</v>
      </c>
      <c r="F2260" s="2" t="s">
        <v>157</v>
      </c>
      <c r="G2260" s="3">
        <v>45510</v>
      </c>
      <c r="H2260" s="3">
        <v>45531</v>
      </c>
      <c r="I2260" s="2">
        <v>21</v>
      </c>
      <c r="J2260" s="2" t="s">
        <v>33</v>
      </c>
      <c r="K2260" s="2" t="s">
        <v>47</v>
      </c>
      <c r="L2260" s="2" t="s">
        <v>48</v>
      </c>
      <c r="M2260" s="2" t="s">
        <v>75</v>
      </c>
      <c r="N2260" s="2" t="s">
        <v>37</v>
      </c>
      <c r="O2260" s="2" t="s">
        <v>227</v>
      </c>
      <c r="P2260" s="2">
        <v>433</v>
      </c>
      <c r="Q2260" s="2" t="s">
        <v>39</v>
      </c>
      <c r="R2260" s="2" t="s">
        <v>40</v>
      </c>
      <c r="S2260" s="2">
        <v>16241</v>
      </c>
      <c r="T2260" s="2">
        <v>6935</v>
      </c>
      <c r="U2260" s="2">
        <v>9306</v>
      </c>
      <c r="V2260" s="2">
        <v>5624</v>
      </c>
      <c r="W2260" s="2">
        <v>6064</v>
      </c>
      <c r="X2260" s="2">
        <v>772</v>
      </c>
      <c r="Y2260" s="2" t="s">
        <v>41</v>
      </c>
      <c r="Z2260" s="2">
        <v>91</v>
      </c>
      <c r="AA2260" s="2">
        <v>3.9</v>
      </c>
      <c r="AB2260" s="2" t="s">
        <v>104</v>
      </c>
    </row>
    <row r="2261" spans="1:28" x14ac:dyDescent="0.25">
      <c r="A2261" s="4" t="s">
        <v>3063</v>
      </c>
      <c r="B2261" s="4" t="s">
        <v>219</v>
      </c>
      <c r="C2261" s="4">
        <v>72</v>
      </c>
      <c r="D2261" s="4" t="s">
        <v>30</v>
      </c>
      <c r="E2261" s="4" t="s">
        <v>87</v>
      </c>
      <c r="F2261" s="4" t="s">
        <v>114</v>
      </c>
      <c r="G2261" s="5">
        <v>45508</v>
      </c>
      <c r="H2261" s="5">
        <v>45517</v>
      </c>
      <c r="I2261" s="4">
        <v>9</v>
      </c>
      <c r="J2261" s="4" t="s">
        <v>58</v>
      </c>
      <c r="K2261" s="4" t="s">
        <v>59</v>
      </c>
      <c r="L2261" s="4" t="s">
        <v>60</v>
      </c>
      <c r="M2261" s="4" t="s">
        <v>143</v>
      </c>
      <c r="N2261" s="4" t="s">
        <v>109</v>
      </c>
      <c r="O2261" s="4" t="s">
        <v>96</v>
      </c>
      <c r="P2261" s="4">
        <v>284</v>
      </c>
      <c r="Q2261" s="4" t="s">
        <v>69</v>
      </c>
      <c r="R2261" s="4" t="s">
        <v>111</v>
      </c>
      <c r="S2261" s="4">
        <v>79718</v>
      </c>
      <c r="T2261" s="4">
        <v>69861</v>
      </c>
      <c r="U2261" s="4">
        <v>9857</v>
      </c>
      <c r="V2261" s="4">
        <v>56197</v>
      </c>
      <c r="W2261" s="4">
        <v>21150</v>
      </c>
      <c r="X2261" s="4">
        <v>1512</v>
      </c>
      <c r="Y2261" s="4" t="s">
        <v>41</v>
      </c>
      <c r="Z2261" s="4">
        <v>79</v>
      </c>
      <c r="AA2261" s="4">
        <v>3.3</v>
      </c>
      <c r="AB2261" s="4" t="s">
        <v>104</v>
      </c>
    </row>
    <row r="2262" spans="1:28" x14ac:dyDescent="0.25">
      <c r="A2262" s="2" t="s">
        <v>3064</v>
      </c>
      <c r="B2262" s="2" t="s">
        <v>1969</v>
      </c>
      <c r="C2262" s="2">
        <v>54</v>
      </c>
      <c r="D2262" s="2" t="s">
        <v>30</v>
      </c>
      <c r="E2262" s="2" t="s">
        <v>67</v>
      </c>
      <c r="F2262" s="2" t="s">
        <v>150</v>
      </c>
      <c r="G2262" s="3">
        <v>45456</v>
      </c>
      <c r="H2262" s="3">
        <v>45462</v>
      </c>
      <c r="I2262" s="2">
        <v>6</v>
      </c>
      <c r="J2262" s="2" t="s">
        <v>33</v>
      </c>
      <c r="K2262" s="2" t="s">
        <v>278</v>
      </c>
      <c r="L2262" s="2" t="s">
        <v>279</v>
      </c>
      <c r="M2262" s="2" t="s">
        <v>130</v>
      </c>
      <c r="N2262" s="2" t="s">
        <v>109</v>
      </c>
      <c r="O2262" s="2" t="s">
        <v>1000</v>
      </c>
      <c r="P2262" s="2">
        <v>485</v>
      </c>
      <c r="Q2262" s="2" t="s">
        <v>50</v>
      </c>
      <c r="R2262" s="2" t="s">
        <v>51</v>
      </c>
      <c r="S2262" s="2">
        <v>49040</v>
      </c>
      <c r="T2262" s="2">
        <v>31268</v>
      </c>
      <c r="U2262" s="2">
        <v>17772</v>
      </c>
      <c r="V2262" s="2">
        <v>23368</v>
      </c>
      <c r="W2262" s="2">
        <v>21887</v>
      </c>
      <c r="X2262" s="2">
        <v>1180</v>
      </c>
      <c r="Y2262" s="2" t="s">
        <v>41</v>
      </c>
      <c r="Z2262" s="2">
        <v>66</v>
      </c>
      <c r="AA2262" s="2">
        <v>2.9</v>
      </c>
      <c r="AB2262" s="2" t="s">
        <v>42</v>
      </c>
    </row>
    <row r="2263" spans="1:28" x14ac:dyDescent="0.25">
      <c r="A2263" s="4" t="s">
        <v>3065</v>
      </c>
      <c r="B2263" s="4" t="s">
        <v>188</v>
      </c>
      <c r="C2263" s="4">
        <v>46</v>
      </c>
      <c r="D2263" s="4" t="s">
        <v>30</v>
      </c>
      <c r="E2263" s="4" t="s">
        <v>79</v>
      </c>
      <c r="F2263" s="4" t="s">
        <v>114</v>
      </c>
      <c r="G2263" s="5">
        <v>45266</v>
      </c>
      <c r="H2263" s="5">
        <v>45281</v>
      </c>
      <c r="I2263" s="4">
        <v>15</v>
      </c>
      <c r="J2263" s="4" t="s">
        <v>33</v>
      </c>
      <c r="K2263" s="4" t="s">
        <v>107</v>
      </c>
      <c r="L2263" s="4" t="s">
        <v>48</v>
      </c>
      <c r="M2263" s="4" t="s">
        <v>61</v>
      </c>
      <c r="N2263" s="4" t="s">
        <v>37</v>
      </c>
      <c r="O2263" s="4" t="s">
        <v>49</v>
      </c>
      <c r="P2263" s="4">
        <v>102</v>
      </c>
      <c r="Q2263" s="4" t="s">
        <v>50</v>
      </c>
      <c r="R2263" s="4" t="s">
        <v>40</v>
      </c>
      <c r="S2263" s="4">
        <v>159463</v>
      </c>
      <c r="T2263" s="4">
        <v>94192</v>
      </c>
      <c r="U2263" s="4">
        <v>65271</v>
      </c>
      <c r="V2263" s="4">
        <v>127051</v>
      </c>
      <c r="W2263" s="4">
        <v>17449</v>
      </c>
      <c r="X2263" s="4">
        <v>12728</v>
      </c>
      <c r="Y2263" s="4" t="s">
        <v>41</v>
      </c>
      <c r="Z2263" s="4">
        <v>98</v>
      </c>
      <c r="AA2263" s="4">
        <v>4.5</v>
      </c>
      <c r="AB2263" s="4" t="s">
        <v>64</v>
      </c>
    </row>
    <row r="2264" spans="1:28" x14ac:dyDescent="0.25">
      <c r="A2264" s="2" t="s">
        <v>3066</v>
      </c>
      <c r="B2264" s="2" t="s">
        <v>956</v>
      </c>
      <c r="C2264" s="2">
        <v>64</v>
      </c>
      <c r="D2264" s="2" t="s">
        <v>30</v>
      </c>
      <c r="E2264" s="2" t="s">
        <v>67</v>
      </c>
      <c r="F2264" s="2" t="s">
        <v>80</v>
      </c>
      <c r="G2264" s="3">
        <v>45088</v>
      </c>
      <c r="H2264" s="3">
        <v>45113</v>
      </c>
      <c r="I2264" s="2">
        <v>25</v>
      </c>
      <c r="J2264" s="2" t="s">
        <v>33</v>
      </c>
      <c r="K2264" s="2" t="s">
        <v>99</v>
      </c>
      <c r="L2264" s="2" t="s">
        <v>100</v>
      </c>
      <c r="M2264" s="2" t="s">
        <v>143</v>
      </c>
      <c r="N2264" s="2" t="s">
        <v>37</v>
      </c>
      <c r="O2264" s="2" t="s">
        <v>211</v>
      </c>
      <c r="P2264" s="2">
        <v>395</v>
      </c>
      <c r="Q2264" s="2" t="s">
        <v>50</v>
      </c>
      <c r="R2264" s="2" t="s">
        <v>111</v>
      </c>
      <c r="S2264" s="2">
        <v>110819</v>
      </c>
      <c r="T2264" s="2">
        <v>88023</v>
      </c>
      <c r="U2264" s="2">
        <v>22796</v>
      </c>
      <c r="V2264" s="2">
        <v>85046</v>
      </c>
      <c r="W2264" s="2">
        <v>12231</v>
      </c>
      <c r="X2264" s="2">
        <v>10789</v>
      </c>
      <c r="Y2264" s="2" t="s">
        <v>41</v>
      </c>
      <c r="Z2264" s="2">
        <v>86</v>
      </c>
      <c r="AA2264" s="2">
        <v>2.1</v>
      </c>
      <c r="AB2264" s="2" t="s">
        <v>104</v>
      </c>
    </row>
    <row r="2265" spans="1:28" x14ac:dyDescent="0.25">
      <c r="A2265" s="4" t="s">
        <v>3067</v>
      </c>
      <c r="B2265" s="4" t="s">
        <v>499</v>
      </c>
      <c r="C2265" s="4">
        <v>43</v>
      </c>
      <c r="D2265" s="4" t="s">
        <v>55</v>
      </c>
      <c r="E2265" s="4" t="s">
        <v>67</v>
      </c>
      <c r="F2265" s="4" t="s">
        <v>114</v>
      </c>
      <c r="G2265" s="5">
        <v>45230</v>
      </c>
      <c r="H2265" s="5">
        <v>45255</v>
      </c>
      <c r="I2265" s="4">
        <v>25</v>
      </c>
      <c r="J2265" s="4" t="s">
        <v>33</v>
      </c>
      <c r="K2265" s="4" t="s">
        <v>278</v>
      </c>
      <c r="L2265" s="4" t="s">
        <v>279</v>
      </c>
      <c r="M2265" s="4" t="s">
        <v>95</v>
      </c>
      <c r="N2265" s="4" t="s">
        <v>109</v>
      </c>
      <c r="O2265" s="4" t="s">
        <v>553</v>
      </c>
      <c r="P2265" s="4">
        <v>89</v>
      </c>
      <c r="Q2265" s="4" t="s">
        <v>39</v>
      </c>
      <c r="R2265" s="4" t="s">
        <v>40</v>
      </c>
      <c r="S2265" s="4">
        <v>97907</v>
      </c>
      <c r="T2265" s="4">
        <v>60406</v>
      </c>
      <c r="U2265" s="4">
        <v>37501</v>
      </c>
      <c r="V2265" s="4">
        <v>70231</v>
      </c>
      <c r="W2265" s="4">
        <v>11015</v>
      </c>
      <c r="X2265" s="4">
        <v>13434</v>
      </c>
      <c r="Y2265" s="4" t="s">
        <v>41</v>
      </c>
      <c r="Z2265" s="4">
        <v>64</v>
      </c>
      <c r="AA2265" s="4">
        <v>3.3</v>
      </c>
      <c r="AB2265" s="4" t="s">
        <v>64</v>
      </c>
    </row>
    <row r="2266" spans="1:28" x14ac:dyDescent="0.25">
      <c r="A2266" s="2" t="s">
        <v>3068</v>
      </c>
      <c r="B2266" s="2" t="s">
        <v>484</v>
      </c>
      <c r="C2266" s="2">
        <v>81</v>
      </c>
      <c r="D2266" s="2" t="s">
        <v>30</v>
      </c>
      <c r="E2266" s="2" t="s">
        <v>45</v>
      </c>
      <c r="F2266" s="2" t="s">
        <v>150</v>
      </c>
      <c r="G2266" s="3">
        <v>45316</v>
      </c>
      <c r="H2266" s="3">
        <v>45326</v>
      </c>
      <c r="I2266" s="2">
        <v>10</v>
      </c>
      <c r="J2266" s="2" t="s">
        <v>33</v>
      </c>
      <c r="K2266" s="2" t="s">
        <v>233</v>
      </c>
      <c r="L2266" s="2" t="s">
        <v>35</v>
      </c>
      <c r="M2266" s="2" t="s">
        <v>130</v>
      </c>
      <c r="N2266" s="2" t="s">
        <v>109</v>
      </c>
      <c r="O2266" s="2" t="s">
        <v>259</v>
      </c>
      <c r="P2266" s="2">
        <v>1</v>
      </c>
      <c r="Q2266" s="2" t="s">
        <v>69</v>
      </c>
      <c r="R2266" s="2" t="s">
        <v>40</v>
      </c>
      <c r="S2266" s="2">
        <v>108775</v>
      </c>
      <c r="T2266" s="2">
        <v>64357</v>
      </c>
      <c r="U2266" s="2">
        <v>44418</v>
      </c>
      <c r="V2266" s="2">
        <v>66016</v>
      </c>
      <c r="W2266" s="2">
        <v>27524</v>
      </c>
      <c r="X2266" s="2">
        <v>10912</v>
      </c>
      <c r="Y2266" s="2" t="s">
        <v>91</v>
      </c>
      <c r="Z2266" s="2">
        <v>79</v>
      </c>
      <c r="AA2266" s="2">
        <v>2.2000000000000002</v>
      </c>
      <c r="AB2266" s="2" t="s">
        <v>52</v>
      </c>
    </row>
    <row r="2267" spans="1:28" x14ac:dyDescent="0.25">
      <c r="A2267" s="4" t="s">
        <v>3069</v>
      </c>
      <c r="B2267" s="4" t="s">
        <v>900</v>
      </c>
      <c r="C2267" s="4">
        <v>66</v>
      </c>
      <c r="D2267" s="4" t="s">
        <v>55</v>
      </c>
      <c r="E2267" s="4" t="s">
        <v>56</v>
      </c>
      <c r="F2267" s="4" t="s">
        <v>46</v>
      </c>
      <c r="G2267" s="5">
        <v>44744</v>
      </c>
      <c r="H2267" s="5">
        <v>44748</v>
      </c>
      <c r="I2267" s="4">
        <v>4</v>
      </c>
      <c r="J2267" s="4" t="s">
        <v>202</v>
      </c>
      <c r="K2267" s="4" t="s">
        <v>203</v>
      </c>
      <c r="L2267" s="4" t="s">
        <v>204</v>
      </c>
      <c r="M2267" s="4" t="s">
        <v>75</v>
      </c>
      <c r="N2267" s="4" t="s">
        <v>62</v>
      </c>
      <c r="O2267" s="4" t="s">
        <v>175</v>
      </c>
      <c r="P2267" s="4">
        <v>109</v>
      </c>
      <c r="Q2267" s="4" t="s">
        <v>69</v>
      </c>
      <c r="R2267" s="4" t="s">
        <v>136</v>
      </c>
      <c r="S2267" s="4">
        <v>96557</v>
      </c>
      <c r="T2267" s="4">
        <v>0</v>
      </c>
      <c r="U2267" s="4">
        <v>96557</v>
      </c>
      <c r="V2267" s="4">
        <v>68792</v>
      </c>
      <c r="W2267" s="4">
        <v>20973</v>
      </c>
      <c r="X2267" s="4">
        <v>4978</v>
      </c>
      <c r="Y2267" s="4" t="s">
        <v>41</v>
      </c>
      <c r="Z2267" s="4">
        <v>47</v>
      </c>
      <c r="AA2267" s="4">
        <v>3.1</v>
      </c>
      <c r="AB2267" s="4" t="s">
        <v>137</v>
      </c>
    </row>
    <row r="2268" spans="1:28" x14ac:dyDescent="0.25">
      <c r="A2268" s="2" t="s">
        <v>3070</v>
      </c>
      <c r="B2268" s="2" t="s">
        <v>2902</v>
      </c>
      <c r="C2268" s="2">
        <v>48</v>
      </c>
      <c r="D2268" s="2" t="s">
        <v>55</v>
      </c>
      <c r="E2268" s="2" t="s">
        <v>56</v>
      </c>
      <c r="F2268" s="2" t="s">
        <v>114</v>
      </c>
      <c r="G2268" s="3">
        <v>44975</v>
      </c>
      <c r="H2268" s="3">
        <v>45004</v>
      </c>
      <c r="I2268" s="2">
        <v>29</v>
      </c>
      <c r="J2268" s="2" t="s">
        <v>33</v>
      </c>
      <c r="K2268" s="2" t="s">
        <v>233</v>
      </c>
      <c r="L2268" s="2" t="s">
        <v>35</v>
      </c>
      <c r="M2268" s="2" t="s">
        <v>95</v>
      </c>
      <c r="N2268" s="2" t="s">
        <v>62</v>
      </c>
      <c r="O2268" s="2" t="s">
        <v>416</v>
      </c>
      <c r="P2268" s="2">
        <v>420</v>
      </c>
      <c r="Q2268" s="2" t="s">
        <v>39</v>
      </c>
      <c r="R2268" s="2" t="s">
        <v>90</v>
      </c>
      <c r="S2268" s="2">
        <v>107656</v>
      </c>
      <c r="T2268" s="2">
        <v>66600</v>
      </c>
      <c r="U2268" s="2">
        <v>41056</v>
      </c>
      <c r="V2268" s="2">
        <v>102161</v>
      </c>
      <c r="W2268" s="2">
        <v>3108</v>
      </c>
      <c r="X2268" s="2">
        <v>1130</v>
      </c>
      <c r="Y2268" s="2" t="s">
        <v>41</v>
      </c>
      <c r="Z2268" s="2">
        <v>94</v>
      </c>
      <c r="AA2268" s="2">
        <v>2.8</v>
      </c>
      <c r="AB2268" s="2" t="s">
        <v>64</v>
      </c>
    </row>
    <row r="2269" spans="1:28" x14ac:dyDescent="0.25">
      <c r="A2269" s="4" t="s">
        <v>3071</v>
      </c>
      <c r="B2269" s="4" t="s">
        <v>1487</v>
      </c>
      <c r="C2269" s="4">
        <v>22</v>
      </c>
      <c r="D2269" s="4" t="s">
        <v>30</v>
      </c>
      <c r="E2269" s="4" t="s">
        <v>87</v>
      </c>
      <c r="F2269" s="4" t="s">
        <v>32</v>
      </c>
      <c r="G2269" s="5">
        <v>44845</v>
      </c>
      <c r="H2269" s="5">
        <v>44870</v>
      </c>
      <c r="I2269" s="4">
        <v>25</v>
      </c>
      <c r="J2269" s="4" t="s">
        <v>123</v>
      </c>
      <c r="K2269" s="4" t="s">
        <v>251</v>
      </c>
      <c r="L2269" s="4" t="s">
        <v>125</v>
      </c>
      <c r="M2269" s="4" t="s">
        <v>95</v>
      </c>
      <c r="N2269" s="4" t="s">
        <v>37</v>
      </c>
      <c r="O2269" s="4" t="s">
        <v>326</v>
      </c>
      <c r="P2269" s="4">
        <v>75</v>
      </c>
      <c r="Q2269" s="4" t="s">
        <v>103</v>
      </c>
      <c r="R2269" s="4" t="s">
        <v>111</v>
      </c>
      <c r="S2269" s="4">
        <v>79054</v>
      </c>
      <c r="T2269" s="4">
        <v>51538</v>
      </c>
      <c r="U2269" s="4">
        <v>27516</v>
      </c>
      <c r="V2269" s="4">
        <v>54465</v>
      </c>
      <c r="W2269" s="4">
        <v>19140</v>
      </c>
      <c r="X2269" s="4">
        <v>639</v>
      </c>
      <c r="Y2269" s="4" t="s">
        <v>41</v>
      </c>
      <c r="Z2269" s="4">
        <v>99</v>
      </c>
      <c r="AA2269" s="4">
        <v>2.5</v>
      </c>
      <c r="AB2269" s="4" t="s">
        <v>137</v>
      </c>
    </row>
    <row r="2270" spans="1:28" x14ac:dyDescent="0.25">
      <c r="A2270" s="2" t="s">
        <v>3072</v>
      </c>
      <c r="B2270" s="2" t="s">
        <v>802</v>
      </c>
      <c r="C2270" s="2">
        <v>58</v>
      </c>
      <c r="D2270" s="2" t="s">
        <v>55</v>
      </c>
      <c r="E2270" s="2" t="s">
        <v>56</v>
      </c>
      <c r="F2270" s="2" t="s">
        <v>157</v>
      </c>
      <c r="G2270" s="3">
        <v>45195</v>
      </c>
      <c r="H2270" s="3">
        <v>45203</v>
      </c>
      <c r="I2270" s="2">
        <v>8</v>
      </c>
      <c r="J2270" s="2" t="s">
        <v>202</v>
      </c>
      <c r="K2270" s="2" t="s">
        <v>203</v>
      </c>
      <c r="L2270" s="2" t="s">
        <v>204</v>
      </c>
      <c r="M2270" s="2" t="s">
        <v>83</v>
      </c>
      <c r="N2270" s="2" t="s">
        <v>118</v>
      </c>
      <c r="O2270" s="2" t="s">
        <v>89</v>
      </c>
      <c r="P2270" s="2">
        <v>258</v>
      </c>
      <c r="Q2270" s="2" t="s">
        <v>103</v>
      </c>
      <c r="R2270" s="2" t="s">
        <v>90</v>
      </c>
      <c r="S2270" s="2">
        <v>88882</v>
      </c>
      <c r="T2270" s="2">
        <v>64845</v>
      </c>
      <c r="U2270" s="2">
        <v>24037</v>
      </c>
      <c r="V2270" s="2">
        <v>77435</v>
      </c>
      <c r="W2270" s="2">
        <v>4564</v>
      </c>
      <c r="X2270" s="2">
        <v>4860</v>
      </c>
      <c r="Y2270" s="2" t="s">
        <v>41</v>
      </c>
      <c r="Z2270" s="2">
        <v>48</v>
      </c>
      <c r="AA2270" s="2">
        <v>3.8</v>
      </c>
      <c r="AB2270" s="2" t="s">
        <v>104</v>
      </c>
    </row>
    <row r="2271" spans="1:28" x14ac:dyDescent="0.25">
      <c r="A2271" s="4" t="s">
        <v>3073</v>
      </c>
      <c r="B2271" s="4" t="s">
        <v>2930</v>
      </c>
      <c r="C2271" s="4">
        <v>37</v>
      </c>
      <c r="D2271" s="4" t="s">
        <v>30</v>
      </c>
      <c r="E2271" s="4" t="s">
        <v>56</v>
      </c>
      <c r="F2271" s="4" t="s">
        <v>46</v>
      </c>
      <c r="G2271" s="5">
        <v>44969</v>
      </c>
      <c r="H2271" s="5">
        <v>44986</v>
      </c>
      <c r="I2271" s="4">
        <v>17</v>
      </c>
      <c r="J2271" s="4" t="s">
        <v>115</v>
      </c>
      <c r="K2271" s="4" t="s">
        <v>160</v>
      </c>
      <c r="L2271" s="4" t="s">
        <v>117</v>
      </c>
      <c r="M2271" s="4" t="s">
        <v>36</v>
      </c>
      <c r="N2271" s="4" t="s">
        <v>37</v>
      </c>
      <c r="O2271" s="4" t="s">
        <v>119</v>
      </c>
      <c r="P2271" s="4">
        <v>363</v>
      </c>
      <c r="Q2271" s="4" t="s">
        <v>39</v>
      </c>
      <c r="R2271" s="4" t="s">
        <v>51</v>
      </c>
      <c r="S2271" s="4">
        <v>113928</v>
      </c>
      <c r="T2271" s="4">
        <v>57731</v>
      </c>
      <c r="U2271" s="4">
        <v>56197</v>
      </c>
      <c r="V2271" s="4">
        <v>87044</v>
      </c>
      <c r="W2271" s="4">
        <v>11178</v>
      </c>
      <c r="X2271" s="4">
        <v>14788</v>
      </c>
      <c r="Y2271" s="4" t="s">
        <v>41</v>
      </c>
      <c r="Z2271" s="4">
        <v>70</v>
      </c>
      <c r="AA2271" s="4">
        <v>2.8</v>
      </c>
      <c r="AB2271" s="4" t="s">
        <v>42</v>
      </c>
    </row>
    <row r="2272" spans="1:28" x14ac:dyDescent="0.25">
      <c r="A2272" s="2" t="s">
        <v>3074</v>
      </c>
      <c r="B2272" s="2" t="s">
        <v>468</v>
      </c>
      <c r="C2272" s="2">
        <v>42</v>
      </c>
      <c r="D2272" s="2" t="s">
        <v>30</v>
      </c>
      <c r="E2272" s="2" t="s">
        <v>45</v>
      </c>
      <c r="F2272" s="2" t="s">
        <v>129</v>
      </c>
      <c r="G2272" s="3">
        <v>45602</v>
      </c>
      <c r="H2272" s="3">
        <v>45621</v>
      </c>
      <c r="I2272" s="2">
        <v>19</v>
      </c>
      <c r="J2272" s="2" t="s">
        <v>33</v>
      </c>
      <c r="K2272" s="2" t="s">
        <v>174</v>
      </c>
      <c r="L2272" s="2" t="s">
        <v>48</v>
      </c>
      <c r="M2272" s="2" t="s">
        <v>134</v>
      </c>
      <c r="N2272" s="2" t="s">
        <v>118</v>
      </c>
      <c r="O2272" s="2" t="s">
        <v>271</v>
      </c>
      <c r="P2272" s="2">
        <v>468</v>
      </c>
      <c r="Q2272" s="2" t="s">
        <v>39</v>
      </c>
      <c r="R2272" s="2" t="s">
        <v>40</v>
      </c>
      <c r="S2272" s="2">
        <v>101630</v>
      </c>
      <c r="T2272" s="2">
        <v>41456</v>
      </c>
      <c r="U2272" s="2">
        <v>60174</v>
      </c>
      <c r="V2272" s="2">
        <v>80428</v>
      </c>
      <c r="W2272" s="2">
        <v>12136</v>
      </c>
      <c r="X2272" s="2">
        <v>6149</v>
      </c>
      <c r="Y2272" s="2" t="s">
        <v>41</v>
      </c>
      <c r="Z2272" s="2">
        <v>57</v>
      </c>
      <c r="AA2272" s="2">
        <v>2.5</v>
      </c>
      <c r="AB2272" s="2" t="s">
        <v>104</v>
      </c>
    </row>
    <row r="2273" spans="1:28" x14ac:dyDescent="0.25">
      <c r="A2273" s="4" t="s">
        <v>3075</v>
      </c>
      <c r="B2273" s="4" t="s">
        <v>923</v>
      </c>
      <c r="C2273" s="4">
        <v>43</v>
      </c>
      <c r="D2273" s="4" t="s">
        <v>30</v>
      </c>
      <c r="E2273" s="4" t="s">
        <v>56</v>
      </c>
      <c r="F2273" s="4" t="s">
        <v>157</v>
      </c>
      <c r="G2273" s="5">
        <v>45531</v>
      </c>
      <c r="H2273" s="5">
        <v>45546</v>
      </c>
      <c r="I2273" s="4">
        <v>15</v>
      </c>
      <c r="J2273" s="4" t="s">
        <v>202</v>
      </c>
      <c r="K2273" s="4" t="s">
        <v>225</v>
      </c>
      <c r="L2273" s="4" t="s">
        <v>226</v>
      </c>
      <c r="M2273" s="4" t="s">
        <v>134</v>
      </c>
      <c r="N2273" s="4" t="s">
        <v>118</v>
      </c>
      <c r="O2273" s="4" t="s">
        <v>89</v>
      </c>
      <c r="P2273" s="4">
        <v>379</v>
      </c>
      <c r="Q2273" s="4" t="s">
        <v>69</v>
      </c>
      <c r="R2273" s="4" t="s">
        <v>136</v>
      </c>
      <c r="S2273" s="4">
        <v>160075</v>
      </c>
      <c r="T2273" s="4">
        <v>0</v>
      </c>
      <c r="U2273" s="4">
        <v>160075</v>
      </c>
      <c r="V2273" s="4">
        <v>120391</v>
      </c>
      <c r="W2273" s="4">
        <v>24051</v>
      </c>
      <c r="X2273" s="4">
        <v>10657</v>
      </c>
      <c r="Y2273" s="4" t="s">
        <v>41</v>
      </c>
      <c r="Z2273" s="4">
        <v>99</v>
      </c>
      <c r="AA2273" s="4">
        <v>2.4</v>
      </c>
      <c r="AB2273" s="4" t="s">
        <v>137</v>
      </c>
    </row>
    <row r="2274" spans="1:28" x14ac:dyDescent="0.25">
      <c r="A2274" s="2" t="s">
        <v>3076</v>
      </c>
      <c r="B2274" s="2" t="s">
        <v>735</v>
      </c>
      <c r="C2274" s="2">
        <v>32</v>
      </c>
      <c r="D2274" s="2" t="s">
        <v>55</v>
      </c>
      <c r="E2274" s="2" t="s">
        <v>45</v>
      </c>
      <c r="F2274" s="2" t="s">
        <v>32</v>
      </c>
      <c r="G2274" s="3">
        <v>44579</v>
      </c>
      <c r="H2274" s="3">
        <v>44581</v>
      </c>
      <c r="I2274" s="2">
        <v>2</v>
      </c>
      <c r="J2274" s="2" t="s">
        <v>140</v>
      </c>
      <c r="K2274" s="2" t="s">
        <v>141</v>
      </c>
      <c r="L2274" s="2" t="s">
        <v>142</v>
      </c>
      <c r="M2274" s="2" t="s">
        <v>95</v>
      </c>
      <c r="N2274" s="2" t="s">
        <v>109</v>
      </c>
      <c r="O2274" s="2" t="s">
        <v>950</v>
      </c>
      <c r="P2274" s="2">
        <v>441</v>
      </c>
      <c r="Q2274" s="2" t="s">
        <v>39</v>
      </c>
      <c r="R2274" s="2" t="s">
        <v>136</v>
      </c>
      <c r="S2274" s="2">
        <v>141752</v>
      </c>
      <c r="T2274" s="2">
        <v>0</v>
      </c>
      <c r="U2274" s="2">
        <v>141752</v>
      </c>
      <c r="V2274" s="2">
        <v>109939</v>
      </c>
      <c r="W2274" s="2">
        <v>23714</v>
      </c>
      <c r="X2274" s="2">
        <v>3877</v>
      </c>
      <c r="Y2274" s="2" t="s">
        <v>41</v>
      </c>
      <c r="Z2274" s="2">
        <v>71</v>
      </c>
      <c r="AA2274" s="2">
        <v>4</v>
      </c>
      <c r="AB2274" s="2" t="s">
        <v>64</v>
      </c>
    </row>
    <row r="2275" spans="1:28" x14ac:dyDescent="0.25">
      <c r="A2275" s="4" t="s">
        <v>3077</v>
      </c>
      <c r="B2275" s="4" t="s">
        <v>545</v>
      </c>
      <c r="C2275" s="4">
        <v>50</v>
      </c>
      <c r="D2275" s="4" t="s">
        <v>55</v>
      </c>
      <c r="E2275" s="4" t="s">
        <v>79</v>
      </c>
      <c r="F2275" s="4" t="s">
        <v>80</v>
      </c>
      <c r="G2275" s="5">
        <v>45649</v>
      </c>
      <c r="H2275" s="5">
        <v>45657</v>
      </c>
      <c r="I2275" s="4">
        <v>8</v>
      </c>
      <c r="J2275" s="4" t="s">
        <v>33</v>
      </c>
      <c r="K2275" s="4" t="s">
        <v>174</v>
      </c>
      <c r="L2275" s="4" t="s">
        <v>48</v>
      </c>
      <c r="M2275" s="4" t="s">
        <v>36</v>
      </c>
      <c r="N2275" s="4" t="s">
        <v>109</v>
      </c>
      <c r="O2275" s="4" t="s">
        <v>580</v>
      </c>
      <c r="P2275" s="4">
        <v>33</v>
      </c>
      <c r="Q2275" s="4" t="s">
        <v>103</v>
      </c>
      <c r="R2275" s="4" t="s">
        <v>136</v>
      </c>
      <c r="S2275" s="4">
        <v>60616</v>
      </c>
      <c r="T2275" s="4">
        <v>0</v>
      </c>
      <c r="U2275" s="4">
        <v>60616</v>
      </c>
      <c r="V2275" s="4">
        <v>36961</v>
      </c>
      <c r="W2275" s="4">
        <v>17073</v>
      </c>
      <c r="X2275" s="4">
        <v>4393</v>
      </c>
      <c r="Y2275" s="4" t="s">
        <v>41</v>
      </c>
      <c r="Z2275" s="4">
        <v>52</v>
      </c>
      <c r="AA2275" s="4">
        <v>3.2</v>
      </c>
      <c r="AB2275" s="4" t="s">
        <v>52</v>
      </c>
    </row>
    <row r="2276" spans="1:28" x14ac:dyDescent="0.25">
      <c r="A2276" s="2" t="s">
        <v>3078</v>
      </c>
      <c r="B2276" s="2" t="s">
        <v>2057</v>
      </c>
      <c r="C2276" s="2">
        <v>85</v>
      </c>
      <c r="D2276" s="2" t="s">
        <v>55</v>
      </c>
      <c r="E2276" s="2" t="s">
        <v>56</v>
      </c>
      <c r="F2276" s="2" t="s">
        <v>80</v>
      </c>
      <c r="G2276" s="3">
        <v>44739</v>
      </c>
      <c r="H2276" s="3">
        <v>44750</v>
      </c>
      <c r="I2276" s="2">
        <v>11</v>
      </c>
      <c r="J2276" s="2" t="s">
        <v>33</v>
      </c>
      <c r="K2276" s="2" t="s">
        <v>81</v>
      </c>
      <c r="L2276" s="2" t="s">
        <v>82</v>
      </c>
      <c r="M2276" s="2" t="s">
        <v>134</v>
      </c>
      <c r="N2276" s="2" t="s">
        <v>118</v>
      </c>
      <c r="O2276" s="2" t="s">
        <v>266</v>
      </c>
      <c r="P2276" s="2">
        <v>254</v>
      </c>
      <c r="Q2276" s="2" t="s">
        <v>103</v>
      </c>
      <c r="R2276" s="2" t="s">
        <v>90</v>
      </c>
      <c r="S2276" s="2">
        <v>135636</v>
      </c>
      <c r="T2276" s="2">
        <v>120075</v>
      </c>
      <c r="U2276" s="2">
        <v>15561</v>
      </c>
      <c r="V2276" s="2">
        <v>124959</v>
      </c>
      <c r="W2276" s="2">
        <v>3242</v>
      </c>
      <c r="X2276" s="2">
        <v>4284</v>
      </c>
      <c r="Y2276" s="2" t="s">
        <v>41</v>
      </c>
      <c r="Z2276" s="2">
        <v>53</v>
      </c>
      <c r="AA2276" s="2">
        <v>3</v>
      </c>
      <c r="AB2276" s="2" t="s">
        <v>42</v>
      </c>
    </row>
    <row r="2277" spans="1:28" x14ac:dyDescent="0.25">
      <c r="A2277" s="4" t="s">
        <v>3079</v>
      </c>
      <c r="B2277" s="4" t="s">
        <v>1109</v>
      </c>
      <c r="C2277" s="4">
        <v>15</v>
      </c>
      <c r="D2277" s="4" t="s">
        <v>55</v>
      </c>
      <c r="E2277" s="4" t="s">
        <v>45</v>
      </c>
      <c r="F2277" s="4" t="s">
        <v>46</v>
      </c>
      <c r="G2277" s="5">
        <v>44918</v>
      </c>
      <c r="H2277" s="5">
        <v>44929</v>
      </c>
      <c r="I2277" s="4">
        <v>11</v>
      </c>
      <c r="J2277" s="4" t="s">
        <v>33</v>
      </c>
      <c r="K2277" s="4" t="s">
        <v>81</v>
      </c>
      <c r="L2277" s="4" t="s">
        <v>82</v>
      </c>
      <c r="M2277" s="4" t="s">
        <v>83</v>
      </c>
      <c r="N2277" s="4" t="s">
        <v>109</v>
      </c>
      <c r="O2277" s="4" t="s">
        <v>1000</v>
      </c>
      <c r="P2277" s="4">
        <v>403</v>
      </c>
      <c r="Q2277" s="4" t="s">
        <v>50</v>
      </c>
      <c r="R2277" s="4" t="s">
        <v>40</v>
      </c>
      <c r="S2277" s="4">
        <v>93584</v>
      </c>
      <c r="T2277" s="4">
        <v>39748</v>
      </c>
      <c r="U2277" s="4">
        <v>53836</v>
      </c>
      <c r="V2277" s="4">
        <v>57979</v>
      </c>
      <c r="W2277" s="4">
        <v>29037</v>
      </c>
      <c r="X2277" s="4">
        <v>2542</v>
      </c>
      <c r="Y2277" s="4" t="s">
        <v>41</v>
      </c>
      <c r="Z2277" s="4">
        <v>81</v>
      </c>
      <c r="AA2277" s="4">
        <v>3.8</v>
      </c>
      <c r="AB2277" s="4" t="s">
        <v>64</v>
      </c>
    </row>
    <row r="2278" spans="1:28" x14ac:dyDescent="0.25">
      <c r="A2278" s="2" t="s">
        <v>3080</v>
      </c>
      <c r="B2278" s="2" t="s">
        <v>2055</v>
      </c>
      <c r="C2278" s="2">
        <v>58</v>
      </c>
      <c r="D2278" s="2" t="s">
        <v>30</v>
      </c>
      <c r="E2278" s="2" t="s">
        <v>79</v>
      </c>
      <c r="F2278" s="2" t="s">
        <v>129</v>
      </c>
      <c r="G2278" s="3">
        <v>45528</v>
      </c>
      <c r="H2278" s="3">
        <v>45544</v>
      </c>
      <c r="I2278" s="2">
        <v>16</v>
      </c>
      <c r="J2278" s="2" t="s">
        <v>33</v>
      </c>
      <c r="K2278" s="2" t="s">
        <v>47</v>
      </c>
      <c r="L2278" s="2" t="s">
        <v>48</v>
      </c>
      <c r="M2278" s="2" t="s">
        <v>95</v>
      </c>
      <c r="N2278" s="2" t="s">
        <v>109</v>
      </c>
      <c r="O2278" s="2" t="s">
        <v>448</v>
      </c>
      <c r="P2278" s="2">
        <v>405</v>
      </c>
      <c r="Q2278" s="2" t="s">
        <v>39</v>
      </c>
      <c r="R2278" s="2" t="s">
        <v>90</v>
      </c>
      <c r="S2278" s="2">
        <v>165619</v>
      </c>
      <c r="T2278" s="2">
        <v>101167</v>
      </c>
      <c r="U2278" s="2">
        <v>64452</v>
      </c>
      <c r="V2278" s="2">
        <v>120234</v>
      </c>
      <c r="W2278" s="2">
        <v>29223</v>
      </c>
      <c r="X2278" s="2">
        <v>12765</v>
      </c>
      <c r="Y2278" s="2" t="s">
        <v>41</v>
      </c>
      <c r="Z2278" s="2">
        <v>79</v>
      </c>
      <c r="AA2278" s="2">
        <v>3.8</v>
      </c>
      <c r="AB2278" s="2" t="s">
        <v>64</v>
      </c>
    </row>
    <row r="2279" spans="1:28" x14ac:dyDescent="0.25">
      <c r="A2279" s="4" t="s">
        <v>3081</v>
      </c>
      <c r="B2279" s="4" t="s">
        <v>1028</v>
      </c>
      <c r="C2279" s="4">
        <v>45</v>
      </c>
      <c r="D2279" s="4" t="s">
        <v>30</v>
      </c>
      <c r="E2279" s="4" t="s">
        <v>45</v>
      </c>
      <c r="F2279" s="4" t="s">
        <v>72</v>
      </c>
      <c r="G2279" s="5">
        <v>45125</v>
      </c>
      <c r="H2279" s="5">
        <v>45135</v>
      </c>
      <c r="I2279" s="4">
        <v>10</v>
      </c>
      <c r="J2279" s="4" t="s">
        <v>202</v>
      </c>
      <c r="K2279" s="4" t="s">
        <v>203</v>
      </c>
      <c r="L2279" s="4" t="s">
        <v>204</v>
      </c>
      <c r="M2279" s="4" t="s">
        <v>134</v>
      </c>
      <c r="N2279" s="4" t="s">
        <v>109</v>
      </c>
      <c r="O2279" s="4" t="s">
        <v>365</v>
      </c>
      <c r="P2279" s="4">
        <v>393</v>
      </c>
      <c r="Q2279" s="4" t="s">
        <v>69</v>
      </c>
      <c r="R2279" s="4" t="s">
        <v>90</v>
      </c>
      <c r="S2279" s="4">
        <v>120183</v>
      </c>
      <c r="T2279" s="4">
        <v>83565</v>
      </c>
      <c r="U2279" s="4">
        <v>36618</v>
      </c>
      <c r="V2279" s="4">
        <v>88844</v>
      </c>
      <c r="W2279" s="4">
        <v>13501</v>
      </c>
      <c r="X2279" s="4">
        <v>12899</v>
      </c>
      <c r="Y2279" s="4" t="s">
        <v>41</v>
      </c>
      <c r="Z2279" s="4">
        <v>50</v>
      </c>
      <c r="AA2279" s="4">
        <v>3.2</v>
      </c>
      <c r="AB2279" s="4" t="s">
        <v>64</v>
      </c>
    </row>
    <row r="2280" spans="1:28" x14ac:dyDescent="0.25">
      <c r="A2280" s="2" t="s">
        <v>3082</v>
      </c>
      <c r="B2280" s="2" t="s">
        <v>1405</v>
      </c>
      <c r="C2280" s="2">
        <v>10</v>
      </c>
      <c r="D2280" s="2" t="s">
        <v>30</v>
      </c>
      <c r="E2280" s="2" t="s">
        <v>122</v>
      </c>
      <c r="F2280" s="2" t="s">
        <v>32</v>
      </c>
      <c r="G2280" s="3">
        <v>45399</v>
      </c>
      <c r="H2280" s="3">
        <v>45407</v>
      </c>
      <c r="I2280" s="2">
        <v>8</v>
      </c>
      <c r="J2280" s="2" t="s">
        <v>123</v>
      </c>
      <c r="K2280" s="2" t="s">
        <v>124</v>
      </c>
      <c r="L2280" s="2" t="s">
        <v>125</v>
      </c>
      <c r="M2280" s="2" t="s">
        <v>95</v>
      </c>
      <c r="N2280" s="2" t="s">
        <v>62</v>
      </c>
      <c r="O2280" s="2" t="s">
        <v>673</v>
      </c>
      <c r="P2280" s="2">
        <v>444</v>
      </c>
      <c r="Q2280" s="2" t="s">
        <v>39</v>
      </c>
      <c r="R2280" s="2" t="s">
        <v>40</v>
      </c>
      <c r="S2280" s="2">
        <v>60651</v>
      </c>
      <c r="T2280" s="2">
        <v>31520</v>
      </c>
      <c r="U2280" s="2">
        <v>29131</v>
      </c>
      <c r="V2280" s="2">
        <v>28322</v>
      </c>
      <c r="W2280" s="2">
        <v>15009</v>
      </c>
      <c r="X2280" s="2">
        <v>13920</v>
      </c>
      <c r="Y2280" s="2" t="s">
        <v>41</v>
      </c>
      <c r="Z2280" s="2">
        <v>97</v>
      </c>
      <c r="AA2280" s="2">
        <v>2.2000000000000002</v>
      </c>
      <c r="AB2280" s="2" t="s">
        <v>137</v>
      </c>
    </row>
    <row r="2281" spans="1:28" x14ac:dyDescent="0.25">
      <c r="A2281" s="4" t="s">
        <v>3083</v>
      </c>
      <c r="B2281" s="4" t="s">
        <v>1184</v>
      </c>
      <c r="C2281" s="4">
        <v>84</v>
      </c>
      <c r="D2281" s="4" t="s">
        <v>30</v>
      </c>
      <c r="E2281" s="4" t="s">
        <v>56</v>
      </c>
      <c r="F2281" s="4" t="s">
        <v>46</v>
      </c>
      <c r="G2281" s="5">
        <v>45608</v>
      </c>
      <c r="H2281" s="5">
        <v>45618</v>
      </c>
      <c r="I2281" s="4">
        <v>10</v>
      </c>
      <c r="J2281" s="4" t="s">
        <v>33</v>
      </c>
      <c r="K2281" s="4" t="s">
        <v>47</v>
      </c>
      <c r="L2281" s="4" t="s">
        <v>48</v>
      </c>
      <c r="M2281" s="4" t="s">
        <v>134</v>
      </c>
      <c r="N2281" s="4" t="s">
        <v>109</v>
      </c>
      <c r="O2281" s="4" t="s">
        <v>38</v>
      </c>
      <c r="P2281" s="4">
        <v>238</v>
      </c>
      <c r="Q2281" s="4" t="s">
        <v>50</v>
      </c>
      <c r="R2281" s="4" t="s">
        <v>136</v>
      </c>
      <c r="S2281" s="4">
        <v>161187</v>
      </c>
      <c r="T2281" s="4">
        <v>0</v>
      </c>
      <c r="U2281" s="4">
        <v>161187</v>
      </c>
      <c r="V2281" s="4">
        <v>123155</v>
      </c>
      <c r="W2281" s="4">
        <v>25185</v>
      </c>
      <c r="X2281" s="4">
        <v>8506</v>
      </c>
      <c r="Y2281" s="4" t="s">
        <v>41</v>
      </c>
      <c r="Z2281" s="4">
        <v>47</v>
      </c>
      <c r="AA2281" s="4">
        <v>3.9</v>
      </c>
      <c r="AB2281" s="4" t="s">
        <v>52</v>
      </c>
    </row>
    <row r="2282" spans="1:28" x14ac:dyDescent="0.25">
      <c r="A2282" s="2" t="s">
        <v>3084</v>
      </c>
      <c r="B2282" s="2" t="s">
        <v>2734</v>
      </c>
      <c r="C2282" s="2">
        <v>49</v>
      </c>
      <c r="D2282" s="2" t="s">
        <v>55</v>
      </c>
      <c r="E2282" s="2" t="s">
        <v>31</v>
      </c>
      <c r="F2282" s="2" t="s">
        <v>157</v>
      </c>
      <c r="G2282" s="3">
        <v>45384</v>
      </c>
      <c r="H2282" s="3">
        <v>45392</v>
      </c>
      <c r="I2282" s="2">
        <v>8</v>
      </c>
      <c r="J2282" s="2" t="s">
        <v>115</v>
      </c>
      <c r="K2282" s="2" t="s">
        <v>160</v>
      </c>
      <c r="L2282" s="2" t="s">
        <v>117</v>
      </c>
      <c r="M2282" s="2" t="s">
        <v>95</v>
      </c>
      <c r="N2282" s="2" t="s">
        <v>109</v>
      </c>
      <c r="O2282" s="2" t="s">
        <v>126</v>
      </c>
      <c r="P2282" s="2">
        <v>101</v>
      </c>
      <c r="Q2282" s="2" t="s">
        <v>69</v>
      </c>
      <c r="R2282" s="2" t="s">
        <v>136</v>
      </c>
      <c r="S2282" s="2">
        <v>160388</v>
      </c>
      <c r="T2282" s="2">
        <v>0</v>
      </c>
      <c r="U2282" s="2">
        <v>160388</v>
      </c>
      <c r="V2282" s="2">
        <v>124736</v>
      </c>
      <c r="W2282" s="2">
        <v>25071</v>
      </c>
      <c r="X2282" s="2">
        <v>6286</v>
      </c>
      <c r="Y2282" s="2" t="s">
        <v>41</v>
      </c>
      <c r="Z2282" s="2">
        <v>92</v>
      </c>
      <c r="AA2282" s="2">
        <v>3.1</v>
      </c>
      <c r="AB2282" s="2" t="s">
        <v>104</v>
      </c>
    </row>
    <row r="2283" spans="1:28" x14ac:dyDescent="0.25">
      <c r="A2283" s="4" t="s">
        <v>3085</v>
      </c>
      <c r="B2283" s="4" t="s">
        <v>1485</v>
      </c>
      <c r="C2283" s="4">
        <v>28</v>
      </c>
      <c r="D2283" s="4" t="s">
        <v>30</v>
      </c>
      <c r="E2283" s="4" t="s">
        <v>122</v>
      </c>
      <c r="F2283" s="4" t="s">
        <v>150</v>
      </c>
      <c r="G2283" s="5">
        <v>45343</v>
      </c>
      <c r="H2283" s="5">
        <v>45357</v>
      </c>
      <c r="I2283" s="4">
        <v>14</v>
      </c>
      <c r="J2283" s="4" t="s">
        <v>33</v>
      </c>
      <c r="K2283" s="4" t="s">
        <v>81</v>
      </c>
      <c r="L2283" s="4" t="s">
        <v>82</v>
      </c>
      <c r="M2283" s="4" t="s">
        <v>108</v>
      </c>
      <c r="N2283" s="4" t="s">
        <v>118</v>
      </c>
      <c r="O2283" s="4" t="s">
        <v>194</v>
      </c>
      <c r="P2283" s="4">
        <v>480</v>
      </c>
      <c r="Q2283" s="4" t="s">
        <v>50</v>
      </c>
      <c r="R2283" s="4" t="s">
        <v>40</v>
      </c>
      <c r="S2283" s="4">
        <v>125717</v>
      </c>
      <c r="T2283" s="4">
        <v>69631</v>
      </c>
      <c r="U2283" s="4">
        <v>56086</v>
      </c>
      <c r="V2283" s="4">
        <v>116814</v>
      </c>
      <c r="W2283" s="4">
        <v>3682</v>
      </c>
      <c r="X2283" s="4">
        <v>1274</v>
      </c>
      <c r="Y2283" s="4" t="s">
        <v>41</v>
      </c>
      <c r="Z2283" s="4">
        <v>62</v>
      </c>
      <c r="AA2283" s="4">
        <v>4.5999999999999996</v>
      </c>
      <c r="AB2283" s="4" t="s">
        <v>64</v>
      </c>
    </row>
    <row r="2284" spans="1:28" x14ac:dyDescent="0.25">
      <c r="A2284" s="2" t="s">
        <v>3086</v>
      </c>
      <c r="B2284" s="2" t="s">
        <v>245</v>
      </c>
      <c r="C2284" s="2">
        <v>37</v>
      </c>
      <c r="D2284" s="2" t="s">
        <v>30</v>
      </c>
      <c r="E2284" s="2" t="s">
        <v>79</v>
      </c>
      <c r="F2284" s="2" t="s">
        <v>157</v>
      </c>
      <c r="G2284" s="3">
        <v>45093</v>
      </c>
      <c r="H2284" s="3">
        <v>45096</v>
      </c>
      <c r="I2284" s="2">
        <v>3</v>
      </c>
      <c r="J2284" s="2" t="s">
        <v>123</v>
      </c>
      <c r="K2284" s="2" t="s">
        <v>124</v>
      </c>
      <c r="L2284" s="2" t="s">
        <v>125</v>
      </c>
      <c r="M2284" s="2" t="s">
        <v>130</v>
      </c>
      <c r="N2284" s="2" t="s">
        <v>118</v>
      </c>
      <c r="O2284" s="2" t="s">
        <v>89</v>
      </c>
      <c r="P2284" s="2">
        <v>224</v>
      </c>
      <c r="Q2284" s="2" t="s">
        <v>50</v>
      </c>
      <c r="R2284" s="2" t="s">
        <v>51</v>
      </c>
      <c r="S2284" s="2">
        <v>85301</v>
      </c>
      <c r="T2284" s="2">
        <v>35402</v>
      </c>
      <c r="U2284" s="2">
        <v>49899</v>
      </c>
      <c r="V2284" s="2">
        <v>60142</v>
      </c>
      <c r="W2284" s="2">
        <v>11431</v>
      </c>
      <c r="X2284" s="2">
        <v>10052</v>
      </c>
      <c r="Y2284" s="2" t="s">
        <v>91</v>
      </c>
      <c r="Z2284" s="2">
        <v>44</v>
      </c>
      <c r="AA2284" s="2">
        <v>3.7</v>
      </c>
      <c r="AB2284" s="2" t="s">
        <v>64</v>
      </c>
    </row>
    <row r="2285" spans="1:28" x14ac:dyDescent="0.25">
      <c r="A2285" s="4" t="s">
        <v>3087</v>
      </c>
      <c r="B2285" s="4" t="s">
        <v>599</v>
      </c>
      <c r="C2285" s="4">
        <v>67</v>
      </c>
      <c r="D2285" s="4" t="s">
        <v>55</v>
      </c>
      <c r="E2285" s="4" t="s">
        <v>67</v>
      </c>
      <c r="F2285" s="4" t="s">
        <v>32</v>
      </c>
      <c r="G2285" s="5">
        <v>45649</v>
      </c>
      <c r="H2285" s="5">
        <v>45657</v>
      </c>
      <c r="I2285" s="4">
        <v>8</v>
      </c>
      <c r="J2285" s="4" t="s">
        <v>33</v>
      </c>
      <c r="K2285" s="4" t="s">
        <v>99</v>
      </c>
      <c r="L2285" s="4" t="s">
        <v>100</v>
      </c>
      <c r="M2285" s="4" t="s">
        <v>101</v>
      </c>
      <c r="N2285" s="4" t="s">
        <v>109</v>
      </c>
      <c r="O2285" s="4" t="s">
        <v>147</v>
      </c>
      <c r="P2285" s="4">
        <v>245</v>
      </c>
      <c r="Q2285" s="4" t="s">
        <v>69</v>
      </c>
      <c r="R2285" s="4" t="s">
        <v>51</v>
      </c>
      <c r="S2285" s="4">
        <v>60017</v>
      </c>
      <c r="T2285" s="4">
        <v>34072</v>
      </c>
      <c r="U2285" s="4">
        <v>25945</v>
      </c>
      <c r="V2285" s="4">
        <v>29927</v>
      </c>
      <c r="W2285" s="4">
        <v>17579</v>
      </c>
      <c r="X2285" s="4">
        <v>10206</v>
      </c>
      <c r="Y2285" s="4" t="s">
        <v>41</v>
      </c>
      <c r="Z2285" s="4">
        <v>79</v>
      </c>
      <c r="AA2285" s="4">
        <v>3.6</v>
      </c>
      <c r="AB2285" s="4" t="s">
        <v>42</v>
      </c>
    </row>
    <row r="2286" spans="1:28" x14ac:dyDescent="0.25">
      <c r="A2286" s="2" t="s">
        <v>3088</v>
      </c>
      <c r="B2286" s="2" t="s">
        <v>499</v>
      </c>
      <c r="C2286" s="2">
        <v>57</v>
      </c>
      <c r="D2286" s="2" t="s">
        <v>30</v>
      </c>
      <c r="E2286" s="2" t="s">
        <v>122</v>
      </c>
      <c r="F2286" s="2" t="s">
        <v>157</v>
      </c>
      <c r="G2286" s="3">
        <v>45636</v>
      </c>
      <c r="H2286" s="3">
        <v>45639</v>
      </c>
      <c r="I2286" s="2">
        <v>3</v>
      </c>
      <c r="J2286" s="2" t="s">
        <v>33</v>
      </c>
      <c r="K2286" s="2" t="s">
        <v>107</v>
      </c>
      <c r="L2286" s="2" t="s">
        <v>48</v>
      </c>
      <c r="M2286" s="2" t="s">
        <v>83</v>
      </c>
      <c r="N2286" s="2" t="s">
        <v>37</v>
      </c>
      <c r="O2286" s="2" t="s">
        <v>396</v>
      </c>
      <c r="P2286" s="2">
        <v>262</v>
      </c>
      <c r="Q2286" s="2" t="s">
        <v>69</v>
      </c>
      <c r="R2286" s="2" t="s">
        <v>51</v>
      </c>
      <c r="S2286" s="2">
        <v>153167</v>
      </c>
      <c r="T2286" s="2">
        <v>95702</v>
      </c>
      <c r="U2286" s="2">
        <v>57465</v>
      </c>
      <c r="V2286" s="2">
        <v>117994</v>
      </c>
      <c r="W2286" s="2">
        <v>24356</v>
      </c>
      <c r="X2286" s="2">
        <v>7701</v>
      </c>
      <c r="Y2286" s="2" t="s">
        <v>91</v>
      </c>
      <c r="Z2286" s="2">
        <v>48</v>
      </c>
      <c r="AA2286" s="2">
        <v>2.9</v>
      </c>
      <c r="AB2286" s="2" t="s">
        <v>104</v>
      </c>
    </row>
    <row r="2287" spans="1:28" x14ac:dyDescent="0.25">
      <c r="A2287" s="4" t="s">
        <v>3089</v>
      </c>
      <c r="B2287" s="4" t="s">
        <v>3090</v>
      </c>
      <c r="C2287" s="4">
        <v>71</v>
      </c>
      <c r="D2287" s="4" t="s">
        <v>55</v>
      </c>
      <c r="E2287" s="4" t="s">
        <v>154</v>
      </c>
      <c r="F2287" s="4" t="s">
        <v>94</v>
      </c>
      <c r="G2287" s="5">
        <v>44781</v>
      </c>
      <c r="H2287" s="5">
        <v>44811</v>
      </c>
      <c r="I2287" s="4">
        <v>30</v>
      </c>
      <c r="J2287" s="4" t="s">
        <v>115</v>
      </c>
      <c r="K2287" s="4" t="s">
        <v>116</v>
      </c>
      <c r="L2287" s="4" t="s">
        <v>117</v>
      </c>
      <c r="M2287" s="4" t="s">
        <v>95</v>
      </c>
      <c r="N2287" s="4" t="s">
        <v>62</v>
      </c>
      <c r="O2287" s="4" t="s">
        <v>189</v>
      </c>
      <c r="P2287" s="4">
        <v>103</v>
      </c>
      <c r="Q2287" s="4" t="s">
        <v>69</v>
      </c>
      <c r="R2287" s="4" t="s">
        <v>40</v>
      </c>
      <c r="S2287" s="4">
        <v>70426</v>
      </c>
      <c r="T2287" s="4">
        <v>47204</v>
      </c>
      <c r="U2287" s="4">
        <v>23222</v>
      </c>
      <c r="V2287" s="4">
        <v>26874</v>
      </c>
      <c r="W2287" s="4">
        <v>28713</v>
      </c>
      <c r="X2287" s="4">
        <v>10564</v>
      </c>
      <c r="Y2287" s="4" t="s">
        <v>41</v>
      </c>
      <c r="Z2287" s="4">
        <v>47</v>
      </c>
      <c r="AA2287" s="4">
        <v>2.7</v>
      </c>
      <c r="AB2287" s="4" t="s">
        <v>64</v>
      </c>
    </row>
    <row r="2288" spans="1:28" x14ac:dyDescent="0.25">
      <c r="A2288" s="2" t="s">
        <v>3091</v>
      </c>
      <c r="B2288" s="2" t="s">
        <v>299</v>
      </c>
      <c r="C2288" s="2">
        <v>59</v>
      </c>
      <c r="D2288" s="2" t="s">
        <v>55</v>
      </c>
      <c r="E2288" s="2" t="s">
        <v>45</v>
      </c>
      <c r="F2288" s="2" t="s">
        <v>80</v>
      </c>
      <c r="G2288" s="3">
        <v>45067</v>
      </c>
      <c r="H2288" s="3">
        <v>45083</v>
      </c>
      <c r="I2288" s="2">
        <v>16</v>
      </c>
      <c r="J2288" s="2" t="s">
        <v>33</v>
      </c>
      <c r="K2288" s="2" t="s">
        <v>81</v>
      </c>
      <c r="L2288" s="2" t="s">
        <v>82</v>
      </c>
      <c r="M2288" s="2" t="s">
        <v>36</v>
      </c>
      <c r="N2288" s="2" t="s">
        <v>62</v>
      </c>
      <c r="O2288" s="2" t="s">
        <v>217</v>
      </c>
      <c r="P2288" s="2">
        <v>165</v>
      </c>
      <c r="Q2288" s="2" t="s">
        <v>103</v>
      </c>
      <c r="R2288" s="2" t="s">
        <v>111</v>
      </c>
      <c r="S2288" s="2">
        <v>107139</v>
      </c>
      <c r="T2288" s="2">
        <v>83444</v>
      </c>
      <c r="U2288" s="2">
        <v>23695</v>
      </c>
      <c r="V2288" s="2">
        <v>93489</v>
      </c>
      <c r="W2288" s="2">
        <v>4612</v>
      </c>
      <c r="X2288" s="2">
        <v>6781</v>
      </c>
      <c r="Y2288" s="2" t="s">
        <v>41</v>
      </c>
      <c r="Z2288" s="2">
        <v>70</v>
      </c>
      <c r="AA2288" s="2">
        <v>2.2999999999999998</v>
      </c>
      <c r="AB2288" s="2" t="s">
        <v>52</v>
      </c>
    </row>
    <row r="2289" spans="1:28" x14ac:dyDescent="0.25">
      <c r="A2289" s="4" t="s">
        <v>3092</v>
      </c>
      <c r="B2289" s="4" t="s">
        <v>78</v>
      </c>
      <c r="C2289" s="4">
        <v>29</v>
      </c>
      <c r="D2289" s="4" t="s">
        <v>30</v>
      </c>
      <c r="E2289" s="4" t="s">
        <v>154</v>
      </c>
      <c r="F2289" s="4" t="s">
        <v>94</v>
      </c>
      <c r="G2289" s="5">
        <v>44752</v>
      </c>
      <c r="H2289" s="5">
        <v>44780</v>
      </c>
      <c r="I2289" s="4">
        <v>28</v>
      </c>
      <c r="J2289" s="4" t="s">
        <v>115</v>
      </c>
      <c r="K2289" s="4" t="s">
        <v>160</v>
      </c>
      <c r="L2289" s="4" t="s">
        <v>117</v>
      </c>
      <c r="M2289" s="4" t="s">
        <v>36</v>
      </c>
      <c r="N2289" s="4" t="s">
        <v>109</v>
      </c>
      <c r="O2289" s="4" t="s">
        <v>497</v>
      </c>
      <c r="P2289" s="4">
        <v>97</v>
      </c>
      <c r="Q2289" s="4" t="s">
        <v>39</v>
      </c>
      <c r="R2289" s="4" t="s">
        <v>136</v>
      </c>
      <c r="S2289" s="4">
        <v>128421</v>
      </c>
      <c r="T2289" s="4">
        <v>0</v>
      </c>
      <c r="U2289" s="4">
        <v>128421</v>
      </c>
      <c r="V2289" s="4">
        <v>110447</v>
      </c>
      <c r="W2289" s="4">
        <v>1405</v>
      </c>
      <c r="X2289" s="4">
        <v>12191</v>
      </c>
      <c r="Y2289" s="4" t="s">
        <v>41</v>
      </c>
      <c r="Z2289" s="4">
        <v>77</v>
      </c>
      <c r="AA2289" s="4">
        <v>3.2</v>
      </c>
      <c r="AB2289" s="4" t="s">
        <v>42</v>
      </c>
    </row>
    <row r="2290" spans="1:28" x14ac:dyDescent="0.25">
      <c r="A2290" s="2" t="s">
        <v>3093</v>
      </c>
      <c r="B2290" s="2" t="s">
        <v>515</v>
      </c>
      <c r="C2290" s="2">
        <v>62</v>
      </c>
      <c r="D2290" s="2" t="s">
        <v>30</v>
      </c>
      <c r="E2290" s="2" t="s">
        <v>79</v>
      </c>
      <c r="F2290" s="2" t="s">
        <v>114</v>
      </c>
      <c r="G2290" s="3">
        <v>45207</v>
      </c>
      <c r="H2290" s="3">
        <v>45217</v>
      </c>
      <c r="I2290" s="2">
        <v>10</v>
      </c>
      <c r="J2290" s="2" t="s">
        <v>140</v>
      </c>
      <c r="K2290" s="2" t="s">
        <v>167</v>
      </c>
      <c r="L2290" s="2" t="s">
        <v>142</v>
      </c>
      <c r="M2290" s="2" t="s">
        <v>143</v>
      </c>
      <c r="N2290" s="2" t="s">
        <v>62</v>
      </c>
      <c r="O2290" s="2" t="s">
        <v>96</v>
      </c>
      <c r="P2290" s="2">
        <v>112</v>
      </c>
      <c r="Q2290" s="2" t="s">
        <v>39</v>
      </c>
      <c r="R2290" s="2" t="s">
        <v>90</v>
      </c>
      <c r="S2290" s="2">
        <v>60645</v>
      </c>
      <c r="T2290" s="2">
        <v>46272</v>
      </c>
      <c r="U2290" s="2">
        <v>14373</v>
      </c>
      <c r="V2290" s="2">
        <v>38317</v>
      </c>
      <c r="W2290" s="2">
        <v>11810</v>
      </c>
      <c r="X2290" s="2">
        <v>5840</v>
      </c>
      <c r="Y2290" s="2" t="s">
        <v>41</v>
      </c>
      <c r="Z2290" s="2">
        <v>70</v>
      </c>
      <c r="AA2290" s="2">
        <v>2.8</v>
      </c>
      <c r="AB2290" s="2" t="s">
        <v>104</v>
      </c>
    </row>
    <row r="2291" spans="1:28" x14ac:dyDescent="0.25">
      <c r="A2291" s="4" t="s">
        <v>3094</v>
      </c>
      <c r="B2291" s="4" t="s">
        <v>1060</v>
      </c>
      <c r="C2291" s="4">
        <v>12</v>
      </c>
      <c r="D2291" s="4" t="s">
        <v>55</v>
      </c>
      <c r="E2291" s="4" t="s">
        <v>56</v>
      </c>
      <c r="F2291" s="4" t="s">
        <v>80</v>
      </c>
      <c r="G2291" s="5">
        <v>44697</v>
      </c>
      <c r="H2291" s="5">
        <v>44704</v>
      </c>
      <c r="I2291" s="4">
        <v>7</v>
      </c>
      <c r="J2291" s="4" t="s">
        <v>58</v>
      </c>
      <c r="K2291" s="4" t="s">
        <v>59</v>
      </c>
      <c r="L2291" s="4" t="s">
        <v>60</v>
      </c>
      <c r="M2291" s="4" t="s">
        <v>95</v>
      </c>
      <c r="N2291" s="4" t="s">
        <v>62</v>
      </c>
      <c r="O2291" s="4" t="s">
        <v>144</v>
      </c>
      <c r="P2291" s="4">
        <v>166</v>
      </c>
      <c r="Q2291" s="4" t="s">
        <v>103</v>
      </c>
      <c r="R2291" s="4" t="s">
        <v>51</v>
      </c>
      <c r="S2291" s="4">
        <v>156018</v>
      </c>
      <c r="T2291" s="4">
        <v>87940</v>
      </c>
      <c r="U2291" s="4">
        <v>68078</v>
      </c>
      <c r="V2291" s="4">
        <v>117415</v>
      </c>
      <c r="W2291" s="4">
        <v>23601</v>
      </c>
      <c r="X2291" s="4">
        <v>12707</v>
      </c>
      <c r="Y2291" s="4" t="s">
        <v>41</v>
      </c>
      <c r="Z2291" s="4">
        <v>58</v>
      </c>
      <c r="AA2291" s="4">
        <v>3.4</v>
      </c>
      <c r="AB2291" s="4" t="s">
        <v>137</v>
      </c>
    </row>
    <row r="2292" spans="1:28" x14ac:dyDescent="0.25">
      <c r="A2292" s="2" t="s">
        <v>3095</v>
      </c>
      <c r="B2292" s="2" t="s">
        <v>207</v>
      </c>
      <c r="C2292" s="2">
        <v>44</v>
      </c>
      <c r="D2292" s="2" t="s">
        <v>55</v>
      </c>
      <c r="E2292" s="2" t="s">
        <v>154</v>
      </c>
      <c r="F2292" s="2" t="s">
        <v>80</v>
      </c>
      <c r="G2292" s="3">
        <v>45050</v>
      </c>
      <c r="H2292" s="3">
        <v>45071</v>
      </c>
      <c r="I2292" s="2">
        <v>21</v>
      </c>
      <c r="J2292" s="2" t="s">
        <v>202</v>
      </c>
      <c r="K2292" s="2" t="s">
        <v>225</v>
      </c>
      <c r="L2292" s="2" t="s">
        <v>226</v>
      </c>
      <c r="M2292" s="2" t="s">
        <v>134</v>
      </c>
      <c r="N2292" s="2" t="s">
        <v>62</v>
      </c>
      <c r="O2292" s="2" t="s">
        <v>184</v>
      </c>
      <c r="P2292" s="2">
        <v>189</v>
      </c>
      <c r="Q2292" s="2" t="s">
        <v>103</v>
      </c>
      <c r="R2292" s="2" t="s">
        <v>40</v>
      </c>
      <c r="S2292" s="2">
        <v>154484</v>
      </c>
      <c r="T2292" s="2">
        <v>78788</v>
      </c>
      <c r="U2292" s="2">
        <v>75696</v>
      </c>
      <c r="V2292" s="2">
        <v>121794</v>
      </c>
      <c r="W2292" s="2">
        <v>14814</v>
      </c>
      <c r="X2292" s="2">
        <v>14244</v>
      </c>
      <c r="Y2292" s="2" t="s">
        <v>41</v>
      </c>
      <c r="Z2292" s="2">
        <v>100</v>
      </c>
      <c r="AA2292" s="2">
        <v>4.0999999999999996</v>
      </c>
      <c r="AB2292" s="2" t="s">
        <v>104</v>
      </c>
    </row>
    <row r="2293" spans="1:28" x14ac:dyDescent="0.25">
      <c r="A2293" s="4" t="s">
        <v>3096</v>
      </c>
      <c r="B2293" s="4" t="s">
        <v>2734</v>
      </c>
      <c r="C2293" s="4">
        <v>68</v>
      </c>
      <c r="D2293" s="4" t="s">
        <v>55</v>
      </c>
      <c r="E2293" s="4" t="s">
        <v>31</v>
      </c>
      <c r="F2293" s="4" t="s">
        <v>72</v>
      </c>
      <c r="G2293" s="5">
        <v>45039</v>
      </c>
      <c r="H2293" s="5">
        <v>45046</v>
      </c>
      <c r="I2293" s="4">
        <v>7</v>
      </c>
      <c r="J2293" s="4" t="s">
        <v>115</v>
      </c>
      <c r="K2293" s="4" t="s">
        <v>116</v>
      </c>
      <c r="L2293" s="4" t="s">
        <v>117</v>
      </c>
      <c r="M2293" s="4" t="s">
        <v>83</v>
      </c>
      <c r="N2293" s="4" t="s">
        <v>37</v>
      </c>
      <c r="O2293" s="4" t="s">
        <v>471</v>
      </c>
      <c r="P2293" s="4">
        <v>434</v>
      </c>
      <c r="Q2293" s="4" t="s">
        <v>69</v>
      </c>
      <c r="R2293" s="4" t="s">
        <v>90</v>
      </c>
      <c r="S2293" s="4">
        <v>93126</v>
      </c>
      <c r="T2293" s="4">
        <v>81076</v>
      </c>
      <c r="U2293" s="4">
        <v>12050</v>
      </c>
      <c r="V2293" s="4">
        <v>71041</v>
      </c>
      <c r="W2293" s="4">
        <v>7651</v>
      </c>
      <c r="X2293" s="4">
        <v>10091</v>
      </c>
      <c r="Y2293" s="4" t="s">
        <v>41</v>
      </c>
      <c r="Z2293" s="4">
        <v>88</v>
      </c>
      <c r="AA2293" s="4">
        <v>2.2999999999999998</v>
      </c>
      <c r="AB2293" s="4" t="s">
        <v>64</v>
      </c>
    </row>
    <row r="2294" spans="1:28" x14ac:dyDescent="0.25">
      <c r="A2294" s="2" t="s">
        <v>3097</v>
      </c>
      <c r="B2294" s="2" t="s">
        <v>2103</v>
      </c>
      <c r="C2294" s="2">
        <v>6</v>
      </c>
      <c r="D2294" s="2" t="s">
        <v>55</v>
      </c>
      <c r="E2294" s="2" t="s">
        <v>79</v>
      </c>
      <c r="F2294" s="2" t="s">
        <v>57</v>
      </c>
      <c r="G2294" s="3">
        <v>45064</v>
      </c>
      <c r="H2294" s="3">
        <v>45075</v>
      </c>
      <c r="I2294" s="2">
        <v>11</v>
      </c>
      <c r="J2294" s="2" t="s">
        <v>202</v>
      </c>
      <c r="K2294" s="2" t="s">
        <v>225</v>
      </c>
      <c r="L2294" s="2" t="s">
        <v>226</v>
      </c>
      <c r="M2294" s="2" t="s">
        <v>83</v>
      </c>
      <c r="N2294" s="2" t="s">
        <v>62</v>
      </c>
      <c r="O2294" s="2" t="s">
        <v>256</v>
      </c>
      <c r="P2294" s="2">
        <v>352</v>
      </c>
      <c r="Q2294" s="2" t="s">
        <v>39</v>
      </c>
      <c r="R2294" s="2" t="s">
        <v>90</v>
      </c>
      <c r="S2294" s="2">
        <v>75939</v>
      </c>
      <c r="T2294" s="2">
        <v>55522</v>
      </c>
      <c r="U2294" s="2">
        <v>20417</v>
      </c>
      <c r="V2294" s="2">
        <v>60355</v>
      </c>
      <c r="W2294" s="2">
        <v>3612</v>
      </c>
      <c r="X2294" s="2">
        <v>11384</v>
      </c>
      <c r="Y2294" s="2" t="s">
        <v>41</v>
      </c>
      <c r="Z2294" s="2">
        <v>97</v>
      </c>
      <c r="AA2294" s="2">
        <v>3.3</v>
      </c>
      <c r="AB2294" s="2" t="s">
        <v>52</v>
      </c>
    </row>
    <row r="2295" spans="1:28" x14ac:dyDescent="0.25">
      <c r="A2295" s="4" t="s">
        <v>3098</v>
      </c>
      <c r="B2295" s="4" t="s">
        <v>1405</v>
      </c>
      <c r="C2295" s="4">
        <v>39</v>
      </c>
      <c r="D2295" s="4" t="s">
        <v>30</v>
      </c>
      <c r="E2295" s="4" t="s">
        <v>87</v>
      </c>
      <c r="F2295" s="4" t="s">
        <v>72</v>
      </c>
      <c r="G2295" s="5">
        <v>45518</v>
      </c>
      <c r="H2295" s="5">
        <v>45535</v>
      </c>
      <c r="I2295" s="4">
        <v>17</v>
      </c>
      <c r="J2295" s="4" t="s">
        <v>33</v>
      </c>
      <c r="K2295" s="4" t="s">
        <v>99</v>
      </c>
      <c r="L2295" s="4" t="s">
        <v>100</v>
      </c>
      <c r="M2295" s="4" t="s">
        <v>134</v>
      </c>
      <c r="N2295" s="4" t="s">
        <v>118</v>
      </c>
      <c r="O2295" s="4" t="s">
        <v>96</v>
      </c>
      <c r="P2295" s="4">
        <v>318</v>
      </c>
      <c r="Q2295" s="4" t="s">
        <v>50</v>
      </c>
      <c r="R2295" s="4" t="s">
        <v>111</v>
      </c>
      <c r="S2295" s="4">
        <v>138876</v>
      </c>
      <c r="T2295" s="4">
        <v>119731</v>
      </c>
      <c r="U2295" s="4">
        <v>19145</v>
      </c>
      <c r="V2295" s="4">
        <v>130066</v>
      </c>
      <c r="W2295" s="4">
        <v>3795</v>
      </c>
      <c r="X2295" s="4">
        <v>2121</v>
      </c>
      <c r="Y2295" s="4" t="s">
        <v>91</v>
      </c>
      <c r="Z2295" s="4">
        <v>98</v>
      </c>
      <c r="AA2295" s="4">
        <v>4.9000000000000004</v>
      </c>
      <c r="AB2295" s="4" t="s">
        <v>52</v>
      </c>
    </row>
    <row r="2296" spans="1:28" x14ac:dyDescent="0.25">
      <c r="A2296" s="2" t="s">
        <v>3099</v>
      </c>
      <c r="B2296" s="2" t="s">
        <v>1115</v>
      </c>
      <c r="C2296" s="2">
        <v>83</v>
      </c>
      <c r="D2296" s="2" t="s">
        <v>55</v>
      </c>
      <c r="E2296" s="2" t="s">
        <v>67</v>
      </c>
      <c r="F2296" s="2" t="s">
        <v>72</v>
      </c>
      <c r="G2296" s="3">
        <v>44924</v>
      </c>
      <c r="H2296" s="3">
        <v>44950</v>
      </c>
      <c r="I2296" s="2">
        <v>26</v>
      </c>
      <c r="J2296" s="2" t="s">
        <v>73</v>
      </c>
      <c r="K2296" s="2" t="s">
        <v>74</v>
      </c>
      <c r="L2296" s="2" t="s">
        <v>73</v>
      </c>
      <c r="M2296" s="2" t="s">
        <v>95</v>
      </c>
      <c r="N2296" s="2" t="s">
        <v>62</v>
      </c>
      <c r="O2296" s="2" t="s">
        <v>194</v>
      </c>
      <c r="P2296" s="2">
        <v>441</v>
      </c>
      <c r="Q2296" s="2" t="s">
        <v>39</v>
      </c>
      <c r="R2296" s="2" t="s">
        <v>40</v>
      </c>
      <c r="S2296" s="2">
        <v>169980</v>
      </c>
      <c r="T2296" s="2">
        <v>88006</v>
      </c>
      <c r="U2296" s="2">
        <v>81974</v>
      </c>
      <c r="V2296" s="2">
        <v>134282</v>
      </c>
      <c r="W2296" s="2">
        <v>22974</v>
      </c>
      <c r="X2296" s="2">
        <v>8966</v>
      </c>
      <c r="Y2296" s="2" t="s">
        <v>41</v>
      </c>
      <c r="Z2296" s="2">
        <v>74</v>
      </c>
      <c r="AA2296" s="2">
        <v>4.9000000000000004</v>
      </c>
      <c r="AB2296" s="2" t="s">
        <v>42</v>
      </c>
    </row>
    <row r="2297" spans="1:28" x14ac:dyDescent="0.25">
      <c r="A2297" s="4" t="s">
        <v>3100</v>
      </c>
      <c r="B2297" s="4" t="s">
        <v>754</v>
      </c>
      <c r="C2297" s="4">
        <v>43</v>
      </c>
      <c r="D2297" s="4" t="s">
        <v>55</v>
      </c>
      <c r="E2297" s="4" t="s">
        <v>122</v>
      </c>
      <c r="F2297" s="4" t="s">
        <v>57</v>
      </c>
      <c r="G2297" s="5">
        <v>45030</v>
      </c>
      <c r="H2297" s="5">
        <v>45036</v>
      </c>
      <c r="I2297" s="4">
        <v>6</v>
      </c>
      <c r="J2297" s="4" t="s">
        <v>115</v>
      </c>
      <c r="K2297" s="4" t="s">
        <v>116</v>
      </c>
      <c r="L2297" s="4" t="s">
        <v>117</v>
      </c>
      <c r="M2297" s="4" t="s">
        <v>130</v>
      </c>
      <c r="N2297" s="4" t="s">
        <v>109</v>
      </c>
      <c r="O2297" s="4" t="s">
        <v>300</v>
      </c>
      <c r="P2297" s="4">
        <v>469</v>
      </c>
      <c r="Q2297" s="4" t="s">
        <v>39</v>
      </c>
      <c r="R2297" s="4" t="s">
        <v>136</v>
      </c>
      <c r="S2297" s="4">
        <v>40594</v>
      </c>
      <c r="T2297" s="4">
        <v>0</v>
      </c>
      <c r="U2297" s="4">
        <v>40594</v>
      </c>
      <c r="V2297" s="4">
        <v>29584</v>
      </c>
      <c r="W2297" s="4">
        <v>4166</v>
      </c>
      <c r="X2297" s="4">
        <v>4965</v>
      </c>
      <c r="Y2297" s="4" t="s">
        <v>91</v>
      </c>
      <c r="Z2297" s="4">
        <v>68</v>
      </c>
      <c r="AA2297" s="4">
        <v>5</v>
      </c>
      <c r="AB2297" s="4" t="s">
        <v>52</v>
      </c>
    </row>
    <row r="2298" spans="1:28" x14ac:dyDescent="0.25">
      <c r="A2298" s="2" t="s">
        <v>3101</v>
      </c>
      <c r="B2298" s="2" t="s">
        <v>985</v>
      </c>
      <c r="C2298" s="2">
        <v>33</v>
      </c>
      <c r="D2298" s="2" t="s">
        <v>55</v>
      </c>
      <c r="E2298" s="2" t="s">
        <v>45</v>
      </c>
      <c r="F2298" s="2" t="s">
        <v>129</v>
      </c>
      <c r="G2298" s="3">
        <v>45140</v>
      </c>
      <c r="H2298" s="3">
        <v>45160</v>
      </c>
      <c r="I2298" s="2">
        <v>20</v>
      </c>
      <c r="J2298" s="2" t="s">
        <v>58</v>
      </c>
      <c r="K2298" s="2" t="s">
        <v>88</v>
      </c>
      <c r="L2298" s="2" t="s">
        <v>60</v>
      </c>
      <c r="M2298" s="2" t="s">
        <v>108</v>
      </c>
      <c r="N2298" s="2" t="s">
        <v>62</v>
      </c>
      <c r="O2298" s="2" t="s">
        <v>89</v>
      </c>
      <c r="P2298" s="2">
        <v>214</v>
      </c>
      <c r="Q2298" s="2" t="s">
        <v>69</v>
      </c>
      <c r="R2298" s="2" t="s">
        <v>90</v>
      </c>
      <c r="S2298" s="2">
        <v>171638</v>
      </c>
      <c r="T2298" s="2">
        <v>141867</v>
      </c>
      <c r="U2298" s="2">
        <v>29771</v>
      </c>
      <c r="V2298" s="2">
        <v>146542</v>
      </c>
      <c r="W2298" s="2">
        <v>9862</v>
      </c>
      <c r="X2298" s="2">
        <v>13386</v>
      </c>
      <c r="Y2298" s="2" t="s">
        <v>41</v>
      </c>
      <c r="Z2298" s="2">
        <v>43</v>
      </c>
      <c r="AA2298" s="2">
        <v>2.9</v>
      </c>
      <c r="AB2298" s="2" t="s">
        <v>52</v>
      </c>
    </row>
    <row r="2299" spans="1:28" x14ac:dyDescent="0.25">
      <c r="A2299" s="4" t="s">
        <v>3102</v>
      </c>
      <c r="B2299" s="4" t="s">
        <v>863</v>
      </c>
      <c r="C2299" s="4">
        <v>59</v>
      </c>
      <c r="D2299" s="4" t="s">
        <v>30</v>
      </c>
      <c r="E2299" s="4" t="s">
        <v>67</v>
      </c>
      <c r="F2299" s="4" t="s">
        <v>157</v>
      </c>
      <c r="G2299" s="5">
        <v>44855</v>
      </c>
      <c r="H2299" s="5">
        <v>44878</v>
      </c>
      <c r="I2299" s="4">
        <v>23</v>
      </c>
      <c r="J2299" s="4" t="s">
        <v>33</v>
      </c>
      <c r="K2299" s="4" t="s">
        <v>278</v>
      </c>
      <c r="L2299" s="4" t="s">
        <v>279</v>
      </c>
      <c r="M2299" s="4" t="s">
        <v>108</v>
      </c>
      <c r="N2299" s="4" t="s">
        <v>37</v>
      </c>
      <c r="O2299" s="4" t="s">
        <v>175</v>
      </c>
      <c r="P2299" s="4">
        <v>59</v>
      </c>
      <c r="Q2299" s="4" t="s">
        <v>39</v>
      </c>
      <c r="R2299" s="4" t="s">
        <v>136</v>
      </c>
      <c r="S2299" s="4">
        <v>114891</v>
      </c>
      <c r="T2299" s="4">
        <v>0</v>
      </c>
      <c r="U2299" s="4">
        <v>114891</v>
      </c>
      <c r="V2299" s="4">
        <v>83648</v>
      </c>
      <c r="W2299" s="4">
        <v>21677</v>
      </c>
      <c r="X2299" s="4">
        <v>5757</v>
      </c>
      <c r="Y2299" s="4" t="s">
        <v>41</v>
      </c>
      <c r="Z2299" s="4">
        <v>57</v>
      </c>
      <c r="AA2299" s="4">
        <v>4.2</v>
      </c>
      <c r="AB2299" s="4" t="s">
        <v>104</v>
      </c>
    </row>
    <row r="2300" spans="1:28" x14ac:dyDescent="0.25">
      <c r="A2300" s="2" t="s">
        <v>3103</v>
      </c>
      <c r="B2300" s="2" t="s">
        <v>826</v>
      </c>
      <c r="C2300" s="2">
        <v>70</v>
      </c>
      <c r="D2300" s="2" t="s">
        <v>55</v>
      </c>
      <c r="E2300" s="2" t="s">
        <v>79</v>
      </c>
      <c r="F2300" s="2" t="s">
        <v>94</v>
      </c>
      <c r="G2300" s="3">
        <v>45304</v>
      </c>
      <c r="H2300" s="3">
        <v>45312</v>
      </c>
      <c r="I2300" s="2">
        <v>8</v>
      </c>
      <c r="J2300" s="2" t="s">
        <v>202</v>
      </c>
      <c r="K2300" s="2" t="s">
        <v>203</v>
      </c>
      <c r="L2300" s="2" t="s">
        <v>204</v>
      </c>
      <c r="M2300" s="2" t="s">
        <v>130</v>
      </c>
      <c r="N2300" s="2" t="s">
        <v>62</v>
      </c>
      <c r="O2300" s="2" t="s">
        <v>673</v>
      </c>
      <c r="P2300" s="2">
        <v>296</v>
      </c>
      <c r="Q2300" s="2" t="s">
        <v>69</v>
      </c>
      <c r="R2300" s="2" t="s">
        <v>136</v>
      </c>
      <c r="S2300" s="2">
        <v>46947</v>
      </c>
      <c r="T2300" s="2">
        <v>0</v>
      </c>
      <c r="U2300" s="2">
        <v>46947</v>
      </c>
      <c r="V2300" s="2">
        <v>17512</v>
      </c>
      <c r="W2300" s="2">
        <v>26516</v>
      </c>
      <c r="X2300" s="2">
        <v>983</v>
      </c>
      <c r="Y2300" s="2" t="s">
        <v>41</v>
      </c>
      <c r="Z2300" s="2">
        <v>83</v>
      </c>
      <c r="AA2300" s="2">
        <v>3.4</v>
      </c>
      <c r="AB2300" s="2" t="s">
        <v>64</v>
      </c>
    </row>
    <row r="2301" spans="1:28" x14ac:dyDescent="0.25">
      <c r="A2301" s="4" t="s">
        <v>3104</v>
      </c>
      <c r="B2301" s="4" t="s">
        <v>1316</v>
      </c>
      <c r="C2301" s="4">
        <v>28</v>
      </c>
      <c r="D2301" s="4" t="s">
        <v>55</v>
      </c>
      <c r="E2301" s="4" t="s">
        <v>87</v>
      </c>
      <c r="F2301" s="4" t="s">
        <v>32</v>
      </c>
      <c r="G2301" s="5">
        <v>45007</v>
      </c>
      <c r="H2301" s="5">
        <v>45010</v>
      </c>
      <c r="I2301" s="4">
        <v>3</v>
      </c>
      <c r="J2301" s="4" t="s">
        <v>115</v>
      </c>
      <c r="K2301" s="4" t="s">
        <v>160</v>
      </c>
      <c r="L2301" s="4" t="s">
        <v>117</v>
      </c>
      <c r="M2301" s="4" t="s">
        <v>143</v>
      </c>
      <c r="N2301" s="4" t="s">
        <v>118</v>
      </c>
      <c r="O2301" s="4" t="s">
        <v>161</v>
      </c>
      <c r="P2301" s="4">
        <v>453</v>
      </c>
      <c r="Q2301" s="4" t="s">
        <v>103</v>
      </c>
      <c r="R2301" s="4" t="s">
        <v>90</v>
      </c>
      <c r="S2301" s="4">
        <v>171247</v>
      </c>
      <c r="T2301" s="4">
        <v>111094</v>
      </c>
      <c r="U2301" s="4">
        <v>60153</v>
      </c>
      <c r="V2301" s="4">
        <v>139368</v>
      </c>
      <c r="W2301" s="4">
        <v>19754</v>
      </c>
      <c r="X2301" s="4">
        <v>8402</v>
      </c>
      <c r="Y2301" s="4" t="s">
        <v>91</v>
      </c>
      <c r="Z2301" s="4">
        <v>70</v>
      </c>
      <c r="AA2301" s="4">
        <v>4.4000000000000004</v>
      </c>
      <c r="AB2301" s="4" t="s">
        <v>137</v>
      </c>
    </row>
    <row r="2302" spans="1:28" x14ac:dyDescent="0.25">
      <c r="A2302" s="2" t="s">
        <v>3105</v>
      </c>
      <c r="B2302" s="2" t="s">
        <v>1023</v>
      </c>
      <c r="C2302" s="2">
        <v>23</v>
      </c>
      <c r="D2302" s="2" t="s">
        <v>55</v>
      </c>
      <c r="E2302" s="2" t="s">
        <v>56</v>
      </c>
      <c r="F2302" s="2" t="s">
        <v>57</v>
      </c>
      <c r="G2302" s="3">
        <v>44774</v>
      </c>
      <c r="H2302" s="3">
        <v>44790</v>
      </c>
      <c r="I2302" s="2">
        <v>16</v>
      </c>
      <c r="J2302" s="2" t="s">
        <v>140</v>
      </c>
      <c r="K2302" s="2" t="s">
        <v>141</v>
      </c>
      <c r="L2302" s="2" t="s">
        <v>142</v>
      </c>
      <c r="M2302" s="2" t="s">
        <v>134</v>
      </c>
      <c r="N2302" s="2" t="s">
        <v>109</v>
      </c>
      <c r="O2302" s="2" t="s">
        <v>49</v>
      </c>
      <c r="P2302" s="2">
        <v>458</v>
      </c>
      <c r="Q2302" s="2" t="s">
        <v>69</v>
      </c>
      <c r="R2302" s="2" t="s">
        <v>111</v>
      </c>
      <c r="S2302" s="2">
        <v>112021</v>
      </c>
      <c r="T2302" s="2">
        <v>90194</v>
      </c>
      <c r="U2302" s="2">
        <v>21827</v>
      </c>
      <c r="V2302" s="2">
        <v>93364</v>
      </c>
      <c r="W2302" s="2">
        <v>1648</v>
      </c>
      <c r="X2302" s="2">
        <v>12493</v>
      </c>
      <c r="Y2302" s="2" t="s">
        <v>41</v>
      </c>
      <c r="Z2302" s="2">
        <v>45</v>
      </c>
      <c r="AA2302" s="2">
        <v>2.7</v>
      </c>
      <c r="AB2302" s="2" t="s">
        <v>52</v>
      </c>
    </row>
    <row r="2303" spans="1:28" x14ac:dyDescent="0.25">
      <c r="A2303" s="4" t="s">
        <v>3106</v>
      </c>
      <c r="B2303" s="4" t="s">
        <v>1660</v>
      </c>
      <c r="C2303" s="4">
        <v>40</v>
      </c>
      <c r="D2303" s="4" t="s">
        <v>30</v>
      </c>
      <c r="E2303" s="4" t="s">
        <v>56</v>
      </c>
      <c r="F2303" s="4" t="s">
        <v>72</v>
      </c>
      <c r="G2303" s="5">
        <v>45421</v>
      </c>
      <c r="H2303" s="5">
        <v>45444</v>
      </c>
      <c r="I2303" s="4">
        <v>23</v>
      </c>
      <c r="J2303" s="4" t="s">
        <v>33</v>
      </c>
      <c r="K2303" s="4" t="s">
        <v>47</v>
      </c>
      <c r="L2303" s="4" t="s">
        <v>48</v>
      </c>
      <c r="M2303" s="4" t="s">
        <v>101</v>
      </c>
      <c r="N2303" s="4" t="s">
        <v>37</v>
      </c>
      <c r="O2303" s="4" t="s">
        <v>175</v>
      </c>
      <c r="P2303" s="4">
        <v>247</v>
      </c>
      <c r="Q2303" s="4" t="s">
        <v>69</v>
      </c>
      <c r="R2303" s="4" t="s">
        <v>136</v>
      </c>
      <c r="S2303" s="4">
        <v>119171</v>
      </c>
      <c r="T2303" s="4">
        <v>0</v>
      </c>
      <c r="U2303" s="4">
        <v>119171</v>
      </c>
      <c r="V2303" s="4">
        <v>96986</v>
      </c>
      <c r="W2303" s="4">
        <v>16867</v>
      </c>
      <c r="X2303" s="4">
        <v>1344</v>
      </c>
      <c r="Y2303" s="4" t="s">
        <v>41</v>
      </c>
      <c r="Z2303" s="4">
        <v>84</v>
      </c>
      <c r="AA2303" s="4">
        <v>3.6</v>
      </c>
      <c r="AB2303" s="4" t="s">
        <v>137</v>
      </c>
    </row>
    <row r="2304" spans="1:28" x14ac:dyDescent="0.25">
      <c r="A2304" s="2" t="s">
        <v>3107</v>
      </c>
      <c r="B2304" s="2" t="s">
        <v>555</v>
      </c>
      <c r="C2304" s="2">
        <v>60</v>
      </c>
      <c r="D2304" s="2" t="s">
        <v>55</v>
      </c>
      <c r="E2304" s="2" t="s">
        <v>31</v>
      </c>
      <c r="F2304" s="2" t="s">
        <v>150</v>
      </c>
      <c r="G2304" s="3">
        <v>45609</v>
      </c>
      <c r="H2304" s="3">
        <v>45621</v>
      </c>
      <c r="I2304" s="2">
        <v>12</v>
      </c>
      <c r="J2304" s="2" t="s">
        <v>33</v>
      </c>
      <c r="K2304" s="2" t="s">
        <v>107</v>
      </c>
      <c r="L2304" s="2" t="s">
        <v>48</v>
      </c>
      <c r="M2304" s="2" t="s">
        <v>36</v>
      </c>
      <c r="N2304" s="2" t="s">
        <v>37</v>
      </c>
      <c r="O2304" s="2" t="s">
        <v>241</v>
      </c>
      <c r="P2304" s="2">
        <v>34</v>
      </c>
      <c r="Q2304" s="2" t="s">
        <v>39</v>
      </c>
      <c r="R2304" s="2" t="s">
        <v>51</v>
      </c>
      <c r="S2304" s="2">
        <v>55927</v>
      </c>
      <c r="T2304" s="2">
        <v>22388</v>
      </c>
      <c r="U2304" s="2">
        <v>33539</v>
      </c>
      <c r="V2304" s="2">
        <v>27646</v>
      </c>
      <c r="W2304" s="2">
        <v>17143</v>
      </c>
      <c r="X2304" s="2">
        <v>6720</v>
      </c>
      <c r="Y2304" s="2" t="s">
        <v>41</v>
      </c>
      <c r="Z2304" s="2">
        <v>71</v>
      </c>
      <c r="AA2304" s="2">
        <v>3.9</v>
      </c>
      <c r="AB2304" s="2" t="s">
        <v>104</v>
      </c>
    </row>
    <row r="2305" spans="1:28" x14ac:dyDescent="0.25">
      <c r="A2305" s="4" t="s">
        <v>3108</v>
      </c>
      <c r="B2305" s="4" t="s">
        <v>956</v>
      </c>
      <c r="C2305" s="4">
        <v>61</v>
      </c>
      <c r="D2305" s="4" t="s">
        <v>30</v>
      </c>
      <c r="E2305" s="4" t="s">
        <v>154</v>
      </c>
      <c r="F2305" s="4" t="s">
        <v>46</v>
      </c>
      <c r="G2305" s="5">
        <v>45188</v>
      </c>
      <c r="H2305" s="5">
        <v>45199</v>
      </c>
      <c r="I2305" s="4">
        <v>11</v>
      </c>
      <c r="J2305" s="4" t="s">
        <v>123</v>
      </c>
      <c r="K2305" s="4" t="s">
        <v>124</v>
      </c>
      <c r="L2305" s="4" t="s">
        <v>125</v>
      </c>
      <c r="M2305" s="4" t="s">
        <v>75</v>
      </c>
      <c r="N2305" s="4" t="s">
        <v>118</v>
      </c>
      <c r="O2305" s="4" t="s">
        <v>151</v>
      </c>
      <c r="P2305" s="4">
        <v>359</v>
      </c>
      <c r="Q2305" s="4" t="s">
        <v>69</v>
      </c>
      <c r="R2305" s="4" t="s">
        <v>40</v>
      </c>
      <c r="S2305" s="4">
        <v>174708</v>
      </c>
      <c r="T2305" s="4">
        <v>91899</v>
      </c>
      <c r="U2305" s="4">
        <v>82809</v>
      </c>
      <c r="V2305" s="4">
        <v>147894</v>
      </c>
      <c r="W2305" s="4">
        <v>17284</v>
      </c>
      <c r="X2305" s="4">
        <v>8703</v>
      </c>
      <c r="Y2305" s="4" t="s">
        <v>41</v>
      </c>
      <c r="Z2305" s="4">
        <v>58</v>
      </c>
      <c r="AA2305" s="4">
        <v>3.3</v>
      </c>
      <c r="AB2305" s="4" t="s">
        <v>52</v>
      </c>
    </row>
    <row r="2306" spans="1:28" x14ac:dyDescent="0.25">
      <c r="A2306" s="2" t="s">
        <v>3109</v>
      </c>
      <c r="B2306" s="2" t="s">
        <v>2057</v>
      </c>
      <c r="C2306" s="2">
        <v>44</v>
      </c>
      <c r="D2306" s="2" t="s">
        <v>55</v>
      </c>
      <c r="E2306" s="2" t="s">
        <v>67</v>
      </c>
      <c r="F2306" s="2" t="s">
        <v>94</v>
      </c>
      <c r="G2306" s="3">
        <v>45184</v>
      </c>
      <c r="H2306" s="3">
        <v>45204</v>
      </c>
      <c r="I2306" s="2">
        <v>20</v>
      </c>
      <c r="J2306" s="2" t="s">
        <v>202</v>
      </c>
      <c r="K2306" s="2" t="s">
        <v>225</v>
      </c>
      <c r="L2306" s="2" t="s">
        <v>226</v>
      </c>
      <c r="M2306" s="2" t="s">
        <v>134</v>
      </c>
      <c r="N2306" s="2" t="s">
        <v>109</v>
      </c>
      <c r="O2306" s="2" t="s">
        <v>548</v>
      </c>
      <c r="P2306" s="2">
        <v>108</v>
      </c>
      <c r="Q2306" s="2" t="s">
        <v>39</v>
      </c>
      <c r="R2306" s="2" t="s">
        <v>40</v>
      </c>
      <c r="S2306" s="2">
        <v>141601</v>
      </c>
      <c r="T2306" s="2">
        <v>77932</v>
      </c>
      <c r="U2306" s="2">
        <v>63669</v>
      </c>
      <c r="V2306" s="2">
        <v>104113</v>
      </c>
      <c r="W2306" s="2">
        <v>19117</v>
      </c>
      <c r="X2306" s="2">
        <v>14573</v>
      </c>
      <c r="Y2306" s="2" t="s">
        <v>91</v>
      </c>
      <c r="Z2306" s="2">
        <v>83</v>
      </c>
      <c r="AA2306" s="2">
        <v>2.6</v>
      </c>
      <c r="AB2306" s="2" t="s">
        <v>52</v>
      </c>
    </row>
    <row r="2307" spans="1:28" x14ac:dyDescent="0.25">
      <c r="A2307" s="4" t="s">
        <v>3110</v>
      </c>
      <c r="B2307" s="4" t="s">
        <v>1736</v>
      </c>
      <c r="C2307" s="4">
        <v>73</v>
      </c>
      <c r="D2307" s="4" t="s">
        <v>30</v>
      </c>
      <c r="E2307" s="4" t="s">
        <v>79</v>
      </c>
      <c r="F2307" s="4" t="s">
        <v>80</v>
      </c>
      <c r="G2307" s="5">
        <v>45553</v>
      </c>
      <c r="H2307" s="5">
        <v>45576</v>
      </c>
      <c r="I2307" s="4">
        <v>23</v>
      </c>
      <c r="J2307" s="4" t="s">
        <v>115</v>
      </c>
      <c r="K2307" s="4" t="s">
        <v>116</v>
      </c>
      <c r="L2307" s="4" t="s">
        <v>117</v>
      </c>
      <c r="M2307" s="4" t="s">
        <v>61</v>
      </c>
      <c r="N2307" s="4" t="s">
        <v>62</v>
      </c>
      <c r="O2307" s="4" t="s">
        <v>147</v>
      </c>
      <c r="P2307" s="4">
        <v>134</v>
      </c>
      <c r="Q2307" s="4" t="s">
        <v>103</v>
      </c>
      <c r="R2307" s="4" t="s">
        <v>136</v>
      </c>
      <c r="S2307" s="4">
        <v>70554</v>
      </c>
      <c r="T2307" s="4">
        <v>0</v>
      </c>
      <c r="U2307" s="4">
        <v>70554</v>
      </c>
      <c r="V2307" s="4">
        <v>58771</v>
      </c>
      <c r="W2307" s="4">
        <v>1591</v>
      </c>
      <c r="X2307" s="4">
        <v>8778</v>
      </c>
      <c r="Y2307" s="4" t="s">
        <v>41</v>
      </c>
      <c r="Z2307" s="4">
        <v>49</v>
      </c>
      <c r="AA2307" s="4">
        <v>2.5</v>
      </c>
      <c r="AB2307" s="4" t="s">
        <v>137</v>
      </c>
    </row>
    <row r="2308" spans="1:28" x14ac:dyDescent="0.25">
      <c r="A2308" s="2" t="s">
        <v>3111</v>
      </c>
      <c r="B2308" s="2" t="s">
        <v>263</v>
      </c>
      <c r="C2308" s="2">
        <v>38</v>
      </c>
      <c r="D2308" s="2" t="s">
        <v>55</v>
      </c>
      <c r="E2308" s="2" t="s">
        <v>154</v>
      </c>
      <c r="F2308" s="2" t="s">
        <v>129</v>
      </c>
      <c r="G2308" s="3">
        <v>45425</v>
      </c>
      <c r="H2308" s="3">
        <v>45438</v>
      </c>
      <c r="I2308" s="2">
        <v>13</v>
      </c>
      <c r="J2308" s="2" t="s">
        <v>58</v>
      </c>
      <c r="K2308" s="2" t="s">
        <v>59</v>
      </c>
      <c r="L2308" s="2" t="s">
        <v>60</v>
      </c>
      <c r="M2308" s="2" t="s">
        <v>95</v>
      </c>
      <c r="N2308" s="2" t="s">
        <v>62</v>
      </c>
      <c r="O2308" s="2" t="s">
        <v>326</v>
      </c>
      <c r="P2308" s="2">
        <v>430</v>
      </c>
      <c r="Q2308" s="2" t="s">
        <v>50</v>
      </c>
      <c r="R2308" s="2" t="s">
        <v>136</v>
      </c>
      <c r="S2308" s="2">
        <v>134835</v>
      </c>
      <c r="T2308" s="2">
        <v>0</v>
      </c>
      <c r="U2308" s="2">
        <v>134835</v>
      </c>
      <c r="V2308" s="2">
        <v>121268</v>
      </c>
      <c r="W2308" s="2">
        <v>8615</v>
      </c>
      <c r="X2308" s="2">
        <v>2106</v>
      </c>
      <c r="Y2308" s="2" t="s">
        <v>41</v>
      </c>
      <c r="Z2308" s="2">
        <v>49</v>
      </c>
      <c r="AA2308" s="2">
        <v>4</v>
      </c>
      <c r="AB2308" s="2" t="s">
        <v>137</v>
      </c>
    </row>
    <row r="2309" spans="1:28" x14ac:dyDescent="0.25">
      <c r="A2309" s="4" t="s">
        <v>3112</v>
      </c>
      <c r="B2309" s="4" t="s">
        <v>1228</v>
      </c>
      <c r="C2309" s="4">
        <v>23</v>
      </c>
      <c r="D2309" s="4" t="s">
        <v>30</v>
      </c>
      <c r="E2309" s="4" t="s">
        <v>87</v>
      </c>
      <c r="F2309" s="4" t="s">
        <v>150</v>
      </c>
      <c r="G2309" s="5">
        <v>45439</v>
      </c>
      <c r="H2309" s="5">
        <v>45440</v>
      </c>
      <c r="I2309" s="4">
        <v>1</v>
      </c>
      <c r="J2309" s="4" t="s">
        <v>115</v>
      </c>
      <c r="K2309" s="4" t="s">
        <v>160</v>
      </c>
      <c r="L2309" s="4" t="s">
        <v>117</v>
      </c>
      <c r="M2309" s="4" t="s">
        <v>143</v>
      </c>
      <c r="N2309" s="4" t="s">
        <v>62</v>
      </c>
      <c r="O2309" s="4" t="s">
        <v>227</v>
      </c>
      <c r="P2309" s="4">
        <v>32</v>
      </c>
      <c r="Q2309" s="4" t="s">
        <v>69</v>
      </c>
      <c r="R2309" s="4" t="s">
        <v>40</v>
      </c>
      <c r="S2309" s="4">
        <v>97159</v>
      </c>
      <c r="T2309" s="4">
        <v>58596</v>
      </c>
      <c r="U2309" s="4">
        <v>38563</v>
      </c>
      <c r="V2309" s="4">
        <v>71864</v>
      </c>
      <c r="W2309" s="4">
        <v>11358</v>
      </c>
      <c r="X2309" s="4">
        <v>9111</v>
      </c>
      <c r="Y2309" s="4" t="s">
        <v>41</v>
      </c>
      <c r="Z2309" s="4">
        <v>47</v>
      </c>
      <c r="AA2309" s="4">
        <v>3.9</v>
      </c>
      <c r="AB2309" s="4" t="s">
        <v>42</v>
      </c>
    </row>
    <row r="2310" spans="1:28" x14ac:dyDescent="0.25">
      <c r="A2310" s="2" t="s">
        <v>3113</v>
      </c>
      <c r="B2310" s="2" t="s">
        <v>1709</v>
      </c>
      <c r="C2310" s="2">
        <v>82</v>
      </c>
      <c r="D2310" s="2" t="s">
        <v>30</v>
      </c>
      <c r="E2310" s="2" t="s">
        <v>87</v>
      </c>
      <c r="F2310" s="2" t="s">
        <v>72</v>
      </c>
      <c r="G2310" s="3">
        <v>45062</v>
      </c>
      <c r="H2310" s="3">
        <v>45084</v>
      </c>
      <c r="I2310" s="2">
        <v>22</v>
      </c>
      <c r="J2310" s="2" t="s">
        <v>73</v>
      </c>
      <c r="K2310" s="2" t="s">
        <v>74</v>
      </c>
      <c r="L2310" s="2" t="s">
        <v>73</v>
      </c>
      <c r="M2310" s="2" t="s">
        <v>61</v>
      </c>
      <c r="N2310" s="2" t="s">
        <v>109</v>
      </c>
      <c r="O2310" s="2" t="s">
        <v>358</v>
      </c>
      <c r="P2310" s="2">
        <v>371</v>
      </c>
      <c r="Q2310" s="2" t="s">
        <v>39</v>
      </c>
      <c r="R2310" s="2" t="s">
        <v>51</v>
      </c>
      <c r="S2310" s="2">
        <v>162013</v>
      </c>
      <c r="T2310" s="2">
        <v>75024</v>
      </c>
      <c r="U2310" s="2">
        <v>86989</v>
      </c>
      <c r="V2310" s="2">
        <v>121944</v>
      </c>
      <c r="W2310" s="2">
        <v>27834</v>
      </c>
      <c r="X2310" s="2">
        <v>7538</v>
      </c>
      <c r="Y2310" s="2" t="s">
        <v>41</v>
      </c>
      <c r="Z2310" s="2">
        <v>65</v>
      </c>
      <c r="AA2310" s="2">
        <v>3.6</v>
      </c>
      <c r="AB2310" s="2" t="s">
        <v>42</v>
      </c>
    </row>
    <row r="2311" spans="1:28" x14ac:dyDescent="0.25">
      <c r="A2311" s="4" t="s">
        <v>3114</v>
      </c>
      <c r="B2311" s="4" t="s">
        <v>398</v>
      </c>
      <c r="C2311" s="4">
        <v>70</v>
      </c>
      <c r="D2311" s="4" t="s">
        <v>55</v>
      </c>
      <c r="E2311" s="4" t="s">
        <v>87</v>
      </c>
      <c r="F2311" s="4" t="s">
        <v>32</v>
      </c>
      <c r="G2311" s="5">
        <v>45450</v>
      </c>
      <c r="H2311" s="5">
        <v>45468</v>
      </c>
      <c r="I2311" s="4">
        <v>18</v>
      </c>
      <c r="J2311" s="4" t="s">
        <v>33</v>
      </c>
      <c r="K2311" s="4" t="s">
        <v>34</v>
      </c>
      <c r="L2311" s="4" t="s">
        <v>35</v>
      </c>
      <c r="M2311" s="4" t="s">
        <v>95</v>
      </c>
      <c r="N2311" s="4" t="s">
        <v>109</v>
      </c>
      <c r="O2311" s="4" t="s">
        <v>647</v>
      </c>
      <c r="P2311" s="4">
        <v>171</v>
      </c>
      <c r="Q2311" s="4" t="s">
        <v>69</v>
      </c>
      <c r="R2311" s="4" t="s">
        <v>111</v>
      </c>
      <c r="S2311" s="4">
        <v>97415</v>
      </c>
      <c r="T2311" s="4">
        <v>65254</v>
      </c>
      <c r="U2311" s="4">
        <v>32161</v>
      </c>
      <c r="V2311" s="4">
        <v>66768</v>
      </c>
      <c r="W2311" s="4">
        <v>16726</v>
      </c>
      <c r="X2311" s="4">
        <v>9403</v>
      </c>
      <c r="Y2311" s="4" t="s">
        <v>41</v>
      </c>
      <c r="Z2311" s="4">
        <v>48</v>
      </c>
      <c r="AA2311" s="4">
        <v>2.2999999999999998</v>
      </c>
      <c r="AB2311" s="4" t="s">
        <v>42</v>
      </c>
    </row>
    <row r="2312" spans="1:28" x14ac:dyDescent="0.25">
      <c r="A2312" s="2" t="s">
        <v>3115</v>
      </c>
      <c r="B2312" s="2" t="s">
        <v>2246</v>
      </c>
      <c r="C2312" s="2">
        <v>53</v>
      </c>
      <c r="D2312" s="2" t="s">
        <v>30</v>
      </c>
      <c r="E2312" s="2" t="s">
        <v>67</v>
      </c>
      <c r="F2312" s="2" t="s">
        <v>57</v>
      </c>
      <c r="G2312" s="3">
        <v>44965</v>
      </c>
      <c r="H2312" s="3">
        <v>44995</v>
      </c>
      <c r="I2312" s="2">
        <v>30</v>
      </c>
      <c r="J2312" s="2" t="s">
        <v>115</v>
      </c>
      <c r="K2312" s="2" t="s">
        <v>160</v>
      </c>
      <c r="L2312" s="2" t="s">
        <v>117</v>
      </c>
      <c r="M2312" s="2" t="s">
        <v>143</v>
      </c>
      <c r="N2312" s="2" t="s">
        <v>118</v>
      </c>
      <c r="O2312" s="2" t="s">
        <v>194</v>
      </c>
      <c r="P2312" s="2">
        <v>203</v>
      </c>
      <c r="Q2312" s="2" t="s">
        <v>103</v>
      </c>
      <c r="R2312" s="2" t="s">
        <v>40</v>
      </c>
      <c r="S2312" s="2">
        <v>75229</v>
      </c>
      <c r="T2312" s="2">
        <v>34269</v>
      </c>
      <c r="U2312" s="2">
        <v>40960</v>
      </c>
      <c r="V2312" s="2">
        <v>45438</v>
      </c>
      <c r="W2312" s="2">
        <v>14380</v>
      </c>
      <c r="X2312" s="2">
        <v>11357</v>
      </c>
      <c r="Y2312" s="2" t="s">
        <v>91</v>
      </c>
      <c r="Z2312" s="2">
        <v>43</v>
      </c>
      <c r="AA2312" s="2">
        <v>3.3</v>
      </c>
      <c r="AB2312" s="2" t="s">
        <v>137</v>
      </c>
    </row>
    <row r="2313" spans="1:28" x14ac:dyDescent="0.25">
      <c r="A2313" s="4" t="s">
        <v>3116</v>
      </c>
      <c r="B2313" s="4" t="s">
        <v>925</v>
      </c>
      <c r="C2313" s="4">
        <v>73</v>
      </c>
      <c r="D2313" s="4" t="s">
        <v>30</v>
      </c>
      <c r="E2313" s="4" t="s">
        <v>87</v>
      </c>
      <c r="F2313" s="4" t="s">
        <v>32</v>
      </c>
      <c r="G2313" s="5">
        <v>45549</v>
      </c>
      <c r="H2313" s="5">
        <v>45552</v>
      </c>
      <c r="I2313" s="4">
        <v>3</v>
      </c>
      <c r="J2313" s="4" t="s">
        <v>33</v>
      </c>
      <c r="K2313" s="4" t="s">
        <v>99</v>
      </c>
      <c r="L2313" s="4" t="s">
        <v>100</v>
      </c>
      <c r="M2313" s="4" t="s">
        <v>101</v>
      </c>
      <c r="N2313" s="4" t="s">
        <v>62</v>
      </c>
      <c r="O2313" s="4" t="s">
        <v>379</v>
      </c>
      <c r="P2313" s="4">
        <v>225</v>
      </c>
      <c r="Q2313" s="4" t="s">
        <v>50</v>
      </c>
      <c r="R2313" s="4" t="s">
        <v>111</v>
      </c>
      <c r="S2313" s="4">
        <v>175503</v>
      </c>
      <c r="T2313" s="4">
        <v>116738</v>
      </c>
      <c r="U2313" s="4">
        <v>58765</v>
      </c>
      <c r="V2313" s="4">
        <v>136433</v>
      </c>
      <c r="W2313" s="4">
        <v>26798</v>
      </c>
      <c r="X2313" s="4">
        <v>9907</v>
      </c>
      <c r="Y2313" s="4" t="s">
        <v>41</v>
      </c>
      <c r="Z2313" s="4">
        <v>84</v>
      </c>
      <c r="AA2313" s="4">
        <v>3.5</v>
      </c>
      <c r="AB2313" s="4" t="s">
        <v>104</v>
      </c>
    </row>
    <row r="2314" spans="1:28" x14ac:dyDescent="0.25">
      <c r="A2314" s="2" t="s">
        <v>3117</v>
      </c>
      <c r="B2314" s="2" t="s">
        <v>948</v>
      </c>
      <c r="C2314" s="2">
        <v>25</v>
      </c>
      <c r="D2314" s="2" t="s">
        <v>30</v>
      </c>
      <c r="E2314" s="2" t="s">
        <v>154</v>
      </c>
      <c r="F2314" s="2" t="s">
        <v>114</v>
      </c>
      <c r="G2314" s="3">
        <v>44802</v>
      </c>
      <c r="H2314" s="3">
        <v>44804</v>
      </c>
      <c r="I2314" s="2">
        <v>2</v>
      </c>
      <c r="J2314" s="2" t="s">
        <v>73</v>
      </c>
      <c r="K2314" s="2" t="s">
        <v>74</v>
      </c>
      <c r="L2314" s="2" t="s">
        <v>73</v>
      </c>
      <c r="M2314" s="2" t="s">
        <v>143</v>
      </c>
      <c r="N2314" s="2" t="s">
        <v>118</v>
      </c>
      <c r="O2314" s="2" t="s">
        <v>96</v>
      </c>
      <c r="P2314" s="2">
        <v>256</v>
      </c>
      <c r="Q2314" s="2" t="s">
        <v>39</v>
      </c>
      <c r="R2314" s="2" t="s">
        <v>111</v>
      </c>
      <c r="S2314" s="2">
        <v>115407</v>
      </c>
      <c r="T2314" s="2">
        <v>78722</v>
      </c>
      <c r="U2314" s="2">
        <v>36685</v>
      </c>
      <c r="V2314" s="2">
        <v>96798</v>
      </c>
      <c r="W2314" s="2">
        <v>4561</v>
      </c>
      <c r="X2314" s="2">
        <v>9153</v>
      </c>
      <c r="Y2314" s="2" t="s">
        <v>41</v>
      </c>
      <c r="Z2314" s="2">
        <v>79</v>
      </c>
      <c r="AA2314" s="2">
        <v>3.6</v>
      </c>
      <c r="AB2314" s="2" t="s">
        <v>137</v>
      </c>
    </row>
    <row r="2315" spans="1:28" x14ac:dyDescent="0.25">
      <c r="A2315" s="4" t="s">
        <v>3118</v>
      </c>
      <c r="B2315" s="4" t="s">
        <v>415</v>
      </c>
      <c r="C2315" s="4">
        <v>15</v>
      </c>
      <c r="D2315" s="4" t="s">
        <v>55</v>
      </c>
      <c r="E2315" s="4" t="s">
        <v>154</v>
      </c>
      <c r="F2315" s="4" t="s">
        <v>72</v>
      </c>
      <c r="G2315" s="5">
        <v>45178</v>
      </c>
      <c r="H2315" s="5">
        <v>45179</v>
      </c>
      <c r="I2315" s="4">
        <v>1</v>
      </c>
      <c r="J2315" s="4" t="s">
        <v>115</v>
      </c>
      <c r="K2315" s="4" t="s">
        <v>116</v>
      </c>
      <c r="L2315" s="4" t="s">
        <v>117</v>
      </c>
      <c r="M2315" s="4" t="s">
        <v>95</v>
      </c>
      <c r="N2315" s="4" t="s">
        <v>37</v>
      </c>
      <c r="O2315" s="4" t="s">
        <v>181</v>
      </c>
      <c r="P2315" s="4">
        <v>240</v>
      </c>
      <c r="Q2315" s="4" t="s">
        <v>103</v>
      </c>
      <c r="R2315" s="4" t="s">
        <v>40</v>
      </c>
      <c r="S2315" s="4">
        <v>171784</v>
      </c>
      <c r="T2315" s="4">
        <v>110354</v>
      </c>
      <c r="U2315" s="4">
        <v>61430</v>
      </c>
      <c r="V2315" s="4">
        <v>149371</v>
      </c>
      <c r="W2315" s="4">
        <v>12411</v>
      </c>
      <c r="X2315" s="4">
        <v>8295</v>
      </c>
      <c r="Y2315" s="4" t="s">
        <v>41</v>
      </c>
      <c r="Z2315" s="4">
        <v>73</v>
      </c>
      <c r="AA2315" s="4">
        <v>3</v>
      </c>
      <c r="AB2315" s="4" t="s">
        <v>104</v>
      </c>
    </row>
    <row r="2316" spans="1:28" x14ac:dyDescent="0.25">
      <c r="A2316" s="2" t="s">
        <v>3119</v>
      </c>
      <c r="B2316" s="2" t="s">
        <v>716</v>
      </c>
      <c r="C2316" s="2">
        <v>75</v>
      </c>
      <c r="D2316" s="2" t="s">
        <v>30</v>
      </c>
      <c r="E2316" s="2" t="s">
        <v>31</v>
      </c>
      <c r="F2316" s="2" t="s">
        <v>94</v>
      </c>
      <c r="G2316" s="3">
        <v>45288</v>
      </c>
      <c r="H2316" s="3">
        <v>45305</v>
      </c>
      <c r="I2316" s="2">
        <v>17</v>
      </c>
      <c r="J2316" s="2" t="s">
        <v>123</v>
      </c>
      <c r="K2316" s="2" t="s">
        <v>251</v>
      </c>
      <c r="L2316" s="2" t="s">
        <v>125</v>
      </c>
      <c r="M2316" s="2" t="s">
        <v>101</v>
      </c>
      <c r="N2316" s="2" t="s">
        <v>37</v>
      </c>
      <c r="O2316" s="2" t="s">
        <v>431</v>
      </c>
      <c r="P2316" s="2">
        <v>83</v>
      </c>
      <c r="Q2316" s="2" t="s">
        <v>50</v>
      </c>
      <c r="R2316" s="2" t="s">
        <v>136</v>
      </c>
      <c r="S2316" s="2">
        <v>25259</v>
      </c>
      <c r="T2316" s="2">
        <v>0</v>
      </c>
      <c r="U2316" s="2">
        <v>25259</v>
      </c>
      <c r="V2316" s="2">
        <v>9303</v>
      </c>
      <c r="W2316" s="2">
        <v>11706</v>
      </c>
      <c r="X2316" s="2">
        <v>1561</v>
      </c>
      <c r="Y2316" s="2" t="s">
        <v>41</v>
      </c>
      <c r="Z2316" s="2">
        <v>59</v>
      </c>
      <c r="AA2316" s="2">
        <v>3.5</v>
      </c>
      <c r="AB2316" s="2" t="s">
        <v>137</v>
      </c>
    </row>
    <row r="2317" spans="1:28" x14ac:dyDescent="0.25">
      <c r="A2317" s="4" t="s">
        <v>3120</v>
      </c>
      <c r="B2317" s="4" t="s">
        <v>1184</v>
      </c>
      <c r="C2317" s="4">
        <v>49</v>
      </c>
      <c r="D2317" s="4" t="s">
        <v>30</v>
      </c>
      <c r="E2317" s="4" t="s">
        <v>45</v>
      </c>
      <c r="F2317" s="4" t="s">
        <v>46</v>
      </c>
      <c r="G2317" s="5">
        <v>45024</v>
      </c>
      <c r="H2317" s="5">
        <v>45051</v>
      </c>
      <c r="I2317" s="4">
        <v>27</v>
      </c>
      <c r="J2317" s="4" t="s">
        <v>58</v>
      </c>
      <c r="K2317" s="4" t="s">
        <v>59</v>
      </c>
      <c r="L2317" s="4" t="s">
        <v>60</v>
      </c>
      <c r="M2317" s="4" t="s">
        <v>61</v>
      </c>
      <c r="N2317" s="4" t="s">
        <v>37</v>
      </c>
      <c r="O2317" s="4" t="s">
        <v>211</v>
      </c>
      <c r="P2317" s="4">
        <v>290</v>
      </c>
      <c r="Q2317" s="4" t="s">
        <v>103</v>
      </c>
      <c r="R2317" s="4" t="s">
        <v>90</v>
      </c>
      <c r="S2317" s="4">
        <v>50914</v>
      </c>
      <c r="T2317" s="4">
        <v>37521</v>
      </c>
      <c r="U2317" s="4">
        <v>13393</v>
      </c>
      <c r="V2317" s="4">
        <v>21121</v>
      </c>
      <c r="W2317" s="4">
        <v>16968</v>
      </c>
      <c r="X2317" s="4">
        <v>8683</v>
      </c>
      <c r="Y2317" s="4" t="s">
        <v>91</v>
      </c>
      <c r="Z2317" s="4">
        <v>49</v>
      </c>
      <c r="AA2317" s="4">
        <v>4.0999999999999996</v>
      </c>
      <c r="AB2317" s="4" t="s">
        <v>52</v>
      </c>
    </row>
    <row r="2318" spans="1:28" x14ac:dyDescent="0.25">
      <c r="A2318" s="2" t="s">
        <v>3121</v>
      </c>
      <c r="B2318" s="2" t="s">
        <v>1283</v>
      </c>
      <c r="C2318" s="2">
        <v>15</v>
      </c>
      <c r="D2318" s="2" t="s">
        <v>30</v>
      </c>
      <c r="E2318" s="2" t="s">
        <v>31</v>
      </c>
      <c r="F2318" s="2" t="s">
        <v>32</v>
      </c>
      <c r="G2318" s="3">
        <v>44631</v>
      </c>
      <c r="H2318" s="3">
        <v>44632</v>
      </c>
      <c r="I2318" s="2">
        <v>1</v>
      </c>
      <c r="J2318" s="2" t="s">
        <v>140</v>
      </c>
      <c r="K2318" s="2" t="s">
        <v>141</v>
      </c>
      <c r="L2318" s="2" t="s">
        <v>142</v>
      </c>
      <c r="M2318" s="2" t="s">
        <v>130</v>
      </c>
      <c r="N2318" s="2" t="s">
        <v>109</v>
      </c>
      <c r="O2318" s="2" t="s">
        <v>343</v>
      </c>
      <c r="P2318" s="2">
        <v>380</v>
      </c>
      <c r="Q2318" s="2" t="s">
        <v>69</v>
      </c>
      <c r="R2318" s="2" t="s">
        <v>111</v>
      </c>
      <c r="S2318" s="2">
        <v>161496</v>
      </c>
      <c r="T2318" s="2">
        <v>133912</v>
      </c>
      <c r="U2318" s="2">
        <v>27584</v>
      </c>
      <c r="V2318" s="2">
        <v>114962</v>
      </c>
      <c r="W2318" s="2">
        <v>27376</v>
      </c>
      <c r="X2318" s="2">
        <v>14805</v>
      </c>
      <c r="Y2318" s="2" t="s">
        <v>41</v>
      </c>
      <c r="Z2318" s="2">
        <v>84</v>
      </c>
      <c r="AA2318" s="2">
        <v>3.7</v>
      </c>
      <c r="AB2318" s="2" t="s">
        <v>42</v>
      </c>
    </row>
    <row r="2319" spans="1:28" x14ac:dyDescent="0.25">
      <c r="A2319" s="4" t="s">
        <v>3122</v>
      </c>
      <c r="B2319" s="4" t="s">
        <v>2103</v>
      </c>
      <c r="C2319" s="4">
        <v>45</v>
      </c>
      <c r="D2319" s="4" t="s">
        <v>55</v>
      </c>
      <c r="E2319" s="4" t="s">
        <v>79</v>
      </c>
      <c r="F2319" s="4" t="s">
        <v>80</v>
      </c>
      <c r="G2319" s="5">
        <v>45054</v>
      </c>
      <c r="H2319" s="5">
        <v>45082</v>
      </c>
      <c r="I2319" s="4">
        <v>28</v>
      </c>
      <c r="J2319" s="4" t="s">
        <v>33</v>
      </c>
      <c r="K2319" s="4" t="s">
        <v>99</v>
      </c>
      <c r="L2319" s="4" t="s">
        <v>100</v>
      </c>
      <c r="M2319" s="4" t="s">
        <v>101</v>
      </c>
      <c r="N2319" s="4" t="s">
        <v>62</v>
      </c>
      <c r="O2319" s="4" t="s">
        <v>230</v>
      </c>
      <c r="P2319" s="4">
        <v>265</v>
      </c>
      <c r="Q2319" s="4" t="s">
        <v>69</v>
      </c>
      <c r="R2319" s="4" t="s">
        <v>40</v>
      </c>
      <c r="S2319" s="4">
        <v>38797</v>
      </c>
      <c r="T2319" s="4">
        <v>16155</v>
      </c>
      <c r="U2319" s="4">
        <v>22642</v>
      </c>
      <c r="V2319" s="4">
        <v>14825</v>
      </c>
      <c r="W2319" s="4">
        <v>17317</v>
      </c>
      <c r="X2319" s="4">
        <v>6103</v>
      </c>
      <c r="Y2319" s="4" t="s">
        <v>41</v>
      </c>
      <c r="Z2319" s="4">
        <v>94</v>
      </c>
      <c r="AA2319" s="4">
        <v>4.3</v>
      </c>
      <c r="AB2319" s="4" t="s">
        <v>42</v>
      </c>
    </row>
    <row r="2320" spans="1:28" x14ac:dyDescent="0.25">
      <c r="A2320" s="2" t="s">
        <v>3123</v>
      </c>
      <c r="B2320" s="2" t="s">
        <v>529</v>
      </c>
      <c r="C2320" s="2">
        <v>49</v>
      </c>
      <c r="D2320" s="2" t="s">
        <v>30</v>
      </c>
      <c r="E2320" s="2" t="s">
        <v>45</v>
      </c>
      <c r="F2320" s="2" t="s">
        <v>72</v>
      </c>
      <c r="G2320" s="3">
        <v>45010</v>
      </c>
      <c r="H2320" s="3">
        <v>45038</v>
      </c>
      <c r="I2320" s="2">
        <v>28</v>
      </c>
      <c r="J2320" s="2" t="s">
        <v>33</v>
      </c>
      <c r="K2320" s="2" t="s">
        <v>278</v>
      </c>
      <c r="L2320" s="2" t="s">
        <v>279</v>
      </c>
      <c r="M2320" s="2" t="s">
        <v>143</v>
      </c>
      <c r="N2320" s="2" t="s">
        <v>118</v>
      </c>
      <c r="O2320" s="2" t="s">
        <v>399</v>
      </c>
      <c r="P2320" s="2">
        <v>183</v>
      </c>
      <c r="Q2320" s="2" t="s">
        <v>103</v>
      </c>
      <c r="R2320" s="2" t="s">
        <v>136</v>
      </c>
      <c r="S2320" s="2">
        <v>65867</v>
      </c>
      <c r="T2320" s="2">
        <v>0</v>
      </c>
      <c r="U2320" s="2">
        <v>65867</v>
      </c>
      <c r="V2320" s="2">
        <v>52903</v>
      </c>
      <c r="W2320" s="2">
        <v>7950</v>
      </c>
      <c r="X2320" s="2">
        <v>3473</v>
      </c>
      <c r="Y2320" s="2" t="s">
        <v>91</v>
      </c>
      <c r="Z2320" s="2">
        <v>87</v>
      </c>
      <c r="AA2320" s="2">
        <v>4.9000000000000004</v>
      </c>
      <c r="AB2320" s="2" t="s">
        <v>42</v>
      </c>
    </row>
    <row r="2321" spans="1:28" x14ac:dyDescent="0.25">
      <c r="A2321" s="4" t="s">
        <v>3124</v>
      </c>
      <c r="B2321" s="4" t="s">
        <v>491</v>
      </c>
      <c r="C2321" s="4">
        <v>15</v>
      </c>
      <c r="D2321" s="4" t="s">
        <v>55</v>
      </c>
      <c r="E2321" s="4" t="s">
        <v>45</v>
      </c>
      <c r="F2321" s="4" t="s">
        <v>157</v>
      </c>
      <c r="G2321" s="5">
        <v>45477</v>
      </c>
      <c r="H2321" s="5">
        <v>45490</v>
      </c>
      <c r="I2321" s="4">
        <v>13</v>
      </c>
      <c r="J2321" s="4" t="s">
        <v>33</v>
      </c>
      <c r="K2321" s="4" t="s">
        <v>278</v>
      </c>
      <c r="L2321" s="4" t="s">
        <v>279</v>
      </c>
      <c r="M2321" s="4" t="s">
        <v>61</v>
      </c>
      <c r="N2321" s="4" t="s">
        <v>109</v>
      </c>
      <c r="O2321" s="4" t="s">
        <v>1038</v>
      </c>
      <c r="P2321" s="4">
        <v>283</v>
      </c>
      <c r="Q2321" s="4" t="s">
        <v>69</v>
      </c>
      <c r="R2321" s="4" t="s">
        <v>136</v>
      </c>
      <c r="S2321" s="4">
        <v>145585</v>
      </c>
      <c r="T2321" s="4">
        <v>0</v>
      </c>
      <c r="U2321" s="4">
        <v>145585</v>
      </c>
      <c r="V2321" s="4">
        <v>118757</v>
      </c>
      <c r="W2321" s="4">
        <v>20129</v>
      </c>
      <c r="X2321" s="4">
        <v>5859</v>
      </c>
      <c r="Y2321" s="4" t="s">
        <v>41</v>
      </c>
      <c r="Z2321" s="4">
        <v>62</v>
      </c>
      <c r="AA2321" s="4">
        <v>4.2</v>
      </c>
      <c r="AB2321" s="4" t="s">
        <v>137</v>
      </c>
    </row>
    <row r="2322" spans="1:28" x14ac:dyDescent="0.25">
      <c r="A2322" s="2" t="s">
        <v>3125</v>
      </c>
      <c r="B2322" s="2" t="s">
        <v>1013</v>
      </c>
      <c r="C2322" s="2">
        <v>13</v>
      </c>
      <c r="D2322" s="2" t="s">
        <v>55</v>
      </c>
      <c r="E2322" s="2" t="s">
        <v>67</v>
      </c>
      <c r="F2322" s="2" t="s">
        <v>32</v>
      </c>
      <c r="G2322" s="3">
        <v>45404</v>
      </c>
      <c r="H2322" s="3">
        <v>45433</v>
      </c>
      <c r="I2322" s="2">
        <v>29</v>
      </c>
      <c r="J2322" s="2" t="s">
        <v>33</v>
      </c>
      <c r="K2322" s="2" t="s">
        <v>34</v>
      </c>
      <c r="L2322" s="2" t="s">
        <v>35</v>
      </c>
      <c r="M2322" s="2" t="s">
        <v>143</v>
      </c>
      <c r="N2322" s="2" t="s">
        <v>37</v>
      </c>
      <c r="O2322" s="2" t="s">
        <v>246</v>
      </c>
      <c r="P2322" s="2">
        <v>361</v>
      </c>
      <c r="Q2322" s="2" t="s">
        <v>69</v>
      </c>
      <c r="R2322" s="2" t="s">
        <v>90</v>
      </c>
      <c r="S2322" s="2">
        <v>156291</v>
      </c>
      <c r="T2322" s="2">
        <v>125978</v>
      </c>
      <c r="U2322" s="2">
        <v>30313</v>
      </c>
      <c r="V2322" s="2">
        <v>123850</v>
      </c>
      <c r="W2322" s="2">
        <v>28113</v>
      </c>
      <c r="X2322" s="2">
        <v>3625</v>
      </c>
      <c r="Y2322" s="2" t="s">
        <v>41</v>
      </c>
      <c r="Z2322" s="2">
        <v>78</v>
      </c>
      <c r="AA2322" s="2">
        <v>2.7</v>
      </c>
      <c r="AB2322" s="2" t="s">
        <v>42</v>
      </c>
    </row>
    <row r="2323" spans="1:28" x14ac:dyDescent="0.25">
      <c r="A2323" s="4" t="s">
        <v>3126</v>
      </c>
      <c r="B2323" s="4" t="s">
        <v>287</v>
      </c>
      <c r="C2323" s="4">
        <v>40</v>
      </c>
      <c r="D2323" s="4" t="s">
        <v>30</v>
      </c>
      <c r="E2323" s="4" t="s">
        <v>154</v>
      </c>
      <c r="F2323" s="4" t="s">
        <v>94</v>
      </c>
      <c r="G2323" s="5">
        <v>45464</v>
      </c>
      <c r="H2323" s="5">
        <v>45493</v>
      </c>
      <c r="I2323" s="4">
        <v>29</v>
      </c>
      <c r="J2323" s="4" t="s">
        <v>202</v>
      </c>
      <c r="K2323" s="4" t="s">
        <v>225</v>
      </c>
      <c r="L2323" s="4" t="s">
        <v>226</v>
      </c>
      <c r="M2323" s="4" t="s">
        <v>101</v>
      </c>
      <c r="N2323" s="4" t="s">
        <v>37</v>
      </c>
      <c r="O2323" s="4" t="s">
        <v>340</v>
      </c>
      <c r="P2323" s="4">
        <v>296</v>
      </c>
      <c r="Q2323" s="4" t="s">
        <v>39</v>
      </c>
      <c r="R2323" s="4" t="s">
        <v>90</v>
      </c>
      <c r="S2323" s="4">
        <v>79311</v>
      </c>
      <c r="T2323" s="4">
        <v>56167</v>
      </c>
      <c r="U2323" s="4">
        <v>23144</v>
      </c>
      <c r="V2323" s="4">
        <v>54045</v>
      </c>
      <c r="W2323" s="4">
        <v>19104</v>
      </c>
      <c r="X2323" s="4">
        <v>5200</v>
      </c>
      <c r="Y2323" s="4" t="s">
        <v>91</v>
      </c>
      <c r="Z2323" s="4">
        <v>62</v>
      </c>
      <c r="AA2323" s="4">
        <v>2.1</v>
      </c>
      <c r="AB2323" s="4" t="s">
        <v>137</v>
      </c>
    </row>
    <row r="2324" spans="1:28" x14ac:dyDescent="0.25">
      <c r="A2324" s="2" t="s">
        <v>3127</v>
      </c>
      <c r="B2324" s="2" t="s">
        <v>903</v>
      </c>
      <c r="C2324" s="2">
        <v>76</v>
      </c>
      <c r="D2324" s="2" t="s">
        <v>55</v>
      </c>
      <c r="E2324" s="2" t="s">
        <v>56</v>
      </c>
      <c r="F2324" s="2" t="s">
        <v>72</v>
      </c>
      <c r="G2324" s="3">
        <v>44758</v>
      </c>
      <c r="H2324" s="3">
        <v>44763</v>
      </c>
      <c r="I2324" s="2">
        <v>5</v>
      </c>
      <c r="J2324" s="2" t="s">
        <v>33</v>
      </c>
      <c r="K2324" s="2" t="s">
        <v>81</v>
      </c>
      <c r="L2324" s="2" t="s">
        <v>82</v>
      </c>
      <c r="M2324" s="2" t="s">
        <v>134</v>
      </c>
      <c r="N2324" s="2" t="s">
        <v>118</v>
      </c>
      <c r="O2324" s="2" t="s">
        <v>295</v>
      </c>
      <c r="P2324" s="2">
        <v>216</v>
      </c>
      <c r="Q2324" s="2" t="s">
        <v>50</v>
      </c>
      <c r="R2324" s="2" t="s">
        <v>136</v>
      </c>
      <c r="S2324" s="2">
        <v>165033</v>
      </c>
      <c r="T2324" s="2">
        <v>0</v>
      </c>
      <c r="U2324" s="2">
        <v>165033</v>
      </c>
      <c r="V2324" s="2">
        <v>149604</v>
      </c>
      <c r="W2324" s="2">
        <v>3226</v>
      </c>
      <c r="X2324" s="2">
        <v>9477</v>
      </c>
      <c r="Y2324" s="2" t="s">
        <v>41</v>
      </c>
      <c r="Z2324" s="2">
        <v>40</v>
      </c>
      <c r="AA2324" s="2">
        <v>3.8</v>
      </c>
      <c r="AB2324" s="2" t="s">
        <v>64</v>
      </c>
    </row>
    <row r="2325" spans="1:28" x14ac:dyDescent="0.25">
      <c r="A2325" s="4" t="s">
        <v>3128</v>
      </c>
      <c r="B2325" s="4" t="s">
        <v>1993</v>
      </c>
      <c r="C2325" s="4">
        <v>50</v>
      </c>
      <c r="D2325" s="4" t="s">
        <v>30</v>
      </c>
      <c r="E2325" s="4" t="s">
        <v>87</v>
      </c>
      <c r="F2325" s="4" t="s">
        <v>157</v>
      </c>
      <c r="G2325" s="5">
        <v>44944</v>
      </c>
      <c r="H2325" s="5">
        <v>44973</v>
      </c>
      <c r="I2325" s="4">
        <v>29</v>
      </c>
      <c r="J2325" s="4" t="s">
        <v>33</v>
      </c>
      <c r="K2325" s="4" t="s">
        <v>174</v>
      </c>
      <c r="L2325" s="4" t="s">
        <v>48</v>
      </c>
      <c r="M2325" s="4" t="s">
        <v>95</v>
      </c>
      <c r="N2325" s="4" t="s">
        <v>118</v>
      </c>
      <c r="O2325" s="4" t="s">
        <v>96</v>
      </c>
      <c r="P2325" s="4">
        <v>157</v>
      </c>
      <c r="Q2325" s="4" t="s">
        <v>103</v>
      </c>
      <c r="R2325" s="4" t="s">
        <v>90</v>
      </c>
      <c r="S2325" s="4">
        <v>115713</v>
      </c>
      <c r="T2325" s="4">
        <v>77240</v>
      </c>
      <c r="U2325" s="4">
        <v>38473</v>
      </c>
      <c r="V2325" s="4">
        <v>93146</v>
      </c>
      <c r="W2325" s="4">
        <v>14078</v>
      </c>
      <c r="X2325" s="4">
        <v>6735</v>
      </c>
      <c r="Y2325" s="4" t="s">
        <v>41</v>
      </c>
      <c r="Z2325" s="4">
        <v>99</v>
      </c>
      <c r="AA2325" s="4">
        <v>4.2</v>
      </c>
      <c r="AB2325" s="4" t="s">
        <v>52</v>
      </c>
    </row>
    <row r="2326" spans="1:28" x14ac:dyDescent="0.25">
      <c r="A2326" s="2" t="s">
        <v>3129</v>
      </c>
      <c r="B2326" s="2" t="s">
        <v>1698</v>
      </c>
      <c r="C2326" s="2">
        <v>79</v>
      </c>
      <c r="D2326" s="2" t="s">
        <v>30</v>
      </c>
      <c r="E2326" s="2" t="s">
        <v>79</v>
      </c>
      <c r="F2326" s="2" t="s">
        <v>114</v>
      </c>
      <c r="G2326" s="3">
        <v>44783</v>
      </c>
      <c r="H2326" s="3">
        <v>44795</v>
      </c>
      <c r="I2326" s="2">
        <v>12</v>
      </c>
      <c r="J2326" s="2" t="s">
        <v>123</v>
      </c>
      <c r="K2326" s="2" t="s">
        <v>251</v>
      </c>
      <c r="L2326" s="2" t="s">
        <v>125</v>
      </c>
      <c r="M2326" s="2" t="s">
        <v>143</v>
      </c>
      <c r="N2326" s="2" t="s">
        <v>109</v>
      </c>
      <c r="O2326" s="2" t="s">
        <v>497</v>
      </c>
      <c r="P2326" s="2">
        <v>214</v>
      </c>
      <c r="Q2326" s="2" t="s">
        <v>103</v>
      </c>
      <c r="R2326" s="2" t="s">
        <v>136</v>
      </c>
      <c r="S2326" s="2">
        <v>133939</v>
      </c>
      <c r="T2326" s="2">
        <v>0</v>
      </c>
      <c r="U2326" s="2">
        <v>133939</v>
      </c>
      <c r="V2326" s="2">
        <v>103605</v>
      </c>
      <c r="W2326" s="2">
        <v>15180</v>
      </c>
      <c r="X2326" s="2">
        <v>14202</v>
      </c>
      <c r="Y2326" s="2" t="s">
        <v>41</v>
      </c>
      <c r="Z2326" s="2">
        <v>93</v>
      </c>
      <c r="AA2326" s="2">
        <v>3.1</v>
      </c>
      <c r="AB2326" s="2" t="s">
        <v>52</v>
      </c>
    </row>
    <row r="2327" spans="1:28" x14ac:dyDescent="0.25">
      <c r="A2327" s="4" t="s">
        <v>3130</v>
      </c>
      <c r="B2327" s="4" t="s">
        <v>783</v>
      </c>
      <c r="C2327" s="4">
        <v>70</v>
      </c>
      <c r="D2327" s="4" t="s">
        <v>30</v>
      </c>
      <c r="E2327" s="4" t="s">
        <v>45</v>
      </c>
      <c r="F2327" s="4" t="s">
        <v>150</v>
      </c>
      <c r="G2327" s="5">
        <v>45438</v>
      </c>
      <c r="H2327" s="5">
        <v>45449</v>
      </c>
      <c r="I2327" s="4">
        <v>11</v>
      </c>
      <c r="J2327" s="4" t="s">
        <v>33</v>
      </c>
      <c r="K2327" s="4" t="s">
        <v>174</v>
      </c>
      <c r="L2327" s="4" t="s">
        <v>48</v>
      </c>
      <c r="M2327" s="4" t="s">
        <v>101</v>
      </c>
      <c r="N2327" s="4" t="s">
        <v>109</v>
      </c>
      <c r="O2327" s="4" t="s">
        <v>234</v>
      </c>
      <c r="P2327" s="4">
        <v>359</v>
      </c>
      <c r="Q2327" s="4" t="s">
        <v>39</v>
      </c>
      <c r="R2327" s="4" t="s">
        <v>51</v>
      </c>
      <c r="S2327" s="4">
        <v>60989</v>
      </c>
      <c r="T2327" s="4">
        <v>29273</v>
      </c>
      <c r="U2327" s="4">
        <v>31716</v>
      </c>
      <c r="V2327" s="4">
        <v>30223</v>
      </c>
      <c r="W2327" s="4">
        <v>20721</v>
      </c>
      <c r="X2327" s="4">
        <v>5552</v>
      </c>
      <c r="Y2327" s="4" t="s">
        <v>41</v>
      </c>
      <c r="Z2327" s="4">
        <v>96</v>
      </c>
      <c r="AA2327" s="4">
        <v>3.7</v>
      </c>
      <c r="AB2327" s="4" t="s">
        <v>42</v>
      </c>
    </row>
    <row r="2328" spans="1:28" x14ac:dyDescent="0.25">
      <c r="A2328" s="2" t="s">
        <v>3131</v>
      </c>
      <c r="B2328" s="2" t="s">
        <v>2304</v>
      </c>
      <c r="C2328" s="2">
        <v>46</v>
      </c>
      <c r="D2328" s="2" t="s">
        <v>55</v>
      </c>
      <c r="E2328" s="2" t="s">
        <v>56</v>
      </c>
      <c r="F2328" s="2" t="s">
        <v>72</v>
      </c>
      <c r="G2328" s="3">
        <v>45355</v>
      </c>
      <c r="H2328" s="3">
        <v>45381</v>
      </c>
      <c r="I2328" s="2">
        <v>26</v>
      </c>
      <c r="J2328" s="2" t="s">
        <v>123</v>
      </c>
      <c r="K2328" s="2" t="s">
        <v>251</v>
      </c>
      <c r="L2328" s="2" t="s">
        <v>125</v>
      </c>
      <c r="M2328" s="2" t="s">
        <v>36</v>
      </c>
      <c r="N2328" s="2" t="s">
        <v>62</v>
      </c>
      <c r="O2328" s="2" t="s">
        <v>331</v>
      </c>
      <c r="P2328" s="2">
        <v>217</v>
      </c>
      <c r="Q2328" s="2" t="s">
        <v>50</v>
      </c>
      <c r="R2328" s="2" t="s">
        <v>111</v>
      </c>
      <c r="S2328" s="2">
        <v>65848</v>
      </c>
      <c r="T2328" s="2">
        <v>43209</v>
      </c>
      <c r="U2328" s="2">
        <v>22639</v>
      </c>
      <c r="V2328" s="2">
        <v>23676</v>
      </c>
      <c r="W2328" s="2">
        <v>26041</v>
      </c>
      <c r="X2328" s="2">
        <v>13104</v>
      </c>
      <c r="Y2328" s="2" t="s">
        <v>41</v>
      </c>
      <c r="Z2328" s="2">
        <v>54</v>
      </c>
      <c r="AA2328" s="2">
        <v>2.5</v>
      </c>
      <c r="AB2328" s="2" t="s">
        <v>104</v>
      </c>
    </row>
    <row r="2329" spans="1:28" x14ac:dyDescent="0.25">
      <c r="A2329" s="4" t="s">
        <v>3132</v>
      </c>
      <c r="B2329" s="4" t="s">
        <v>2849</v>
      </c>
      <c r="C2329" s="4">
        <v>11</v>
      </c>
      <c r="D2329" s="4" t="s">
        <v>55</v>
      </c>
      <c r="E2329" s="4" t="s">
        <v>67</v>
      </c>
      <c r="F2329" s="4" t="s">
        <v>114</v>
      </c>
      <c r="G2329" s="5">
        <v>44835</v>
      </c>
      <c r="H2329" s="5">
        <v>44843</v>
      </c>
      <c r="I2329" s="4">
        <v>8</v>
      </c>
      <c r="J2329" s="4" t="s">
        <v>33</v>
      </c>
      <c r="K2329" s="4" t="s">
        <v>174</v>
      </c>
      <c r="L2329" s="4" t="s">
        <v>48</v>
      </c>
      <c r="M2329" s="4" t="s">
        <v>61</v>
      </c>
      <c r="N2329" s="4" t="s">
        <v>62</v>
      </c>
      <c r="O2329" s="4" t="s">
        <v>595</v>
      </c>
      <c r="P2329" s="4">
        <v>4</v>
      </c>
      <c r="Q2329" s="4" t="s">
        <v>39</v>
      </c>
      <c r="R2329" s="4" t="s">
        <v>90</v>
      </c>
      <c r="S2329" s="4">
        <v>92821</v>
      </c>
      <c r="T2329" s="4">
        <v>69359</v>
      </c>
      <c r="U2329" s="4">
        <v>23462</v>
      </c>
      <c r="V2329" s="4">
        <v>73989</v>
      </c>
      <c r="W2329" s="4">
        <v>13123</v>
      </c>
      <c r="X2329" s="4">
        <v>3162</v>
      </c>
      <c r="Y2329" s="4" t="s">
        <v>41</v>
      </c>
      <c r="Z2329" s="4">
        <v>90</v>
      </c>
      <c r="AA2329" s="4">
        <v>2</v>
      </c>
      <c r="AB2329" s="4" t="s">
        <v>52</v>
      </c>
    </row>
    <row r="2330" spans="1:28" x14ac:dyDescent="0.25">
      <c r="A2330" s="2" t="s">
        <v>3133</v>
      </c>
      <c r="B2330" s="2" t="s">
        <v>2481</v>
      </c>
      <c r="C2330" s="2">
        <v>30</v>
      </c>
      <c r="D2330" s="2" t="s">
        <v>55</v>
      </c>
      <c r="E2330" s="2" t="s">
        <v>87</v>
      </c>
      <c r="F2330" s="2" t="s">
        <v>46</v>
      </c>
      <c r="G2330" s="3">
        <v>44876</v>
      </c>
      <c r="H2330" s="3">
        <v>44902</v>
      </c>
      <c r="I2330" s="2">
        <v>26</v>
      </c>
      <c r="J2330" s="2" t="s">
        <v>58</v>
      </c>
      <c r="K2330" s="2" t="s">
        <v>88</v>
      </c>
      <c r="L2330" s="2" t="s">
        <v>60</v>
      </c>
      <c r="M2330" s="2" t="s">
        <v>95</v>
      </c>
      <c r="N2330" s="2" t="s">
        <v>37</v>
      </c>
      <c r="O2330" s="2" t="s">
        <v>144</v>
      </c>
      <c r="P2330" s="2">
        <v>212</v>
      </c>
      <c r="Q2330" s="2" t="s">
        <v>69</v>
      </c>
      <c r="R2330" s="2" t="s">
        <v>136</v>
      </c>
      <c r="S2330" s="2">
        <v>22469</v>
      </c>
      <c r="T2330" s="2">
        <v>0</v>
      </c>
      <c r="U2330" s="2">
        <v>22469</v>
      </c>
      <c r="V2330" s="2">
        <v>15678</v>
      </c>
      <c r="W2330" s="2">
        <v>2028</v>
      </c>
      <c r="X2330" s="2">
        <v>1312</v>
      </c>
      <c r="Y2330" s="2" t="s">
        <v>41</v>
      </c>
      <c r="Z2330" s="2">
        <v>76</v>
      </c>
      <c r="AA2330" s="2">
        <v>4</v>
      </c>
      <c r="AB2330" s="2" t="s">
        <v>64</v>
      </c>
    </row>
    <row r="2331" spans="1:28" x14ac:dyDescent="0.25">
      <c r="A2331" s="4" t="s">
        <v>3134</v>
      </c>
      <c r="B2331" s="4" t="s">
        <v>940</v>
      </c>
      <c r="C2331" s="4">
        <v>46</v>
      </c>
      <c r="D2331" s="4" t="s">
        <v>30</v>
      </c>
      <c r="E2331" s="4" t="s">
        <v>45</v>
      </c>
      <c r="F2331" s="4" t="s">
        <v>57</v>
      </c>
      <c r="G2331" s="5">
        <v>44751</v>
      </c>
      <c r="H2331" s="5">
        <v>44779</v>
      </c>
      <c r="I2331" s="4">
        <v>28</v>
      </c>
      <c r="J2331" s="4" t="s">
        <v>33</v>
      </c>
      <c r="K2331" s="4" t="s">
        <v>47</v>
      </c>
      <c r="L2331" s="4" t="s">
        <v>48</v>
      </c>
      <c r="M2331" s="4" t="s">
        <v>61</v>
      </c>
      <c r="N2331" s="4" t="s">
        <v>118</v>
      </c>
      <c r="O2331" s="4" t="s">
        <v>681</v>
      </c>
      <c r="P2331" s="4">
        <v>55</v>
      </c>
      <c r="Q2331" s="4" t="s">
        <v>69</v>
      </c>
      <c r="R2331" s="4" t="s">
        <v>111</v>
      </c>
      <c r="S2331" s="4">
        <v>160300</v>
      </c>
      <c r="T2331" s="4">
        <v>125958</v>
      </c>
      <c r="U2331" s="4">
        <v>34342</v>
      </c>
      <c r="V2331" s="4">
        <v>124038</v>
      </c>
      <c r="W2331" s="4">
        <v>21348</v>
      </c>
      <c r="X2331" s="4">
        <v>12172</v>
      </c>
      <c r="Y2331" s="4" t="s">
        <v>41</v>
      </c>
      <c r="Z2331" s="4">
        <v>46</v>
      </c>
      <c r="AA2331" s="4">
        <v>4.4000000000000004</v>
      </c>
      <c r="AB2331" s="4" t="s">
        <v>42</v>
      </c>
    </row>
    <row r="2332" spans="1:28" x14ac:dyDescent="0.25">
      <c r="A2332" s="2" t="s">
        <v>3135</v>
      </c>
      <c r="B2332" s="2" t="s">
        <v>1048</v>
      </c>
      <c r="C2332" s="2">
        <v>49</v>
      </c>
      <c r="D2332" s="2" t="s">
        <v>55</v>
      </c>
      <c r="E2332" s="2" t="s">
        <v>79</v>
      </c>
      <c r="F2332" s="2" t="s">
        <v>46</v>
      </c>
      <c r="G2332" s="3">
        <v>45437</v>
      </c>
      <c r="H2332" s="3">
        <v>45451</v>
      </c>
      <c r="I2332" s="2">
        <v>14</v>
      </c>
      <c r="J2332" s="2" t="s">
        <v>202</v>
      </c>
      <c r="K2332" s="2" t="s">
        <v>203</v>
      </c>
      <c r="L2332" s="2" t="s">
        <v>204</v>
      </c>
      <c r="M2332" s="2" t="s">
        <v>101</v>
      </c>
      <c r="N2332" s="2" t="s">
        <v>118</v>
      </c>
      <c r="O2332" s="2" t="s">
        <v>438</v>
      </c>
      <c r="P2332" s="2">
        <v>233</v>
      </c>
      <c r="Q2332" s="2" t="s">
        <v>69</v>
      </c>
      <c r="R2332" s="2" t="s">
        <v>90</v>
      </c>
      <c r="S2332" s="2">
        <v>53429</v>
      </c>
      <c r="T2332" s="2">
        <v>46783</v>
      </c>
      <c r="U2332" s="2">
        <v>6646</v>
      </c>
      <c r="V2332" s="2">
        <v>5977</v>
      </c>
      <c r="W2332" s="2">
        <v>29432</v>
      </c>
      <c r="X2332" s="2">
        <v>14189</v>
      </c>
      <c r="Y2332" s="2" t="s">
        <v>41</v>
      </c>
      <c r="Z2332" s="2">
        <v>49</v>
      </c>
      <c r="AA2332" s="2">
        <v>4.7</v>
      </c>
      <c r="AB2332" s="2" t="s">
        <v>137</v>
      </c>
    </row>
    <row r="2333" spans="1:28" x14ac:dyDescent="0.25">
      <c r="A2333" s="4" t="s">
        <v>3136</v>
      </c>
      <c r="B2333" s="4" t="s">
        <v>191</v>
      </c>
      <c r="C2333" s="4">
        <v>75</v>
      </c>
      <c r="D2333" s="4" t="s">
        <v>30</v>
      </c>
      <c r="E2333" s="4" t="s">
        <v>79</v>
      </c>
      <c r="F2333" s="4" t="s">
        <v>80</v>
      </c>
      <c r="G2333" s="5">
        <v>45243</v>
      </c>
      <c r="H2333" s="5">
        <v>45251</v>
      </c>
      <c r="I2333" s="4">
        <v>8</v>
      </c>
      <c r="J2333" s="4" t="s">
        <v>115</v>
      </c>
      <c r="K2333" s="4" t="s">
        <v>116</v>
      </c>
      <c r="L2333" s="4" t="s">
        <v>117</v>
      </c>
      <c r="M2333" s="4" t="s">
        <v>83</v>
      </c>
      <c r="N2333" s="4" t="s">
        <v>37</v>
      </c>
      <c r="O2333" s="4" t="s">
        <v>171</v>
      </c>
      <c r="P2333" s="4">
        <v>185</v>
      </c>
      <c r="Q2333" s="4" t="s">
        <v>50</v>
      </c>
      <c r="R2333" s="4" t="s">
        <v>51</v>
      </c>
      <c r="S2333" s="4">
        <v>37196</v>
      </c>
      <c r="T2333" s="4">
        <v>17953</v>
      </c>
      <c r="U2333" s="4">
        <v>19243</v>
      </c>
      <c r="V2333" s="4">
        <v>16940</v>
      </c>
      <c r="W2333" s="4">
        <v>6527</v>
      </c>
      <c r="X2333" s="4">
        <v>11357</v>
      </c>
      <c r="Y2333" s="4" t="s">
        <v>41</v>
      </c>
      <c r="Z2333" s="4">
        <v>91</v>
      </c>
      <c r="AA2333" s="4">
        <v>2.4</v>
      </c>
      <c r="AB2333" s="4" t="s">
        <v>42</v>
      </c>
    </row>
    <row r="2334" spans="1:28" x14ac:dyDescent="0.25">
      <c r="A2334" s="2" t="s">
        <v>3137</v>
      </c>
      <c r="B2334" s="2" t="s">
        <v>567</v>
      </c>
      <c r="C2334" s="2">
        <v>28</v>
      </c>
      <c r="D2334" s="2" t="s">
        <v>55</v>
      </c>
      <c r="E2334" s="2" t="s">
        <v>67</v>
      </c>
      <c r="F2334" s="2" t="s">
        <v>114</v>
      </c>
      <c r="G2334" s="3">
        <v>45113</v>
      </c>
      <c r="H2334" s="3">
        <v>45130</v>
      </c>
      <c r="I2334" s="2">
        <v>17</v>
      </c>
      <c r="J2334" s="2" t="s">
        <v>58</v>
      </c>
      <c r="K2334" s="2" t="s">
        <v>59</v>
      </c>
      <c r="L2334" s="2" t="s">
        <v>60</v>
      </c>
      <c r="M2334" s="2" t="s">
        <v>36</v>
      </c>
      <c r="N2334" s="2" t="s">
        <v>37</v>
      </c>
      <c r="O2334" s="2" t="s">
        <v>161</v>
      </c>
      <c r="P2334" s="2">
        <v>198</v>
      </c>
      <c r="Q2334" s="2" t="s">
        <v>39</v>
      </c>
      <c r="R2334" s="2" t="s">
        <v>51</v>
      </c>
      <c r="S2334" s="2">
        <v>158515</v>
      </c>
      <c r="T2334" s="2">
        <v>97280</v>
      </c>
      <c r="U2334" s="2">
        <v>61235</v>
      </c>
      <c r="V2334" s="2">
        <v>140456</v>
      </c>
      <c r="W2334" s="2">
        <v>8657</v>
      </c>
      <c r="X2334" s="2">
        <v>7117</v>
      </c>
      <c r="Y2334" s="2" t="s">
        <v>41</v>
      </c>
      <c r="Z2334" s="2">
        <v>43</v>
      </c>
      <c r="AA2334" s="2">
        <v>4</v>
      </c>
      <c r="AB2334" s="2" t="s">
        <v>64</v>
      </c>
    </row>
    <row r="2335" spans="1:28" x14ac:dyDescent="0.25">
      <c r="A2335" s="4" t="s">
        <v>3138</v>
      </c>
      <c r="B2335" s="4" t="s">
        <v>792</v>
      </c>
      <c r="C2335" s="4">
        <v>51</v>
      </c>
      <c r="D2335" s="4" t="s">
        <v>55</v>
      </c>
      <c r="E2335" s="4" t="s">
        <v>31</v>
      </c>
      <c r="F2335" s="4" t="s">
        <v>157</v>
      </c>
      <c r="G2335" s="5">
        <v>44965</v>
      </c>
      <c r="H2335" s="5">
        <v>44977</v>
      </c>
      <c r="I2335" s="4">
        <v>12</v>
      </c>
      <c r="J2335" s="4" t="s">
        <v>33</v>
      </c>
      <c r="K2335" s="4" t="s">
        <v>81</v>
      </c>
      <c r="L2335" s="4" t="s">
        <v>82</v>
      </c>
      <c r="M2335" s="4" t="s">
        <v>36</v>
      </c>
      <c r="N2335" s="4" t="s">
        <v>37</v>
      </c>
      <c r="O2335" s="4" t="s">
        <v>208</v>
      </c>
      <c r="P2335" s="4">
        <v>249</v>
      </c>
      <c r="Q2335" s="4" t="s">
        <v>50</v>
      </c>
      <c r="R2335" s="4" t="s">
        <v>111</v>
      </c>
      <c r="S2335" s="4">
        <v>74690</v>
      </c>
      <c r="T2335" s="4">
        <v>66729</v>
      </c>
      <c r="U2335" s="4">
        <v>7961</v>
      </c>
      <c r="V2335" s="4">
        <v>54193</v>
      </c>
      <c r="W2335" s="4">
        <v>10735</v>
      </c>
      <c r="X2335" s="4">
        <v>5525</v>
      </c>
      <c r="Y2335" s="4" t="s">
        <v>41</v>
      </c>
      <c r="Z2335" s="4">
        <v>52</v>
      </c>
      <c r="AA2335" s="4">
        <v>3.3</v>
      </c>
      <c r="AB2335" s="4" t="s">
        <v>64</v>
      </c>
    </row>
    <row r="2336" spans="1:28" x14ac:dyDescent="0.25">
      <c r="A2336" s="2" t="s">
        <v>3139</v>
      </c>
      <c r="B2336" s="2" t="s">
        <v>1709</v>
      </c>
      <c r="C2336" s="2">
        <v>19</v>
      </c>
      <c r="D2336" s="2" t="s">
        <v>30</v>
      </c>
      <c r="E2336" s="2" t="s">
        <v>67</v>
      </c>
      <c r="F2336" s="2" t="s">
        <v>157</v>
      </c>
      <c r="G2336" s="3">
        <v>45396</v>
      </c>
      <c r="H2336" s="3">
        <v>45414</v>
      </c>
      <c r="I2336" s="2">
        <v>18</v>
      </c>
      <c r="J2336" s="2" t="s">
        <v>123</v>
      </c>
      <c r="K2336" s="2" t="s">
        <v>124</v>
      </c>
      <c r="L2336" s="2" t="s">
        <v>125</v>
      </c>
      <c r="M2336" s="2" t="s">
        <v>95</v>
      </c>
      <c r="N2336" s="2" t="s">
        <v>118</v>
      </c>
      <c r="O2336" s="2" t="s">
        <v>492</v>
      </c>
      <c r="P2336" s="2">
        <v>339</v>
      </c>
      <c r="Q2336" s="2" t="s">
        <v>39</v>
      </c>
      <c r="R2336" s="2" t="s">
        <v>90</v>
      </c>
      <c r="S2336" s="2">
        <v>98403</v>
      </c>
      <c r="T2336" s="2">
        <v>79595</v>
      </c>
      <c r="U2336" s="2">
        <v>18808</v>
      </c>
      <c r="V2336" s="2">
        <v>61483</v>
      </c>
      <c r="W2336" s="2">
        <v>21794</v>
      </c>
      <c r="X2336" s="2">
        <v>12053</v>
      </c>
      <c r="Y2336" s="2" t="s">
        <v>41</v>
      </c>
      <c r="Z2336" s="2">
        <v>59</v>
      </c>
      <c r="AA2336" s="2">
        <v>2</v>
      </c>
      <c r="AB2336" s="2" t="s">
        <v>137</v>
      </c>
    </row>
    <row r="2337" spans="1:28" x14ac:dyDescent="0.25">
      <c r="A2337" s="4" t="s">
        <v>3140</v>
      </c>
      <c r="B2337" s="4" t="s">
        <v>304</v>
      </c>
      <c r="C2337" s="4">
        <v>40</v>
      </c>
      <c r="D2337" s="4" t="s">
        <v>55</v>
      </c>
      <c r="E2337" s="4" t="s">
        <v>87</v>
      </c>
      <c r="F2337" s="4" t="s">
        <v>32</v>
      </c>
      <c r="G2337" s="5">
        <v>45538</v>
      </c>
      <c r="H2337" s="5">
        <v>45543</v>
      </c>
      <c r="I2337" s="4">
        <v>5</v>
      </c>
      <c r="J2337" s="4" t="s">
        <v>33</v>
      </c>
      <c r="K2337" s="4" t="s">
        <v>278</v>
      </c>
      <c r="L2337" s="4" t="s">
        <v>279</v>
      </c>
      <c r="M2337" s="4" t="s">
        <v>36</v>
      </c>
      <c r="N2337" s="4" t="s">
        <v>37</v>
      </c>
      <c r="O2337" s="4" t="s">
        <v>68</v>
      </c>
      <c r="P2337" s="4">
        <v>175</v>
      </c>
      <c r="Q2337" s="4" t="s">
        <v>103</v>
      </c>
      <c r="R2337" s="4" t="s">
        <v>111</v>
      </c>
      <c r="S2337" s="4">
        <v>40372</v>
      </c>
      <c r="T2337" s="4">
        <v>35102</v>
      </c>
      <c r="U2337" s="4">
        <v>5270</v>
      </c>
      <c r="V2337" s="4">
        <v>19567</v>
      </c>
      <c r="W2337" s="4">
        <v>13611</v>
      </c>
      <c r="X2337" s="4">
        <v>2543</v>
      </c>
      <c r="Y2337" s="4" t="s">
        <v>41</v>
      </c>
      <c r="Z2337" s="4">
        <v>56</v>
      </c>
      <c r="AA2337" s="4">
        <v>2.4</v>
      </c>
      <c r="AB2337" s="4" t="s">
        <v>104</v>
      </c>
    </row>
    <row r="2338" spans="1:28" x14ac:dyDescent="0.25">
      <c r="A2338" s="2" t="s">
        <v>3141</v>
      </c>
      <c r="B2338" s="2" t="s">
        <v>612</v>
      </c>
      <c r="C2338" s="2">
        <v>9</v>
      </c>
      <c r="D2338" s="2" t="s">
        <v>30</v>
      </c>
      <c r="E2338" s="2" t="s">
        <v>79</v>
      </c>
      <c r="F2338" s="2" t="s">
        <v>80</v>
      </c>
      <c r="G2338" s="3">
        <v>45203</v>
      </c>
      <c r="H2338" s="3">
        <v>45206</v>
      </c>
      <c r="I2338" s="2">
        <v>3</v>
      </c>
      <c r="J2338" s="2" t="s">
        <v>33</v>
      </c>
      <c r="K2338" s="2" t="s">
        <v>278</v>
      </c>
      <c r="L2338" s="2" t="s">
        <v>279</v>
      </c>
      <c r="M2338" s="2" t="s">
        <v>134</v>
      </c>
      <c r="N2338" s="2" t="s">
        <v>62</v>
      </c>
      <c r="O2338" s="2" t="s">
        <v>355</v>
      </c>
      <c r="P2338" s="2">
        <v>264</v>
      </c>
      <c r="Q2338" s="2" t="s">
        <v>103</v>
      </c>
      <c r="R2338" s="2" t="s">
        <v>40</v>
      </c>
      <c r="S2338" s="2">
        <v>110691</v>
      </c>
      <c r="T2338" s="2">
        <v>46490</v>
      </c>
      <c r="U2338" s="2">
        <v>64201</v>
      </c>
      <c r="V2338" s="2">
        <v>86599</v>
      </c>
      <c r="W2338" s="2">
        <v>18929</v>
      </c>
      <c r="X2338" s="2">
        <v>4614</v>
      </c>
      <c r="Y2338" s="2" t="s">
        <v>41</v>
      </c>
      <c r="Z2338" s="2">
        <v>89</v>
      </c>
      <c r="AA2338" s="2">
        <v>2.2999999999999998</v>
      </c>
      <c r="AB2338" s="2" t="s">
        <v>137</v>
      </c>
    </row>
    <row r="2339" spans="1:28" x14ac:dyDescent="0.25">
      <c r="A2339" s="4" t="s">
        <v>3142</v>
      </c>
      <c r="B2339" s="4" t="s">
        <v>106</v>
      </c>
      <c r="C2339" s="4">
        <v>37</v>
      </c>
      <c r="D2339" s="4" t="s">
        <v>55</v>
      </c>
      <c r="E2339" s="4" t="s">
        <v>79</v>
      </c>
      <c r="F2339" s="4" t="s">
        <v>46</v>
      </c>
      <c r="G2339" s="5">
        <v>45228</v>
      </c>
      <c r="H2339" s="5">
        <v>45235</v>
      </c>
      <c r="I2339" s="4">
        <v>7</v>
      </c>
      <c r="J2339" s="4" t="s">
        <v>73</v>
      </c>
      <c r="K2339" s="4" t="s">
        <v>74</v>
      </c>
      <c r="L2339" s="4" t="s">
        <v>73</v>
      </c>
      <c r="M2339" s="4" t="s">
        <v>95</v>
      </c>
      <c r="N2339" s="4" t="s">
        <v>109</v>
      </c>
      <c r="O2339" s="4" t="s">
        <v>396</v>
      </c>
      <c r="P2339" s="4">
        <v>420</v>
      </c>
      <c r="Q2339" s="4" t="s">
        <v>50</v>
      </c>
      <c r="R2339" s="4" t="s">
        <v>111</v>
      </c>
      <c r="S2339" s="4">
        <v>49141</v>
      </c>
      <c r="T2339" s="4">
        <v>35081</v>
      </c>
      <c r="U2339" s="4">
        <v>14060</v>
      </c>
      <c r="V2339" s="4">
        <v>30068</v>
      </c>
      <c r="W2339" s="4">
        <v>10046</v>
      </c>
      <c r="X2339" s="4">
        <v>7633</v>
      </c>
      <c r="Y2339" s="4" t="s">
        <v>41</v>
      </c>
      <c r="Z2339" s="4">
        <v>44</v>
      </c>
      <c r="AA2339" s="4">
        <v>3.1</v>
      </c>
      <c r="AB2339" s="4" t="s">
        <v>137</v>
      </c>
    </row>
    <row r="2340" spans="1:28" x14ac:dyDescent="0.25">
      <c r="A2340" s="2" t="s">
        <v>3143</v>
      </c>
      <c r="B2340" s="2" t="s">
        <v>954</v>
      </c>
      <c r="C2340" s="2">
        <v>65</v>
      </c>
      <c r="D2340" s="2" t="s">
        <v>30</v>
      </c>
      <c r="E2340" s="2" t="s">
        <v>79</v>
      </c>
      <c r="F2340" s="2" t="s">
        <v>57</v>
      </c>
      <c r="G2340" s="3">
        <v>44743</v>
      </c>
      <c r="H2340" s="3">
        <v>44750</v>
      </c>
      <c r="I2340" s="2">
        <v>7</v>
      </c>
      <c r="J2340" s="2" t="s">
        <v>140</v>
      </c>
      <c r="K2340" s="2" t="s">
        <v>167</v>
      </c>
      <c r="L2340" s="2" t="s">
        <v>142</v>
      </c>
      <c r="M2340" s="2" t="s">
        <v>83</v>
      </c>
      <c r="N2340" s="2" t="s">
        <v>62</v>
      </c>
      <c r="O2340" s="2" t="s">
        <v>321</v>
      </c>
      <c r="P2340" s="2">
        <v>3</v>
      </c>
      <c r="Q2340" s="2" t="s">
        <v>103</v>
      </c>
      <c r="R2340" s="2" t="s">
        <v>90</v>
      </c>
      <c r="S2340" s="2">
        <v>132281</v>
      </c>
      <c r="T2340" s="2">
        <v>105441</v>
      </c>
      <c r="U2340" s="2">
        <v>26840</v>
      </c>
      <c r="V2340" s="2">
        <v>103130</v>
      </c>
      <c r="W2340" s="2">
        <v>16791</v>
      </c>
      <c r="X2340" s="2">
        <v>11024</v>
      </c>
      <c r="Y2340" s="2" t="s">
        <v>41</v>
      </c>
      <c r="Z2340" s="2">
        <v>62</v>
      </c>
      <c r="AA2340" s="2">
        <v>2.2999999999999998</v>
      </c>
      <c r="AB2340" s="2" t="s">
        <v>42</v>
      </c>
    </row>
    <row r="2341" spans="1:28" x14ac:dyDescent="0.25">
      <c r="A2341" s="4" t="s">
        <v>3144</v>
      </c>
      <c r="B2341" s="4" t="s">
        <v>810</v>
      </c>
      <c r="C2341" s="4">
        <v>40</v>
      </c>
      <c r="D2341" s="4" t="s">
        <v>30</v>
      </c>
      <c r="E2341" s="4" t="s">
        <v>45</v>
      </c>
      <c r="F2341" s="4" t="s">
        <v>94</v>
      </c>
      <c r="G2341" s="5">
        <v>44949</v>
      </c>
      <c r="H2341" s="5">
        <v>44967</v>
      </c>
      <c r="I2341" s="4">
        <v>18</v>
      </c>
      <c r="J2341" s="4" t="s">
        <v>33</v>
      </c>
      <c r="K2341" s="4" t="s">
        <v>174</v>
      </c>
      <c r="L2341" s="4" t="s">
        <v>48</v>
      </c>
      <c r="M2341" s="4" t="s">
        <v>108</v>
      </c>
      <c r="N2341" s="4" t="s">
        <v>62</v>
      </c>
      <c r="O2341" s="4" t="s">
        <v>591</v>
      </c>
      <c r="P2341" s="4">
        <v>305</v>
      </c>
      <c r="Q2341" s="4" t="s">
        <v>103</v>
      </c>
      <c r="R2341" s="4" t="s">
        <v>111</v>
      </c>
      <c r="S2341" s="4">
        <v>73577</v>
      </c>
      <c r="T2341" s="4">
        <v>45241</v>
      </c>
      <c r="U2341" s="4">
        <v>28336</v>
      </c>
      <c r="V2341" s="4">
        <v>25417</v>
      </c>
      <c r="W2341" s="4">
        <v>28685</v>
      </c>
      <c r="X2341" s="4">
        <v>14736</v>
      </c>
      <c r="Y2341" s="4" t="s">
        <v>41</v>
      </c>
      <c r="Z2341" s="4">
        <v>97</v>
      </c>
      <c r="AA2341" s="4">
        <v>3.6</v>
      </c>
      <c r="AB2341" s="4" t="s">
        <v>104</v>
      </c>
    </row>
    <row r="2342" spans="1:28" x14ac:dyDescent="0.25">
      <c r="A2342" s="2" t="s">
        <v>3145</v>
      </c>
      <c r="B2342" s="2" t="s">
        <v>1383</v>
      </c>
      <c r="C2342" s="2">
        <v>44</v>
      </c>
      <c r="D2342" s="2" t="s">
        <v>55</v>
      </c>
      <c r="E2342" s="2" t="s">
        <v>87</v>
      </c>
      <c r="F2342" s="2" t="s">
        <v>129</v>
      </c>
      <c r="G2342" s="3">
        <v>44962</v>
      </c>
      <c r="H2342" s="3">
        <v>44983</v>
      </c>
      <c r="I2342" s="2">
        <v>21</v>
      </c>
      <c r="J2342" s="2" t="s">
        <v>123</v>
      </c>
      <c r="K2342" s="2" t="s">
        <v>251</v>
      </c>
      <c r="L2342" s="2" t="s">
        <v>125</v>
      </c>
      <c r="M2342" s="2" t="s">
        <v>101</v>
      </c>
      <c r="N2342" s="2" t="s">
        <v>62</v>
      </c>
      <c r="O2342" s="2" t="s">
        <v>373</v>
      </c>
      <c r="P2342" s="2">
        <v>404</v>
      </c>
      <c r="Q2342" s="2" t="s">
        <v>50</v>
      </c>
      <c r="R2342" s="2" t="s">
        <v>111</v>
      </c>
      <c r="S2342" s="2">
        <v>93031</v>
      </c>
      <c r="T2342" s="2">
        <v>62408</v>
      </c>
      <c r="U2342" s="2">
        <v>30623</v>
      </c>
      <c r="V2342" s="2">
        <v>77213</v>
      </c>
      <c r="W2342" s="2">
        <v>9216</v>
      </c>
      <c r="X2342" s="2">
        <v>6076</v>
      </c>
      <c r="Y2342" s="2" t="s">
        <v>41</v>
      </c>
      <c r="Z2342" s="2">
        <v>64</v>
      </c>
      <c r="AA2342" s="2">
        <v>4</v>
      </c>
      <c r="AB2342" s="2" t="s">
        <v>52</v>
      </c>
    </row>
    <row r="2343" spans="1:28" x14ac:dyDescent="0.25">
      <c r="A2343" s="4" t="s">
        <v>3146</v>
      </c>
      <c r="B2343" s="4" t="s">
        <v>810</v>
      </c>
      <c r="C2343" s="4">
        <v>83</v>
      </c>
      <c r="D2343" s="4" t="s">
        <v>55</v>
      </c>
      <c r="E2343" s="4" t="s">
        <v>56</v>
      </c>
      <c r="F2343" s="4" t="s">
        <v>94</v>
      </c>
      <c r="G2343" s="5">
        <v>45543</v>
      </c>
      <c r="H2343" s="5">
        <v>45551</v>
      </c>
      <c r="I2343" s="4">
        <v>8</v>
      </c>
      <c r="J2343" s="4" t="s">
        <v>115</v>
      </c>
      <c r="K2343" s="4" t="s">
        <v>160</v>
      </c>
      <c r="L2343" s="4" t="s">
        <v>117</v>
      </c>
      <c r="M2343" s="4" t="s">
        <v>130</v>
      </c>
      <c r="N2343" s="4" t="s">
        <v>109</v>
      </c>
      <c r="O2343" s="4" t="s">
        <v>352</v>
      </c>
      <c r="P2343" s="4">
        <v>123</v>
      </c>
      <c r="Q2343" s="4" t="s">
        <v>39</v>
      </c>
      <c r="R2343" s="4" t="s">
        <v>111</v>
      </c>
      <c r="S2343" s="4">
        <v>67964</v>
      </c>
      <c r="T2343" s="4">
        <v>45304</v>
      </c>
      <c r="U2343" s="4">
        <v>22660</v>
      </c>
      <c r="V2343" s="4">
        <v>53062</v>
      </c>
      <c r="W2343" s="4">
        <v>6450</v>
      </c>
      <c r="X2343" s="4">
        <v>3887</v>
      </c>
      <c r="Y2343" s="4" t="s">
        <v>41</v>
      </c>
      <c r="Z2343" s="4">
        <v>94</v>
      </c>
      <c r="AA2343" s="4">
        <v>3</v>
      </c>
      <c r="AB2343" s="4" t="s">
        <v>52</v>
      </c>
    </row>
    <row r="2344" spans="1:28" x14ac:dyDescent="0.25">
      <c r="A2344" s="2" t="s">
        <v>3147</v>
      </c>
      <c r="B2344" s="2" t="s">
        <v>193</v>
      </c>
      <c r="C2344" s="2">
        <v>23</v>
      </c>
      <c r="D2344" s="2" t="s">
        <v>30</v>
      </c>
      <c r="E2344" s="2" t="s">
        <v>122</v>
      </c>
      <c r="F2344" s="2" t="s">
        <v>80</v>
      </c>
      <c r="G2344" s="3">
        <v>44660</v>
      </c>
      <c r="H2344" s="3">
        <v>44669</v>
      </c>
      <c r="I2344" s="2">
        <v>9</v>
      </c>
      <c r="J2344" s="2" t="s">
        <v>33</v>
      </c>
      <c r="K2344" s="2" t="s">
        <v>107</v>
      </c>
      <c r="L2344" s="2" t="s">
        <v>48</v>
      </c>
      <c r="M2344" s="2" t="s">
        <v>95</v>
      </c>
      <c r="N2344" s="2" t="s">
        <v>109</v>
      </c>
      <c r="O2344" s="2" t="s">
        <v>355</v>
      </c>
      <c r="P2344" s="2">
        <v>85</v>
      </c>
      <c r="Q2344" s="2" t="s">
        <v>103</v>
      </c>
      <c r="R2344" s="2" t="s">
        <v>136</v>
      </c>
      <c r="S2344" s="2">
        <v>98330</v>
      </c>
      <c r="T2344" s="2">
        <v>0</v>
      </c>
      <c r="U2344" s="2">
        <v>98330</v>
      </c>
      <c r="V2344" s="2">
        <v>73203</v>
      </c>
      <c r="W2344" s="2">
        <v>20323</v>
      </c>
      <c r="X2344" s="2">
        <v>3875</v>
      </c>
      <c r="Y2344" s="2" t="s">
        <v>41</v>
      </c>
      <c r="Z2344" s="2">
        <v>92</v>
      </c>
      <c r="AA2344" s="2">
        <v>4.3</v>
      </c>
      <c r="AB2344" s="2" t="s">
        <v>64</v>
      </c>
    </row>
    <row r="2345" spans="1:28" x14ac:dyDescent="0.25">
      <c r="A2345" s="4" t="s">
        <v>3148</v>
      </c>
      <c r="B2345" s="4" t="s">
        <v>1222</v>
      </c>
      <c r="C2345" s="4">
        <v>29</v>
      </c>
      <c r="D2345" s="4" t="s">
        <v>30</v>
      </c>
      <c r="E2345" s="4" t="s">
        <v>45</v>
      </c>
      <c r="F2345" s="4" t="s">
        <v>157</v>
      </c>
      <c r="G2345" s="5">
        <v>44960</v>
      </c>
      <c r="H2345" s="5">
        <v>44982</v>
      </c>
      <c r="I2345" s="4">
        <v>22</v>
      </c>
      <c r="J2345" s="4" t="s">
        <v>58</v>
      </c>
      <c r="K2345" s="4" t="s">
        <v>88</v>
      </c>
      <c r="L2345" s="4" t="s">
        <v>60</v>
      </c>
      <c r="M2345" s="4" t="s">
        <v>101</v>
      </c>
      <c r="N2345" s="4" t="s">
        <v>37</v>
      </c>
      <c r="O2345" s="4" t="s">
        <v>455</v>
      </c>
      <c r="P2345" s="4">
        <v>216</v>
      </c>
      <c r="Q2345" s="4" t="s">
        <v>69</v>
      </c>
      <c r="R2345" s="4" t="s">
        <v>111</v>
      </c>
      <c r="S2345" s="4">
        <v>50836</v>
      </c>
      <c r="T2345" s="4">
        <v>32886</v>
      </c>
      <c r="U2345" s="4">
        <v>17950</v>
      </c>
      <c r="V2345" s="4">
        <v>21235</v>
      </c>
      <c r="W2345" s="4">
        <v>24429</v>
      </c>
      <c r="X2345" s="4">
        <v>917</v>
      </c>
      <c r="Y2345" s="4" t="s">
        <v>41</v>
      </c>
      <c r="Z2345" s="4">
        <v>40</v>
      </c>
      <c r="AA2345" s="4">
        <v>4.0999999999999996</v>
      </c>
      <c r="AB2345" s="4" t="s">
        <v>104</v>
      </c>
    </row>
    <row r="2346" spans="1:28" x14ac:dyDescent="0.25">
      <c r="A2346" s="2" t="s">
        <v>3149</v>
      </c>
      <c r="B2346" s="2" t="s">
        <v>828</v>
      </c>
      <c r="C2346" s="2">
        <v>19</v>
      </c>
      <c r="D2346" s="2" t="s">
        <v>30</v>
      </c>
      <c r="E2346" s="2" t="s">
        <v>79</v>
      </c>
      <c r="F2346" s="2" t="s">
        <v>157</v>
      </c>
      <c r="G2346" s="3">
        <v>44703</v>
      </c>
      <c r="H2346" s="3">
        <v>44723</v>
      </c>
      <c r="I2346" s="2">
        <v>20</v>
      </c>
      <c r="J2346" s="2" t="s">
        <v>33</v>
      </c>
      <c r="K2346" s="2" t="s">
        <v>233</v>
      </c>
      <c r="L2346" s="2" t="s">
        <v>35</v>
      </c>
      <c r="M2346" s="2" t="s">
        <v>61</v>
      </c>
      <c r="N2346" s="2" t="s">
        <v>37</v>
      </c>
      <c r="O2346" s="2" t="s">
        <v>68</v>
      </c>
      <c r="P2346" s="2">
        <v>159</v>
      </c>
      <c r="Q2346" s="2" t="s">
        <v>69</v>
      </c>
      <c r="R2346" s="2" t="s">
        <v>40</v>
      </c>
      <c r="S2346" s="2">
        <v>125969</v>
      </c>
      <c r="T2346" s="2">
        <v>66563</v>
      </c>
      <c r="U2346" s="2">
        <v>59406</v>
      </c>
      <c r="V2346" s="2">
        <v>99556</v>
      </c>
      <c r="W2346" s="2">
        <v>10454</v>
      </c>
      <c r="X2346" s="2">
        <v>14040</v>
      </c>
      <c r="Y2346" s="2" t="s">
        <v>91</v>
      </c>
      <c r="Z2346" s="2">
        <v>48</v>
      </c>
      <c r="AA2346" s="2">
        <v>3.6</v>
      </c>
      <c r="AB2346" s="2" t="s">
        <v>42</v>
      </c>
    </row>
    <row r="2347" spans="1:28" x14ac:dyDescent="0.25">
      <c r="A2347" s="4" t="s">
        <v>3150</v>
      </c>
      <c r="B2347" s="4" t="s">
        <v>800</v>
      </c>
      <c r="C2347" s="4">
        <v>26</v>
      </c>
      <c r="D2347" s="4" t="s">
        <v>55</v>
      </c>
      <c r="E2347" s="4" t="s">
        <v>79</v>
      </c>
      <c r="F2347" s="4" t="s">
        <v>32</v>
      </c>
      <c r="G2347" s="5">
        <v>45299</v>
      </c>
      <c r="H2347" s="5">
        <v>45327</v>
      </c>
      <c r="I2347" s="4">
        <v>28</v>
      </c>
      <c r="J2347" s="4" t="s">
        <v>33</v>
      </c>
      <c r="K2347" s="4" t="s">
        <v>107</v>
      </c>
      <c r="L2347" s="4" t="s">
        <v>48</v>
      </c>
      <c r="M2347" s="4" t="s">
        <v>101</v>
      </c>
      <c r="N2347" s="4" t="s">
        <v>109</v>
      </c>
      <c r="O2347" s="4" t="s">
        <v>295</v>
      </c>
      <c r="P2347" s="4">
        <v>164</v>
      </c>
      <c r="Q2347" s="4" t="s">
        <v>50</v>
      </c>
      <c r="R2347" s="4" t="s">
        <v>136</v>
      </c>
      <c r="S2347" s="4">
        <v>61798</v>
      </c>
      <c r="T2347" s="4">
        <v>0</v>
      </c>
      <c r="U2347" s="4">
        <v>61798</v>
      </c>
      <c r="V2347" s="4">
        <v>48836</v>
      </c>
      <c r="W2347" s="4">
        <v>6099</v>
      </c>
      <c r="X2347" s="4">
        <v>5841</v>
      </c>
      <c r="Y2347" s="4" t="s">
        <v>41</v>
      </c>
      <c r="Z2347" s="4">
        <v>57</v>
      </c>
      <c r="AA2347" s="4">
        <v>4.5999999999999996</v>
      </c>
      <c r="AB2347" s="4" t="s">
        <v>52</v>
      </c>
    </row>
    <row r="2348" spans="1:28" x14ac:dyDescent="0.25">
      <c r="A2348" s="2" t="s">
        <v>3151</v>
      </c>
      <c r="B2348" s="2" t="s">
        <v>265</v>
      </c>
      <c r="C2348" s="2">
        <v>39</v>
      </c>
      <c r="D2348" s="2" t="s">
        <v>30</v>
      </c>
      <c r="E2348" s="2" t="s">
        <v>87</v>
      </c>
      <c r="F2348" s="2" t="s">
        <v>80</v>
      </c>
      <c r="G2348" s="3">
        <v>45377</v>
      </c>
      <c r="H2348" s="3">
        <v>45389</v>
      </c>
      <c r="I2348" s="2">
        <v>12</v>
      </c>
      <c r="J2348" s="2" t="s">
        <v>33</v>
      </c>
      <c r="K2348" s="2" t="s">
        <v>47</v>
      </c>
      <c r="L2348" s="2" t="s">
        <v>48</v>
      </c>
      <c r="M2348" s="2" t="s">
        <v>143</v>
      </c>
      <c r="N2348" s="2" t="s">
        <v>118</v>
      </c>
      <c r="O2348" s="2" t="s">
        <v>164</v>
      </c>
      <c r="P2348" s="2">
        <v>275</v>
      </c>
      <c r="Q2348" s="2" t="s">
        <v>39</v>
      </c>
      <c r="R2348" s="2" t="s">
        <v>111</v>
      </c>
      <c r="S2348" s="2">
        <v>158713</v>
      </c>
      <c r="T2348" s="2">
        <v>132008</v>
      </c>
      <c r="U2348" s="2">
        <v>26705</v>
      </c>
      <c r="V2348" s="2">
        <v>133569</v>
      </c>
      <c r="W2348" s="2">
        <v>14364</v>
      </c>
      <c r="X2348" s="2">
        <v>7437</v>
      </c>
      <c r="Y2348" s="2" t="s">
        <v>91</v>
      </c>
      <c r="Z2348" s="2">
        <v>45</v>
      </c>
      <c r="AA2348" s="2">
        <v>4.2</v>
      </c>
      <c r="AB2348" s="2" t="s">
        <v>104</v>
      </c>
    </row>
    <row r="2349" spans="1:28" x14ac:dyDescent="0.25">
      <c r="A2349" s="4" t="s">
        <v>3152</v>
      </c>
      <c r="B2349" s="4" t="s">
        <v>646</v>
      </c>
      <c r="C2349" s="4">
        <v>85</v>
      </c>
      <c r="D2349" s="4" t="s">
        <v>55</v>
      </c>
      <c r="E2349" s="4" t="s">
        <v>31</v>
      </c>
      <c r="F2349" s="4" t="s">
        <v>32</v>
      </c>
      <c r="G2349" s="5">
        <v>45618</v>
      </c>
      <c r="H2349" s="5">
        <v>45634</v>
      </c>
      <c r="I2349" s="4">
        <v>16</v>
      </c>
      <c r="J2349" s="4" t="s">
        <v>58</v>
      </c>
      <c r="K2349" s="4" t="s">
        <v>88</v>
      </c>
      <c r="L2349" s="4" t="s">
        <v>60</v>
      </c>
      <c r="M2349" s="4" t="s">
        <v>134</v>
      </c>
      <c r="N2349" s="4" t="s">
        <v>109</v>
      </c>
      <c r="O2349" s="4" t="s">
        <v>161</v>
      </c>
      <c r="P2349" s="4">
        <v>148</v>
      </c>
      <c r="Q2349" s="4" t="s">
        <v>39</v>
      </c>
      <c r="R2349" s="4" t="s">
        <v>136</v>
      </c>
      <c r="S2349" s="4">
        <v>120202</v>
      </c>
      <c r="T2349" s="4">
        <v>0</v>
      </c>
      <c r="U2349" s="4">
        <v>120202</v>
      </c>
      <c r="V2349" s="4">
        <v>80634</v>
      </c>
      <c r="W2349" s="4">
        <v>23147</v>
      </c>
      <c r="X2349" s="4">
        <v>13205</v>
      </c>
      <c r="Y2349" s="4" t="s">
        <v>41</v>
      </c>
      <c r="Z2349" s="4">
        <v>69</v>
      </c>
      <c r="AA2349" s="4">
        <v>2.9</v>
      </c>
      <c r="AB2349" s="4" t="s">
        <v>42</v>
      </c>
    </row>
    <row r="2350" spans="1:28" x14ac:dyDescent="0.25">
      <c r="A2350" s="2" t="s">
        <v>3153</v>
      </c>
      <c r="B2350" s="2" t="s">
        <v>253</v>
      </c>
      <c r="C2350" s="2">
        <v>84</v>
      </c>
      <c r="D2350" s="2" t="s">
        <v>30</v>
      </c>
      <c r="E2350" s="2" t="s">
        <v>31</v>
      </c>
      <c r="F2350" s="2" t="s">
        <v>94</v>
      </c>
      <c r="G2350" s="3">
        <v>44822</v>
      </c>
      <c r="H2350" s="3">
        <v>44834</v>
      </c>
      <c r="I2350" s="2">
        <v>12</v>
      </c>
      <c r="J2350" s="2" t="s">
        <v>140</v>
      </c>
      <c r="K2350" s="2" t="s">
        <v>141</v>
      </c>
      <c r="L2350" s="2" t="s">
        <v>142</v>
      </c>
      <c r="M2350" s="2" t="s">
        <v>134</v>
      </c>
      <c r="N2350" s="2" t="s">
        <v>109</v>
      </c>
      <c r="O2350" s="2" t="s">
        <v>321</v>
      </c>
      <c r="P2350" s="2">
        <v>439</v>
      </c>
      <c r="Q2350" s="2" t="s">
        <v>39</v>
      </c>
      <c r="R2350" s="2" t="s">
        <v>136</v>
      </c>
      <c r="S2350" s="2">
        <v>103983</v>
      </c>
      <c r="T2350" s="2">
        <v>0</v>
      </c>
      <c r="U2350" s="2">
        <v>103983</v>
      </c>
      <c r="V2350" s="2">
        <v>70246</v>
      </c>
      <c r="W2350" s="2">
        <v>25757</v>
      </c>
      <c r="X2350" s="2">
        <v>6064</v>
      </c>
      <c r="Y2350" s="2" t="s">
        <v>41</v>
      </c>
      <c r="Z2350" s="2">
        <v>62</v>
      </c>
      <c r="AA2350" s="2">
        <v>2.2000000000000002</v>
      </c>
      <c r="AB2350" s="2" t="s">
        <v>64</v>
      </c>
    </row>
    <row r="2351" spans="1:28" x14ac:dyDescent="0.25">
      <c r="A2351" s="4" t="s">
        <v>3154</v>
      </c>
      <c r="B2351" s="4" t="s">
        <v>1517</v>
      </c>
      <c r="C2351" s="4">
        <v>53</v>
      </c>
      <c r="D2351" s="4" t="s">
        <v>30</v>
      </c>
      <c r="E2351" s="4" t="s">
        <v>122</v>
      </c>
      <c r="F2351" s="4" t="s">
        <v>114</v>
      </c>
      <c r="G2351" s="5">
        <v>45652</v>
      </c>
      <c r="H2351" s="5">
        <v>45657</v>
      </c>
      <c r="I2351" s="4">
        <v>5</v>
      </c>
      <c r="J2351" s="4" t="s">
        <v>33</v>
      </c>
      <c r="K2351" s="4" t="s">
        <v>278</v>
      </c>
      <c r="L2351" s="4" t="s">
        <v>279</v>
      </c>
      <c r="M2351" s="4" t="s">
        <v>143</v>
      </c>
      <c r="N2351" s="4" t="s">
        <v>118</v>
      </c>
      <c r="O2351" s="4" t="s">
        <v>227</v>
      </c>
      <c r="P2351" s="4">
        <v>493</v>
      </c>
      <c r="Q2351" s="4" t="s">
        <v>50</v>
      </c>
      <c r="R2351" s="4" t="s">
        <v>111</v>
      </c>
      <c r="S2351" s="4">
        <v>106590</v>
      </c>
      <c r="T2351" s="4">
        <v>81399</v>
      </c>
      <c r="U2351" s="4">
        <v>25191</v>
      </c>
      <c r="V2351" s="4">
        <v>89119</v>
      </c>
      <c r="W2351" s="4">
        <v>14605</v>
      </c>
      <c r="X2351" s="4">
        <v>2226</v>
      </c>
      <c r="Y2351" s="4" t="s">
        <v>41</v>
      </c>
      <c r="Z2351" s="4">
        <v>44</v>
      </c>
      <c r="AA2351" s="4">
        <v>2.1</v>
      </c>
      <c r="AB2351" s="4" t="s">
        <v>64</v>
      </c>
    </row>
    <row r="2352" spans="1:28" x14ac:dyDescent="0.25">
      <c r="A2352" s="2" t="s">
        <v>3155</v>
      </c>
      <c r="B2352" s="2" t="s">
        <v>354</v>
      </c>
      <c r="C2352" s="2">
        <v>25</v>
      </c>
      <c r="D2352" s="2" t="s">
        <v>55</v>
      </c>
      <c r="E2352" s="2" t="s">
        <v>56</v>
      </c>
      <c r="F2352" s="2" t="s">
        <v>129</v>
      </c>
      <c r="G2352" s="3">
        <v>44991</v>
      </c>
      <c r="H2352" s="3">
        <v>45010</v>
      </c>
      <c r="I2352" s="2">
        <v>19</v>
      </c>
      <c r="J2352" s="2" t="s">
        <v>33</v>
      </c>
      <c r="K2352" s="2" t="s">
        <v>47</v>
      </c>
      <c r="L2352" s="2" t="s">
        <v>48</v>
      </c>
      <c r="M2352" s="2" t="s">
        <v>36</v>
      </c>
      <c r="N2352" s="2" t="s">
        <v>109</v>
      </c>
      <c r="O2352" s="2" t="s">
        <v>230</v>
      </c>
      <c r="P2352" s="2">
        <v>306</v>
      </c>
      <c r="Q2352" s="2" t="s">
        <v>39</v>
      </c>
      <c r="R2352" s="2" t="s">
        <v>40</v>
      </c>
      <c r="S2352" s="2">
        <v>74109</v>
      </c>
      <c r="T2352" s="2">
        <v>49903</v>
      </c>
      <c r="U2352" s="2">
        <v>24206</v>
      </c>
      <c r="V2352" s="2">
        <v>55077</v>
      </c>
      <c r="W2352" s="2">
        <v>6023</v>
      </c>
      <c r="X2352" s="2">
        <v>9601</v>
      </c>
      <c r="Y2352" s="2" t="s">
        <v>91</v>
      </c>
      <c r="Z2352" s="2">
        <v>48</v>
      </c>
      <c r="AA2352" s="2">
        <v>4.8</v>
      </c>
      <c r="AB2352" s="2" t="s">
        <v>137</v>
      </c>
    </row>
    <row r="2353" spans="1:28" x14ac:dyDescent="0.25">
      <c r="A2353" s="4" t="s">
        <v>3156</v>
      </c>
      <c r="B2353" s="4" t="s">
        <v>372</v>
      </c>
      <c r="C2353" s="4">
        <v>85</v>
      </c>
      <c r="D2353" s="4" t="s">
        <v>55</v>
      </c>
      <c r="E2353" s="4" t="s">
        <v>67</v>
      </c>
      <c r="F2353" s="4" t="s">
        <v>129</v>
      </c>
      <c r="G2353" s="5">
        <v>44795</v>
      </c>
      <c r="H2353" s="5">
        <v>44805</v>
      </c>
      <c r="I2353" s="4">
        <v>10</v>
      </c>
      <c r="J2353" s="4" t="s">
        <v>140</v>
      </c>
      <c r="K2353" s="4" t="s">
        <v>167</v>
      </c>
      <c r="L2353" s="4" t="s">
        <v>142</v>
      </c>
      <c r="M2353" s="4" t="s">
        <v>61</v>
      </c>
      <c r="N2353" s="4" t="s">
        <v>37</v>
      </c>
      <c r="O2353" s="4" t="s">
        <v>49</v>
      </c>
      <c r="P2353" s="4">
        <v>331</v>
      </c>
      <c r="Q2353" s="4" t="s">
        <v>69</v>
      </c>
      <c r="R2353" s="4" t="s">
        <v>136</v>
      </c>
      <c r="S2353" s="4">
        <v>112347</v>
      </c>
      <c r="T2353" s="4">
        <v>0</v>
      </c>
      <c r="U2353" s="4">
        <v>112347</v>
      </c>
      <c r="V2353" s="4">
        <v>89370</v>
      </c>
      <c r="W2353" s="4">
        <v>5084</v>
      </c>
      <c r="X2353" s="4">
        <v>14176</v>
      </c>
      <c r="Y2353" s="4" t="s">
        <v>41</v>
      </c>
      <c r="Z2353" s="4">
        <v>95</v>
      </c>
      <c r="AA2353" s="4">
        <v>3.3</v>
      </c>
      <c r="AB2353" s="4" t="s">
        <v>42</v>
      </c>
    </row>
    <row r="2354" spans="1:28" x14ac:dyDescent="0.25">
      <c r="A2354" s="2" t="s">
        <v>3157</v>
      </c>
      <c r="B2354" s="2" t="s">
        <v>1562</v>
      </c>
      <c r="C2354" s="2">
        <v>15</v>
      </c>
      <c r="D2354" s="2" t="s">
        <v>55</v>
      </c>
      <c r="E2354" s="2" t="s">
        <v>45</v>
      </c>
      <c r="F2354" s="2" t="s">
        <v>72</v>
      </c>
      <c r="G2354" s="3">
        <v>44767</v>
      </c>
      <c r="H2354" s="3">
        <v>44774</v>
      </c>
      <c r="I2354" s="2">
        <v>7</v>
      </c>
      <c r="J2354" s="2" t="s">
        <v>123</v>
      </c>
      <c r="K2354" s="2" t="s">
        <v>124</v>
      </c>
      <c r="L2354" s="2" t="s">
        <v>125</v>
      </c>
      <c r="M2354" s="2" t="s">
        <v>75</v>
      </c>
      <c r="N2354" s="2" t="s">
        <v>118</v>
      </c>
      <c r="O2354" s="2" t="s">
        <v>647</v>
      </c>
      <c r="P2354" s="2">
        <v>465</v>
      </c>
      <c r="Q2354" s="2" t="s">
        <v>39</v>
      </c>
      <c r="R2354" s="2" t="s">
        <v>111</v>
      </c>
      <c r="S2354" s="2">
        <v>75939</v>
      </c>
      <c r="T2354" s="2">
        <v>55007</v>
      </c>
      <c r="U2354" s="2">
        <v>20932</v>
      </c>
      <c r="V2354" s="2">
        <v>54852</v>
      </c>
      <c r="W2354" s="2">
        <v>12065</v>
      </c>
      <c r="X2354" s="2">
        <v>6321</v>
      </c>
      <c r="Y2354" s="2" t="s">
        <v>41</v>
      </c>
      <c r="Z2354" s="2">
        <v>53</v>
      </c>
      <c r="AA2354" s="2">
        <v>2.6</v>
      </c>
      <c r="AB2354" s="2" t="s">
        <v>137</v>
      </c>
    </row>
    <row r="2355" spans="1:28" x14ac:dyDescent="0.25">
      <c r="A2355" s="4" t="s">
        <v>3158</v>
      </c>
      <c r="B2355" s="4" t="s">
        <v>2057</v>
      </c>
      <c r="C2355" s="4">
        <v>29</v>
      </c>
      <c r="D2355" s="4" t="s">
        <v>55</v>
      </c>
      <c r="E2355" s="4" t="s">
        <v>122</v>
      </c>
      <c r="F2355" s="4" t="s">
        <v>80</v>
      </c>
      <c r="G2355" s="5">
        <v>45472</v>
      </c>
      <c r="H2355" s="5">
        <v>45475</v>
      </c>
      <c r="I2355" s="4">
        <v>3</v>
      </c>
      <c r="J2355" s="4" t="s">
        <v>33</v>
      </c>
      <c r="K2355" s="4" t="s">
        <v>278</v>
      </c>
      <c r="L2355" s="4" t="s">
        <v>279</v>
      </c>
      <c r="M2355" s="4" t="s">
        <v>61</v>
      </c>
      <c r="N2355" s="4" t="s">
        <v>109</v>
      </c>
      <c r="O2355" s="4" t="s">
        <v>266</v>
      </c>
      <c r="P2355" s="4">
        <v>52</v>
      </c>
      <c r="Q2355" s="4" t="s">
        <v>50</v>
      </c>
      <c r="R2355" s="4" t="s">
        <v>136</v>
      </c>
      <c r="S2355" s="4">
        <v>113388</v>
      </c>
      <c r="T2355" s="4">
        <v>0</v>
      </c>
      <c r="U2355" s="4">
        <v>113388</v>
      </c>
      <c r="V2355" s="4">
        <v>94321</v>
      </c>
      <c r="W2355" s="4">
        <v>12093</v>
      </c>
      <c r="X2355" s="4">
        <v>2755</v>
      </c>
      <c r="Y2355" s="4" t="s">
        <v>41</v>
      </c>
      <c r="Z2355" s="4">
        <v>100</v>
      </c>
      <c r="AA2355" s="4">
        <v>3.7</v>
      </c>
      <c r="AB2355" s="4" t="s">
        <v>137</v>
      </c>
    </row>
    <row r="2356" spans="1:28" x14ac:dyDescent="0.25">
      <c r="A2356" s="2" t="s">
        <v>3159</v>
      </c>
      <c r="B2356" s="2" t="s">
        <v>1228</v>
      </c>
      <c r="C2356" s="2">
        <v>85</v>
      </c>
      <c r="D2356" s="2" t="s">
        <v>30</v>
      </c>
      <c r="E2356" s="2" t="s">
        <v>122</v>
      </c>
      <c r="F2356" s="2" t="s">
        <v>129</v>
      </c>
      <c r="G2356" s="3">
        <v>45002</v>
      </c>
      <c r="H2356" s="3">
        <v>45013</v>
      </c>
      <c r="I2356" s="2">
        <v>11</v>
      </c>
      <c r="J2356" s="2" t="s">
        <v>33</v>
      </c>
      <c r="K2356" s="2" t="s">
        <v>81</v>
      </c>
      <c r="L2356" s="2" t="s">
        <v>82</v>
      </c>
      <c r="M2356" s="2" t="s">
        <v>130</v>
      </c>
      <c r="N2356" s="2" t="s">
        <v>109</v>
      </c>
      <c r="O2356" s="2" t="s">
        <v>321</v>
      </c>
      <c r="P2356" s="2">
        <v>314</v>
      </c>
      <c r="Q2356" s="2" t="s">
        <v>103</v>
      </c>
      <c r="R2356" s="2" t="s">
        <v>51</v>
      </c>
      <c r="S2356" s="2">
        <v>62098</v>
      </c>
      <c r="T2356" s="2">
        <v>25071</v>
      </c>
      <c r="U2356" s="2">
        <v>37027</v>
      </c>
      <c r="V2356" s="2">
        <v>25525</v>
      </c>
      <c r="W2356" s="2">
        <v>20651</v>
      </c>
      <c r="X2356" s="2">
        <v>12366</v>
      </c>
      <c r="Y2356" s="2" t="s">
        <v>41</v>
      </c>
      <c r="Z2356" s="2">
        <v>67</v>
      </c>
      <c r="AA2356" s="2">
        <v>3.5</v>
      </c>
      <c r="AB2356" s="2" t="s">
        <v>42</v>
      </c>
    </row>
    <row r="2357" spans="1:28" x14ac:dyDescent="0.25">
      <c r="A2357" s="4" t="s">
        <v>3160</v>
      </c>
      <c r="B2357" s="4" t="s">
        <v>898</v>
      </c>
      <c r="C2357" s="4">
        <v>78</v>
      </c>
      <c r="D2357" s="4" t="s">
        <v>55</v>
      </c>
      <c r="E2357" s="4" t="s">
        <v>56</v>
      </c>
      <c r="F2357" s="4" t="s">
        <v>72</v>
      </c>
      <c r="G2357" s="5">
        <v>44814</v>
      </c>
      <c r="H2357" s="5">
        <v>44843</v>
      </c>
      <c r="I2357" s="4">
        <v>29</v>
      </c>
      <c r="J2357" s="4" t="s">
        <v>33</v>
      </c>
      <c r="K2357" s="4" t="s">
        <v>278</v>
      </c>
      <c r="L2357" s="4" t="s">
        <v>279</v>
      </c>
      <c r="M2357" s="4" t="s">
        <v>75</v>
      </c>
      <c r="N2357" s="4" t="s">
        <v>37</v>
      </c>
      <c r="O2357" s="4" t="s">
        <v>538</v>
      </c>
      <c r="P2357" s="4">
        <v>61</v>
      </c>
      <c r="Q2357" s="4" t="s">
        <v>39</v>
      </c>
      <c r="R2357" s="4" t="s">
        <v>40</v>
      </c>
      <c r="S2357" s="4">
        <v>59969</v>
      </c>
      <c r="T2357" s="4">
        <v>24637</v>
      </c>
      <c r="U2357" s="4">
        <v>35332</v>
      </c>
      <c r="V2357" s="4">
        <v>26881</v>
      </c>
      <c r="W2357" s="4">
        <v>20615</v>
      </c>
      <c r="X2357" s="4">
        <v>11902</v>
      </c>
      <c r="Y2357" s="4" t="s">
        <v>41</v>
      </c>
      <c r="Z2357" s="4">
        <v>63</v>
      </c>
      <c r="AA2357" s="4">
        <v>3</v>
      </c>
      <c r="AB2357" s="4" t="s">
        <v>137</v>
      </c>
    </row>
    <row r="2358" spans="1:28" x14ac:dyDescent="0.25">
      <c r="A2358" s="2" t="s">
        <v>3161</v>
      </c>
      <c r="B2358" s="2" t="s">
        <v>302</v>
      </c>
      <c r="C2358" s="2">
        <v>71</v>
      </c>
      <c r="D2358" s="2" t="s">
        <v>30</v>
      </c>
      <c r="E2358" s="2" t="s">
        <v>31</v>
      </c>
      <c r="F2358" s="2" t="s">
        <v>150</v>
      </c>
      <c r="G2358" s="3">
        <v>44993</v>
      </c>
      <c r="H2358" s="3">
        <v>45004</v>
      </c>
      <c r="I2358" s="2">
        <v>11</v>
      </c>
      <c r="J2358" s="2" t="s">
        <v>115</v>
      </c>
      <c r="K2358" s="2" t="s">
        <v>160</v>
      </c>
      <c r="L2358" s="2" t="s">
        <v>117</v>
      </c>
      <c r="M2358" s="2" t="s">
        <v>143</v>
      </c>
      <c r="N2358" s="2" t="s">
        <v>37</v>
      </c>
      <c r="O2358" s="2" t="s">
        <v>208</v>
      </c>
      <c r="P2358" s="2">
        <v>259</v>
      </c>
      <c r="Q2358" s="2" t="s">
        <v>103</v>
      </c>
      <c r="R2358" s="2" t="s">
        <v>111</v>
      </c>
      <c r="S2358" s="2">
        <v>148790</v>
      </c>
      <c r="T2358" s="2">
        <v>105744</v>
      </c>
      <c r="U2358" s="2">
        <v>43046</v>
      </c>
      <c r="V2358" s="2">
        <v>118897</v>
      </c>
      <c r="W2358" s="2">
        <v>17437</v>
      </c>
      <c r="X2358" s="2">
        <v>7590</v>
      </c>
      <c r="Y2358" s="2" t="s">
        <v>41</v>
      </c>
      <c r="Z2358" s="2">
        <v>87</v>
      </c>
      <c r="AA2358" s="2">
        <v>2.8</v>
      </c>
      <c r="AB2358" s="2" t="s">
        <v>104</v>
      </c>
    </row>
    <row r="2359" spans="1:28" x14ac:dyDescent="0.25">
      <c r="A2359" s="4" t="s">
        <v>3162</v>
      </c>
      <c r="B2359" s="4" t="s">
        <v>378</v>
      </c>
      <c r="C2359" s="4">
        <v>25</v>
      </c>
      <c r="D2359" s="4" t="s">
        <v>55</v>
      </c>
      <c r="E2359" s="4" t="s">
        <v>122</v>
      </c>
      <c r="F2359" s="4" t="s">
        <v>114</v>
      </c>
      <c r="G2359" s="5">
        <v>45288</v>
      </c>
      <c r="H2359" s="5">
        <v>45316</v>
      </c>
      <c r="I2359" s="4">
        <v>28</v>
      </c>
      <c r="J2359" s="4" t="s">
        <v>202</v>
      </c>
      <c r="K2359" s="4" t="s">
        <v>203</v>
      </c>
      <c r="L2359" s="4" t="s">
        <v>204</v>
      </c>
      <c r="M2359" s="4" t="s">
        <v>101</v>
      </c>
      <c r="N2359" s="4" t="s">
        <v>118</v>
      </c>
      <c r="O2359" s="4" t="s">
        <v>256</v>
      </c>
      <c r="P2359" s="4">
        <v>403</v>
      </c>
      <c r="Q2359" s="4" t="s">
        <v>103</v>
      </c>
      <c r="R2359" s="4" t="s">
        <v>136</v>
      </c>
      <c r="S2359" s="4">
        <v>111544</v>
      </c>
      <c r="T2359" s="4">
        <v>0</v>
      </c>
      <c r="U2359" s="4">
        <v>111544</v>
      </c>
      <c r="V2359" s="4">
        <v>81068</v>
      </c>
      <c r="W2359" s="4">
        <v>25544</v>
      </c>
      <c r="X2359" s="4">
        <v>3792</v>
      </c>
      <c r="Y2359" s="4" t="s">
        <v>91</v>
      </c>
      <c r="Z2359" s="4">
        <v>62</v>
      </c>
      <c r="AA2359" s="4">
        <v>3.3</v>
      </c>
      <c r="AB2359" s="4" t="s">
        <v>104</v>
      </c>
    </row>
    <row r="2360" spans="1:28" x14ac:dyDescent="0.25">
      <c r="A2360" s="2" t="s">
        <v>3163</v>
      </c>
      <c r="B2360" s="2" t="s">
        <v>1660</v>
      </c>
      <c r="C2360" s="2">
        <v>31</v>
      </c>
      <c r="D2360" s="2" t="s">
        <v>55</v>
      </c>
      <c r="E2360" s="2" t="s">
        <v>154</v>
      </c>
      <c r="F2360" s="2" t="s">
        <v>150</v>
      </c>
      <c r="G2360" s="3">
        <v>45238</v>
      </c>
      <c r="H2360" s="3">
        <v>45257</v>
      </c>
      <c r="I2360" s="2">
        <v>19</v>
      </c>
      <c r="J2360" s="2" t="s">
        <v>33</v>
      </c>
      <c r="K2360" s="2" t="s">
        <v>81</v>
      </c>
      <c r="L2360" s="2" t="s">
        <v>82</v>
      </c>
      <c r="M2360" s="2" t="s">
        <v>75</v>
      </c>
      <c r="N2360" s="2" t="s">
        <v>118</v>
      </c>
      <c r="O2360" s="2" t="s">
        <v>144</v>
      </c>
      <c r="P2360" s="2">
        <v>313</v>
      </c>
      <c r="Q2360" s="2" t="s">
        <v>103</v>
      </c>
      <c r="R2360" s="2" t="s">
        <v>51</v>
      </c>
      <c r="S2360" s="2">
        <v>85914</v>
      </c>
      <c r="T2360" s="2">
        <v>42082</v>
      </c>
      <c r="U2360" s="2">
        <v>43832</v>
      </c>
      <c r="V2360" s="2">
        <v>54558</v>
      </c>
      <c r="W2360" s="2">
        <v>11870</v>
      </c>
      <c r="X2360" s="2">
        <v>14715</v>
      </c>
      <c r="Y2360" s="2" t="s">
        <v>41</v>
      </c>
      <c r="Z2360" s="2">
        <v>50</v>
      </c>
      <c r="AA2360" s="2">
        <v>2.6</v>
      </c>
      <c r="AB2360" s="2" t="s">
        <v>52</v>
      </c>
    </row>
    <row r="2361" spans="1:28" x14ac:dyDescent="0.25">
      <c r="A2361" s="4" t="s">
        <v>3164</v>
      </c>
      <c r="B2361" s="4" t="s">
        <v>3165</v>
      </c>
      <c r="C2361" s="4">
        <v>47</v>
      </c>
      <c r="D2361" s="4" t="s">
        <v>55</v>
      </c>
      <c r="E2361" s="4" t="s">
        <v>56</v>
      </c>
      <c r="F2361" s="4" t="s">
        <v>129</v>
      </c>
      <c r="G2361" s="5">
        <v>45269</v>
      </c>
      <c r="H2361" s="5">
        <v>45292</v>
      </c>
      <c r="I2361" s="4">
        <v>23</v>
      </c>
      <c r="J2361" s="4" t="s">
        <v>33</v>
      </c>
      <c r="K2361" s="4" t="s">
        <v>99</v>
      </c>
      <c r="L2361" s="4" t="s">
        <v>100</v>
      </c>
      <c r="M2361" s="4" t="s">
        <v>130</v>
      </c>
      <c r="N2361" s="4" t="s">
        <v>37</v>
      </c>
      <c r="O2361" s="4" t="s">
        <v>548</v>
      </c>
      <c r="P2361" s="4">
        <v>388</v>
      </c>
      <c r="Q2361" s="4" t="s">
        <v>69</v>
      </c>
      <c r="R2361" s="4" t="s">
        <v>51</v>
      </c>
      <c r="S2361" s="4">
        <v>45874</v>
      </c>
      <c r="T2361" s="4">
        <v>27340</v>
      </c>
      <c r="U2361" s="4">
        <v>18534</v>
      </c>
      <c r="V2361" s="4">
        <v>16667</v>
      </c>
      <c r="W2361" s="4">
        <v>23351</v>
      </c>
      <c r="X2361" s="4">
        <v>4965</v>
      </c>
      <c r="Y2361" s="4" t="s">
        <v>41</v>
      </c>
      <c r="Z2361" s="4">
        <v>86</v>
      </c>
      <c r="AA2361" s="4">
        <v>4.2</v>
      </c>
      <c r="AB2361" s="4" t="s">
        <v>42</v>
      </c>
    </row>
    <row r="2362" spans="1:28" x14ac:dyDescent="0.25">
      <c r="A2362" s="2" t="s">
        <v>3166</v>
      </c>
      <c r="B2362" s="2" t="s">
        <v>405</v>
      </c>
      <c r="C2362" s="2">
        <v>45</v>
      </c>
      <c r="D2362" s="2" t="s">
        <v>55</v>
      </c>
      <c r="E2362" s="2" t="s">
        <v>79</v>
      </c>
      <c r="F2362" s="2" t="s">
        <v>157</v>
      </c>
      <c r="G2362" s="3">
        <v>45159</v>
      </c>
      <c r="H2362" s="3">
        <v>45160</v>
      </c>
      <c r="I2362" s="2">
        <v>1</v>
      </c>
      <c r="J2362" s="2" t="s">
        <v>58</v>
      </c>
      <c r="K2362" s="2" t="s">
        <v>88</v>
      </c>
      <c r="L2362" s="2" t="s">
        <v>60</v>
      </c>
      <c r="M2362" s="2" t="s">
        <v>75</v>
      </c>
      <c r="N2362" s="2" t="s">
        <v>118</v>
      </c>
      <c r="O2362" s="2" t="s">
        <v>396</v>
      </c>
      <c r="P2362" s="2">
        <v>361</v>
      </c>
      <c r="Q2362" s="2" t="s">
        <v>39</v>
      </c>
      <c r="R2362" s="2" t="s">
        <v>136</v>
      </c>
      <c r="S2362" s="2">
        <v>159029</v>
      </c>
      <c r="T2362" s="2">
        <v>0</v>
      </c>
      <c r="U2362" s="2">
        <v>159029</v>
      </c>
      <c r="V2362" s="2">
        <v>130619</v>
      </c>
      <c r="W2362" s="2">
        <v>21619</v>
      </c>
      <c r="X2362" s="2">
        <v>4968</v>
      </c>
      <c r="Y2362" s="2" t="s">
        <v>41</v>
      </c>
      <c r="Z2362" s="2">
        <v>84</v>
      </c>
      <c r="AA2362" s="2">
        <v>3.2</v>
      </c>
      <c r="AB2362" s="2" t="s">
        <v>64</v>
      </c>
    </row>
    <row r="2363" spans="1:28" x14ac:dyDescent="0.25">
      <c r="A2363" s="4" t="s">
        <v>3167</v>
      </c>
      <c r="B2363" s="4" t="s">
        <v>668</v>
      </c>
      <c r="C2363" s="4">
        <v>37</v>
      </c>
      <c r="D2363" s="4" t="s">
        <v>55</v>
      </c>
      <c r="E2363" s="4" t="s">
        <v>154</v>
      </c>
      <c r="F2363" s="4" t="s">
        <v>129</v>
      </c>
      <c r="G2363" s="5">
        <v>45405</v>
      </c>
      <c r="H2363" s="5">
        <v>45415</v>
      </c>
      <c r="I2363" s="4">
        <v>10</v>
      </c>
      <c r="J2363" s="4" t="s">
        <v>33</v>
      </c>
      <c r="K2363" s="4" t="s">
        <v>107</v>
      </c>
      <c r="L2363" s="4" t="s">
        <v>48</v>
      </c>
      <c r="M2363" s="4" t="s">
        <v>95</v>
      </c>
      <c r="N2363" s="4" t="s">
        <v>118</v>
      </c>
      <c r="O2363" s="4" t="s">
        <v>89</v>
      </c>
      <c r="P2363" s="4">
        <v>379</v>
      </c>
      <c r="Q2363" s="4" t="s">
        <v>39</v>
      </c>
      <c r="R2363" s="4" t="s">
        <v>136</v>
      </c>
      <c r="S2363" s="4">
        <v>116304</v>
      </c>
      <c r="T2363" s="4">
        <v>0</v>
      </c>
      <c r="U2363" s="4">
        <v>116304</v>
      </c>
      <c r="V2363" s="4">
        <v>94278</v>
      </c>
      <c r="W2363" s="4">
        <v>7942</v>
      </c>
      <c r="X2363" s="4">
        <v>10325</v>
      </c>
      <c r="Y2363" s="4" t="s">
        <v>91</v>
      </c>
      <c r="Z2363" s="4">
        <v>58</v>
      </c>
      <c r="AA2363" s="4">
        <v>2.4</v>
      </c>
      <c r="AB2363" s="4" t="s">
        <v>104</v>
      </c>
    </row>
    <row r="2364" spans="1:28" x14ac:dyDescent="0.25">
      <c r="A2364" s="2" t="s">
        <v>3168</v>
      </c>
      <c r="B2364" s="2" t="s">
        <v>1353</v>
      </c>
      <c r="C2364" s="2">
        <v>63</v>
      </c>
      <c r="D2364" s="2" t="s">
        <v>30</v>
      </c>
      <c r="E2364" s="2" t="s">
        <v>79</v>
      </c>
      <c r="F2364" s="2" t="s">
        <v>129</v>
      </c>
      <c r="G2364" s="3">
        <v>45314</v>
      </c>
      <c r="H2364" s="3">
        <v>45336</v>
      </c>
      <c r="I2364" s="2">
        <v>22</v>
      </c>
      <c r="J2364" s="2" t="s">
        <v>73</v>
      </c>
      <c r="K2364" s="2" t="s">
        <v>74</v>
      </c>
      <c r="L2364" s="2" t="s">
        <v>73</v>
      </c>
      <c r="M2364" s="2" t="s">
        <v>108</v>
      </c>
      <c r="N2364" s="2" t="s">
        <v>118</v>
      </c>
      <c r="O2364" s="2" t="s">
        <v>331</v>
      </c>
      <c r="P2364" s="2">
        <v>407</v>
      </c>
      <c r="Q2364" s="2" t="s">
        <v>103</v>
      </c>
      <c r="R2364" s="2" t="s">
        <v>51</v>
      </c>
      <c r="S2364" s="2">
        <v>64120</v>
      </c>
      <c r="T2364" s="2">
        <v>36191</v>
      </c>
      <c r="U2364" s="2">
        <v>27929</v>
      </c>
      <c r="V2364" s="2">
        <v>51380</v>
      </c>
      <c r="W2364" s="2">
        <v>1627</v>
      </c>
      <c r="X2364" s="2">
        <v>9812</v>
      </c>
      <c r="Y2364" s="2" t="s">
        <v>41</v>
      </c>
      <c r="Z2364" s="2">
        <v>50</v>
      </c>
      <c r="AA2364" s="2">
        <v>2.5</v>
      </c>
      <c r="AB2364" s="2" t="s">
        <v>137</v>
      </c>
    </row>
    <row r="2365" spans="1:28" x14ac:dyDescent="0.25">
      <c r="A2365" s="4" t="s">
        <v>3169</v>
      </c>
      <c r="B2365" s="4" t="s">
        <v>752</v>
      </c>
      <c r="C2365" s="4">
        <v>38</v>
      </c>
      <c r="D2365" s="4" t="s">
        <v>55</v>
      </c>
      <c r="E2365" s="4" t="s">
        <v>122</v>
      </c>
      <c r="F2365" s="4" t="s">
        <v>72</v>
      </c>
      <c r="G2365" s="5">
        <v>45561</v>
      </c>
      <c r="H2365" s="5">
        <v>45562</v>
      </c>
      <c r="I2365" s="4">
        <v>1</v>
      </c>
      <c r="J2365" s="4" t="s">
        <v>123</v>
      </c>
      <c r="K2365" s="4" t="s">
        <v>124</v>
      </c>
      <c r="L2365" s="4" t="s">
        <v>125</v>
      </c>
      <c r="M2365" s="4" t="s">
        <v>101</v>
      </c>
      <c r="N2365" s="4" t="s">
        <v>37</v>
      </c>
      <c r="O2365" s="4" t="s">
        <v>464</v>
      </c>
      <c r="P2365" s="4">
        <v>311</v>
      </c>
      <c r="Q2365" s="4" t="s">
        <v>103</v>
      </c>
      <c r="R2365" s="4" t="s">
        <v>40</v>
      </c>
      <c r="S2365" s="4">
        <v>133505</v>
      </c>
      <c r="T2365" s="4">
        <v>78344</v>
      </c>
      <c r="U2365" s="4">
        <v>55161</v>
      </c>
      <c r="V2365" s="4">
        <v>98834</v>
      </c>
      <c r="W2365" s="4">
        <v>29402</v>
      </c>
      <c r="X2365" s="4">
        <v>2163</v>
      </c>
      <c r="Y2365" s="4" t="s">
        <v>91</v>
      </c>
      <c r="Z2365" s="4">
        <v>61</v>
      </c>
      <c r="AA2365" s="4">
        <v>3.9</v>
      </c>
      <c r="AB2365" s="4" t="s">
        <v>64</v>
      </c>
    </row>
    <row r="2366" spans="1:28" x14ac:dyDescent="0.25">
      <c r="A2366" s="2" t="s">
        <v>3170</v>
      </c>
      <c r="B2366" s="2" t="s">
        <v>665</v>
      </c>
      <c r="C2366" s="2">
        <v>12</v>
      </c>
      <c r="D2366" s="2" t="s">
        <v>55</v>
      </c>
      <c r="E2366" s="2" t="s">
        <v>45</v>
      </c>
      <c r="F2366" s="2" t="s">
        <v>32</v>
      </c>
      <c r="G2366" s="3">
        <v>45051</v>
      </c>
      <c r="H2366" s="3">
        <v>45067</v>
      </c>
      <c r="I2366" s="2">
        <v>16</v>
      </c>
      <c r="J2366" s="2" t="s">
        <v>33</v>
      </c>
      <c r="K2366" s="2" t="s">
        <v>233</v>
      </c>
      <c r="L2366" s="2" t="s">
        <v>35</v>
      </c>
      <c r="M2366" s="2" t="s">
        <v>130</v>
      </c>
      <c r="N2366" s="2" t="s">
        <v>37</v>
      </c>
      <c r="O2366" s="2" t="s">
        <v>428</v>
      </c>
      <c r="P2366" s="2">
        <v>460</v>
      </c>
      <c r="Q2366" s="2" t="s">
        <v>39</v>
      </c>
      <c r="R2366" s="2" t="s">
        <v>111</v>
      </c>
      <c r="S2366" s="2">
        <v>156575</v>
      </c>
      <c r="T2366" s="2">
        <v>102403</v>
      </c>
      <c r="U2366" s="2">
        <v>54172</v>
      </c>
      <c r="V2366" s="2">
        <v>130461</v>
      </c>
      <c r="W2366" s="2">
        <v>12324</v>
      </c>
      <c r="X2366" s="2">
        <v>9516</v>
      </c>
      <c r="Y2366" s="2" t="s">
        <v>41</v>
      </c>
      <c r="Z2366" s="2">
        <v>69</v>
      </c>
      <c r="AA2366" s="2">
        <v>2.2999999999999998</v>
      </c>
      <c r="AB2366" s="2" t="s">
        <v>64</v>
      </c>
    </row>
    <row r="2367" spans="1:28" x14ac:dyDescent="0.25">
      <c r="A2367" s="4" t="s">
        <v>3171</v>
      </c>
      <c r="B2367" s="4" t="s">
        <v>384</v>
      </c>
      <c r="C2367" s="4">
        <v>46</v>
      </c>
      <c r="D2367" s="4" t="s">
        <v>55</v>
      </c>
      <c r="E2367" s="4" t="s">
        <v>31</v>
      </c>
      <c r="F2367" s="4" t="s">
        <v>32</v>
      </c>
      <c r="G2367" s="5">
        <v>44612</v>
      </c>
      <c r="H2367" s="5">
        <v>44613</v>
      </c>
      <c r="I2367" s="4">
        <v>1</v>
      </c>
      <c r="J2367" s="4" t="s">
        <v>115</v>
      </c>
      <c r="K2367" s="4" t="s">
        <v>160</v>
      </c>
      <c r="L2367" s="4" t="s">
        <v>117</v>
      </c>
      <c r="M2367" s="4" t="s">
        <v>95</v>
      </c>
      <c r="N2367" s="4" t="s">
        <v>37</v>
      </c>
      <c r="O2367" s="4" t="s">
        <v>1000</v>
      </c>
      <c r="P2367" s="4">
        <v>140</v>
      </c>
      <c r="Q2367" s="4" t="s">
        <v>103</v>
      </c>
      <c r="R2367" s="4" t="s">
        <v>136</v>
      </c>
      <c r="S2367" s="4">
        <v>35292</v>
      </c>
      <c r="T2367" s="4">
        <v>0</v>
      </c>
      <c r="U2367" s="4">
        <v>35292</v>
      </c>
      <c r="V2367" s="4">
        <v>22602</v>
      </c>
      <c r="W2367" s="4">
        <v>7253</v>
      </c>
      <c r="X2367" s="4">
        <v>4364</v>
      </c>
      <c r="Y2367" s="4" t="s">
        <v>41</v>
      </c>
      <c r="Z2367" s="4">
        <v>62</v>
      </c>
      <c r="AA2367" s="4">
        <v>2.2999999999999998</v>
      </c>
      <c r="AB2367" s="4" t="s">
        <v>137</v>
      </c>
    </row>
    <row r="2368" spans="1:28" x14ac:dyDescent="0.25">
      <c r="A2368" s="2" t="s">
        <v>3172</v>
      </c>
      <c r="B2368" s="2" t="s">
        <v>253</v>
      </c>
      <c r="C2368" s="2">
        <v>83</v>
      </c>
      <c r="D2368" s="2" t="s">
        <v>30</v>
      </c>
      <c r="E2368" s="2" t="s">
        <v>79</v>
      </c>
      <c r="F2368" s="2" t="s">
        <v>129</v>
      </c>
      <c r="G2368" s="3">
        <v>44850</v>
      </c>
      <c r="H2368" s="3">
        <v>44864</v>
      </c>
      <c r="I2368" s="2">
        <v>14</v>
      </c>
      <c r="J2368" s="2" t="s">
        <v>33</v>
      </c>
      <c r="K2368" s="2" t="s">
        <v>81</v>
      </c>
      <c r="L2368" s="2" t="s">
        <v>82</v>
      </c>
      <c r="M2368" s="2" t="s">
        <v>36</v>
      </c>
      <c r="N2368" s="2" t="s">
        <v>118</v>
      </c>
      <c r="O2368" s="2" t="s">
        <v>543</v>
      </c>
      <c r="P2368" s="2">
        <v>10</v>
      </c>
      <c r="Q2368" s="2" t="s">
        <v>69</v>
      </c>
      <c r="R2368" s="2" t="s">
        <v>40</v>
      </c>
      <c r="S2368" s="2">
        <v>121504</v>
      </c>
      <c r="T2368" s="2">
        <v>57596</v>
      </c>
      <c r="U2368" s="2">
        <v>63908</v>
      </c>
      <c r="V2368" s="2">
        <v>86574</v>
      </c>
      <c r="W2368" s="2">
        <v>23656</v>
      </c>
      <c r="X2368" s="2">
        <v>9812</v>
      </c>
      <c r="Y2368" s="2" t="s">
        <v>41</v>
      </c>
      <c r="Z2368" s="2">
        <v>64</v>
      </c>
      <c r="AA2368" s="2">
        <v>3.9</v>
      </c>
      <c r="AB2368" s="2" t="s">
        <v>64</v>
      </c>
    </row>
    <row r="2369" spans="1:28" x14ac:dyDescent="0.25">
      <c r="A2369" s="4" t="s">
        <v>3173</v>
      </c>
      <c r="B2369" s="4" t="s">
        <v>1283</v>
      </c>
      <c r="C2369" s="4">
        <v>60</v>
      </c>
      <c r="D2369" s="4" t="s">
        <v>30</v>
      </c>
      <c r="E2369" s="4" t="s">
        <v>56</v>
      </c>
      <c r="F2369" s="4" t="s">
        <v>32</v>
      </c>
      <c r="G2369" s="5">
        <v>45383</v>
      </c>
      <c r="H2369" s="5">
        <v>45393</v>
      </c>
      <c r="I2369" s="4">
        <v>10</v>
      </c>
      <c r="J2369" s="4" t="s">
        <v>33</v>
      </c>
      <c r="K2369" s="4" t="s">
        <v>81</v>
      </c>
      <c r="L2369" s="4" t="s">
        <v>82</v>
      </c>
      <c r="M2369" s="4" t="s">
        <v>95</v>
      </c>
      <c r="N2369" s="4" t="s">
        <v>62</v>
      </c>
      <c r="O2369" s="4" t="s">
        <v>399</v>
      </c>
      <c r="P2369" s="4">
        <v>87</v>
      </c>
      <c r="Q2369" s="4" t="s">
        <v>39</v>
      </c>
      <c r="R2369" s="4" t="s">
        <v>51</v>
      </c>
      <c r="S2369" s="4">
        <v>54472</v>
      </c>
      <c r="T2369" s="4">
        <v>33014</v>
      </c>
      <c r="U2369" s="4">
        <v>21458</v>
      </c>
      <c r="V2369" s="4">
        <v>40565</v>
      </c>
      <c r="W2369" s="4">
        <v>7964</v>
      </c>
      <c r="X2369" s="4">
        <v>2780</v>
      </c>
      <c r="Y2369" s="4" t="s">
        <v>41</v>
      </c>
      <c r="Z2369" s="4">
        <v>72</v>
      </c>
      <c r="AA2369" s="4">
        <v>4</v>
      </c>
      <c r="AB2369" s="4" t="s">
        <v>64</v>
      </c>
    </row>
    <row r="2370" spans="1:28" x14ac:dyDescent="0.25">
      <c r="A2370" s="2" t="s">
        <v>3174</v>
      </c>
      <c r="B2370" s="2" t="s">
        <v>54</v>
      </c>
      <c r="C2370" s="2">
        <v>62</v>
      </c>
      <c r="D2370" s="2" t="s">
        <v>55</v>
      </c>
      <c r="E2370" s="2" t="s">
        <v>79</v>
      </c>
      <c r="F2370" s="2" t="s">
        <v>72</v>
      </c>
      <c r="G2370" s="3">
        <v>45394</v>
      </c>
      <c r="H2370" s="3">
        <v>45406</v>
      </c>
      <c r="I2370" s="2">
        <v>12</v>
      </c>
      <c r="J2370" s="2" t="s">
        <v>33</v>
      </c>
      <c r="K2370" s="2" t="s">
        <v>107</v>
      </c>
      <c r="L2370" s="2" t="s">
        <v>48</v>
      </c>
      <c r="M2370" s="2" t="s">
        <v>95</v>
      </c>
      <c r="N2370" s="2" t="s">
        <v>109</v>
      </c>
      <c r="O2370" s="2" t="s">
        <v>627</v>
      </c>
      <c r="P2370" s="2">
        <v>91</v>
      </c>
      <c r="Q2370" s="2" t="s">
        <v>69</v>
      </c>
      <c r="R2370" s="2" t="s">
        <v>51</v>
      </c>
      <c r="S2370" s="2">
        <v>151449</v>
      </c>
      <c r="T2370" s="2">
        <v>73946</v>
      </c>
      <c r="U2370" s="2">
        <v>77503</v>
      </c>
      <c r="V2370" s="2">
        <v>135075</v>
      </c>
      <c r="W2370" s="2">
        <v>1004</v>
      </c>
      <c r="X2370" s="2">
        <v>11696</v>
      </c>
      <c r="Y2370" s="2" t="s">
        <v>41</v>
      </c>
      <c r="Z2370" s="2">
        <v>58</v>
      </c>
      <c r="AA2370" s="2">
        <v>2.2999999999999998</v>
      </c>
      <c r="AB2370" s="2" t="s">
        <v>64</v>
      </c>
    </row>
    <row r="2371" spans="1:28" x14ac:dyDescent="0.25">
      <c r="A2371" s="4" t="s">
        <v>3175</v>
      </c>
      <c r="B2371" s="4" t="s">
        <v>270</v>
      </c>
      <c r="C2371" s="4">
        <v>46</v>
      </c>
      <c r="D2371" s="4" t="s">
        <v>30</v>
      </c>
      <c r="E2371" s="4" t="s">
        <v>122</v>
      </c>
      <c r="F2371" s="4" t="s">
        <v>129</v>
      </c>
      <c r="G2371" s="5">
        <v>45193</v>
      </c>
      <c r="H2371" s="5">
        <v>45202</v>
      </c>
      <c r="I2371" s="4">
        <v>9</v>
      </c>
      <c r="J2371" s="4" t="s">
        <v>33</v>
      </c>
      <c r="K2371" s="4" t="s">
        <v>107</v>
      </c>
      <c r="L2371" s="4" t="s">
        <v>48</v>
      </c>
      <c r="M2371" s="4" t="s">
        <v>61</v>
      </c>
      <c r="N2371" s="4" t="s">
        <v>62</v>
      </c>
      <c r="O2371" s="4" t="s">
        <v>343</v>
      </c>
      <c r="P2371" s="4">
        <v>8</v>
      </c>
      <c r="Q2371" s="4" t="s">
        <v>69</v>
      </c>
      <c r="R2371" s="4" t="s">
        <v>111</v>
      </c>
      <c r="S2371" s="4">
        <v>71561</v>
      </c>
      <c r="T2371" s="4">
        <v>63517</v>
      </c>
      <c r="U2371" s="4">
        <v>8044</v>
      </c>
      <c r="V2371" s="4">
        <v>56596</v>
      </c>
      <c r="W2371" s="4">
        <v>5644</v>
      </c>
      <c r="X2371" s="4">
        <v>8650</v>
      </c>
      <c r="Y2371" s="4" t="s">
        <v>41</v>
      </c>
      <c r="Z2371" s="4">
        <v>76</v>
      </c>
      <c r="AA2371" s="4">
        <v>2.2999999999999998</v>
      </c>
      <c r="AB2371" s="4" t="s">
        <v>104</v>
      </c>
    </row>
    <row r="2372" spans="1:28" x14ac:dyDescent="0.25">
      <c r="A2372" s="2" t="s">
        <v>3176</v>
      </c>
      <c r="B2372" s="2" t="s">
        <v>2813</v>
      </c>
      <c r="C2372" s="2">
        <v>49</v>
      </c>
      <c r="D2372" s="2" t="s">
        <v>55</v>
      </c>
      <c r="E2372" s="2" t="s">
        <v>67</v>
      </c>
      <c r="F2372" s="2" t="s">
        <v>72</v>
      </c>
      <c r="G2372" s="3">
        <v>45374</v>
      </c>
      <c r="H2372" s="3">
        <v>45381</v>
      </c>
      <c r="I2372" s="2">
        <v>7</v>
      </c>
      <c r="J2372" s="2" t="s">
        <v>33</v>
      </c>
      <c r="K2372" s="2" t="s">
        <v>81</v>
      </c>
      <c r="L2372" s="2" t="s">
        <v>82</v>
      </c>
      <c r="M2372" s="2" t="s">
        <v>143</v>
      </c>
      <c r="N2372" s="2" t="s">
        <v>37</v>
      </c>
      <c r="O2372" s="2" t="s">
        <v>509</v>
      </c>
      <c r="P2372" s="2">
        <v>96</v>
      </c>
      <c r="Q2372" s="2" t="s">
        <v>103</v>
      </c>
      <c r="R2372" s="2" t="s">
        <v>136</v>
      </c>
      <c r="S2372" s="2">
        <v>104957</v>
      </c>
      <c r="T2372" s="2">
        <v>0</v>
      </c>
      <c r="U2372" s="2">
        <v>104957</v>
      </c>
      <c r="V2372" s="2">
        <v>87127</v>
      </c>
      <c r="W2372" s="2">
        <v>10335</v>
      </c>
      <c r="X2372" s="2">
        <v>3821</v>
      </c>
      <c r="Y2372" s="2" t="s">
        <v>41</v>
      </c>
      <c r="Z2372" s="2">
        <v>72</v>
      </c>
      <c r="AA2372" s="2">
        <v>3.9</v>
      </c>
      <c r="AB2372" s="2" t="s">
        <v>137</v>
      </c>
    </row>
    <row r="2373" spans="1:28" x14ac:dyDescent="0.25">
      <c r="A2373" s="4" t="s">
        <v>3177</v>
      </c>
      <c r="B2373" s="4" t="s">
        <v>1087</v>
      </c>
      <c r="C2373" s="4">
        <v>66</v>
      </c>
      <c r="D2373" s="4" t="s">
        <v>30</v>
      </c>
      <c r="E2373" s="4" t="s">
        <v>67</v>
      </c>
      <c r="F2373" s="4" t="s">
        <v>150</v>
      </c>
      <c r="G2373" s="5">
        <v>44942</v>
      </c>
      <c r="H2373" s="5">
        <v>44955</v>
      </c>
      <c r="I2373" s="4">
        <v>13</v>
      </c>
      <c r="J2373" s="4" t="s">
        <v>33</v>
      </c>
      <c r="K2373" s="4" t="s">
        <v>233</v>
      </c>
      <c r="L2373" s="4" t="s">
        <v>35</v>
      </c>
      <c r="M2373" s="4" t="s">
        <v>108</v>
      </c>
      <c r="N2373" s="4" t="s">
        <v>109</v>
      </c>
      <c r="O2373" s="4" t="s">
        <v>396</v>
      </c>
      <c r="P2373" s="4">
        <v>354</v>
      </c>
      <c r="Q2373" s="4" t="s">
        <v>39</v>
      </c>
      <c r="R2373" s="4" t="s">
        <v>40</v>
      </c>
      <c r="S2373" s="4">
        <v>78274</v>
      </c>
      <c r="T2373" s="4">
        <v>50372</v>
      </c>
      <c r="U2373" s="4">
        <v>27902</v>
      </c>
      <c r="V2373" s="4">
        <v>62828</v>
      </c>
      <c r="W2373" s="4">
        <v>5344</v>
      </c>
      <c r="X2373" s="4">
        <v>8498</v>
      </c>
      <c r="Y2373" s="4" t="s">
        <v>41</v>
      </c>
      <c r="Z2373" s="4">
        <v>40</v>
      </c>
      <c r="AA2373" s="4">
        <v>2.5</v>
      </c>
      <c r="AB2373" s="4" t="s">
        <v>137</v>
      </c>
    </row>
    <row r="2374" spans="1:28" x14ac:dyDescent="0.25">
      <c r="A2374" s="2" t="s">
        <v>3178</v>
      </c>
      <c r="B2374" s="2" t="s">
        <v>258</v>
      </c>
      <c r="C2374" s="2">
        <v>20</v>
      </c>
      <c r="D2374" s="2" t="s">
        <v>30</v>
      </c>
      <c r="E2374" s="2" t="s">
        <v>56</v>
      </c>
      <c r="F2374" s="2" t="s">
        <v>46</v>
      </c>
      <c r="G2374" s="3">
        <v>45141</v>
      </c>
      <c r="H2374" s="3">
        <v>45161</v>
      </c>
      <c r="I2374" s="2">
        <v>20</v>
      </c>
      <c r="J2374" s="2" t="s">
        <v>33</v>
      </c>
      <c r="K2374" s="2" t="s">
        <v>34</v>
      </c>
      <c r="L2374" s="2" t="s">
        <v>35</v>
      </c>
      <c r="M2374" s="2" t="s">
        <v>95</v>
      </c>
      <c r="N2374" s="2" t="s">
        <v>62</v>
      </c>
      <c r="O2374" s="2" t="s">
        <v>110</v>
      </c>
      <c r="P2374" s="2">
        <v>182</v>
      </c>
      <c r="Q2374" s="2" t="s">
        <v>103</v>
      </c>
      <c r="R2374" s="2" t="s">
        <v>90</v>
      </c>
      <c r="S2374" s="2">
        <v>142608</v>
      </c>
      <c r="T2374" s="2">
        <v>108869</v>
      </c>
      <c r="U2374" s="2">
        <v>33739</v>
      </c>
      <c r="V2374" s="2">
        <v>114001</v>
      </c>
      <c r="W2374" s="2">
        <v>25216</v>
      </c>
      <c r="X2374" s="2">
        <v>1181</v>
      </c>
      <c r="Y2374" s="2" t="s">
        <v>41</v>
      </c>
      <c r="Z2374" s="2">
        <v>60</v>
      </c>
      <c r="AA2374" s="2">
        <v>4.9000000000000004</v>
      </c>
      <c r="AB2374" s="2" t="s">
        <v>64</v>
      </c>
    </row>
    <row r="2375" spans="1:28" x14ac:dyDescent="0.25">
      <c r="A2375" s="4" t="s">
        <v>3179</v>
      </c>
      <c r="B2375" s="4" t="s">
        <v>1698</v>
      </c>
      <c r="C2375" s="4">
        <v>58</v>
      </c>
      <c r="D2375" s="4" t="s">
        <v>55</v>
      </c>
      <c r="E2375" s="4" t="s">
        <v>154</v>
      </c>
      <c r="F2375" s="4" t="s">
        <v>94</v>
      </c>
      <c r="G2375" s="5">
        <v>45500</v>
      </c>
      <c r="H2375" s="5">
        <v>45519</v>
      </c>
      <c r="I2375" s="4">
        <v>19</v>
      </c>
      <c r="J2375" s="4" t="s">
        <v>33</v>
      </c>
      <c r="K2375" s="4" t="s">
        <v>47</v>
      </c>
      <c r="L2375" s="4" t="s">
        <v>48</v>
      </c>
      <c r="M2375" s="4" t="s">
        <v>36</v>
      </c>
      <c r="N2375" s="4" t="s">
        <v>118</v>
      </c>
      <c r="O2375" s="4" t="s">
        <v>76</v>
      </c>
      <c r="P2375" s="4">
        <v>290</v>
      </c>
      <c r="Q2375" s="4" t="s">
        <v>103</v>
      </c>
      <c r="R2375" s="4" t="s">
        <v>111</v>
      </c>
      <c r="S2375" s="4">
        <v>54795</v>
      </c>
      <c r="T2375" s="4">
        <v>43080</v>
      </c>
      <c r="U2375" s="4">
        <v>11715</v>
      </c>
      <c r="V2375" s="4">
        <v>23333</v>
      </c>
      <c r="W2375" s="4">
        <v>23033</v>
      </c>
      <c r="X2375" s="4">
        <v>6539</v>
      </c>
      <c r="Y2375" s="4" t="s">
        <v>41</v>
      </c>
      <c r="Z2375" s="4">
        <v>86</v>
      </c>
      <c r="AA2375" s="4">
        <v>3</v>
      </c>
      <c r="AB2375" s="4" t="s">
        <v>137</v>
      </c>
    </row>
    <row r="2376" spans="1:28" x14ac:dyDescent="0.25">
      <c r="A2376" s="2" t="s">
        <v>3180</v>
      </c>
      <c r="B2376" s="2" t="s">
        <v>3181</v>
      </c>
      <c r="C2376" s="2">
        <v>10</v>
      </c>
      <c r="D2376" s="2" t="s">
        <v>30</v>
      </c>
      <c r="E2376" s="2" t="s">
        <v>122</v>
      </c>
      <c r="F2376" s="2" t="s">
        <v>114</v>
      </c>
      <c r="G2376" s="3">
        <v>44592</v>
      </c>
      <c r="H2376" s="3">
        <v>44599</v>
      </c>
      <c r="I2376" s="2">
        <v>7</v>
      </c>
      <c r="J2376" s="2" t="s">
        <v>33</v>
      </c>
      <c r="K2376" s="2" t="s">
        <v>197</v>
      </c>
      <c r="L2376" s="2" t="s">
        <v>198</v>
      </c>
      <c r="M2376" s="2" t="s">
        <v>134</v>
      </c>
      <c r="N2376" s="2" t="s">
        <v>37</v>
      </c>
      <c r="O2376" s="2" t="s">
        <v>580</v>
      </c>
      <c r="P2376" s="2">
        <v>95</v>
      </c>
      <c r="Q2376" s="2" t="s">
        <v>69</v>
      </c>
      <c r="R2376" s="2" t="s">
        <v>40</v>
      </c>
      <c r="S2376" s="2">
        <v>138384</v>
      </c>
      <c r="T2376" s="2">
        <v>92881</v>
      </c>
      <c r="U2376" s="2">
        <v>45503</v>
      </c>
      <c r="V2376" s="2">
        <v>127880</v>
      </c>
      <c r="W2376" s="2">
        <v>7965</v>
      </c>
      <c r="X2376" s="2">
        <v>901</v>
      </c>
      <c r="Y2376" s="2" t="s">
        <v>41</v>
      </c>
      <c r="Z2376" s="2">
        <v>80</v>
      </c>
      <c r="AA2376" s="2">
        <v>4.4000000000000004</v>
      </c>
      <c r="AB2376" s="2" t="s">
        <v>52</v>
      </c>
    </row>
    <row r="2377" spans="1:28" x14ac:dyDescent="0.25">
      <c r="A2377" s="4" t="s">
        <v>3182</v>
      </c>
      <c r="B2377" s="4" t="s">
        <v>1346</v>
      </c>
      <c r="C2377" s="4">
        <v>47</v>
      </c>
      <c r="D2377" s="4" t="s">
        <v>55</v>
      </c>
      <c r="E2377" s="4" t="s">
        <v>154</v>
      </c>
      <c r="F2377" s="4" t="s">
        <v>72</v>
      </c>
      <c r="G2377" s="5">
        <v>44877</v>
      </c>
      <c r="H2377" s="5">
        <v>44879</v>
      </c>
      <c r="I2377" s="4">
        <v>2</v>
      </c>
      <c r="J2377" s="4" t="s">
        <v>33</v>
      </c>
      <c r="K2377" s="4" t="s">
        <v>107</v>
      </c>
      <c r="L2377" s="4" t="s">
        <v>48</v>
      </c>
      <c r="M2377" s="4" t="s">
        <v>143</v>
      </c>
      <c r="N2377" s="4" t="s">
        <v>109</v>
      </c>
      <c r="O2377" s="4" t="s">
        <v>1038</v>
      </c>
      <c r="P2377" s="4">
        <v>125</v>
      </c>
      <c r="Q2377" s="4" t="s">
        <v>50</v>
      </c>
      <c r="R2377" s="4" t="s">
        <v>51</v>
      </c>
      <c r="S2377" s="4">
        <v>61746</v>
      </c>
      <c r="T2377" s="4">
        <v>36133</v>
      </c>
      <c r="U2377" s="4">
        <v>25613</v>
      </c>
      <c r="V2377" s="4">
        <v>44347</v>
      </c>
      <c r="W2377" s="4">
        <v>8293</v>
      </c>
      <c r="X2377" s="4">
        <v>4175</v>
      </c>
      <c r="Y2377" s="4" t="s">
        <v>41</v>
      </c>
      <c r="Z2377" s="4">
        <v>46</v>
      </c>
      <c r="AA2377" s="4">
        <v>4.0999999999999996</v>
      </c>
      <c r="AB2377" s="4" t="s">
        <v>64</v>
      </c>
    </row>
    <row r="2378" spans="1:28" x14ac:dyDescent="0.25">
      <c r="A2378" s="2" t="s">
        <v>3183</v>
      </c>
      <c r="B2378" s="2" t="s">
        <v>2425</v>
      </c>
      <c r="C2378" s="2">
        <v>79</v>
      </c>
      <c r="D2378" s="2" t="s">
        <v>30</v>
      </c>
      <c r="E2378" s="2" t="s">
        <v>87</v>
      </c>
      <c r="F2378" s="2" t="s">
        <v>32</v>
      </c>
      <c r="G2378" s="3">
        <v>45499</v>
      </c>
      <c r="H2378" s="3">
        <v>45519</v>
      </c>
      <c r="I2378" s="2">
        <v>20</v>
      </c>
      <c r="J2378" s="2" t="s">
        <v>123</v>
      </c>
      <c r="K2378" s="2" t="s">
        <v>124</v>
      </c>
      <c r="L2378" s="2" t="s">
        <v>125</v>
      </c>
      <c r="M2378" s="2" t="s">
        <v>75</v>
      </c>
      <c r="N2378" s="2" t="s">
        <v>37</v>
      </c>
      <c r="O2378" s="2" t="s">
        <v>448</v>
      </c>
      <c r="P2378" s="2">
        <v>483</v>
      </c>
      <c r="Q2378" s="2" t="s">
        <v>39</v>
      </c>
      <c r="R2378" s="2" t="s">
        <v>40</v>
      </c>
      <c r="S2378" s="2">
        <v>122680</v>
      </c>
      <c r="T2378" s="2">
        <v>55783</v>
      </c>
      <c r="U2378" s="2">
        <v>66897</v>
      </c>
      <c r="V2378" s="2">
        <v>107629</v>
      </c>
      <c r="W2378" s="2">
        <v>1251</v>
      </c>
      <c r="X2378" s="2">
        <v>10900</v>
      </c>
      <c r="Y2378" s="2" t="s">
        <v>41</v>
      </c>
      <c r="Z2378" s="2">
        <v>64</v>
      </c>
      <c r="AA2378" s="2">
        <v>4.4000000000000004</v>
      </c>
      <c r="AB2378" s="2" t="s">
        <v>137</v>
      </c>
    </row>
    <row r="2379" spans="1:28" x14ac:dyDescent="0.25">
      <c r="A2379" s="4" t="s">
        <v>3184</v>
      </c>
      <c r="B2379" s="4" t="s">
        <v>1034</v>
      </c>
      <c r="C2379" s="4">
        <v>43</v>
      </c>
      <c r="D2379" s="4" t="s">
        <v>30</v>
      </c>
      <c r="E2379" s="4" t="s">
        <v>79</v>
      </c>
      <c r="F2379" s="4" t="s">
        <v>94</v>
      </c>
      <c r="G2379" s="5">
        <v>45333</v>
      </c>
      <c r="H2379" s="5">
        <v>45344</v>
      </c>
      <c r="I2379" s="4">
        <v>11</v>
      </c>
      <c r="J2379" s="4" t="s">
        <v>33</v>
      </c>
      <c r="K2379" s="4" t="s">
        <v>107</v>
      </c>
      <c r="L2379" s="4" t="s">
        <v>48</v>
      </c>
      <c r="M2379" s="4" t="s">
        <v>61</v>
      </c>
      <c r="N2379" s="4" t="s">
        <v>62</v>
      </c>
      <c r="O2379" s="4" t="s">
        <v>175</v>
      </c>
      <c r="P2379" s="4">
        <v>420</v>
      </c>
      <c r="Q2379" s="4" t="s">
        <v>69</v>
      </c>
      <c r="R2379" s="4" t="s">
        <v>111</v>
      </c>
      <c r="S2379" s="4">
        <v>155001</v>
      </c>
      <c r="T2379" s="4">
        <v>130642</v>
      </c>
      <c r="U2379" s="4">
        <v>24359</v>
      </c>
      <c r="V2379" s="4">
        <v>143369</v>
      </c>
      <c r="W2379" s="4">
        <v>3116</v>
      </c>
      <c r="X2379" s="4">
        <v>5569</v>
      </c>
      <c r="Y2379" s="4" t="s">
        <v>41</v>
      </c>
      <c r="Z2379" s="4">
        <v>47</v>
      </c>
      <c r="AA2379" s="4">
        <v>3.8</v>
      </c>
      <c r="AB2379" s="4" t="s">
        <v>137</v>
      </c>
    </row>
    <row r="2380" spans="1:28" x14ac:dyDescent="0.25">
      <c r="A2380" s="2" t="s">
        <v>3185</v>
      </c>
      <c r="B2380" s="2" t="s">
        <v>146</v>
      </c>
      <c r="C2380" s="2">
        <v>27</v>
      </c>
      <c r="D2380" s="2" t="s">
        <v>55</v>
      </c>
      <c r="E2380" s="2" t="s">
        <v>56</v>
      </c>
      <c r="F2380" s="2" t="s">
        <v>32</v>
      </c>
      <c r="G2380" s="3">
        <v>44582</v>
      </c>
      <c r="H2380" s="3">
        <v>44607</v>
      </c>
      <c r="I2380" s="2">
        <v>25</v>
      </c>
      <c r="J2380" s="2" t="s">
        <v>123</v>
      </c>
      <c r="K2380" s="2" t="s">
        <v>251</v>
      </c>
      <c r="L2380" s="2" t="s">
        <v>125</v>
      </c>
      <c r="M2380" s="2" t="s">
        <v>134</v>
      </c>
      <c r="N2380" s="2" t="s">
        <v>109</v>
      </c>
      <c r="O2380" s="2" t="s">
        <v>89</v>
      </c>
      <c r="P2380" s="2">
        <v>62</v>
      </c>
      <c r="Q2380" s="2" t="s">
        <v>50</v>
      </c>
      <c r="R2380" s="2" t="s">
        <v>90</v>
      </c>
      <c r="S2380" s="2">
        <v>167894</v>
      </c>
      <c r="T2380" s="2">
        <v>136032</v>
      </c>
      <c r="U2380" s="2">
        <v>31862</v>
      </c>
      <c r="V2380" s="2">
        <v>149103</v>
      </c>
      <c r="W2380" s="2">
        <v>4807</v>
      </c>
      <c r="X2380" s="2">
        <v>12866</v>
      </c>
      <c r="Y2380" s="2" t="s">
        <v>41</v>
      </c>
      <c r="Z2380" s="2">
        <v>77</v>
      </c>
      <c r="AA2380" s="2">
        <v>3.2</v>
      </c>
      <c r="AB2380" s="2" t="s">
        <v>64</v>
      </c>
    </row>
    <row r="2381" spans="1:28" x14ac:dyDescent="0.25">
      <c r="A2381" s="4" t="s">
        <v>3186</v>
      </c>
      <c r="B2381" s="4" t="s">
        <v>1321</v>
      </c>
      <c r="C2381" s="4">
        <v>5</v>
      </c>
      <c r="D2381" s="4" t="s">
        <v>30</v>
      </c>
      <c r="E2381" s="4" t="s">
        <v>79</v>
      </c>
      <c r="F2381" s="4" t="s">
        <v>72</v>
      </c>
      <c r="G2381" s="5">
        <v>45257</v>
      </c>
      <c r="H2381" s="5">
        <v>45259</v>
      </c>
      <c r="I2381" s="4">
        <v>2</v>
      </c>
      <c r="J2381" s="4" t="s">
        <v>58</v>
      </c>
      <c r="K2381" s="4" t="s">
        <v>59</v>
      </c>
      <c r="L2381" s="4" t="s">
        <v>60</v>
      </c>
      <c r="M2381" s="4" t="s">
        <v>61</v>
      </c>
      <c r="N2381" s="4" t="s">
        <v>109</v>
      </c>
      <c r="O2381" s="4" t="s">
        <v>227</v>
      </c>
      <c r="P2381" s="4">
        <v>423</v>
      </c>
      <c r="Q2381" s="4" t="s">
        <v>39</v>
      </c>
      <c r="R2381" s="4" t="s">
        <v>51</v>
      </c>
      <c r="S2381" s="4">
        <v>29049</v>
      </c>
      <c r="T2381" s="4">
        <v>14068</v>
      </c>
      <c r="U2381" s="4">
        <v>14981</v>
      </c>
      <c r="V2381" s="4">
        <v>6565</v>
      </c>
      <c r="W2381" s="4">
        <v>5655</v>
      </c>
      <c r="X2381" s="4">
        <v>12069</v>
      </c>
      <c r="Y2381" s="4" t="s">
        <v>41</v>
      </c>
      <c r="Z2381" s="4">
        <v>56</v>
      </c>
      <c r="AA2381" s="4">
        <v>4.3</v>
      </c>
      <c r="AB2381" s="4" t="s">
        <v>104</v>
      </c>
    </row>
    <row r="2382" spans="1:28" x14ac:dyDescent="0.25">
      <c r="A2382" s="2" t="s">
        <v>3187</v>
      </c>
      <c r="B2382" s="2" t="s">
        <v>668</v>
      </c>
      <c r="C2382" s="2">
        <v>16</v>
      </c>
      <c r="D2382" s="2" t="s">
        <v>30</v>
      </c>
      <c r="E2382" s="2" t="s">
        <v>31</v>
      </c>
      <c r="F2382" s="2" t="s">
        <v>114</v>
      </c>
      <c r="G2382" s="3">
        <v>44928</v>
      </c>
      <c r="H2382" s="3">
        <v>44937</v>
      </c>
      <c r="I2382" s="2">
        <v>9</v>
      </c>
      <c r="J2382" s="2" t="s">
        <v>33</v>
      </c>
      <c r="K2382" s="2" t="s">
        <v>197</v>
      </c>
      <c r="L2382" s="2" t="s">
        <v>198</v>
      </c>
      <c r="M2382" s="2" t="s">
        <v>75</v>
      </c>
      <c r="N2382" s="2" t="s">
        <v>118</v>
      </c>
      <c r="O2382" s="2" t="s">
        <v>230</v>
      </c>
      <c r="P2382" s="2">
        <v>120</v>
      </c>
      <c r="Q2382" s="2" t="s">
        <v>39</v>
      </c>
      <c r="R2382" s="2" t="s">
        <v>40</v>
      </c>
      <c r="S2382" s="2">
        <v>150250</v>
      </c>
      <c r="T2382" s="2">
        <v>60729</v>
      </c>
      <c r="U2382" s="2">
        <v>89521</v>
      </c>
      <c r="V2382" s="2">
        <v>137628</v>
      </c>
      <c r="W2382" s="2">
        <v>4400</v>
      </c>
      <c r="X2382" s="2">
        <v>3708</v>
      </c>
      <c r="Y2382" s="2" t="s">
        <v>41</v>
      </c>
      <c r="Z2382" s="2">
        <v>60</v>
      </c>
      <c r="AA2382" s="2">
        <v>3.4</v>
      </c>
      <c r="AB2382" s="2" t="s">
        <v>52</v>
      </c>
    </row>
    <row r="2383" spans="1:28" x14ac:dyDescent="0.25">
      <c r="A2383" s="4" t="s">
        <v>3188</v>
      </c>
      <c r="B2383" s="4" t="s">
        <v>98</v>
      </c>
      <c r="C2383" s="4">
        <v>36</v>
      </c>
      <c r="D2383" s="4" t="s">
        <v>30</v>
      </c>
      <c r="E2383" s="4" t="s">
        <v>67</v>
      </c>
      <c r="F2383" s="4" t="s">
        <v>129</v>
      </c>
      <c r="G2383" s="5">
        <v>44920</v>
      </c>
      <c r="H2383" s="5">
        <v>44934</v>
      </c>
      <c r="I2383" s="4">
        <v>14</v>
      </c>
      <c r="J2383" s="4" t="s">
        <v>33</v>
      </c>
      <c r="K2383" s="4" t="s">
        <v>47</v>
      </c>
      <c r="L2383" s="4" t="s">
        <v>48</v>
      </c>
      <c r="M2383" s="4" t="s">
        <v>134</v>
      </c>
      <c r="N2383" s="4" t="s">
        <v>62</v>
      </c>
      <c r="O2383" s="4" t="s">
        <v>355</v>
      </c>
      <c r="P2383" s="4">
        <v>185</v>
      </c>
      <c r="Q2383" s="4" t="s">
        <v>39</v>
      </c>
      <c r="R2383" s="4" t="s">
        <v>51</v>
      </c>
      <c r="S2383" s="4">
        <v>118153</v>
      </c>
      <c r="T2383" s="4">
        <v>55565</v>
      </c>
      <c r="U2383" s="4">
        <v>62588</v>
      </c>
      <c r="V2383" s="4">
        <v>96730</v>
      </c>
      <c r="W2383" s="4">
        <v>3741</v>
      </c>
      <c r="X2383" s="4">
        <v>13647</v>
      </c>
      <c r="Y2383" s="4" t="s">
        <v>41</v>
      </c>
      <c r="Z2383" s="4">
        <v>44</v>
      </c>
      <c r="AA2383" s="4">
        <v>5</v>
      </c>
      <c r="AB2383" s="4" t="s">
        <v>104</v>
      </c>
    </row>
    <row r="2384" spans="1:28" x14ac:dyDescent="0.25">
      <c r="A2384" s="2" t="s">
        <v>3189</v>
      </c>
      <c r="B2384" s="2" t="s">
        <v>625</v>
      </c>
      <c r="C2384" s="2">
        <v>40</v>
      </c>
      <c r="D2384" s="2" t="s">
        <v>30</v>
      </c>
      <c r="E2384" s="2" t="s">
        <v>67</v>
      </c>
      <c r="F2384" s="2" t="s">
        <v>94</v>
      </c>
      <c r="G2384" s="3">
        <v>45124</v>
      </c>
      <c r="H2384" s="3">
        <v>45150</v>
      </c>
      <c r="I2384" s="2">
        <v>26</v>
      </c>
      <c r="J2384" s="2" t="s">
        <v>33</v>
      </c>
      <c r="K2384" s="2" t="s">
        <v>174</v>
      </c>
      <c r="L2384" s="2" t="s">
        <v>48</v>
      </c>
      <c r="M2384" s="2" t="s">
        <v>61</v>
      </c>
      <c r="N2384" s="2" t="s">
        <v>109</v>
      </c>
      <c r="O2384" s="2" t="s">
        <v>464</v>
      </c>
      <c r="P2384" s="2">
        <v>406</v>
      </c>
      <c r="Q2384" s="2" t="s">
        <v>69</v>
      </c>
      <c r="R2384" s="2" t="s">
        <v>90</v>
      </c>
      <c r="S2384" s="2">
        <v>91582</v>
      </c>
      <c r="T2384" s="2">
        <v>80773</v>
      </c>
      <c r="U2384" s="2">
        <v>10809</v>
      </c>
      <c r="V2384" s="2">
        <v>51597</v>
      </c>
      <c r="W2384" s="2">
        <v>28264</v>
      </c>
      <c r="X2384" s="2">
        <v>10394</v>
      </c>
      <c r="Y2384" s="2" t="s">
        <v>41</v>
      </c>
      <c r="Z2384" s="2">
        <v>94</v>
      </c>
      <c r="AA2384" s="2">
        <v>4.8</v>
      </c>
      <c r="AB2384" s="2" t="s">
        <v>52</v>
      </c>
    </row>
    <row r="2385" spans="1:28" x14ac:dyDescent="0.25">
      <c r="A2385" s="4" t="s">
        <v>3190</v>
      </c>
      <c r="B2385" s="4" t="s">
        <v>1078</v>
      </c>
      <c r="C2385" s="4">
        <v>17</v>
      </c>
      <c r="D2385" s="4" t="s">
        <v>30</v>
      </c>
      <c r="E2385" s="4" t="s">
        <v>56</v>
      </c>
      <c r="F2385" s="4" t="s">
        <v>157</v>
      </c>
      <c r="G2385" s="5">
        <v>44670</v>
      </c>
      <c r="H2385" s="5">
        <v>44674</v>
      </c>
      <c r="I2385" s="4">
        <v>4</v>
      </c>
      <c r="J2385" s="4" t="s">
        <v>58</v>
      </c>
      <c r="K2385" s="4" t="s">
        <v>59</v>
      </c>
      <c r="L2385" s="4" t="s">
        <v>60</v>
      </c>
      <c r="M2385" s="4" t="s">
        <v>130</v>
      </c>
      <c r="N2385" s="4" t="s">
        <v>109</v>
      </c>
      <c r="O2385" s="4" t="s">
        <v>627</v>
      </c>
      <c r="P2385" s="4">
        <v>128</v>
      </c>
      <c r="Q2385" s="4" t="s">
        <v>50</v>
      </c>
      <c r="R2385" s="4" t="s">
        <v>51</v>
      </c>
      <c r="S2385" s="4">
        <v>134666</v>
      </c>
      <c r="T2385" s="4">
        <v>77790</v>
      </c>
      <c r="U2385" s="4">
        <v>56876</v>
      </c>
      <c r="V2385" s="4">
        <v>109126</v>
      </c>
      <c r="W2385" s="4">
        <v>17691</v>
      </c>
      <c r="X2385" s="4">
        <v>3170</v>
      </c>
      <c r="Y2385" s="4" t="s">
        <v>91</v>
      </c>
      <c r="Z2385" s="4">
        <v>57</v>
      </c>
      <c r="AA2385" s="4">
        <v>4.9000000000000004</v>
      </c>
      <c r="AB2385" s="4" t="s">
        <v>42</v>
      </c>
    </row>
    <row r="2386" spans="1:28" x14ac:dyDescent="0.25">
      <c r="A2386" s="2" t="s">
        <v>3191</v>
      </c>
      <c r="B2386" s="2" t="s">
        <v>446</v>
      </c>
      <c r="C2386" s="2">
        <v>36</v>
      </c>
      <c r="D2386" s="2" t="s">
        <v>30</v>
      </c>
      <c r="E2386" s="2" t="s">
        <v>67</v>
      </c>
      <c r="F2386" s="2" t="s">
        <v>32</v>
      </c>
      <c r="G2386" s="3">
        <v>44729</v>
      </c>
      <c r="H2386" s="3">
        <v>44742</v>
      </c>
      <c r="I2386" s="2">
        <v>13</v>
      </c>
      <c r="J2386" s="2" t="s">
        <v>33</v>
      </c>
      <c r="K2386" s="2" t="s">
        <v>174</v>
      </c>
      <c r="L2386" s="2" t="s">
        <v>48</v>
      </c>
      <c r="M2386" s="2" t="s">
        <v>108</v>
      </c>
      <c r="N2386" s="2" t="s">
        <v>62</v>
      </c>
      <c r="O2386" s="2" t="s">
        <v>331</v>
      </c>
      <c r="P2386" s="2">
        <v>49</v>
      </c>
      <c r="Q2386" s="2" t="s">
        <v>103</v>
      </c>
      <c r="R2386" s="2" t="s">
        <v>51</v>
      </c>
      <c r="S2386" s="2">
        <v>80291</v>
      </c>
      <c r="T2386" s="2">
        <v>53092</v>
      </c>
      <c r="U2386" s="2">
        <v>27199</v>
      </c>
      <c r="V2386" s="2">
        <v>52205</v>
      </c>
      <c r="W2386" s="2">
        <v>16176</v>
      </c>
      <c r="X2386" s="2">
        <v>9161</v>
      </c>
      <c r="Y2386" s="2" t="s">
        <v>41</v>
      </c>
      <c r="Z2386" s="2">
        <v>83</v>
      </c>
      <c r="AA2386" s="2">
        <v>4.4000000000000004</v>
      </c>
      <c r="AB2386" s="2" t="s">
        <v>104</v>
      </c>
    </row>
    <row r="2387" spans="1:28" x14ac:dyDescent="0.25">
      <c r="A2387" s="4" t="s">
        <v>3192</v>
      </c>
      <c r="B2387" s="4" t="s">
        <v>1353</v>
      </c>
      <c r="C2387" s="4">
        <v>83</v>
      </c>
      <c r="D2387" s="4" t="s">
        <v>55</v>
      </c>
      <c r="E2387" s="4" t="s">
        <v>31</v>
      </c>
      <c r="F2387" s="4" t="s">
        <v>46</v>
      </c>
      <c r="G2387" s="5">
        <v>45583</v>
      </c>
      <c r="H2387" s="5">
        <v>45605</v>
      </c>
      <c r="I2387" s="4">
        <v>22</v>
      </c>
      <c r="J2387" s="4" t="s">
        <v>33</v>
      </c>
      <c r="K2387" s="4" t="s">
        <v>107</v>
      </c>
      <c r="L2387" s="4" t="s">
        <v>48</v>
      </c>
      <c r="M2387" s="4" t="s">
        <v>95</v>
      </c>
      <c r="N2387" s="4" t="s">
        <v>62</v>
      </c>
      <c r="O2387" s="4" t="s">
        <v>428</v>
      </c>
      <c r="P2387" s="4">
        <v>243</v>
      </c>
      <c r="Q2387" s="4" t="s">
        <v>39</v>
      </c>
      <c r="R2387" s="4" t="s">
        <v>90</v>
      </c>
      <c r="S2387" s="4">
        <v>30905</v>
      </c>
      <c r="T2387" s="4">
        <v>27273</v>
      </c>
      <c r="U2387" s="4">
        <v>3632</v>
      </c>
      <c r="V2387" s="4">
        <v>13030</v>
      </c>
      <c r="W2387" s="4">
        <v>7054</v>
      </c>
      <c r="X2387" s="4">
        <v>8973</v>
      </c>
      <c r="Y2387" s="4" t="s">
        <v>41</v>
      </c>
      <c r="Z2387" s="4">
        <v>85</v>
      </c>
      <c r="AA2387" s="4">
        <v>2.2000000000000002</v>
      </c>
      <c r="AB2387" s="4" t="s">
        <v>52</v>
      </c>
    </row>
    <row r="2388" spans="1:28" x14ac:dyDescent="0.25">
      <c r="A2388" s="2" t="s">
        <v>3193</v>
      </c>
      <c r="B2388" s="2" t="s">
        <v>1904</v>
      </c>
      <c r="C2388" s="2">
        <v>27</v>
      </c>
      <c r="D2388" s="2" t="s">
        <v>30</v>
      </c>
      <c r="E2388" s="2" t="s">
        <v>56</v>
      </c>
      <c r="F2388" s="2" t="s">
        <v>46</v>
      </c>
      <c r="G2388" s="3">
        <v>45041</v>
      </c>
      <c r="H2388" s="3">
        <v>45042</v>
      </c>
      <c r="I2388" s="2">
        <v>1</v>
      </c>
      <c r="J2388" s="2" t="s">
        <v>140</v>
      </c>
      <c r="K2388" s="2" t="s">
        <v>167</v>
      </c>
      <c r="L2388" s="2" t="s">
        <v>142</v>
      </c>
      <c r="M2388" s="2" t="s">
        <v>134</v>
      </c>
      <c r="N2388" s="2" t="s">
        <v>37</v>
      </c>
      <c r="O2388" s="2" t="s">
        <v>271</v>
      </c>
      <c r="P2388" s="2">
        <v>273</v>
      </c>
      <c r="Q2388" s="2" t="s">
        <v>50</v>
      </c>
      <c r="R2388" s="2" t="s">
        <v>40</v>
      </c>
      <c r="S2388" s="2">
        <v>119896</v>
      </c>
      <c r="T2388" s="2">
        <v>58761</v>
      </c>
      <c r="U2388" s="2">
        <v>61135</v>
      </c>
      <c r="V2388" s="2">
        <v>90890</v>
      </c>
      <c r="W2388" s="2">
        <v>19435</v>
      </c>
      <c r="X2388" s="2">
        <v>7261</v>
      </c>
      <c r="Y2388" s="2" t="s">
        <v>41</v>
      </c>
      <c r="Z2388" s="2">
        <v>88</v>
      </c>
      <c r="AA2388" s="2">
        <v>2</v>
      </c>
      <c r="AB2388" s="2" t="s">
        <v>104</v>
      </c>
    </row>
    <row r="2389" spans="1:28" x14ac:dyDescent="0.25">
      <c r="A2389" s="4" t="s">
        <v>3194</v>
      </c>
      <c r="B2389" s="4" t="s">
        <v>270</v>
      </c>
      <c r="C2389" s="4">
        <v>80</v>
      </c>
      <c r="D2389" s="4" t="s">
        <v>30</v>
      </c>
      <c r="E2389" s="4" t="s">
        <v>67</v>
      </c>
      <c r="F2389" s="4" t="s">
        <v>94</v>
      </c>
      <c r="G2389" s="5">
        <v>45025</v>
      </c>
      <c r="H2389" s="5">
        <v>45033</v>
      </c>
      <c r="I2389" s="4">
        <v>8</v>
      </c>
      <c r="J2389" s="4" t="s">
        <v>140</v>
      </c>
      <c r="K2389" s="4" t="s">
        <v>167</v>
      </c>
      <c r="L2389" s="4" t="s">
        <v>142</v>
      </c>
      <c r="M2389" s="4" t="s">
        <v>130</v>
      </c>
      <c r="N2389" s="4" t="s">
        <v>62</v>
      </c>
      <c r="O2389" s="4" t="s">
        <v>438</v>
      </c>
      <c r="P2389" s="4">
        <v>317</v>
      </c>
      <c r="Q2389" s="4" t="s">
        <v>50</v>
      </c>
      <c r="R2389" s="4" t="s">
        <v>90</v>
      </c>
      <c r="S2389" s="4">
        <v>46878</v>
      </c>
      <c r="T2389" s="4">
        <v>31143</v>
      </c>
      <c r="U2389" s="4">
        <v>15735</v>
      </c>
      <c r="V2389" s="4">
        <v>27714</v>
      </c>
      <c r="W2389" s="4">
        <v>7491</v>
      </c>
      <c r="X2389" s="4">
        <v>10815</v>
      </c>
      <c r="Y2389" s="4" t="s">
        <v>41</v>
      </c>
      <c r="Z2389" s="4">
        <v>64</v>
      </c>
      <c r="AA2389" s="4">
        <v>4.5999999999999996</v>
      </c>
      <c r="AB2389" s="4" t="s">
        <v>104</v>
      </c>
    </row>
    <row r="2390" spans="1:28" x14ac:dyDescent="0.25">
      <c r="A2390" s="2" t="s">
        <v>3195</v>
      </c>
      <c r="B2390" s="2" t="s">
        <v>747</v>
      </c>
      <c r="C2390" s="2">
        <v>54</v>
      </c>
      <c r="D2390" s="2" t="s">
        <v>55</v>
      </c>
      <c r="E2390" s="2" t="s">
        <v>67</v>
      </c>
      <c r="F2390" s="2" t="s">
        <v>114</v>
      </c>
      <c r="G2390" s="3">
        <v>45110</v>
      </c>
      <c r="H2390" s="3">
        <v>45138</v>
      </c>
      <c r="I2390" s="2">
        <v>28</v>
      </c>
      <c r="J2390" s="2" t="s">
        <v>33</v>
      </c>
      <c r="K2390" s="2" t="s">
        <v>81</v>
      </c>
      <c r="L2390" s="2" t="s">
        <v>82</v>
      </c>
      <c r="M2390" s="2" t="s">
        <v>75</v>
      </c>
      <c r="N2390" s="2" t="s">
        <v>109</v>
      </c>
      <c r="O2390" s="2" t="s">
        <v>321</v>
      </c>
      <c r="P2390" s="2">
        <v>268</v>
      </c>
      <c r="Q2390" s="2" t="s">
        <v>103</v>
      </c>
      <c r="R2390" s="2" t="s">
        <v>40</v>
      </c>
      <c r="S2390" s="2">
        <v>173197</v>
      </c>
      <c r="T2390" s="2">
        <v>117010</v>
      </c>
      <c r="U2390" s="2">
        <v>56187</v>
      </c>
      <c r="V2390" s="2">
        <v>144180</v>
      </c>
      <c r="W2390" s="2">
        <v>11142</v>
      </c>
      <c r="X2390" s="2">
        <v>13089</v>
      </c>
      <c r="Y2390" s="2" t="s">
        <v>41</v>
      </c>
      <c r="Z2390" s="2">
        <v>72</v>
      </c>
      <c r="AA2390" s="2">
        <v>2.2999999999999998</v>
      </c>
      <c r="AB2390" s="2" t="s">
        <v>137</v>
      </c>
    </row>
    <row r="2391" spans="1:28" x14ac:dyDescent="0.25">
      <c r="A2391" s="4" t="s">
        <v>3196</v>
      </c>
      <c r="B2391" s="4" t="s">
        <v>243</v>
      </c>
      <c r="C2391" s="4">
        <v>82</v>
      </c>
      <c r="D2391" s="4" t="s">
        <v>55</v>
      </c>
      <c r="E2391" s="4" t="s">
        <v>31</v>
      </c>
      <c r="F2391" s="4" t="s">
        <v>46</v>
      </c>
      <c r="G2391" s="5">
        <v>45083</v>
      </c>
      <c r="H2391" s="5">
        <v>45112</v>
      </c>
      <c r="I2391" s="4">
        <v>29</v>
      </c>
      <c r="J2391" s="4" t="s">
        <v>140</v>
      </c>
      <c r="K2391" s="4" t="s">
        <v>167</v>
      </c>
      <c r="L2391" s="4" t="s">
        <v>142</v>
      </c>
      <c r="M2391" s="4" t="s">
        <v>95</v>
      </c>
      <c r="N2391" s="4" t="s">
        <v>118</v>
      </c>
      <c r="O2391" s="4" t="s">
        <v>591</v>
      </c>
      <c r="P2391" s="4">
        <v>436</v>
      </c>
      <c r="Q2391" s="4" t="s">
        <v>50</v>
      </c>
      <c r="R2391" s="4" t="s">
        <v>111</v>
      </c>
      <c r="S2391" s="4">
        <v>136689</v>
      </c>
      <c r="T2391" s="4">
        <v>114020</v>
      </c>
      <c r="U2391" s="4">
        <v>22669</v>
      </c>
      <c r="V2391" s="4">
        <v>125902</v>
      </c>
      <c r="W2391" s="4">
        <v>6607</v>
      </c>
      <c r="X2391" s="4">
        <v>1858</v>
      </c>
      <c r="Y2391" s="4" t="s">
        <v>41</v>
      </c>
      <c r="Z2391" s="4">
        <v>52</v>
      </c>
      <c r="AA2391" s="4">
        <v>4</v>
      </c>
      <c r="AB2391" s="4" t="s">
        <v>137</v>
      </c>
    </row>
    <row r="2392" spans="1:28" x14ac:dyDescent="0.25">
      <c r="A2392" s="2" t="s">
        <v>3197</v>
      </c>
      <c r="B2392" s="2" t="s">
        <v>2466</v>
      </c>
      <c r="C2392" s="2">
        <v>79</v>
      </c>
      <c r="D2392" s="2" t="s">
        <v>55</v>
      </c>
      <c r="E2392" s="2" t="s">
        <v>67</v>
      </c>
      <c r="F2392" s="2" t="s">
        <v>57</v>
      </c>
      <c r="G2392" s="3">
        <v>45120</v>
      </c>
      <c r="H2392" s="3">
        <v>45139</v>
      </c>
      <c r="I2392" s="2">
        <v>19</v>
      </c>
      <c r="J2392" s="2" t="s">
        <v>58</v>
      </c>
      <c r="K2392" s="2" t="s">
        <v>59</v>
      </c>
      <c r="L2392" s="2" t="s">
        <v>60</v>
      </c>
      <c r="M2392" s="2" t="s">
        <v>83</v>
      </c>
      <c r="N2392" s="2" t="s">
        <v>109</v>
      </c>
      <c r="O2392" s="2" t="s">
        <v>365</v>
      </c>
      <c r="P2392" s="2">
        <v>458</v>
      </c>
      <c r="Q2392" s="2" t="s">
        <v>69</v>
      </c>
      <c r="R2392" s="2" t="s">
        <v>90</v>
      </c>
      <c r="S2392" s="2">
        <v>138525</v>
      </c>
      <c r="T2392" s="2">
        <v>100714</v>
      </c>
      <c r="U2392" s="2">
        <v>37811</v>
      </c>
      <c r="V2392" s="2">
        <v>120049</v>
      </c>
      <c r="W2392" s="2">
        <v>2831</v>
      </c>
      <c r="X2392" s="2">
        <v>11948</v>
      </c>
      <c r="Y2392" s="2" t="s">
        <v>41</v>
      </c>
      <c r="Z2392" s="2">
        <v>98</v>
      </c>
      <c r="AA2392" s="2">
        <v>3.1</v>
      </c>
      <c r="AB2392" s="2" t="s">
        <v>137</v>
      </c>
    </row>
    <row r="2393" spans="1:28" x14ac:dyDescent="0.25">
      <c r="A2393" s="4" t="s">
        <v>3198</v>
      </c>
      <c r="B2393" s="4" t="s">
        <v>499</v>
      </c>
      <c r="C2393" s="4">
        <v>74</v>
      </c>
      <c r="D2393" s="4" t="s">
        <v>30</v>
      </c>
      <c r="E2393" s="4" t="s">
        <v>31</v>
      </c>
      <c r="F2393" s="4" t="s">
        <v>80</v>
      </c>
      <c r="G2393" s="5">
        <v>45613</v>
      </c>
      <c r="H2393" s="5">
        <v>45622</v>
      </c>
      <c r="I2393" s="4">
        <v>9</v>
      </c>
      <c r="J2393" s="4" t="s">
        <v>33</v>
      </c>
      <c r="K2393" s="4" t="s">
        <v>197</v>
      </c>
      <c r="L2393" s="4" t="s">
        <v>198</v>
      </c>
      <c r="M2393" s="4" t="s">
        <v>83</v>
      </c>
      <c r="N2393" s="4" t="s">
        <v>62</v>
      </c>
      <c r="O2393" s="4" t="s">
        <v>416</v>
      </c>
      <c r="P2393" s="4">
        <v>46</v>
      </c>
      <c r="Q2393" s="4" t="s">
        <v>39</v>
      </c>
      <c r="R2393" s="4" t="s">
        <v>111</v>
      </c>
      <c r="S2393" s="4">
        <v>111808</v>
      </c>
      <c r="T2393" s="4">
        <v>95828</v>
      </c>
      <c r="U2393" s="4">
        <v>15980</v>
      </c>
      <c r="V2393" s="4">
        <v>88264</v>
      </c>
      <c r="W2393" s="4">
        <v>13722</v>
      </c>
      <c r="X2393" s="4">
        <v>6176</v>
      </c>
      <c r="Y2393" s="4" t="s">
        <v>41</v>
      </c>
      <c r="Z2393" s="4">
        <v>46</v>
      </c>
      <c r="AA2393" s="4">
        <v>4</v>
      </c>
      <c r="AB2393" s="4" t="s">
        <v>52</v>
      </c>
    </row>
    <row r="2394" spans="1:28" x14ac:dyDescent="0.25">
      <c r="A2394" s="2" t="s">
        <v>3199</v>
      </c>
      <c r="B2394" s="2" t="s">
        <v>508</v>
      </c>
      <c r="C2394" s="2">
        <v>58</v>
      </c>
      <c r="D2394" s="2" t="s">
        <v>30</v>
      </c>
      <c r="E2394" s="2" t="s">
        <v>56</v>
      </c>
      <c r="F2394" s="2" t="s">
        <v>80</v>
      </c>
      <c r="G2394" s="3">
        <v>45500</v>
      </c>
      <c r="H2394" s="3">
        <v>45525</v>
      </c>
      <c r="I2394" s="2">
        <v>25</v>
      </c>
      <c r="J2394" s="2" t="s">
        <v>33</v>
      </c>
      <c r="K2394" s="2" t="s">
        <v>34</v>
      </c>
      <c r="L2394" s="2" t="s">
        <v>35</v>
      </c>
      <c r="M2394" s="2" t="s">
        <v>36</v>
      </c>
      <c r="N2394" s="2" t="s">
        <v>109</v>
      </c>
      <c r="O2394" s="2" t="s">
        <v>631</v>
      </c>
      <c r="P2394" s="2">
        <v>10</v>
      </c>
      <c r="Q2394" s="2" t="s">
        <v>69</v>
      </c>
      <c r="R2394" s="2" t="s">
        <v>51</v>
      </c>
      <c r="S2394" s="2">
        <v>44175</v>
      </c>
      <c r="T2394" s="2">
        <v>27848</v>
      </c>
      <c r="U2394" s="2">
        <v>16327</v>
      </c>
      <c r="V2394" s="2">
        <v>9638</v>
      </c>
      <c r="W2394" s="2">
        <v>23694</v>
      </c>
      <c r="X2394" s="2">
        <v>6031</v>
      </c>
      <c r="Y2394" s="2" t="s">
        <v>41</v>
      </c>
      <c r="Z2394" s="2">
        <v>63</v>
      </c>
      <c r="AA2394" s="2">
        <v>3.7</v>
      </c>
      <c r="AB2394" s="2" t="s">
        <v>137</v>
      </c>
    </row>
    <row r="2395" spans="1:28" x14ac:dyDescent="0.25">
      <c r="A2395" s="4" t="s">
        <v>3200</v>
      </c>
      <c r="B2395" s="4" t="s">
        <v>1346</v>
      </c>
      <c r="C2395" s="4">
        <v>28</v>
      </c>
      <c r="D2395" s="4" t="s">
        <v>30</v>
      </c>
      <c r="E2395" s="4" t="s">
        <v>154</v>
      </c>
      <c r="F2395" s="4" t="s">
        <v>80</v>
      </c>
      <c r="G2395" s="5">
        <v>45256</v>
      </c>
      <c r="H2395" s="5">
        <v>45261</v>
      </c>
      <c r="I2395" s="4">
        <v>5</v>
      </c>
      <c r="J2395" s="4" t="s">
        <v>58</v>
      </c>
      <c r="K2395" s="4" t="s">
        <v>88</v>
      </c>
      <c r="L2395" s="4" t="s">
        <v>60</v>
      </c>
      <c r="M2395" s="4" t="s">
        <v>108</v>
      </c>
      <c r="N2395" s="4" t="s">
        <v>62</v>
      </c>
      <c r="O2395" s="4" t="s">
        <v>497</v>
      </c>
      <c r="P2395" s="4">
        <v>365</v>
      </c>
      <c r="Q2395" s="4" t="s">
        <v>39</v>
      </c>
      <c r="R2395" s="4" t="s">
        <v>40</v>
      </c>
      <c r="S2395" s="4">
        <v>144303</v>
      </c>
      <c r="T2395" s="4">
        <v>85670</v>
      </c>
      <c r="U2395" s="4">
        <v>58633</v>
      </c>
      <c r="V2395" s="4">
        <v>96020</v>
      </c>
      <c r="W2395" s="4">
        <v>29565</v>
      </c>
      <c r="X2395" s="4">
        <v>14014</v>
      </c>
      <c r="Y2395" s="4" t="s">
        <v>41</v>
      </c>
      <c r="Z2395" s="4">
        <v>93</v>
      </c>
      <c r="AA2395" s="4">
        <v>3.5</v>
      </c>
      <c r="AB2395" s="4" t="s">
        <v>104</v>
      </c>
    </row>
    <row r="2396" spans="1:28" x14ac:dyDescent="0.25">
      <c r="A2396" s="2" t="s">
        <v>3201</v>
      </c>
      <c r="B2396" s="2" t="s">
        <v>311</v>
      </c>
      <c r="C2396" s="2">
        <v>71</v>
      </c>
      <c r="D2396" s="2" t="s">
        <v>55</v>
      </c>
      <c r="E2396" s="2" t="s">
        <v>122</v>
      </c>
      <c r="F2396" s="2" t="s">
        <v>46</v>
      </c>
      <c r="G2396" s="3">
        <v>44980</v>
      </c>
      <c r="H2396" s="3">
        <v>44989</v>
      </c>
      <c r="I2396" s="2">
        <v>9</v>
      </c>
      <c r="J2396" s="2" t="s">
        <v>140</v>
      </c>
      <c r="K2396" s="2" t="s">
        <v>141</v>
      </c>
      <c r="L2396" s="2" t="s">
        <v>142</v>
      </c>
      <c r="M2396" s="2" t="s">
        <v>101</v>
      </c>
      <c r="N2396" s="2" t="s">
        <v>37</v>
      </c>
      <c r="O2396" s="2" t="s">
        <v>673</v>
      </c>
      <c r="P2396" s="2">
        <v>112</v>
      </c>
      <c r="Q2396" s="2" t="s">
        <v>39</v>
      </c>
      <c r="R2396" s="2" t="s">
        <v>90</v>
      </c>
      <c r="S2396" s="2">
        <v>23625</v>
      </c>
      <c r="T2396" s="2">
        <v>15727</v>
      </c>
      <c r="U2396" s="2">
        <v>7898</v>
      </c>
      <c r="V2396" s="2">
        <v>5877</v>
      </c>
      <c r="W2396" s="2">
        <v>3115</v>
      </c>
      <c r="X2396" s="2">
        <v>12164</v>
      </c>
      <c r="Y2396" s="2" t="s">
        <v>41</v>
      </c>
      <c r="Z2396" s="2">
        <v>76</v>
      </c>
      <c r="AA2396" s="2">
        <v>4.5</v>
      </c>
      <c r="AB2396" s="2" t="s">
        <v>104</v>
      </c>
    </row>
    <row r="2397" spans="1:28" x14ac:dyDescent="0.25">
      <c r="A2397" s="4" t="s">
        <v>3202</v>
      </c>
      <c r="B2397" s="4" t="s">
        <v>1266</v>
      </c>
      <c r="C2397" s="4">
        <v>40</v>
      </c>
      <c r="D2397" s="4" t="s">
        <v>55</v>
      </c>
      <c r="E2397" s="4" t="s">
        <v>122</v>
      </c>
      <c r="F2397" s="4" t="s">
        <v>32</v>
      </c>
      <c r="G2397" s="5">
        <v>45565</v>
      </c>
      <c r="H2397" s="5">
        <v>45595</v>
      </c>
      <c r="I2397" s="4">
        <v>30</v>
      </c>
      <c r="J2397" s="4" t="s">
        <v>33</v>
      </c>
      <c r="K2397" s="4" t="s">
        <v>81</v>
      </c>
      <c r="L2397" s="4" t="s">
        <v>82</v>
      </c>
      <c r="M2397" s="4" t="s">
        <v>75</v>
      </c>
      <c r="N2397" s="4" t="s">
        <v>118</v>
      </c>
      <c r="O2397" s="4" t="s">
        <v>464</v>
      </c>
      <c r="P2397" s="4">
        <v>55</v>
      </c>
      <c r="Q2397" s="4" t="s">
        <v>50</v>
      </c>
      <c r="R2397" s="4" t="s">
        <v>90</v>
      </c>
      <c r="S2397" s="4">
        <v>115537</v>
      </c>
      <c r="T2397" s="4">
        <v>74454</v>
      </c>
      <c r="U2397" s="4">
        <v>41083</v>
      </c>
      <c r="V2397" s="4">
        <v>93904</v>
      </c>
      <c r="W2397" s="4">
        <v>15177</v>
      </c>
      <c r="X2397" s="4">
        <v>5953</v>
      </c>
      <c r="Y2397" s="4" t="s">
        <v>41</v>
      </c>
      <c r="Z2397" s="4">
        <v>75</v>
      </c>
      <c r="AA2397" s="4">
        <v>3.5</v>
      </c>
      <c r="AB2397" s="4" t="s">
        <v>42</v>
      </c>
    </row>
    <row r="2398" spans="1:28" x14ac:dyDescent="0.25">
      <c r="A2398" s="2" t="s">
        <v>3203</v>
      </c>
      <c r="B2398" s="2" t="s">
        <v>1869</v>
      </c>
      <c r="C2398" s="2">
        <v>46</v>
      </c>
      <c r="D2398" s="2" t="s">
        <v>55</v>
      </c>
      <c r="E2398" s="2" t="s">
        <v>154</v>
      </c>
      <c r="F2398" s="2" t="s">
        <v>150</v>
      </c>
      <c r="G2398" s="3">
        <v>44576</v>
      </c>
      <c r="H2398" s="3">
        <v>44585</v>
      </c>
      <c r="I2398" s="2">
        <v>9</v>
      </c>
      <c r="J2398" s="2" t="s">
        <v>115</v>
      </c>
      <c r="K2398" s="2" t="s">
        <v>116</v>
      </c>
      <c r="L2398" s="2" t="s">
        <v>117</v>
      </c>
      <c r="M2398" s="2" t="s">
        <v>108</v>
      </c>
      <c r="N2398" s="2" t="s">
        <v>62</v>
      </c>
      <c r="O2398" s="2" t="s">
        <v>131</v>
      </c>
      <c r="P2398" s="2">
        <v>467</v>
      </c>
      <c r="Q2398" s="2" t="s">
        <v>69</v>
      </c>
      <c r="R2398" s="2" t="s">
        <v>51</v>
      </c>
      <c r="S2398" s="2">
        <v>94732</v>
      </c>
      <c r="T2398" s="2">
        <v>62927</v>
      </c>
      <c r="U2398" s="2">
        <v>31805</v>
      </c>
      <c r="V2398" s="2">
        <v>55568</v>
      </c>
      <c r="W2398" s="2">
        <v>26177</v>
      </c>
      <c r="X2398" s="2">
        <v>9047</v>
      </c>
      <c r="Y2398" s="2" t="s">
        <v>41</v>
      </c>
      <c r="Z2398" s="2">
        <v>74</v>
      </c>
      <c r="AA2398" s="2">
        <v>2.6</v>
      </c>
      <c r="AB2398" s="2" t="s">
        <v>64</v>
      </c>
    </row>
    <row r="2399" spans="1:28" x14ac:dyDescent="0.25">
      <c r="A2399" s="4" t="s">
        <v>3204</v>
      </c>
      <c r="B2399" s="4" t="s">
        <v>2101</v>
      </c>
      <c r="C2399" s="4">
        <v>58</v>
      </c>
      <c r="D2399" s="4" t="s">
        <v>55</v>
      </c>
      <c r="E2399" s="4" t="s">
        <v>67</v>
      </c>
      <c r="F2399" s="4" t="s">
        <v>32</v>
      </c>
      <c r="G2399" s="5">
        <v>45358</v>
      </c>
      <c r="H2399" s="5">
        <v>45373</v>
      </c>
      <c r="I2399" s="4">
        <v>15</v>
      </c>
      <c r="J2399" s="4" t="s">
        <v>33</v>
      </c>
      <c r="K2399" s="4" t="s">
        <v>174</v>
      </c>
      <c r="L2399" s="4" t="s">
        <v>48</v>
      </c>
      <c r="M2399" s="4" t="s">
        <v>83</v>
      </c>
      <c r="N2399" s="4" t="s">
        <v>37</v>
      </c>
      <c r="O2399" s="4" t="s">
        <v>355</v>
      </c>
      <c r="P2399" s="4">
        <v>307</v>
      </c>
      <c r="Q2399" s="4" t="s">
        <v>103</v>
      </c>
      <c r="R2399" s="4" t="s">
        <v>51</v>
      </c>
      <c r="S2399" s="4">
        <v>121875</v>
      </c>
      <c r="T2399" s="4">
        <v>73939</v>
      </c>
      <c r="U2399" s="4">
        <v>47936</v>
      </c>
      <c r="V2399" s="4">
        <v>83420</v>
      </c>
      <c r="W2399" s="4">
        <v>23062</v>
      </c>
      <c r="X2399" s="4">
        <v>13420</v>
      </c>
      <c r="Y2399" s="4" t="s">
        <v>41</v>
      </c>
      <c r="Z2399" s="4">
        <v>62</v>
      </c>
      <c r="AA2399" s="4">
        <v>4.5999999999999996</v>
      </c>
      <c r="AB2399" s="4" t="s">
        <v>42</v>
      </c>
    </row>
    <row r="2400" spans="1:28" x14ac:dyDescent="0.25">
      <c r="A2400" s="2" t="s">
        <v>3205</v>
      </c>
      <c r="B2400" s="2" t="s">
        <v>2425</v>
      </c>
      <c r="C2400" s="2">
        <v>64</v>
      </c>
      <c r="D2400" s="2" t="s">
        <v>55</v>
      </c>
      <c r="E2400" s="2" t="s">
        <v>79</v>
      </c>
      <c r="F2400" s="2" t="s">
        <v>157</v>
      </c>
      <c r="G2400" s="3">
        <v>44845</v>
      </c>
      <c r="H2400" s="3">
        <v>44854</v>
      </c>
      <c r="I2400" s="2">
        <v>9</v>
      </c>
      <c r="J2400" s="2" t="s">
        <v>33</v>
      </c>
      <c r="K2400" s="2" t="s">
        <v>47</v>
      </c>
      <c r="L2400" s="2" t="s">
        <v>48</v>
      </c>
      <c r="M2400" s="2" t="s">
        <v>83</v>
      </c>
      <c r="N2400" s="2" t="s">
        <v>37</v>
      </c>
      <c r="O2400" s="2" t="s">
        <v>300</v>
      </c>
      <c r="P2400" s="2">
        <v>20</v>
      </c>
      <c r="Q2400" s="2" t="s">
        <v>103</v>
      </c>
      <c r="R2400" s="2" t="s">
        <v>136</v>
      </c>
      <c r="S2400" s="2">
        <v>105736</v>
      </c>
      <c r="T2400" s="2">
        <v>0</v>
      </c>
      <c r="U2400" s="2">
        <v>105736</v>
      </c>
      <c r="V2400" s="2">
        <v>93596</v>
      </c>
      <c r="W2400" s="2">
        <v>2341</v>
      </c>
      <c r="X2400" s="2">
        <v>5777</v>
      </c>
      <c r="Y2400" s="2" t="s">
        <v>41</v>
      </c>
      <c r="Z2400" s="2">
        <v>58</v>
      </c>
      <c r="AA2400" s="2">
        <v>4.5</v>
      </c>
      <c r="AB2400" s="2" t="s">
        <v>42</v>
      </c>
    </row>
    <row r="2401" spans="1:28" x14ac:dyDescent="0.25">
      <c r="A2401" s="4" t="s">
        <v>3206</v>
      </c>
      <c r="B2401" s="4" t="s">
        <v>2377</v>
      </c>
      <c r="C2401" s="4">
        <v>73</v>
      </c>
      <c r="D2401" s="4" t="s">
        <v>30</v>
      </c>
      <c r="E2401" s="4" t="s">
        <v>87</v>
      </c>
      <c r="F2401" s="4" t="s">
        <v>94</v>
      </c>
      <c r="G2401" s="5">
        <v>45315</v>
      </c>
      <c r="H2401" s="5">
        <v>45343</v>
      </c>
      <c r="I2401" s="4">
        <v>28</v>
      </c>
      <c r="J2401" s="4" t="s">
        <v>123</v>
      </c>
      <c r="K2401" s="4" t="s">
        <v>251</v>
      </c>
      <c r="L2401" s="4" t="s">
        <v>125</v>
      </c>
      <c r="M2401" s="4" t="s">
        <v>61</v>
      </c>
      <c r="N2401" s="4" t="s">
        <v>62</v>
      </c>
      <c r="O2401" s="4" t="s">
        <v>382</v>
      </c>
      <c r="P2401" s="4">
        <v>270</v>
      </c>
      <c r="Q2401" s="4" t="s">
        <v>103</v>
      </c>
      <c r="R2401" s="4" t="s">
        <v>90</v>
      </c>
      <c r="S2401" s="4">
        <v>145391</v>
      </c>
      <c r="T2401" s="4">
        <v>100268</v>
      </c>
      <c r="U2401" s="4">
        <v>45123</v>
      </c>
      <c r="V2401" s="4">
        <v>119881</v>
      </c>
      <c r="W2401" s="4">
        <v>10121</v>
      </c>
      <c r="X2401" s="4">
        <v>14228</v>
      </c>
      <c r="Y2401" s="4" t="s">
        <v>41</v>
      </c>
      <c r="Z2401" s="4">
        <v>46</v>
      </c>
      <c r="AA2401" s="4">
        <v>2.7</v>
      </c>
      <c r="AB2401" s="4" t="s">
        <v>42</v>
      </c>
    </row>
    <row r="2402" spans="1:28" x14ac:dyDescent="0.25">
      <c r="A2402" s="2" t="s">
        <v>3207</v>
      </c>
      <c r="B2402" s="2" t="s">
        <v>999</v>
      </c>
      <c r="C2402" s="2">
        <v>44</v>
      </c>
      <c r="D2402" s="2" t="s">
        <v>55</v>
      </c>
      <c r="E2402" s="2" t="s">
        <v>154</v>
      </c>
      <c r="F2402" s="2" t="s">
        <v>94</v>
      </c>
      <c r="G2402" s="3">
        <v>44715</v>
      </c>
      <c r="H2402" s="3">
        <v>44745</v>
      </c>
      <c r="I2402" s="2">
        <v>30</v>
      </c>
      <c r="J2402" s="2" t="s">
        <v>58</v>
      </c>
      <c r="K2402" s="2" t="s">
        <v>59</v>
      </c>
      <c r="L2402" s="2" t="s">
        <v>60</v>
      </c>
      <c r="M2402" s="2" t="s">
        <v>134</v>
      </c>
      <c r="N2402" s="2" t="s">
        <v>37</v>
      </c>
      <c r="O2402" s="2" t="s">
        <v>181</v>
      </c>
      <c r="P2402" s="2">
        <v>244</v>
      </c>
      <c r="Q2402" s="2" t="s">
        <v>103</v>
      </c>
      <c r="R2402" s="2" t="s">
        <v>40</v>
      </c>
      <c r="S2402" s="2">
        <v>137043</v>
      </c>
      <c r="T2402" s="2">
        <v>63684</v>
      </c>
      <c r="U2402" s="2">
        <v>73359</v>
      </c>
      <c r="V2402" s="2">
        <v>98772</v>
      </c>
      <c r="W2402" s="2">
        <v>28547</v>
      </c>
      <c r="X2402" s="2">
        <v>7709</v>
      </c>
      <c r="Y2402" s="2" t="s">
        <v>41</v>
      </c>
      <c r="Z2402" s="2">
        <v>70</v>
      </c>
      <c r="AA2402" s="2">
        <v>4.7</v>
      </c>
      <c r="AB2402" s="2" t="s">
        <v>64</v>
      </c>
    </row>
    <row r="2403" spans="1:28" x14ac:dyDescent="0.25">
      <c r="A2403" s="4" t="s">
        <v>3208</v>
      </c>
      <c r="B2403" s="4" t="s">
        <v>2154</v>
      </c>
      <c r="C2403" s="4">
        <v>78</v>
      </c>
      <c r="D2403" s="4" t="s">
        <v>55</v>
      </c>
      <c r="E2403" s="4" t="s">
        <v>31</v>
      </c>
      <c r="F2403" s="4" t="s">
        <v>46</v>
      </c>
      <c r="G2403" s="5">
        <v>45214</v>
      </c>
      <c r="H2403" s="5">
        <v>45239</v>
      </c>
      <c r="I2403" s="4">
        <v>25</v>
      </c>
      <c r="J2403" s="4" t="s">
        <v>58</v>
      </c>
      <c r="K2403" s="4" t="s">
        <v>59</v>
      </c>
      <c r="L2403" s="4" t="s">
        <v>60</v>
      </c>
      <c r="M2403" s="4" t="s">
        <v>108</v>
      </c>
      <c r="N2403" s="4" t="s">
        <v>118</v>
      </c>
      <c r="O2403" s="4" t="s">
        <v>678</v>
      </c>
      <c r="P2403" s="4">
        <v>428</v>
      </c>
      <c r="Q2403" s="4" t="s">
        <v>69</v>
      </c>
      <c r="R2403" s="4" t="s">
        <v>90</v>
      </c>
      <c r="S2403" s="4">
        <v>114095</v>
      </c>
      <c r="T2403" s="4">
        <v>87698</v>
      </c>
      <c r="U2403" s="4">
        <v>26397</v>
      </c>
      <c r="V2403" s="4">
        <v>89378</v>
      </c>
      <c r="W2403" s="4">
        <v>10696</v>
      </c>
      <c r="X2403" s="4">
        <v>10351</v>
      </c>
      <c r="Y2403" s="4" t="s">
        <v>91</v>
      </c>
      <c r="Z2403" s="4">
        <v>69</v>
      </c>
      <c r="AA2403" s="4">
        <v>4.4000000000000004</v>
      </c>
      <c r="AB2403" s="4" t="s">
        <v>64</v>
      </c>
    </row>
    <row r="2404" spans="1:28" x14ac:dyDescent="0.25">
      <c r="A2404" s="2" t="s">
        <v>3209</v>
      </c>
      <c r="B2404" s="2" t="s">
        <v>1344</v>
      </c>
      <c r="C2404" s="2">
        <v>77</v>
      </c>
      <c r="D2404" s="2" t="s">
        <v>55</v>
      </c>
      <c r="E2404" s="2" t="s">
        <v>56</v>
      </c>
      <c r="F2404" s="2" t="s">
        <v>72</v>
      </c>
      <c r="G2404" s="3">
        <v>45587</v>
      </c>
      <c r="H2404" s="3">
        <v>45615</v>
      </c>
      <c r="I2404" s="2">
        <v>28</v>
      </c>
      <c r="J2404" s="2" t="s">
        <v>140</v>
      </c>
      <c r="K2404" s="2" t="s">
        <v>167</v>
      </c>
      <c r="L2404" s="2" t="s">
        <v>142</v>
      </c>
      <c r="M2404" s="2" t="s">
        <v>83</v>
      </c>
      <c r="N2404" s="2" t="s">
        <v>37</v>
      </c>
      <c r="O2404" s="2" t="s">
        <v>178</v>
      </c>
      <c r="P2404" s="2">
        <v>10</v>
      </c>
      <c r="Q2404" s="2" t="s">
        <v>50</v>
      </c>
      <c r="R2404" s="2" t="s">
        <v>90</v>
      </c>
      <c r="S2404" s="2">
        <v>58359</v>
      </c>
      <c r="T2404" s="2">
        <v>47529</v>
      </c>
      <c r="U2404" s="2">
        <v>10830</v>
      </c>
      <c r="V2404" s="2">
        <v>29293</v>
      </c>
      <c r="W2404" s="2">
        <v>25653</v>
      </c>
      <c r="X2404" s="2">
        <v>1149</v>
      </c>
      <c r="Y2404" s="2" t="s">
        <v>41</v>
      </c>
      <c r="Z2404" s="2">
        <v>86</v>
      </c>
      <c r="AA2404" s="2">
        <v>4.9000000000000004</v>
      </c>
      <c r="AB2404" s="2" t="s">
        <v>52</v>
      </c>
    </row>
    <row r="2405" spans="1:28" x14ac:dyDescent="0.25">
      <c r="A2405" s="4" t="s">
        <v>3210</v>
      </c>
      <c r="B2405" s="4" t="s">
        <v>1246</v>
      </c>
      <c r="C2405" s="4">
        <v>22</v>
      </c>
      <c r="D2405" s="4" t="s">
        <v>55</v>
      </c>
      <c r="E2405" s="4" t="s">
        <v>122</v>
      </c>
      <c r="F2405" s="4" t="s">
        <v>72</v>
      </c>
      <c r="G2405" s="5">
        <v>44630</v>
      </c>
      <c r="H2405" s="5">
        <v>44635</v>
      </c>
      <c r="I2405" s="4">
        <v>5</v>
      </c>
      <c r="J2405" s="4" t="s">
        <v>202</v>
      </c>
      <c r="K2405" s="4" t="s">
        <v>225</v>
      </c>
      <c r="L2405" s="4" t="s">
        <v>226</v>
      </c>
      <c r="M2405" s="4" t="s">
        <v>95</v>
      </c>
      <c r="N2405" s="4" t="s">
        <v>37</v>
      </c>
      <c r="O2405" s="4" t="s">
        <v>950</v>
      </c>
      <c r="P2405" s="4">
        <v>192</v>
      </c>
      <c r="Q2405" s="4" t="s">
        <v>69</v>
      </c>
      <c r="R2405" s="4" t="s">
        <v>90</v>
      </c>
      <c r="S2405" s="4">
        <v>53085</v>
      </c>
      <c r="T2405" s="4">
        <v>36217</v>
      </c>
      <c r="U2405" s="4">
        <v>16868</v>
      </c>
      <c r="V2405" s="4">
        <v>19367</v>
      </c>
      <c r="W2405" s="4">
        <v>26072</v>
      </c>
      <c r="X2405" s="4">
        <v>4707</v>
      </c>
      <c r="Y2405" s="4" t="s">
        <v>41</v>
      </c>
      <c r="Z2405" s="4">
        <v>94</v>
      </c>
      <c r="AA2405" s="4">
        <v>4.5</v>
      </c>
      <c r="AB2405" s="4" t="s">
        <v>137</v>
      </c>
    </row>
    <row r="2406" spans="1:28" x14ac:dyDescent="0.25">
      <c r="A2406" s="2" t="s">
        <v>3211</v>
      </c>
      <c r="B2406" s="2" t="s">
        <v>980</v>
      </c>
      <c r="C2406" s="2">
        <v>10</v>
      </c>
      <c r="D2406" s="2" t="s">
        <v>30</v>
      </c>
      <c r="E2406" s="2" t="s">
        <v>87</v>
      </c>
      <c r="F2406" s="2" t="s">
        <v>129</v>
      </c>
      <c r="G2406" s="3">
        <v>45579</v>
      </c>
      <c r="H2406" s="3">
        <v>45591</v>
      </c>
      <c r="I2406" s="2">
        <v>12</v>
      </c>
      <c r="J2406" s="2" t="s">
        <v>33</v>
      </c>
      <c r="K2406" s="2" t="s">
        <v>81</v>
      </c>
      <c r="L2406" s="2" t="s">
        <v>82</v>
      </c>
      <c r="M2406" s="2" t="s">
        <v>143</v>
      </c>
      <c r="N2406" s="2" t="s">
        <v>62</v>
      </c>
      <c r="O2406" s="2" t="s">
        <v>509</v>
      </c>
      <c r="P2406" s="2">
        <v>231</v>
      </c>
      <c r="Q2406" s="2" t="s">
        <v>50</v>
      </c>
      <c r="R2406" s="2" t="s">
        <v>51</v>
      </c>
      <c r="S2406" s="2">
        <v>91771</v>
      </c>
      <c r="T2406" s="2">
        <v>52248</v>
      </c>
      <c r="U2406" s="2">
        <v>39523</v>
      </c>
      <c r="V2406" s="2">
        <v>51890</v>
      </c>
      <c r="W2406" s="2">
        <v>27947</v>
      </c>
      <c r="X2406" s="2">
        <v>9697</v>
      </c>
      <c r="Y2406" s="2" t="s">
        <v>91</v>
      </c>
      <c r="Z2406" s="2">
        <v>52</v>
      </c>
      <c r="AA2406" s="2">
        <v>3.4</v>
      </c>
      <c r="AB2406" s="2" t="s">
        <v>104</v>
      </c>
    </row>
    <row r="2407" spans="1:28" x14ac:dyDescent="0.25">
      <c r="A2407" s="4" t="s">
        <v>3212</v>
      </c>
      <c r="B2407" s="4" t="s">
        <v>1184</v>
      </c>
      <c r="C2407" s="4">
        <v>66</v>
      </c>
      <c r="D2407" s="4" t="s">
        <v>30</v>
      </c>
      <c r="E2407" s="4" t="s">
        <v>122</v>
      </c>
      <c r="F2407" s="4" t="s">
        <v>150</v>
      </c>
      <c r="G2407" s="5">
        <v>44940</v>
      </c>
      <c r="H2407" s="5">
        <v>44941</v>
      </c>
      <c r="I2407" s="4">
        <v>1</v>
      </c>
      <c r="J2407" s="4" t="s">
        <v>115</v>
      </c>
      <c r="K2407" s="4" t="s">
        <v>160</v>
      </c>
      <c r="L2407" s="4" t="s">
        <v>117</v>
      </c>
      <c r="M2407" s="4" t="s">
        <v>134</v>
      </c>
      <c r="N2407" s="4" t="s">
        <v>109</v>
      </c>
      <c r="O2407" s="4" t="s">
        <v>647</v>
      </c>
      <c r="P2407" s="4">
        <v>332</v>
      </c>
      <c r="Q2407" s="4" t="s">
        <v>103</v>
      </c>
      <c r="R2407" s="4" t="s">
        <v>111</v>
      </c>
      <c r="S2407" s="4">
        <v>128583</v>
      </c>
      <c r="T2407" s="4">
        <v>100732</v>
      </c>
      <c r="U2407" s="4">
        <v>27851</v>
      </c>
      <c r="V2407" s="4">
        <v>100855</v>
      </c>
      <c r="W2407" s="4">
        <v>14777</v>
      </c>
      <c r="X2407" s="4">
        <v>8553</v>
      </c>
      <c r="Y2407" s="4" t="s">
        <v>41</v>
      </c>
      <c r="Z2407" s="4">
        <v>64</v>
      </c>
      <c r="AA2407" s="4">
        <v>3.2</v>
      </c>
      <c r="AB2407" s="4" t="s">
        <v>42</v>
      </c>
    </row>
    <row r="2408" spans="1:28" x14ac:dyDescent="0.25">
      <c r="A2408" s="2" t="s">
        <v>3213</v>
      </c>
      <c r="B2408" s="2" t="s">
        <v>1818</v>
      </c>
      <c r="C2408" s="2">
        <v>28</v>
      </c>
      <c r="D2408" s="2" t="s">
        <v>30</v>
      </c>
      <c r="E2408" s="2" t="s">
        <v>56</v>
      </c>
      <c r="F2408" s="2" t="s">
        <v>46</v>
      </c>
      <c r="G2408" s="3">
        <v>45596</v>
      </c>
      <c r="H2408" s="3">
        <v>45606</v>
      </c>
      <c r="I2408" s="2">
        <v>10</v>
      </c>
      <c r="J2408" s="2" t="s">
        <v>140</v>
      </c>
      <c r="K2408" s="2" t="s">
        <v>141</v>
      </c>
      <c r="L2408" s="2" t="s">
        <v>142</v>
      </c>
      <c r="M2408" s="2" t="s">
        <v>75</v>
      </c>
      <c r="N2408" s="2" t="s">
        <v>62</v>
      </c>
      <c r="O2408" s="2" t="s">
        <v>189</v>
      </c>
      <c r="P2408" s="2">
        <v>184</v>
      </c>
      <c r="Q2408" s="2" t="s">
        <v>103</v>
      </c>
      <c r="R2408" s="2" t="s">
        <v>136</v>
      </c>
      <c r="S2408" s="2">
        <v>157584</v>
      </c>
      <c r="T2408" s="2">
        <v>0</v>
      </c>
      <c r="U2408" s="2">
        <v>157584</v>
      </c>
      <c r="V2408" s="2">
        <v>119612</v>
      </c>
      <c r="W2408" s="2">
        <v>26990</v>
      </c>
      <c r="X2408" s="2">
        <v>6144</v>
      </c>
      <c r="Y2408" s="2" t="s">
        <v>41</v>
      </c>
      <c r="Z2408" s="2">
        <v>87</v>
      </c>
      <c r="AA2408" s="2">
        <v>3.3</v>
      </c>
      <c r="AB2408" s="2" t="s">
        <v>52</v>
      </c>
    </row>
    <row r="2409" spans="1:28" x14ac:dyDescent="0.25">
      <c r="A2409" s="4" t="s">
        <v>3214</v>
      </c>
      <c r="B2409" s="4" t="s">
        <v>2347</v>
      </c>
      <c r="C2409" s="4">
        <v>51</v>
      </c>
      <c r="D2409" s="4" t="s">
        <v>55</v>
      </c>
      <c r="E2409" s="4" t="s">
        <v>154</v>
      </c>
      <c r="F2409" s="4" t="s">
        <v>46</v>
      </c>
      <c r="G2409" s="5">
        <v>44843</v>
      </c>
      <c r="H2409" s="5">
        <v>44858</v>
      </c>
      <c r="I2409" s="4">
        <v>15</v>
      </c>
      <c r="J2409" s="4" t="s">
        <v>33</v>
      </c>
      <c r="K2409" s="4" t="s">
        <v>278</v>
      </c>
      <c r="L2409" s="4" t="s">
        <v>279</v>
      </c>
      <c r="M2409" s="4" t="s">
        <v>134</v>
      </c>
      <c r="N2409" s="4" t="s">
        <v>37</v>
      </c>
      <c r="O2409" s="4" t="s">
        <v>217</v>
      </c>
      <c r="P2409" s="4">
        <v>434</v>
      </c>
      <c r="Q2409" s="4" t="s">
        <v>50</v>
      </c>
      <c r="R2409" s="4" t="s">
        <v>90</v>
      </c>
      <c r="S2409" s="4">
        <v>126668</v>
      </c>
      <c r="T2409" s="4">
        <v>101348</v>
      </c>
      <c r="U2409" s="4">
        <v>25320</v>
      </c>
      <c r="V2409" s="4">
        <v>109467</v>
      </c>
      <c r="W2409" s="4">
        <v>12333</v>
      </c>
      <c r="X2409" s="4">
        <v>2865</v>
      </c>
      <c r="Y2409" s="4" t="s">
        <v>41</v>
      </c>
      <c r="Z2409" s="4">
        <v>96</v>
      </c>
      <c r="AA2409" s="4">
        <v>2.6</v>
      </c>
      <c r="AB2409" s="4" t="s">
        <v>104</v>
      </c>
    </row>
    <row r="2410" spans="1:28" x14ac:dyDescent="0.25">
      <c r="A2410" s="2" t="s">
        <v>3215</v>
      </c>
      <c r="B2410" s="2" t="s">
        <v>2377</v>
      </c>
      <c r="C2410" s="2">
        <v>64</v>
      </c>
      <c r="D2410" s="2" t="s">
        <v>30</v>
      </c>
      <c r="E2410" s="2" t="s">
        <v>67</v>
      </c>
      <c r="F2410" s="2" t="s">
        <v>32</v>
      </c>
      <c r="G2410" s="3">
        <v>45093</v>
      </c>
      <c r="H2410" s="3">
        <v>45114</v>
      </c>
      <c r="I2410" s="2">
        <v>21</v>
      </c>
      <c r="J2410" s="2" t="s">
        <v>202</v>
      </c>
      <c r="K2410" s="2" t="s">
        <v>203</v>
      </c>
      <c r="L2410" s="2" t="s">
        <v>204</v>
      </c>
      <c r="M2410" s="2" t="s">
        <v>134</v>
      </c>
      <c r="N2410" s="2" t="s">
        <v>37</v>
      </c>
      <c r="O2410" s="2" t="s">
        <v>189</v>
      </c>
      <c r="P2410" s="2">
        <v>154</v>
      </c>
      <c r="Q2410" s="2" t="s">
        <v>103</v>
      </c>
      <c r="R2410" s="2" t="s">
        <v>111</v>
      </c>
      <c r="S2410" s="2">
        <v>85677</v>
      </c>
      <c r="T2410" s="2">
        <v>75927</v>
      </c>
      <c r="U2410" s="2">
        <v>9750</v>
      </c>
      <c r="V2410" s="2">
        <v>56599</v>
      </c>
      <c r="W2410" s="2">
        <v>20142</v>
      </c>
      <c r="X2410" s="2">
        <v>7803</v>
      </c>
      <c r="Y2410" s="2" t="s">
        <v>41</v>
      </c>
      <c r="Z2410" s="2">
        <v>52</v>
      </c>
      <c r="AA2410" s="2">
        <v>2.2000000000000002</v>
      </c>
      <c r="AB2410" s="2" t="s">
        <v>42</v>
      </c>
    </row>
    <row r="2411" spans="1:28" x14ac:dyDescent="0.25">
      <c r="A2411" s="4" t="s">
        <v>3216</v>
      </c>
      <c r="B2411" s="4" t="s">
        <v>849</v>
      </c>
      <c r="C2411" s="4">
        <v>68</v>
      </c>
      <c r="D2411" s="4" t="s">
        <v>30</v>
      </c>
      <c r="E2411" s="4" t="s">
        <v>67</v>
      </c>
      <c r="F2411" s="4" t="s">
        <v>57</v>
      </c>
      <c r="G2411" s="5">
        <v>45401</v>
      </c>
      <c r="H2411" s="5">
        <v>45423</v>
      </c>
      <c r="I2411" s="4">
        <v>22</v>
      </c>
      <c r="J2411" s="4" t="s">
        <v>33</v>
      </c>
      <c r="K2411" s="4" t="s">
        <v>99</v>
      </c>
      <c r="L2411" s="4" t="s">
        <v>100</v>
      </c>
      <c r="M2411" s="4" t="s">
        <v>75</v>
      </c>
      <c r="N2411" s="4" t="s">
        <v>37</v>
      </c>
      <c r="O2411" s="4" t="s">
        <v>119</v>
      </c>
      <c r="P2411" s="4">
        <v>374</v>
      </c>
      <c r="Q2411" s="4" t="s">
        <v>39</v>
      </c>
      <c r="R2411" s="4" t="s">
        <v>90</v>
      </c>
      <c r="S2411" s="4">
        <v>127886</v>
      </c>
      <c r="T2411" s="4">
        <v>102233</v>
      </c>
      <c r="U2411" s="4">
        <v>25653</v>
      </c>
      <c r="V2411" s="4">
        <v>91641</v>
      </c>
      <c r="W2411" s="4">
        <v>23480</v>
      </c>
      <c r="X2411" s="4">
        <v>12016</v>
      </c>
      <c r="Y2411" s="4" t="s">
        <v>41</v>
      </c>
      <c r="Z2411" s="4">
        <v>70</v>
      </c>
      <c r="AA2411" s="4">
        <v>3.6</v>
      </c>
      <c r="AB2411" s="4" t="s">
        <v>52</v>
      </c>
    </row>
    <row r="2412" spans="1:28" x14ac:dyDescent="0.25">
      <c r="A2412" s="2" t="s">
        <v>3217</v>
      </c>
      <c r="B2412" s="2" t="s">
        <v>1812</v>
      </c>
      <c r="C2412" s="2">
        <v>23</v>
      </c>
      <c r="D2412" s="2" t="s">
        <v>55</v>
      </c>
      <c r="E2412" s="2" t="s">
        <v>67</v>
      </c>
      <c r="F2412" s="2" t="s">
        <v>32</v>
      </c>
      <c r="G2412" s="3">
        <v>45098</v>
      </c>
      <c r="H2412" s="3">
        <v>45123</v>
      </c>
      <c r="I2412" s="2">
        <v>25</v>
      </c>
      <c r="J2412" s="2" t="s">
        <v>33</v>
      </c>
      <c r="K2412" s="2" t="s">
        <v>81</v>
      </c>
      <c r="L2412" s="2" t="s">
        <v>82</v>
      </c>
      <c r="M2412" s="2" t="s">
        <v>36</v>
      </c>
      <c r="N2412" s="2" t="s">
        <v>37</v>
      </c>
      <c r="O2412" s="2" t="s">
        <v>282</v>
      </c>
      <c r="P2412" s="2">
        <v>178</v>
      </c>
      <c r="Q2412" s="2" t="s">
        <v>39</v>
      </c>
      <c r="R2412" s="2" t="s">
        <v>90</v>
      </c>
      <c r="S2412" s="2">
        <v>49244</v>
      </c>
      <c r="T2412" s="2">
        <v>39543</v>
      </c>
      <c r="U2412" s="2">
        <v>9701</v>
      </c>
      <c r="V2412" s="2">
        <v>39770</v>
      </c>
      <c r="W2412" s="2">
        <v>3086</v>
      </c>
      <c r="X2412" s="2">
        <v>5301</v>
      </c>
      <c r="Y2412" s="2" t="s">
        <v>41</v>
      </c>
      <c r="Z2412" s="2">
        <v>73</v>
      </c>
      <c r="AA2412" s="2">
        <v>2.4</v>
      </c>
      <c r="AB2412" s="2" t="s">
        <v>42</v>
      </c>
    </row>
    <row r="2413" spans="1:28" x14ac:dyDescent="0.25">
      <c r="A2413" s="4" t="s">
        <v>3218</v>
      </c>
      <c r="B2413" s="4" t="s">
        <v>534</v>
      </c>
      <c r="C2413" s="4">
        <v>84</v>
      </c>
      <c r="D2413" s="4" t="s">
        <v>55</v>
      </c>
      <c r="E2413" s="4" t="s">
        <v>67</v>
      </c>
      <c r="F2413" s="4" t="s">
        <v>94</v>
      </c>
      <c r="G2413" s="5">
        <v>45436</v>
      </c>
      <c r="H2413" s="5">
        <v>45447</v>
      </c>
      <c r="I2413" s="4">
        <v>11</v>
      </c>
      <c r="J2413" s="4" t="s">
        <v>33</v>
      </c>
      <c r="K2413" s="4" t="s">
        <v>34</v>
      </c>
      <c r="L2413" s="4" t="s">
        <v>35</v>
      </c>
      <c r="M2413" s="4" t="s">
        <v>108</v>
      </c>
      <c r="N2413" s="4" t="s">
        <v>37</v>
      </c>
      <c r="O2413" s="4" t="s">
        <v>396</v>
      </c>
      <c r="P2413" s="4">
        <v>254</v>
      </c>
      <c r="Q2413" s="4" t="s">
        <v>69</v>
      </c>
      <c r="R2413" s="4" t="s">
        <v>136</v>
      </c>
      <c r="S2413" s="4">
        <v>99819</v>
      </c>
      <c r="T2413" s="4">
        <v>0</v>
      </c>
      <c r="U2413" s="4">
        <v>99819</v>
      </c>
      <c r="V2413" s="4">
        <v>67109</v>
      </c>
      <c r="W2413" s="4">
        <v>21122</v>
      </c>
      <c r="X2413" s="4">
        <v>7295</v>
      </c>
      <c r="Y2413" s="4" t="s">
        <v>91</v>
      </c>
      <c r="Z2413" s="4">
        <v>97</v>
      </c>
      <c r="AA2413" s="4">
        <v>4.4000000000000004</v>
      </c>
      <c r="AB2413" s="4" t="s">
        <v>52</v>
      </c>
    </row>
    <row r="2414" spans="1:28" x14ac:dyDescent="0.25">
      <c r="A2414" s="2" t="s">
        <v>3219</v>
      </c>
      <c r="B2414" s="2" t="s">
        <v>888</v>
      </c>
      <c r="C2414" s="2">
        <v>28</v>
      </c>
      <c r="D2414" s="2" t="s">
        <v>30</v>
      </c>
      <c r="E2414" s="2" t="s">
        <v>79</v>
      </c>
      <c r="F2414" s="2" t="s">
        <v>157</v>
      </c>
      <c r="G2414" s="3">
        <v>44835</v>
      </c>
      <c r="H2414" s="3">
        <v>44844</v>
      </c>
      <c r="I2414" s="2">
        <v>9</v>
      </c>
      <c r="J2414" s="2" t="s">
        <v>115</v>
      </c>
      <c r="K2414" s="2" t="s">
        <v>116</v>
      </c>
      <c r="L2414" s="2" t="s">
        <v>117</v>
      </c>
      <c r="M2414" s="2" t="s">
        <v>95</v>
      </c>
      <c r="N2414" s="2" t="s">
        <v>109</v>
      </c>
      <c r="O2414" s="2" t="s">
        <v>950</v>
      </c>
      <c r="P2414" s="2">
        <v>368</v>
      </c>
      <c r="Q2414" s="2" t="s">
        <v>103</v>
      </c>
      <c r="R2414" s="2" t="s">
        <v>51</v>
      </c>
      <c r="S2414" s="2">
        <v>157395</v>
      </c>
      <c r="T2414" s="2">
        <v>68376</v>
      </c>
      <c r="U2414" s="2">
        <v>89019</v>
      </c>
      <c r="V2414" s="2">
        <v>123577</v>
      </c>
      <c r="W2414" s="2">
        <v>27015</v>
      </c>
      <c r="X2414" s="2">
        <v>3705</v>
      </c>
      <c r="Y2414" s="2" t="s">
        <v>41</v>
      </c>
      <c r="Z2414" s="2">
        <v>48</v>
      </c>
      <c r="AA2414" s="2">
        <v>2</v>
      </c>
      <c r="AB2414" s="2" t="s">
        <v>64</v>
      </c>
    </row>
    <row r="2415" spans="1:28" x14ac:dyDescent="0.25">
      <c r="A2415" s="4" t="s">
        <v>3220</v>
      </c>
      <c r="B2415" s="4" t="s">
        <v>133</v>
      </c>
      <c r="C2415" s="4">
        <v>20</v>
      </c>
      <c r="D2415" s="4" t="s">
        <v>55</v>
      </c>
      <c r="E2415" s="4" t="s">
        <v>31</v>
      </c>
      <c r="F2415" s="4" t="s">
        <v>157</v>
      </c>
      <c r="G2415" s="5">
        <v>45586</v>
      </c>
      <c r="H2415" s="5">
        <v>45588</v>
      </c>
      <c r="I2415" s="4">
        <v>2</v>
      </c>
      <c r="J2415" s="4" t="s">
        <v>33</v>
      </c>
      <c r="K2415" s="4" t="s">
        <v>197</v>
      </c>
      <c r="L2415" s="4" t="s">
        <v>198</v>
      </c>
      <c r="M2415" s="4" t="s">
        <v>36</v>
      </c>
      <c r="N2415" s="4" t="s">
        <v>118</v>
      </c>
      <c r="O2415" s="4" t="s">
        <v>259</v>
      </c>
      <c r="P2415" s="4">
        <v>27</v>
      </c>
      <c r="Q2415" s="4" t="s">
        <v>69</v>
      </c>
      <c r="R2415" s="4" t="s">
        <v>51</v>
      </c>
      <c r="S2415" s="4">
        <v>101914</v>
      </c>
      <c r="T2415" s="4">
        <v>65700</v>
      </c>
      <c r="U2415" s="4">
        <v>36214</v>
      </c>
      <c r="V2415" s="4">
        <v>71588</v>
      </c>
      <c r="W2415" s="4">
        <v>15511</v>
      </c>
      <c r="X2415" s="4">
        <v>11735</v>
      </c>
      <c r="Y2415" s="4" t="s">
        <v>41</v>
      </c>
      <c r="Z2415" s="4">
        <v>68</v>
      </c>
      <c r="AA2415" s="4">
        <v>4.0999999999999996</v>
      </c>
      <c r="AB2415" s="4" t="s">
        <v>64</v>
      </c>
    </row>
    <row r="2416" spans="1:28" x14ac:dyDescent="0.25">
      <c r="A2416" s="2" t="s">
        <v>3221</v>
      </c>
      <c r="B2416" s="2" t="s">
        <v>159</v>
      </c>
      <c r="C2416" s="2">
        <v>24</v>
      </c>
      <c r="D2416" s="2" t="s">
        <v>55</v>
      </c>
      <c r="E2416" s="2" t="s">
        <v>31</v>
      </c>
      <c r="F2416" s="2" t="s">
        <v>72</v>
      </c>
      <c r="G2416" s="3">
        <v>44701</v>
      </c>
      <c r="H2416" s="3">
        <v>44708</v>
      </c>
      <c r="I2416" s="2">
        <v>7</v>
      </c>
      <c r="J2416" s="2" t="s">
        <v>140</v>
      </c>
      <c r="K2416" s="2" t="s">
        <v>141</v>
      </c>
      <c r="L2416" s="2" t="s">
        <v>142</v>
      </c>
      <c r="M2416" s="2" t="s">
        <v>75</v>
      </c>
      <c r="N2416" s="2" t="s">
        <v>109</v>
      </c>
      <c r="O2416" s="2" t="s">
        <v>171</v>
      </c>
      <c r="P2416" s="2">
        <v>298</v>
      </c>
      <c r="Q2416" s="2" t="s">
        <v>50</v>
      </c>
      <c r="R2416" s="2" t="s">
        <v>51</v>
      </c>
      <c r="S2416" s="2">
        <v>160897</v>
      </c>
      <c r="T2416" s="2">
        <v>95306</v>
      </c>
      <c r="U2416" s="2">
        <v>65591</v>
      </c>
      <c r="V2416" s="2">
        <v>140667</v>
      </c>
      <c r="W2416" s="2">
        <v>9158</v>
      </c>
      <c r="X2416" s="2">
        <v>6370</v>
      </c>
      <c r="Y2416" s="2" t="s">
        <v>41</v>
      </c>
      <c r="Z2416" s="2">
        <v>64</v>
      </c>
      <c r="AA2416" s="2">
        <v>3.8</v>
      </c>
      <c r="AB2416" s="2" t="s">
        <v>137</v>
      </c>
    </row>
    <row r="2417" spans="1:28" x14ac:dyDescent="0.25">
      <c r="A2417" s="4" t="s">
        <v>3222</v>
      </c>
      <c r="B2417" s="4" t="s">
        <v>1638</v>
      </c>
      <c r="C2417" s="4">
        <v>78</v>
      </c>
      <c r="D2417" s="4" t="s">
        <v>30</v>
      </c>
      <c r="E2417" s="4" t="s">
        <v>45</v>
      </c>
      <c r="F2417" s="4" t="s">
        <v>94</v>
      </c>
      <c r="G2417" s="5">
        <v>45120</v>
      </c>
      <c r="H2417" s="5">
        <v>45145</v>
      </c>
      <c r="I2417" s="4">
        <v>25</v>
      </c>
      <c r="J2417" s="4" t="s">
        <v>33</v>
      </c>
      <c r="K2417" s="4" t="s">
        <v>47</v>
      </c>
      <c r="L2417" s="4" t="s">
        <v>48</v>
      </c>
      <c r="M2417" s="4" t="s">
        <v>143</v>
      </c>
      <c r="N2417" s="4" t="s">
        <v>37</v>
      </c>
      <c r="O2417" s="4" t="s">
        <v>199</v>
      </c>
      <c r="P2417" s="4">
        <v>239</v>
      </c>
      <c r="Q2417" s="4" t="s">
        <v>69</v>
      </c>
      <c r="R2417" s="4" t="s">
        <v>40</v>
      </c>
      <c r="S2417" s="4">
        <v>95527</v>
      </c>
      <c r="T2417" s="4">
        <v>46138</v>
      </c>
      <c r="U2417" s="4">
        <v>49389</v>
      </c>
      <c r="V2417" s="4">
        <v>73005</v>
      </c>
      <c r="W2417" s="4">
        <v>10792</v>
      </c>
      <c r="X2417" s="4">
        <v>6928</v>
      </c>
      <c r="Y2417" s="4" t="s">
        <v>41</v>
      </c>
      <c r="Z2417" s="4">
        <v>79</v>
      </c>
      <c r="AA2417" s="4">
        <v>4.2</v>
      </c>
      <c r="AB2417" s="4" t="s">
        <v>42</v>
      </c>
    </row>
    <row r="2418" spans="1:28" x14ac:dyDescent="0.25">
      <c r="A2418" s="2" t="s">
        <v>3223</v>
      </c>
      <c r="B2418" s="2" t="s">
        <v>106</v>
      </c>
      <c r="C2418" s="2">
        <v>56</v>
      </c>
      <c r="D2418" s="2" t="s">
        <v>55</v>
      </c>
      <c r="E2418" s="2" t="s">
        <v>79</v>
      </c>
      <c r="F2418" s="2" t="s">
        <v>150</v>
      </c>
      <c r="G2418" s="3">
        <v>45636</v>
      </c>
      <c r="H2418" s="3">
        <v>45643</v>
      </c>
      <c r="I2418" s="2">
        <v>7</v>
      </c>
      <c r="J2418" s="2" t="s">
        <v>33</v>
      </c>
      <c r="K2418" s="2" t="s">
        <v>197</v>
      </c>
      <c r="L2418" s="2" t="s">
        <v>198</v>
      </c>
      <c r="M2418" s="2" t="s">
        <v>143</v>
      </c>
      <c r="N2418" s="2" t="s">
        <v>37</v>
      </c>
      <c r="O2418" s="2" t="s">
        <v>538</v>
      </c>
      <c r="P2418" s="2">
        <v>369</v>
      </c>
      <c r="Q2418" s="2" t="s">
        <v>50</v>
      </c>
      <c r="R2418" s="2" t="s">
        <v>51</v>
      </c>
      <c r="S2418" s="2">
        <v>178755</v>
      </c>
      <c r="T2418" s="2">
        <v>81018</v>
      </c>
      <c r="U2418" s="2">
        <v>97737</v>
      </c>
      <c r="V2418" s="2">
        <v>144439</v>
      </c>
      <c r="W2418" s="2">
        <v>19553</v>
      </c>
      <c r="X2418" s="2">
        <v>10170</v>
      </c>
      <c r="Y2418" s="2" t="s">
        <v>41</v>
      </c>
      <c r="Z2418" s="2">
        <v>88</v>
      </c>
      <c r="AA2418" s="2">
        <v>2.9</v>
      </c>
      <c r="AB2418" s="2" t="s">
        <v>64</v>
      </c>
    </row>
    <row r="2419" spans="1:28" x14ac:dyDescent="0.25">
      <c r="A2419" s="4" t="s">
        <v>3224</v>
      </c>
      <c r="B2419" s="4" t="s">
        <v>422</v>
      </c>
      <c r="C2419" s="4">
        <v>72</v>
      </c>
      <c r="D2419" s="4" t="s">
        <v>30</v>
      </c>
      <c r="E2419" s="4" t="s">
        <v>154</v>
      </c>
      <c r="F2419" s="4" t="s">
        <v>57</v>
      </c>
      <c r="G2419" s="5">
        <v>44915</v>
      </c>
      <c r="H2419" s="5">
        <v>44930</v>
      </c>
      <c r="I2419" s="4">
        <v>15</v>
      </c>
      <c r="J2419" s="4" t="s">
        <v>58</v>
      </c>
      <c r="K2419" s="4" t="s">
        <v>59</v>
      </c>
      <c r="L2419" s="4" t="s">
        <v>60</v>
      </c>
      <c r="M2419" s="4" t="s">
        <v>61</v>
      </c>
      <c r="N2419" s="4" t="s">
        <v>62</v>
      </c>
      <c r="O2419" s="4" t="s">
        <v>259</v>
      </c>
      <c r="P2419" s="4">
        <v>48</v>
      </c>
      <c r="Q2419" s="4" t="s">
        <v>69</v>
      </c>
      <c r="R2419" s="4" t="s">
        <v>40</v>
      </c>
      <c r="S2419" s="4">
        <v>48106</v>
      </c>
      <c r="T2419" s="4">
        <v>24167</v>
      </c>
      <c r="U2419" s="4">
        <v>23939</v>
      </c>
      <c r="V2419" s="4">
        <v>41277</v>
      </c>
      <c r="W2419" s="4">
        <v>2247</v>
      </c>
      <c r="X2419" s="4">
        <v>3476</v>
      </c>
      <c r="Y2419" s="4" t="s">
        <v>91</v>
      </c>
      <c r="Z2419" s="4">
        <v>48</v>
      </c>
      <c r="AA2419" s="4">
        <v>3.9</v>
      </c>
      <c r="AB2419" s="4" t="s">
        <v>42</v>
      </c>
    </row>
    <row r="2420" spans="1:28" x14ac:dyDescent="0.25">
      <c r="A2420" s="2" t="s">
        <v>3225</v>
      </c>
      <c r="B2420" s="2" t="s">
        <v>2402</v>
      </c>
      <c r="C2420" s="2">
        <v>31</v>
      </c>
      <c r="D2420" s="2" t="s">
        <v>30</v>
      </c>
      <c r="E2420" s="2" t="s">
        <v>79</v>
      </c>
      <c r="F2420" s="2" t="s">
        <v>57</v>
      </c>
      <c r="G2420" s="3">
        <v>45226</v>
      </c>
      <c r="H2420" s="3">
        <v>45236</v>
      </c>
      <c r="I2420" s="2">
        <v>10</v>
      </c>
      <c r="J2420" s="2" t="s">
        <v>33</v>
      </c>
      <c r="K2420" s="2" t="s">
        <v>34</v>
      </c>
      <c r="L2420" s="2" t="s">
        <v>35</v>
      </c>
      <c r="M2420" s="2" t="s">
        <v>95</v>
      </c>
      <c r="N2420" s="2" t="s">
        <v>109</v>
      </c>
      <c r="O2420" s="2" t="s">
        <v>102</v>
      </c>
      <c r="P2420" s="2">
        <v>5</v>
      </c>
      <c r="Q2420" s="2" t="s">
        <v>69</v>
      </c>
      <c r="R2420" s="2" t="s">
        <v>51</v>
      </c>
      <c r="S2420" s="2">
        <v>152663</v>
      </c>
      <c r="T2420" s="2">
        <v>64606</v>
      </c>
      <c r="U2420" s="2">
        <v>88057</v>
      </c>
      <c r="V2420" s="2">
        <v>123495</v>
      </c>
      <c r="W2420" s="2">
        <v>17323</v>
      </c>
      <c r="X2420" s="2">
        <v>8300</v>
      </c>
      <c r="Y2420" s="2" t="s">
        <v>91</v>
      </c>
      <c r="Z2420" s="2">
        <v>42</v>
      </c>
      <c r="AA2420" s="2">
        <v>2.6</v>
      </c>
      <c r="AB2420" s="2" t="s">
        <v>64</v>
      </c>
    </row>
    <row r="2421" spans="1:28" x14ac:dyDescent="0.25">
      <c r="A2421" s="4" t="s">
        <v>3226</v>
      </c>
      <c r="B2421" s="4" t="s">
        <v>813</v>
      </c>
      <c r="C2421" s="4">
        <v>8</v>
      </c>
      <c r="D2421" s="4" t="s">
        <v>30</v>
      </c>
      <c r="E2421" s="4" t="s">
        <v>31</v>
      </c>
      <c r="F2421" s="4" t="s">
        <v>46</v>
      </c>
      <c r="G2421" s="5">
        <v>45512</v>
      </c>
      <c r="H2421" s="5">
        <v>45529</v>
      </c>
      <c r="I2421" s="4">
        <v>17</v>
      </c>
      <c r="J2421" s="4" t="s">
        <v>58</v>
      </c>
      <c r="K2421" s="4" t="s">
        <v>59</v>
      </c>
      <c r="L2421" s="4" t="s">
        <v>60</v>
      </c>
      <c r="M2421" s="4" t="s">
        <v>143</v>
      </c>
      <c r="N2421" s="4" t="s">
        <v>37</v>
      </c>
      <c r="O2421" s="4" t="s">
        <v>119</v>
      </c>
      <c r="P2421" s="4">
        <v>451</v>
      </c>
      <c r="Q2421" s="4" t="s">
        <v>50</v>
      </c>
      <c r="R2421" s="4" t="s">
        <v>111</v>
      </c>
      <c r="S2421" s="4">
        <v>103406</v>
      </c>
      <c r="T2421" s="4">
        <v>86130</v>
      </c>
      <c r="U2421" s="4">
        <v>17276</v>
      </c>
      <c r="V2421" s="4">
        <v>76346</v>
      </c>
      <c r="W2421" s="4">
        <v>21834</v>
      </c>
      <c r="X2421" s="4">
        <v>4091</v>
      </c>
      <c r="Y2421" s="4" t="s">
        <v>41</v>
      </c>
      <c r="Z2421" s="4">
        <v>53</v>
      </c>
      <c r="AA2421" s="4">
        <v>2.4</v>
      </c>
      <c r="AB2421" s="4" t="s">
        <v>64</v>
      </c>
    </row>
    <row r="2422" spans="1:28" x14ac:dyDescent="0.25">
      <c r="A2422" s="2" t="s">
        <v>3227</v>
      </c>
      <c r="B2422" s="2" t="s">
        <v>1586</v>
      </c>
      <c r="C2422" s="2">
        <v>37</v>
      </c>
      <c r="D2422" s="2" t="s">
        <v>55</v>
      </c>
      <c r="E2422" s="2" t="s">
        <v>87</v>
      </c>
      <c r="F2422" s="2" t="s">
        <v>114</v>
      </c>
      <c r="G2422" s="3">
        <v>45547</v>
      </c>
      <c r="H2422" s="3">
        <v>45555</v>
      </c>
      <c r="I2422" s="2">
        <v>8</v>
      </c>
      <c r="J2422" s="2" t="s">
        <v>33</v>
      </c>
      <c r="K2422" s="2" t="s">
        <v>197</v>
      </c>
      <c r="L2422" s="2" t="s">
        <v>198</v>
      </c>
      <c r="M2422" s="2" t="s">
        <v>75</v>
      </c>
      <c r="N2422" s="2" t="s">
        <v>118</v>
      </c>
      <c r="O2422" s="2" t="s">
        <v>217</v>
      </c>
      <c r="P2422" s="2">
        <v>40</v>
      </c>
      <c r="Q2422" s="2" t="s">
        <v>103</v>
      </c>
      <c r="R2422" s="2" t="s">
        <v>136</v>
      </c>
      <c r="S2422" s="2">
        <v>129682</v>
      </c>
      <c r="T2422" s="2">
        <v>0</v>
      </c>
      <c r="U2422" s="2">
        <v>129682</v>
      </c>
      <c r="V2422" s="2">
        <v>94463</v>
      </c>
      <c r="W2422" s="2">
        <v>20743</v>
      </c>
      <c r="X2422" s="2">
        <v>10539</v>
      </c>
      <c r="Y2422" s="2" t="s">
        <v>41</v>
      </c>
      <c r="Z2422" s="2">
        <v>48</v>
      </c>
      <c r="AA2422" s="2">
        <v>2.8</v>
      </c>
      <c r="AB2422" s="2" t="s">
        <v>104</v>
      </c>
    </row>
    <row r="2423" spans="1:28" x14ac:dyDescent="0.25">
      <c r="A2423" s="4" t="s">
        <v>3228</v>
      </c>
      <c r="B2423" s="4" t="s">
        <v>3229</v>
      </c>
      <c r="C2423" s="4">
        <v>15</v>
      </c>
      <c r="D2423" s="4" t="s">
        <v>55</v>
      </c>
      <c r="E2423" s="4" t="s">
        <v>45</v>
      </c>
      <c r="F2423" s="4" t="s">
        <v>80</v>
      </c>
      <c r="G2423" s="5">
        <v>45588</v>
      </c>
      <c r="H2423" s="5">
        <v>45605</v>
      </c>
      <c r="I2423" s="4">
        <v>17</v>
      </c>
      <c r="J2423" s="4" t="s">
        <v>33</v>
      </c>
      <c r="K2423" s="4" t="s">
        <v>233</v>
      </c>
      <c r="L2423" s="4" t="s">
        <v>35</v>
      </c>
      <c r="M2423" s="4" t="s">
        <v>61</v>
      </c>
      <c r="N2423" s="4" t="s">
        <v>109</v>
      </c>
      <c r="O2423" s="4" t="s">
        <v>151</v>
      </c>
      <c r="P2423" s="4">
        <v>245</v>
      </c>
      <c r="Q2423" s="4" t="s">
        <v>69</v>
      </c>
      <c r="R2423" s="4" t="s">
        <v>136</v>
      </c>
      <c r="S2423" s="4">
        <v>55704</v>
      </c>
      <c r="T2423" s="4">
        <v>0</v>
      </c>
      <c r="U2423" s="4">
        <v>55704</v>
      </c>
      <c r="V2423" s="4">
        <v>34115</v>
      </c>
      <c r="W2423" s="4">
        <v>5181</v>
      </c>
      <c r="X2423" s="4">
        <v>13206</v>
      </c>
      <c r="Y2423" s="4" t="s">
        <v>41</v>
      </c>
      <c r="Z2423" s="4">
        <v>82</v>
      </c>
      <c r="AA2423" s="4">
        <v>3.2</v>
      </c>
      <c r="AB2423" s="4" t="s">
        <v>104</v>
      </c>
    </row>
    <row r="2424" spans="1:28" x14ac:dyDescent="0.25">
      <c r="A2424" s="2" t="s">
        <v>3230</v>
      </c>
      <c r="B2424" s="2" t="s">
        <v>536</v>
      </c>
      <c r="C2424" s="2">
        <v>84</v>
      </c>
      <c r="D2424" s="2" t="s">
        <v>55</v>
      </c>
      <c r="E2424" s="2" t="s">
        <v>79</v>
      </c>
      <c r="F2424" s="2" t="s">
        <v>46</v>
      </c>
      <c r="G2424" s="3">
        <v>45265</v>
      </c>
      <c r="H2424" s="3">
        <v>45275</v>
      </c>
      <c r="I2424" s="2">
        <v>10</v>
      </c>
      <c r="J2424" s="2" t="s">
        <v>33</v>
      </c>
      <c r="K2424" s="2" t="s">
        <v>174</v>
      </c>
      <c r="L2424" s="2" t="s">
        <v>48</v>
      </c>
      <c r="M2424" s="2" t="s">
        <v>101</v>
      </c>
      <c r="N2424" s="2" t="s">
        <v>37</v>
      </c>
      <c r="O2424" s="2" t="s">
        <v>580</v>
      </c>
      <c r="P2424" s="2">
        <v>119</v>
      </c>
      <c r="Q2424" s="2" t="s">
        <v>69</v>
      </c>
      <c r="R2424" s="2" t="s">
        <v>136</v>
      </c>
      <c r="S2424" s="2">
        <v>154682</v>
      </c>
      <c r="T2424" s="2">
        <v>0</v>
      </c>
      <c r="U2424" s="2">
        <v>154682</v>
      </c>
      <c r="V2424" s="2">
        <v>113846</v>
      </c>
      <c r="W2424" s="2">
        <v>27227</v>
      </c>
      <c r="X2424" s="2">
        <v>9124</v>
      </c>
      <c r="Y2424" s="2" t="s">
        <v>41</v>
      </c>
      <c r="Z2424" s="2">
        <v>83</v>
      </c>
      <c r="AA2424" s="2">
        <v>2.1</v>
      </c>
      <c r="AB2424" s="2" t="s">
        <v>52</v>
      </c>
    </row>
    <row r="2425" spans="1:28" x14ac:dyDescent="0.25">
      <c r="A2425" s="4" t="s">
        <v>3231</v>
      </c>
      <c r="B2425" s="4" t="s">
        <v>785</v>
      </c>
      <c r="C2425" s="4">
        <v>42</v>
      </c>
      <c r="D2425" s="4" t="s">
        <v>30</v>
      </c>
      <c r="E2425" s="4" t="s">
        <v>67</v>
      </c>
      <c r="F2425" s="4" t="s">
        <v>32</v>
      </c>
      <c r="G2425" s="5">
        <v>45134</v>
      </c>
      <c r="H2425" s="5">
        <v>45148</v>
      </c>
      <c r="I2425" s="4">
        <v>14</v>
      </c>
      <c r="J2425" s="4" t="s">
        <v>202</v>
      </c>
      <c r="K2425" s="4" t="s">
        <v>225</v>
      </c>
      <c r="L2425" s="4" t="s">
        <v>226</v>
      </c>
      <c r="M2425" s="4" t="s">
        <v>95</v>
      </c>
      <c r="N2425" s="4" t="s">
        <v>109</v>
      </c>
      <c r="O2425" s="4" t="s">
        <v>76</v>
      </c>
      <c r="P2425" s="4">
        <v>410</v>
      </c>
      <c r="Q2425" s="4" t="s">
        <v>69</v>
      </c>
      <c r="R2425" s="4" t="s">
        <v>40</v>
      </c>
      <c r="S2425" s="4">
        <v>129886</v>
      </c>
      <c r="T2425" s="4">
        <v>71571</v>
      </c>
      <c r="U2425" s="4">
        <v>58315</v>
      </c>
      <c r="V2425" s="4">
        <v>95753</v>
      </c>
      <c r="W2425" s="4">
        <v>19179</v>
      </c>
      <c r="X2425" s="4">
        <v>11629</v>
      </c>
      <c r="Y2425" s="4" t="s">
        <v>41</v>
      </c>
      <c r="Z2425" s="4">
        <v>64</v>
      </c>
      <c r="AA2425" s="4">
        <v>2.6</v>
      </c>
      <c r="AB2425" s="4" t="s">
        <v>64</v>
      </c>
    </row>
    <row r="2426" spans="1:28" x14ac:dyDescent="0.25">
      <c r="A2426" s="2" t="s">
        <v>3232</v>
      </c>
      <c r="B2426" s="2" t="s">
        <v>299</v>
      </c>
      <c r="C2426" s="2">
        <v>49</v>
      </c>
      <c r="D2426" s="2" t="s">
        <v>55</v>
      </c>
      <c r="E2426" s="2" t="s">
        <v>154</v>
      </c>
      <c r="F2426" s="2" t="s">
        <v>150</v>
      </c>
      <c r="G2426" s="3">
        <v>44707</v>
      </c>
      <c r="H2426" s="3">
        <v>44727</v>
      </c>
      <c r="I2426" s="2">
        <v>20</v>
      </c>
      <c r="J2426" s="2" t="s">
        <v>140</v>
      </c>
      <c r="K2426" s="2" t="s">
        <v>141</v>
      </c>
      <c r="L2426" s="2" t="s">
        <v>142</v>
      </c>
      <c r="M2426" s="2" t="s">
        <v>134</v>
      </c>
      <c r="N2426" s="2" t="s">
        <v>109</v>
      </c>
      <c r="O2426" s="2" t="s">
        <v>76</v>
      </c>
      <c r="P2426" s="2">
        <v>89</v>
      </c>
      <c r="Q2426" s="2" t="s">
        <v>39</v>
      </c>
      <c r="R2426" s="2" t="s">
        <v>51</v>
      </c>
      <c r="S2426" s="2">
        <v>155610</v>
      </c>
      <c r="T2426" s="2">
        <v>106798</v>
      </c>
      <c r="U2426" s="2">
        <v>48812</v>
      </c>
      <c r="V2426" s="2">
        <v>120045</v>
      </c>
      <c r="W2426" s="2">
        <v>27676</v>
      </c>
      <c r="X2426" s="2">
        <v>3160</v>
      </c>
      <c r="Y2426" s="2" t="s">
        <v>41</v>
      </c>
      <c r="Z2426" s="2">
        <v>71</v>
      </c>
      <c r="AA2426" s="2">
        <v>2.7</v>
      </c>
      <c r="AB2426" s="2" t="s">
        <v>137</v>
      </c>
    </row>
    <row r="2427" spans="1:28" x14ac:dyDescent="0.25">
      <c r="A2427" s="4" t="s">
        <v>3233</v>
      </c>
      <c r="B2427" s="4" t="s">
        <v>1113</v>
      </c>
      <c r="C2427" s="4">
        <v>77</v>
      </c>
      <c r="D2427" s="4" t="s">
        <v>30</v>
      </c>
      <c r="E2427" s="4" t="s">
        <v>122</v>
      </c>
      <c r="F2427" s="4" t="s">
        <v>114</v>
      </c>
      <c r="G2427" s="5">
        <v>45202</v>
      </c>
      <c r="H2427" s="5">
        <v>45221</v>
      </c>
      <c r="I2427" s="4">
        <v>19</v>
      </c>
      <c r="J2427" s="4" t="s">
        <v>33</v>
      </c>
      <c r="K2427" s="4" t="s">
        <v>233</v>
      </c>
      <c r="L2427" s="4" t="s">
        <v>35</v>
      </c>
      <c r="M2427" s="4" t="s">
        <v>36</v>
      </c>
      <c r="N2427" s="4" t="s">
        <v>37</v>
      </c>
      <c r="O2427" s="4" t="s">
        <v>543</v>
      </c>
      <c r="P2427" s="4">
        <v>382</v>
      </c>
      <c r="Q2427" s="4" t="s">
        <v>39</v>
      </c>
      <c r="R2427" s="4" t="s">
        <v>136</v>
      </c>
      <c r="S2427" s="4">
        <v>126068</v>
      </c>
      <c r="T2427" s="4">
        <v>0</v>
      </c>
      <c r="U2427" s="4">
        <v>126068</v>
      </c>
      <c r="V2427" s="4">
        <v>113540</v>
      </c>
      <c r="W2427" s="4">
        <v>5703</v>
      </c>
      <c r="X2427" s="4">
        <v>3595</v>
      </c>
      <c r="Y2427" s="4" t="s">
        <v>41</v>
      </c>
      <c r="Z2427" s="4">
        <v>51</v>
      </c>
      <c r="AA2427" s="4">
        <v>2.2000000000000002</v>
      </c>
      <c r="AB2427" s="4" t="s">
        <v>104</v>
      </c>
    </row>
    <row r="2428" spans="1:28" x14ac:dyDescent="0.25">
      <c r="A2428" s="2" t="s">
        <v>3234</v>
      </c>
      <c r="B2428" s="2" t="s">
        <v>985</v>
      </c>
      <c r="C2428" s="2">
        <v>70</v>
      </c>
      <c r="D2428" s="2" t="s">
        <v>30</v>
      </c>
      <c r="E2428" s="2" t="s">
        <v>122</v>
      </c>
      <c r="F2428" s="2" t="s">
        <v>57</v>
      </c>
      <c r="G2428" s="3">
        <v>44570</v>
      </c>
      <c r="H2428" s="3">
        <v>44572</v>
      </c>
      <c r="I2428" s="2">
        <v>2</v>
      </c>
      <c r="J2428" s="2" t="s">
        <v>33</v>
      </c>
      <c r="K2428" s="2" t="s">
        <v>99</v>
      </c>
      <c r="L2428" s="2" t="s">
        <v>100</v>
      </c>
      <c r="M2428" s="2" t="s">
        <v>143</v>
      </c>
      <c r="N2428" s="2" t="s">
        <v>109</v>
      </c>
      <c r="O2428" s="2" t="s">
        <v>300</v>
      </c>
      <c r="P2428" s="2">
        <v>121</v>
      </c>
      <c r="Q2428" s="2" t="s">
        <v>39</v>
      </c>
      <c r="R2428" s="2" t="s">
        <v>40</v>
      </c>
      <c r="S2428" s="2">
        <v>47431</v>
      </c>
      <c r="T2428" s="2">
        <v>27167</v>
      </c>
      <c r="U2428" s="2">
        <v>20264</v>
      </c>
      <c r="V2428" s="2">
        <v>16145</v>
      </c>
      <c r="W2428" s="2">
        <v>18753</v>
      </c>
      <c r="X2428" s="2">
        <v>10108</v>
      </c>
      <c r="Y2428" s="2" t="s">
        <v>41</v>
      </c>
      <c r="Z2428" s="2">
        <v>89</v>
      </c>
      <c r="AA2428" s="2">
        <v>2.1</v>
      </c>
      <c r="AB2428" s="2" t="s">
        <v>42</v>
      </c>
    </row>
    <row r="2429" spans="1:28" x14ac:dyDescent="0.25">
      <c r="A2429" s="4" t="s">
        <v>3235</v>
      </c>
      <c r="B2429" s="4" t="s">
        <v>2246</v>
      </c>
      <c r="C2429" s="4">
        <v>42</v>
      </c>
      <c r="D2429" s="4" t="s">
        <v>30</v>
      </c>
      <c r="E2429" s="4" t="s">
        <v>67</v>
      </c>
      <c r="F2429" s="4" t="s">
        <v>157</v>
      </c>
      <c r="G2429" s="5">
        <v>45477</v>
      </c>
      <c r="H2429" s="5">
        <v>45481</v>
      </c>
      <c r="I2429" s="4">
        <v>4</v>
      </c>
      <c r="J2429" s="4" t="s">
        <v>123</v>
      </c>
      <c r="K2429" s="4" t="s">
        <v>251</v>
      </c>
      <c r="L2429" s="4" t="s">
        <v>125</v>
      </c>
      <c r="M2429" s="4" t="s">
        <v>134</v>
      </c>
      <c r="N2429" s="4" t="s">
        <v>37</v>
      </c>
      <c r="O2429" s="4" t="s">
        <v>217</v>
      </c>
      <c r="P2429" s="4">
        <v>135</v>
      </c>
      <c r="Q2429" s="4" t="s">
        <v>103</v>
      </c>
      <c r="R2429" s="4" t="s">
        <v>136</v>
      </c>
      <c r="S2429" s="4">
        <v>64297</v>
      </c>
      <c r="T2429" s="4">
        <v>0</v>
      </c>
      <c r="U2429" s="4">
        <v>64297</v>
      </c>
      <c r="V2429" s="4">
        <v>31115</v>
      </c>
      <c r="W2429" s="4">
        <v>26197</v>
      </c>
      <c r="X2429" s="4">
        <v>2495</v>
      </c>
      <c r="Y2429" s="4" t="s">
        <v>41</v>
      </c>
      <c r="Z2429" s="4">
        <v>42</v>
      </c>
      <c r="AA2429" s="4">
        <v>4.4000000000000004</v>
      </c>
      <c r="AB2429" s="4" t="s">
        <v>137</v>
      </c>
    </row>
    <row r="2430" spans="1:28" x14ac:dyDescent="0.25">
      <c r="A2430" s="2" t="s">
        <v>3236</v>
      </c>
      <c r="B2430" s="2" t="s">
        <v>779</v>
      </c>
      <c r="C2430" s="2">
        <v>56</v>
      </c>
      <c r="D2430" s="2" t="s">
        <v>30</v>
      </c>
      <c r="E2430" s="2" t="s">
        <v>87</v>
      </c>
      <c r="F2430" s="2" t="s">
        <v>114</v>
      </c>
      <c r="G2430" s="3">
        <v>44641</v>
      </c>
      <c r="H2430" s="3">
        <v>44647</v>
      </c>
      <c r="I2430" s="2">
        <v>6</v>
      </c>
      <c r="J2430" s="2" t="s">
        <v>33</v>
      </c>
      <c r="K2430" s="2" t="s">
        <v>107</v>
      </c>
      <c r="L2430" s="2" t="s">
        <v>48</v>
      </c>
      <c r="M2430" s="2" t="s">
        <v>36</v>
      </c>
      <c r="N2430" s="2" t="s">
        <v>37</v>
      </c>
      <c r="O2430" s="2" t="s">
        <v>1038</v>
      </c>
      <c r="P2430" s="2">
        <v>425</v>
      </c>
      <c r="Q2430" s="2" t="s">
        <v>50</v>
      </c>
      <c r="R2430" s="2" t="s">
        <v>90</v>
      </c>
      <c r="S2430" s="2">
        <v>77656</v>
      </c>
      <c r="T2430" s="2">
        <v>46957</v>
      </c>
      <c r="U2430" s="2">
        <v>30699</v>
      </c>
      <c r="V2430" s="2">
        <v>45299</v>
      </c>
      <c r="W2430" s="2">
        <v>23567</v>
      </c>
      <c r="X2430" s="2">
        <v>5503</v>
      </c>
      <c r="Y2430" s="2" t="s">
        <v>41</v>
      </c>
      <c r="Z2430" s="2">
        <v>100</v>
      </c>
      <c r="AA2430" s="2">
        <v>2.6</v>
      </c>
      <c r="AB2430" s="2" t="s">
        <v>137</v>
      </c>
    </row>
    <row r="2431" spans="1:28" x14ac:dyDescent="0.25">
      <c r="A2431" s="4" t="s">
        <v>3237</v>
      </c>
      <c r="B2431" s="4" t="s">
        <v>1876</v>
      </c>
      <c r="C2431" s="4">
        <v>49</v>
      </c>
      <c r="D2431" s="4" t="s">
        <v>55</v>
      </c>
      <c r="E2431" s="4" t="s">
        <v>79</v>
      </c>
      <c r="F2431" s="4" t="s">
        <v>157</v>
      </c>
      <c r="G2431" s="5">
        <v>45437</v>
      </c>
      <c r="H2431" s="5">
        <v>45457</v>
      </c>
      <c r="I2431" s="4">
        <v>20</v>
      </c>
      <c r="J2431" s="4" t="s">
        <v>140</v>
      </c>
      <c r="K2431" s="4" t="s">
        <v>167</v>
      </c>
      <c r="L2431" s="4" t="s">
        <v>142</v>
      </c>
      <c r="M2431" s="4" t="s">
        <v>108</v>
      </c>
      <c r="N2431" s="4" t="s">
        <v>118</v>
      </c>
      <c r="O2431" s="4" t="s">
        <v>285</v>
      </c>
      <c r="P2431" s="4">
        <v>213</v>
      </c>
      <c r="Q2431" s="4" t="s">
        <v>103</v>
      </c>
      <c r="R2431" s="4" t="s">
        <v>111</v>
      </c>
      <c r="S2431" s="4">
        <v>148784</v>
      </c>
      <c r="T2431" s="4">
        <v>107648</v>
      </c>
      <c r="U2431" s="4">
        <v>41136</v>
      </c>
      <c r="V2431" s="4">
        <v>108953</v>
      </c>
      <c r="W2431" s="4">
        <v>26337</v>
      </c>
      <c r="X2431" s="4">
        <v>10911</v>
      </c>
      <c r="Y2431" s="4" t="s">
        <v>41</v>
      </c>
      <c r="Z2431" s="4">
        <v>47</v>
      </c>
      <c r="AA2431" s="4">
        <v>2.8</v>
      </c>
      <c r="AB2431" s="4" t="s">
        <v>42</v>
      </c>
    </row>
    <row r="2432" spans="1:28" x14ac:dyDescent="0.25">
      <c r="A2432" s="2" t="s">
        <v>3238</v>
      </c>
      <c r="B2432" s="2" t="s">
        <v>739</v>
      </c>
      <c r="C2432" s="2">
        <v>7</v>
      </c>
      <c r="D2432" s="2" t="s">
        <v>55</v>
      </c>
      <c r="E2432" s="2" t="s">
        <v>122</v>
      </c>
      <c r="F2432" s="2" t="s">
        <v>157</v>
      </c>
      <c r="G2432" s="3">
        <v>44995</v>
      </c>
      <c r="H2432" s="3">
        <v>45020</v>
      </c>
      <c r="I2432" s="2">
        <v>25</v>
      </c>
      <c r="J2432" s="2" t="s">
        <v>33</v>
      </c>
      <c r="K2432" s="2" t="s">
        <v>107</v>
      </c>
      <c r="L2432" s="2" t="s">
        <v>48</v>
      </c>
      <c r="M2432" s="2" t="s">
        <v>61</v>
      </c>
      <c r="N2432" s="2" t="s">
        <v>37</v>
      </c>
      <c r="O2432" s="2" t="s">
        <v>492</v>
      </c>
      <c r="P2432" s="2">
        <v>251</v>
      </c>
      <c r="Q2432" s="2" t="s">
        <v>69</v>
      </c>
      <c r="R2432" s="2" t="s">
        <v>90</v>
      </c>
      <c r="S2432" s="2">
        <v>149089</v>
      </c>
      <c r="T2432" s="2">
        <v>97973</v>
      </c>
      <c r="U2432" s="2">
        <v>51116</v>
      </c>
      <c r="V2432" s="2">
        <v>129440</v>
      </c>
      <c r="W2432" s="2">
        <v>8872</v>
      </c>
      <c r="X2432" s="2">
        <v>8817</v>
      </c>
      <c r="Y2432" s="2" t="s">
        <v>41</v>
      </c>
      <c r="Z2432" s="2">
        <v>60</v>
      </c>
      <c r="AA2432" s="2">
        <v>4.5</v>
      </c>
      <c r="AB2432" s="2" t="s">
        <v>42</v>
      </c>
    </row>
    <row r="2433" spans="1:28" x14ac:dyDescent="0.25">
      <c r="A2433" s="4" t="s">
        <v>3239</v>
      </c>
      <c r="B2433" s="4" t="s">
        <v>917</v>
      </c>
      <c r="C2433" s="4">
        <v>33</v>
      </c>
      <c r="D2433" s="4" t="s">
        <v>30</v>
      </c>
      <c r="E2433" s="4" t="s">
        <v>67</v>
      </c>
      <c r="F2433" s="4" t="s">
        <v>129</v>
      </c>
      <c r="G2433" s="5">
        <v>44851</v>
      </c>
      <c r="H2433" s="5">
        <v>44879</v>
      </c>
      <c r="I2433" s="4">
        <v>28</v>
      </c>
      <c r="J2433" s="4" t="s">
        <v>115</v>
      </c>
      <c r="K2433" s="4" t="s">
        <v>160</v>
      </c>
      <c r="L2433" s="4" t="s">
        <v>117</v>
      </c>
      <c r="M2433" s="4" t="s">
        <v>134</v>
      </c>
      <c r="N2433" s="4" t="s">
        <v>118</v>
      </c>
      <c r="O2433" s="4" t="s">
        <v>396</v>
      </c>
      <c r="P2433" s="4">
        <v>176</v>
      </c>
      <c r="Q2433" s="4" t="s">
        <v>50</v>
      </c>
      <c r="R2433" s="4" t="s">
        <v>90</v>
      </c>
      <c r="S2433" s="4">
        <v>156232</v>
      </c>
      <c r="T2433" s="4">
        <v>115385</v>
      </c>
      <c r="U2433" s="4">
        <v>40847</v>
      </c>
      <c r="V2433" s="4">
        <v>128395</v>
      </c>
      <c r="W2433" s="4">
        <v>17181</v>
      </c>
      <c r="X2433" s="4">
        <v>7133</v>
      </c>
      <c r="Y2433" s="4" t="s">
        <v>41</v>
      </c>
      <c r="Z2433" s="4">
        <v>92</v>
      </c>
      <c r="AA2433" s="4">
        <v>3.3</v>
      </c>
      <c r="AB2433" s="4" t="s">
        <v>104</v>
      </c>
    </row>
    <row r="2434" spans="1:28" x14ac:dyDescent="0.25">
      <c r="A2434" s="2" t="s">
        <v>3240</v>
      </c>
      <c r="B2434" s="2" t="s">
        <v>2103</v>
      </c>
      <c r="C2434" s="2">
        <v>9</v>
      </c>
      <c r="D2434" s="2" t="s">
        <v>55</v>
      </c>
      <c r="E2434" s="2" t="s">
        <v>45</v>
      </c>
      <c r="F2434" s="2" t="s">
        <v>72</v>
      </c>
      <c r="G2434" s="3">
        <v>44738</v>
      </c>
      <c r="H2434" s="3">
        <v>44766</v>
      </c>
      <c r="I2434" s="2">
        <v>28</v>
      </c>
      <c r="J2434" s="2" t="s">
        <v>33</v>
      </c>
      <c r="K2434" s="2" t="s">
        <v>34</v>
      </c>
      <c r="L2434" s="2" t="s">
        <v>35</v>
      </c>
      <c r="M2434" s="2" t="s">
        <v>108</v>
      </c>
      <c r="N2434" s="2" t="s">
        <v>109</v>
      </c>
      <c r="O2434" s="2" t="s">
        <v>110</v>
      </c>
      <c r="P2434" s="2">
        <v>312</v>
      </c>
      <c r="Q2434" s="2" t="s">
        <v>39</v>
      </c>
      <c r="R2434" s="2" t="s">
        <v>51</v>
      </c>
      <c r="S2434" s="2">
        <v>89765</v>
      </c>
      <c r="T2434" s="2">
        <v>49592</v>
      </c>
      <c r="U2434" s="2">
        <v>40173</v>
      </c>
      <c r="V2434" s="2">
        <v>61425</v>
      </c>
      <c r="W2434" s="2">
        <v>21496</v>
      </c>
      <c r="X2434" s="2">
        <v>3876</v>
      </c>
      <c r="Y2434" s="2" t="s">
        <v>41</v>
      </c>
      <c r="Z2434" s="2">
        <v>58</v>
      </c>
      <c r="AA2434" s="2">
        <v>2.2000000000000002</v>
      </c>
      <c r="AB2434" s="2" t="s">
        <v>137</v>
      </c>
    </row>
    <row r="2435" spans="1:28" x14ac:dyDescent="0.25">
      <c r="A2435" s="4" t="s">
        <v>3241</v>
      </c>
      <c r="B2435" s="4" t="s">
        <v>243</v>
      </c>
      <c r="C2435" s="4">
        <v>33</v>
      </c>
      <c r="D2435" s="4" t="s">
        <v>55</v>
      </c>
      <c r="E2435" s="4" t="s">
        <v>45</v>
      </c>
      <c r="F2435" s="4" t="s">
        <v>80</v>
      </c>
      <c r="G2435" s="5">
        <v>45280</v>
      </c>
      <c r="H2435" s="5">
        <v>45302</v>
      </c>
      <c r="I2435" s="4">
        <v>22</v>
      </c>
      <c r="J2435" s="4" t="s">
        <v>202</v>
      </c>
      <c r="K2435" s="4" t="s">
        <v>225</v>
      </c>
      <c r="L2435" s="4" t="s">
        <v>226</v>
      </c>
      <c r="M2435" s="4" t="s">
        <v>130</v>
      </c>
      <c r="N2435" s="4" t="s">
        <v>37</v>
      </c>
      <c r="O2435" s="4" t="s">
        <v>416</v>
      </c>
      <c r="P2435" s="4">
        <v>396</v>
      </c>
      <c r="Q2435" s="4" t="s">
        <v>50</v>
      </c>
      <c r="R2435" s="4" t="s">
        <v>111</v>
      </c>
      <c r="S2435" s="4">
        <v>109374</v>
      </c>
      <c r="T2435" s="4">
        <v>69222</v>
      </c>
      <c r="U2435" s="4">
        <v>40152</v>
      </c>
      <c r="V2435" s="4">
        <v>91112</v>
      </c>
      <c r="W2435" s="4">
        <v>4228</v>
      </c>
      <c r="X2435" s="4">
        <v>11798</v>
      </c>
      <c r="Y2435" s="4" t="s">
        <v>41</v>
      </c>
      <c r="Z2435" s="4">
        <v>54</v>
      </c>
      <c r="AA2435" s="4">
        <v>4.2</v>
      </c>
      <c r="AB2435" s="4" t="s">
        <v>42</v>
      </c>
    </row>
    <row r="2436" spans="1:28" x14ac:dyDescent="0.25">
      <c r="A2436" s="2" t="s">
        <v>3242</v>
      </c>
      <c r="B2436" s="2" t="s">
        <v>637</v>
      </c>
      <c r="C2436" s="2">
        <v>67</v>
      </c>
      <c r="D2436" s="2" t="s">
        <v>55</v>
      </c>
      <c r="E2436" s="2" t="s">
        <v>79</v>
      </c>
      <c r="F2436" s="2" t="s">
        <v>46</v>
      </c>
      <c r="G2436" s="3">
        <v>45086</v>
      </c>
      <c r="H2436" s="3">
        <v>45099</v>
      </c>
      <c r="I2436" s="2">
        <v>13</v>
      </c>
      <c r="J2436" s="2" t="s">
        <v>33</v>
      </c>
      <c r="K2436" s="2" t="s">
        <v>99</v>
      </c>
      <c r="L2436" s="2" t="s">
        <v>100</v>
      </c>
      <c r="M2436" s="2" t="s">
        <v>130</v>
      </c>
      <c r="N2436" s="2" t="s">
        <v>62</v>
      </c>
      <c r="O2436" s="2" t="s">
        <v>266</v>
      </c>
      <c r="P2436" s="2">
        <v>45</v>
      </c>
      <c r="Q2436" s="2" t="s">
        <v>39</v>
      </c>
      <c r="R2436" s="2" t="s">
        <v>51</v>
      </c>
      <c r="S2436" s="2">
        <v>140121</v>
      </c>
      <c r="T2436" s="2">
        <v>91889</v>
      </c>
      <c r="U2436" s="2">
        <v>48232</v>
      </c>
      <c r="V2436" s="2">
        <v>101172</v>
      </c>
      <c r="W2436" s="2">
        <v>24426</v>
      </c>
      <c r="X2436" s="2">
        <v>11580</v>
      </c>
      <c r="Y2436" s="2" t="s">
        <v>41</v>
      </c>
      <c r="Z2436" s="2">
        <v>59</v>
      </c>
      <c r="AA2436" s="2">
        <v>2.5</v>
      </c>
      <c r="AB2436" s="2" t="s">
        <v>64</v>
      </c>
    </row>
    <row r="2437" spans="1:28" x14ac:dyDescent="0.25">
      <c r="A2437" s="4" t="s">
        <v>3243</v>
      </c>
      <c r="B2437" s="4" t="s">
        <v>785</v>
      </c>
      <c r="C2437" s="4">
        <v>40</v>
      </c>
      <c r="D2437" s="4" t="s">
        <v>30</v>
      </c>
      <c r="E2437" s="4" t="s">
        <v>87</v>
      </c>
      <c r="F2437" s="4" t="s">
        <v>57</v>
      </c>
      <c r="G2437" s="5">
        <v>44696</v>
      </c>
      <c r="H2437" s="5">
        <v>44712</v>
      </c>
      <c r="I2437" s="4">
        <v>16</v>
      </c>
      <c r="J2437" s="4" t="s">
        <v>33</v>
      </c>
      <c r="K2437" s="4" t="s">
        <v>107</v>
      </c>
      <c r="L2437" s="4" t="s">
        <v>48</v>
      </c>
      <c r="M2437" s="4" t="s">
        <v>61</v>
      </c>
      <c r="N2437" s="4" t="s">
        <v>37</v>
      </c>
      <c r="O2437" s="4" t="s">
        <v>396</v>
      </c>
      <c r="P2437" s="4">
        <v>25</v>
      </c>
      <c r="Q2437" s="4" t="s">
        <v>103</v>
      </c>
      <c r="R2437" s="4" t="s">
        <v>136</v>
      </c>
      <c r="S2437" s="4">
        <v>74204</v>
      </c>
      <c r="T2437" s="4">
        <v>0</v>
      </c>
      <c r="U2437" s="4">
        <v>74204</v>
      </c>
      <c r="V2437" s="4">
        <v>55486</v>
      </c>
      <c r="W2437" s="4">
        <v>14160</v>
      </c>
      <c r="X2437" s="4">
        <v>1224</v>
      </c>
      <c r="Y2437" s="4" t="s">
        <v>41</v>
      </c>
      <c r="Z2437" s="4">
        <v>86</v>
      </c>
      <c r="AA2437" s="4">
        <v>4.5</v>
      </c>
      <c r="AB2437" s="4" t="s">
        <v>137</v>
      </c>
    </row>
    <row r="2438" spans="1:28" x14ac:dyDescent="0.25">
      <c r="A2438" s="2" t="s">
        <v>3244</v>
      </c>
      <c r="B2438" s="2" t="s">
        <v>919</v>
      </c>
      <c r="C2438" s="2">
        <v>65</v>
      </c>
      <c r="D2438" s="2" t="s">
        <v>55</v>
      </c>
      <c r="E2438" s="2" t="s">
        <v>56</v>
      </c>
      <c r="F2438" s="2" t="s">
        <v>57</v>
      </c>
      <c r="G2438" s="3">
        <v>45655</v>
      </c>
      <c r="H2438" s="3">
        <v>45657</v>
      </c>
      <c r="I2438" s="2">
        <v>2</v>
      </c>
      <c r="J2438" s="2" t="s">
        <v>115</v>
      </c>
      <c r="K2438" s="2" t="s">
        <v>116</v>
      </c>
      <c r="L2438" s="2" t="s">
        <v>117</v>
      </c>
      <c r="M2438" s="2" t="s">
        <v>83</v>
      </c>
      <c r="N2438" s="2" t="s">
        <v>37</v>
      </c>
      <c r="O2438" s="2" t="s">
        <v>68</v>
      </c>
      <c r="P2438" s="2">
        <v>435</v>
      </c>
      <c r="Q2438" s="2" t="s">
        <v>69</v>
      </c>
      <c r="R2438" s="2" t="s">
        <v>111</v>
      </c>
      <c r="S2438" s="2">
        <v>28665</v>
      </c>
      <c r="T2438" s="2">
        <v>20928</v>
      </c>
      <c r="U2438" s="2">
        <v>7737</v>
      </c>
      <c r="V2438" s="2">
        <v>10776</v>
      </c>
      <c r="W2438" s="2">
        <v>10852</v>
      </c>
      <c r="X2438" s="2">
        <v>2397</v>
      </c>
      <c r="Y2438" s="2" t="s">
        <v>41</v>
      </c>
      <c r="Z2438" s="2">
        <v>40</v>
      </c>
      <c r="AA2438" s="2">
        <v>3.8</v>
      </c>
      <c r="AB2438" s="2" t="s">
        <v>52</v>
      </c>
    </row>
    <row r="2439" spans="1:28" x14ac:dyDescent="0.25">
      <c r="A2439" s="4" t="s">
        <v>3245</v>
      </c>
      <c r="B2439" s="4" t="s">
        <v>508</v>
      </c>
      <c r="C2439" s="4">
        <v>17</v>
      </c>
      <c r="D2439" s="4" t="s">
        <v>55</v>
      </c>
      <c r="E2439" s="4" t="s">
        <v>154</v>
      </c>
      <c r="F2439" s="4" t="s">
        <v>94</v>
      </c>
      <c r="G2439" s="5">
        <v>44827</v>
      </c>
      <c r="H2439" s="5">
        <v>44855</v>
      </c>
      <c r="I2439" s="4">
        <v>28</v>
      </c>
      <c r="J2439" s="4" t="s">
        <v>202</v>
      </c>
      <c r="K2439" s="4" t="s">
        <v>203</v>
      </c>
      <c r="L2439" s="4" t="s">
        <v>204</v>
      </c>
      <c r="M2439" s="4" t="s">
        <v>83</v>
      </c>
      <c r="N2439" s="4" t="s">
        <v>118</v>
      </c>
      <c r="O2439" s="4" t="s">
        <v>144</v>
      </c>
      <c r="P2439" s="4">
        <v>156</v>
      </c>
      <c r="Q2439" s="4" t="s">
        <v>39</v>
      </c>
      <c r="R2439" s="4" t="s">
        <v>136</v>
      </c>
      <c r="S2439" s="4">
        <v>83604</v>
      </c>
      <c r="T2439" s="4">
        <v>0</v>
      </c>
      <c r="U2439" s="4">
        <v>83604</v>
      </c>
      <c r="V2439" s="4">
        <v>67246</v>
      </c>
      <c r="W2439" s="4">
        <v>1732</v>
      </c>
      <c r="X2439" s="4">
        <v>10087</v>
      </c>
      <c r="Y2439" s="4" t="s">
        <v>41</v>
      </c>
      <c r="Z2439" s="4">
        <v>52</v>
      </c>
      <c r="AA2439" s="4">
        <v>4.0999999999999996</v>
      </c>
      <c r="AB2439" s="4" t="s">
        <v>64</v>
      </c>
    </row>
    <row r="2440" spans="1:28" x14ac:dyDescent="0.25">
      <c r="A2440" s="2" t="s">
        <v>3246</v>
      </c>
      <c r="B2440" s="2" t="s">
        <v>1338</v>
      </c>
      <c r="C2440" s="2">
        <v>79</v>
      </c>
      <c r="D2440" s="2" t="s">
        <v>55</v>
      </c>
      <c r="E2440" s="2" t="s">
        <v>67</v>
      </c>
      <c r="F2440" s="2" t="s">
        <v>72</v>
      </c>
      <c r="G2440" s="3">
        <v>44755</v>
      </c>
      <c r="H2440" s="3">
        <v>44772</v>
      </c>
      <c r="I2440" s="2">
        <v>17</v>
      </c>
      <c r="J2440" s="2" t="s">
        <v>115</v>
      </c>
      <c r="K2440" s="2" t="s">
        <v>116</v>
      </c>
      <c r="L2440" s="2" t="s">
        <v>117</v>
      </c>
      <c r="M2440" s="2" t="s">
        <v>83</v>
      </c>
      <c r="N2440" s="2" t="s">
        <v>118</v>
      </c>
      <c r="O2440" s="2" t="s">
        <v>285</v>
      </c>
      <c r="P2440" s="2">
        <v>222</v>
      </c>
      <c r="Q2440" s="2" t="s">
        <v>39</v>
      </c>
      <c r="R2440" s="2" t="s">
        <v>136</v>
      </c>
      <c r="S2440" s="2">
        <v>119386</v>
      </c>
      <c r="T2440" s="2">
        <v>0</v>
      </c>
      <c r="U2440" s="2">
        <v>119386</v>
      </c>
      <c r="V2440" s="2">
        <v>88141</v>
      </c>
      <c r="W2440" s="2">
        <v>22613</v>
      </c>
      <c r="X2440" s="2">
        <v>5003</v>
      </c>
      <c r="Y2440" s="2" t="s">
        <v>41</v>
      </c>
      <c r="Z2440" s="2">
        <v>82</v>
      </c>
      <c r="AA2440" s="2">
        <v>4.0999999999999996</v>
      </c>
      <c r="AB2440" s="2" t="s">
        <v>64</v>
      </c>
    </row>
    <row r="2441" spans="1:28" x14ac:dyDescent="0.25">
      <c r="A2441" s="4" t="s">
        <v>3247</v>
      </c>
      <c r="B2441" s="4" t="s">
        <v>1614</v>
      </c>
      <c r="C2441" s="4">
        <v>77</v>
      </c>
      <c r="D2441" s="4" t="s">
        <v>55</v>
      </c>
      <c r="E2441" s="4" t="s">
        <v>45</v>
      </c>
      <c r="F2441" s="4" t="s">
        <v>80</v>
      </c>
      <c r="G2441" s="5">
        <v>45644</v>
      </c>
      <c r="H2441" s="5">
        <v>45657</v>
      </c>
      <c r="I2441" s="4">
        <v>13</v>
      </c>
      <c r="J2441" s="4" t="s">
        <v>73</v>
      </c>
      <c r="K2441" s="4" t="s">
        <v>74</v>
      </c>
      <c r="L2441" s="4" t="s">
        <v>73</v>
      </c>
      <c r="M2441" s="4" t="s">
        <v>130</v>
      </c>
      <c r="N2441" s="4" t="s">
        <v>109</v>
      </c>
      <c r="O2441" s="4" t="s">
        <v>434</v>
      </c>
      <c r="P2441" s="4">
        <v>31</v>
      </c>
      <c r="Q2441" s="4" t="s">
        <v>103</v>
      </c>
      <c r="R2441" s="4" t="s">
        <v>136</v>
      </c>
      <c r="S2441" s="4">
        <v>139984</v>
      </c>
      <c r="T2441" s="4">
        <v>0</v>
      </c>
      <c r="U2441" s="4">
        <v>139984</v>
      </c>
      <c r="V2441" s="4">
        <v>111355</v>
      </c>
      <c r="W2441" s="4">
        <v>21525</v>
      </c>
      <c r="X2441" s="4">
        <v>4524</v>
      </c>
      <c r="Y2441" s="4" t="s">
        <v>41</v>
      </c>
      <c r="Z2441" s="4">
        <v>79</v>
      </c>
      <c r="AA2441" s="4">
        <v>2.2999999999999998</v>
      </c>
      <c r="AB2441" s="4" t="s">
        <v>104</v>
      </c>
    </row>
    <row r="2442" spans="1:28" x14ac:dyDescent="0.25">
      <c r="A2442" s="2" t="s">
        <v>3248</v>
      </c>
      <c r="B2442" s="2" t="s">
        <v>2592</v>
      </c>
      <c r="C2442" s="2">
        <v>49</v>
      </c>
      <c r="D2442" s="2" t="s">
        <v>55</v>
      </c>
      <c r="E2442" s="2" t="s">
        <v>79</v>
      </c>
      <c r="F2442" s="2" t="s">
        <v>94</v>
      </c>
      <c r="G2442" s="3">
        <v>45053</v>
      </c>
      <c r="H2442" s="3">
        <v>45083</v>
      </c>
      <c r="I2442" s="2">
        <v>30</v>
      </c>
      <c r="J2442" s="2" t="s">
        <v>202</v>
      </c>
      <c r="K2442" s="2" t="s">
        <v>203</v>
      </c>
      <c r="L2442" s="2" t="s">
        <v>204</v>
      </c>
      <c r="M2442" s="2" t="s">
        <v>143</v>
      </c>
      <c r="N2442" s="2" t="s">
        <v>37</v>
      </c>
      <c r="O2442" s="2" t="s">
        <v>331</v>
      </c>
      <c r="P2442" s="2">
        <v>433</v>
      </c>
      <c r="Q2442" s="2" t="s">
        <v>103</v>
      </c>
      <c r="R2442" s="2" t="s">
        <v>51</v>
      </c>
      <c r="S2442" s="2">
        <v>76267</v>
      </c>
      <c r="T2442" s="2">
        <v>43845</v>
      </c>
      <c r="U2442" s="2">
        <v>32422</v>
      </c>
      <c r="V2442" s="2">
        <v>59973</v>
      </c>
      <c r="W2442" s="2">
        <v>10455</v>
      </c>
      <c r="X2442" s="2">
        <v>1271</v>
      </c>
      <c r="Y2442" s="2" t="s">
        <v>41</v>
      </c>
      <c r="Z2442" s="2">
        <v>91</v>
      </c>
      <c r="AA2442" s="2">
        <v>2.6</v>
      </c>
      <c r="AB2442" s="2" t="s">
        <v>42</v>
      </c>
    </row>
    <row r="2443" spans="1:28" x14ac:dyDescent="0.25">
      <c r="A2443" s="4" t="s">
        <v>3249</v>
      </c>
      <c r="B2443" s="4" t="s">
        <v>2377</v>
      </c>
      <c r="C2443" s="4">
        <v>16</v>
      </c>
      <c r="D2443" s="4" t="s">
        <v>30</v>
      </c>
      <c r="E2443" s="4" t="s">
        <v>87</v>
      </c>
      <c r="F2443" s="4" t="s">
        <v>157</v>
      </c>
      <c r="G2443" s="5">
        <v>45567</v>
      </c>
      <c r="H2443" s="5">
        <v>45582</v>
      </c>
      <c r="I2443" s="4">
        <v>15</v>
      </c>
      <c r="J2443" s="4" t="s">
        <v>33</v>
      </c>
      <c r="K2443" s="4" t="s">
        <v>34</v>
      </c>
      <c r="L2443" s="4" t="s">
        <v>35</v>
      </c>
      <c r="M2443" s="4" t="s">
        <v>130</v>
      </c>
      <c r="N2443" s="4" t="s">
        <v>109</v>
      </c>
      <c r="O2443" s="4" t="s">
        <v>246</v>
      </c>
      <c r="P2443" s="4">
        <v>90</v>
      </c>
      <c r="Q2443" s="4" t="s">
        <v>69</v>
      </c>
      <c r="R2443" s="4" t="s">
        <v>111</v>
      </c>
      <c r="S2443" s="4">
        <v>83823</v>
      </c>
      <c r="T2443" s="4">
        <v>58112</v>
      </c>
      <c r="U2443" s="4">
        <v>25711</v>
      </c>
      <c r="V2443" s="4">
        <v>62350</v>
      </c>
      <c r="W2443" s="4">
        <v>15311</v>
      </c>
      <c r="X2443" s="4">
        <v>1582</v>
      </c>
      <c r="Y2443" s="4" t="s">
        <v>41</v>
      </c>
      <c r="Z2443" s="4">
        <v>56</v>
      </c>
      <c r="AA2443" s="4">
        <v>2.2999999999999998</v>
      </c>
      <c r="AB2443" s="4" t="s">
        <v>42</v>
      </c>
    </row>
    <row r="2444" spans="1:28" x14ac:dyDescent="0.25">
      <c r="A2444" s="2" t="s">
        <v>3250</v>
      </c>
      <c r="B2444" s="2" t="s">
        <v>612</v>
      </c>
      <c r="C2444" s="2">
        <v>39</v>
      </c>
      <c r="D2444" s="2" t="s">
        <v>55</v>
      </c>
      <c r="E2444" s="2" t="s">
        <v>122</v>
      </c>
      <c r="F2444" s="2" t="s">
        <v>57</v>
      </c>
      <c r="G2444" s="3">
        <v>44619</v>
      </c>
      <c r="H2444" s="3">
        <v>44644</v>
      </c>
      <c r="I2444" s="2">
        <v>25</v>
      </c>
      <c r="J2444" s="2" t="s">
        <v>123</v>
      </c>
      <c r="K2444" s="2" t="s">
        <v>251</v>
      </c>
      <c r="L2444" s="2" t="s">
        <v>125</v>
      </c>
      <c r="M2444" s="2" t="s">
        <v>61</v>
      </c>
      <c r="N2444" s="2" t="s">
        <v>109</v>
      </c>
      <c r="O2444" s="2" t="s">
        <v>208</v>
      </c>
      <c r="P2444" s="2">
        <v>370</v>
      </c>
      <c r="Q2444" s="2" t="s">
        <v>69</v>
      </c>
      <c r="R2444" s="2" t="s">
        <v>136</v>
      </c>
      <c r="S2444" s="2">
        <v>172221</v>
      </c>
      <c r="T2444" s="2">
        <v>0</v>
      </c>
      <c r="U2444" s="2">
        <v>172221</v>
      </c>
      <c r="V2444" s="2">
        <v>148537</v>
      </c>
      <c r="W2444" s="2">
        <v>20292</v>
      </c>
      <c r="X2444" s="2">
        <v>801</v>
      </c>
      <c r="Y2444" s="2" t="s">
        <v>41</v>
      </c>
      <c r="Z2444" s="2">
        <v>45</v>
      </c>
      <c r="AA2444" s="2">
        <v>2.2999999999999998</v>
      </c>
      <c r="AB2444" s="2" t="s">
        <v>64</v>
      </c>
    </row>
    <row r="2445" spans="1:28" x14ac:dyDescent="0.25">
      <c r="A2445" s="4" t="s">
        <v>3251</v>
      </c>
      <c r="B2445" s="4" t="s">
        <v>2057</v>
      </c>
      <c r="C2445" s="4">
        <v>25</v>
      </c>
      <c r="D2445" s="4" t="s">
        <v>55</v>
      </c>
      <c r="E2445" s="4" t="s">
        <v>45</v>
      </c>
      <c r="F2445" s="4" t="s">
        <v>94</v>
      </c>
      <c r="G2445" s="5">
        <v>44721</v>
      </c>
      <c r="H2445" s="5">
        <v>44740</v>
      </c>
      <c r="I2445" s="4">
        <v>19</v>
      </c>
      <c r="J2445" s="4" t="s">
        <v>140</v>
      </c>
      <c r="K2445" s="4" t="s">
        <v>141</v>
      </c>
      <c r="L2445" s="4" t="s">
        <v>142</v>
      </c>
      <c r="M2445" s="4" t="s">
        <v>83</v>
      </c>
      <c r="N2445" s="4" t="s">
        <v>109</v>
      </c>
      <c r="O2445" s="4" t="s">
        <v>471</v>
      </c>
      <c r="P2445" s="4">
        <v>128</v>
      </c>
      <c r="Q2445" s="4" t="s">
        <v>103</v>
      </c>
      <c r="R2445" s="4" t="s">
        <v>111</v>
      </c>
      <c r="S2445" s="4">
        <v>100120</v>
      </c>
      <c r="T2445" s="4">
        <v>75622</v>
      </c>
      <c r="U2445" s="4">
        <v>24498</v>
      </c>
      <c r="V2445" s="4">
        <v>80758</v>
      </c>
      <c r="W2445" s="4">
        <v>11561</v>
      </c>
      <c r="X2445" s="4">
        <v>6683</v>
      </c>
      <c r="Y2445" s="4" t="s">
        <v>41</v>
      </c>
      <c r="Z2445" s="4">
        <v>96</v>
      </c>
      <c r="AA2445" s="4">
        <v>4.8</v>
      </c>
      <c r="AB2445" s="4" t="s">
        <v>137</v>
      </c>
    </row>
    <row r="2446" spans="1:28" x14ac:dyDescent="0.25">
      <c r="A2446" s="2" t="s">
        <v>3252</v>
      </c>
      <c r="B2446" s="2" t="s">
        <v>1040</v>
      </c>
      <c r="C2446" s="2">
        <v>17</v>
      </c>
      <c r="D2446" s="2" t="s">
        <v>30</v>
      </c>
      <c r="E2446" s="2" t="s">
        <v>31</v>
      </c>
      <c r="F2446" s="2" t="s">
        <v>32</v>
      </c>
      <c r="G2446" s="3">
        <v>45375</v>
      </c>
      <c r="H2446" s="3">
        <v>45386</v>
      </c>
      <c r="I2446" s="2">
        <v>11</v>
      </c>
      <c r="J2446" s="2" t="s">
        <v>33</v>
      </c>
      <c r="K2446" s="2" t="s">
        <v>233</v>
      </c>
      <c r="L2446" s="2" t="s">
        <v>35</v>
      </c>
      <c r="M2446" s="2" t="s">
        <v>134</v>
      </c>
      <c r="N2446" s="2" t="s">
        <v>37</v>
      </c>
      <c r="O2446" s="2" t="s">
        <v>321</v>
      </c>
      <c r="P2446" s="2">
        <v>54</v>
      </c>
      <c r="Q2446" s="2" t="s">
        <v>50</v>
      </c>
      <c r="R2446" s="2" t="s">
        <v>51</v>
      </c>
      <c r="S2446" s="2">
        <v>164505</v>
      </c>
      <c r="T2446" s="2">
        <v>95574</v>
      </c>
      <c r="U2446" s="2">
        <v>68931</v>
      </c>
      <c r="V2446" s="2">
        <v>125949</v>
      </c>
      <c r="W2446" s="2">
        <v>25318</v>
      </c>
      <c r="X2446" s="2">
        <v>11766</v>
      </c>
      <c r="Y2446" s="2" t="s">
        <v>41</v>
      </c>
      <c r="Z2446" s="2">
        <v>78</v>
      </c>
      <c r="AA2446" s="2">
        <v>4.3</v>
      </c>
      <c r="AB2446" s="2" t="s">
        <v>42</v>
      </c>
    </row>
    <row r="2447" spans="1:28" x14ac:dyDescent="0.25">
      <c r="A2447" s="4" t="s">
        <v>3253</v>
      </c>
      <c r="B2447" s="4" t="s">
        <v>2185</v>
      </c>
      <c r="C2447" s="4">
        <v>33</v>
      </c>
      <c r="D2447" s="4" t="s">
        <v>55</v>
      </c>
      <c r="E2447" s="4" t="s">
        <v>67</v>
      </c>
      <c r="F2447" s="4" t="s">
        <v>80</v>
      </c>
      <c r="G2447" s="5">
        <v>45426</v>
      </c>
      <c r="H2447" s="5">
        <v>45430</v>
      </c>
      <c r="I2447" s="4">
        <v>4</v>
      </c>
      <c r="J2447" s="4" t="s">
        <v>33</v>
      </c>
      <c r="K2447" s="4" t="s">
        <v>278</v>
      </c>
      <c r="L2447" s="4" t="s">
        <v>279</v>
      </c>
      <c r="M2447" s="4" t="s">
        <v>75</v>
      </c>
      <c r="N2447" s="4" t="s">
        <v>37</v>
      </c>
      <c r="O2447" s="4" t="s">
        <v>205</v>
      </c>
      <c r="P2447" s="4">
        <v>70</v>
      </c>
      <c r="Q2447" s="4" t="s">
        <v>103</v>
      </c>
      <c r="R2447" s="4" t="s">
        <v>111</v>
      </c>
      <c r="S2447" s="4">
        <v>148326</v>
      </c>
      <c r="T2447" s="4">
        <v>106129</v>
      </c>
      <c r="U2447" s="4">
        <v>42197</v>
      </c>
      <c r="V2447" s="4">
        <v>112853</v>
      </c>
      <c r="W2447" s="4">
        <v>23397</v>
      </c>
      <c r="X2447" s="4">
        <v>10608</v>
      </c>
      <c r="Y2447" s="4" t="s">
        <v>41</v>
      </c>
      <c r="Z2447" s="4">
        <v>94</v>
      </c>
      <c r="AA2447" s="4">
        <v>3.7</v>
      </c>
      <c r="AB2447" s="4" t="s">
        <v>64</v>
      </c>
    </row>
    <row r="2448" spans="1:28" x14ac:dyDescent="0.25">
      <c r="A2448" s="2" t="s">
        <v>3254</v>
      </c>
      <c r="B2448" s="2" t="s">
        <v>856</v>
      </c>
      <c r="C2448" s="2">
        <v>62</v>
      </c>
      <c r="D2448" s="2" t="s">
        <v>55</v>
      </c>
      <c r="E2448" s="2" t="s">
        <v>67</v>
      </c>
      <c r="F2448" s="2" t="s">
        <v>114</v>
      </c>
      <c r="G2448" s="3">
        <v>45289</v>
      </c>
      <c r="H2448" s="3">
        <v>45304</v>
      </c>
      <c r="I2448" s="2">
        <v>15</v>
      </c>
      <c r="J2448" s="2" t="s">
        <v>58</v>
      </c>
      <c r="K2448" s="2" t="s">
        <v>59</v>
      </c>
      <c r="L2448" s="2" t="s">
        <v>60</v>
      </c>
      <c r="M2448" s="2" t="s">
        <v>108</v>
      </c>
      <c r="N2448" s="2" t="s">
        <v>118</v>
      </c>
      <c r="O2448" s="2" t="s">
        <v>271</v>
      </c>
      <c r="P2448" s="2">
        <v>227</v>
      </c>
      <c r="Q2448" s="2" t="s">
        <v>50</v>
      </c>
      <c r="R2448" s="2" t="s">
        <v>51</v>
      </c>
      <c r="S2448" s="2">
        <v>155755</v>
      </c>
      <c r="T2448" s="2">
        <v>72299</v>
      </c>
      <c r="U2448" s="2">
        <v>83456</v>
      </c>
      <c r="V2448" s="2">
        <v>126629</v>
      </c>
      <c r="W2448" s="2">
        <v>17070</v>
      </c>
      <c r="X2448" s="2">
        <v>7605</v>
      </c>
      <c r="Y2448" s="2" t="s">
        <v>41</v>
      </c>
      <c r="Z2448" s="2">
        <v>91</v>
      </c>
      <c r="AA2448" s="2">
        <v>3.9</v>
      </c>
      <c r="AB2448" s="2" t="s">
        <v>104</v>
      </c>
    </row>
    <row r="2449" spans="1:28" x14ac:dyDescent="0.25">
      <c r="A2449" s="4" t="s">
        <v>3255</v>
      </c>
      <c r="B2449" s="4" t="s">
        <v>2065</v>
      </c>
      <c r="C2449" s="4">
        <v>45</v>
      </c>
      <c r="D2449" s="4" t="s">
        <v>55</v>
      </c>
      <c r="E2449" s="4" t="s">
        <v>67</v>
      </c>
      <c r="F2449" s="4" t="s">
        <v>94</v>
      </c>
      <c r="G2449" s="5">
        <v>44834</v>
      </c>
      <c r="H2449" s="5">
        <v>44841</v>
      </c>
      <c r="I2449" s="4">
        <v>7</v>
      </c>
      <c r="J2449" s="4" t="s">
        <v>73</v>
      </c>
      <c r="K2449" s="4" t="s">
        <v>74</v>
      </c>
      <c r="L2449" s="4" t="s">
        <v>73</v>
      </c>
      <c r="M2449" s="4" t="s">
        <v>61</v>
      </c>
      <c r="N2449" s="4" t="s">
        <v>109</v>
      </c>
      <c r="O2449" s="4" t="s">
        <v>382</v>
      </c>
      <c r="P2449" s="4">
        <v>143</v>
      </c>
      <c r="Q2449" s="4" t="s">
        <v>103</v>
      </c>
      <c r="R2449" s="4" t="s">
        <v>136</v>
      </c>
      <c r="S2449" s="4">
        <v>66451</v>
      </c>
      <c r="T2449" s="4">
        <v>0</v>
      </c>
      <c r="U2449" s="4">
        <v>66451</v>
      </c>
      <c r="V2449" s="4">
        <v>29467</v>
      </c>
      <c r="W2449" s="4">
        <v>22767</v>
      </c>
      <c r="X2449" s="4">
        <v>12278</v>
      </c>
      <c r="Y2449" s="4" t="s">
        <v>41</v>
      </c>
      <c r="Z2449" s="4">
        <v>75</v>
      </c>
      <c r="AA2449" s="4">
        <v>3.5</v>
      </c>
      <c r="AB2449" s="4" t="s">
        <v>52</v>
      </c>
    </row>
    <row r="2450" spans="1:28" x14ac:dyDescent="0.25">
      <c r="A2450" s="2" t="s">
        <v>3256</v>
      </c>
      <c r="B2450" s="2" t="s">
        <v>1485</v>
      </c>
      <c r="C2450" s="2">
        <v>62</v>
      </c>
      <c r="D2450" s="2" t="s">
        <v>55</v>
      </c>
      <c r="E2450" s="2" t="s">
        <v>45</v>
      </c>
      <c r="F2450" s="2" t="s">
        <v>46</v>
      </c>
      <c r="G2450" s="3">
        <v>45386</v>
      </c>
      <c r="H2450" s="3">
        <v>45387</v>
      </c>
      <c r="I2450" s="2">
        <v>1</v>
      </c>
      <c r="J2450" s="2" t="s">
        <v>58</v>
      </c>
      <c r="K2450" s="2" t="s">
        <v>88</v>
      </c>
      <c r="L2450" s="2" t="s">
        <v>60</v>
      </c>
      <c r="M2450" s="2" t="s">
        <v>36</v>
      </c>
      <c r="N2450" s="2" t="s">
        <v>37</v>
      </c>
      <c r="O2450" s="2" t="s">
        <v>678</v>
      </c>
      <c r="P2450" s="2">
        <v>35</v>
      </c>
      <c r="Q2450" s="2" t="s">
        <v>39</v>
      </c>
      <c r="R2450" s="2" t="s">
        <v>40</v>
      </c>
      <c r="S2450" s="2">
        <v>38359</v>
      </c>
      <c r="T2450" s="2">
        <v>24529</v>
      </c>
      <c r="U2450" s="2">
        <v>13830</v>
      </c>
      <c r="V2450" s="2">
        <v>5794</v>
      </c>
      <c r="W2450" s="2">
        <v>21912</v>
      </c>
      <c r="X2450" s="2">
        <v>5943</v>
      </c>
      <c r="Y2450" s="2" t="s">
        <v>41</v>
      </c>
      <c r="Z2450" s="2">
        <v>77</v>
      </c>
      <c r="AA2450" s="2">
        <v>2.5</v>
      </c>
      <c r="AB2450" s="2" t="s">
        <v>42</v>
      </c>
    </row>
    <row r="2451" spans="1:28" x14ac:dyDescent="0.25">
      <c r="A2451" s="4" t="s">
        <v>3257</v>
      </c>
      <c r="B2451" s="4" t="s">
        <v>2246</v>
      </c>
      <c r="C2451" s="4">
        <v>26</v>
      </c>
      <c r="D2451" s="4" t="s">
        <v>55</v>
      </c>
      <c r="E2451" s="4" t="s">
        <v>45</v>
      </c>
      <c r="F2451" s="4" t="s">
        <v>80</v>
      </c>
      <c r="G2451" s="5">
        <v>45585</v>
      </c>
      <c r="H2451" s="5">
        <v>45598</v>
      </c>
      <c r="I2451" s="4">
        <v>13</v>
      </c>
      <c r="J2451" s="4" t="s">
        <v>33</v>
      </c>
      <c r="K2451" s="4" t="s">
        <v>233</v>
      </c>
      <c r="L2451" s="4" t="s">
        <v>35</v>
      </c>
      <c r="M2451" s="4" t="s">
        <v>130</v>
      </c>
      <c r="N2451" s="4" t="s">
        <v>109</v>
      </c>
      <c r="O2451" s="4" t="s">
        <v>373</v>
      </c>
      <c r="P2451" s="4">
        <v>225</v>
      </c>
      <c r="Q2451" s="4" t="s">
        <v>69</v>
      </c>
      <c r="R2451" s="4" t="s">
        <v>51</v>
      </c>
      <c r="S2451" s="4">
        <v>26969</v>
      </c>
      <c r="T2451" s="4">
        <v>16330</v>
      </c>
      <c r="U2451" s="4">
        <v>10639</v>
      </c>
      <c r="V2451" s="4">
        <v>7661</v>
      </c>
      <c r="W2451" s="4">
        <v>14678</v>
      </c>
      <c r="X2451" s="4">
        <v>2587</v>
      </c>
      <c r="Y2451" s="4" t="s">
        <v>41</v>
      </c>
      <c r="Z2451" s="4">
        <v>62</v>
      </c>
      <c r="AA2451" s="4">
        <v>4.2</v>
      </c>
      <c r="AB2451" s="4" t="s">
        <v>64</v>
      </c>
    </row>
    <row r="2452" spans="1:28" x14ac:dyDescent="0.25">
      <c r="A2452" s="2" t="s">
        <v>3258</v>
      </c>
      <c r="B2452" s="2" t="s">
        <v>1131</v>
      </c>
      <c r="C2452" s="2">
        <v>42</v>
      </c>
      <c r="D2452" s="2" t="s">
        <v>55</v>
      </c>
      <c r="E2452" s="2" t="s">
        <v>87</v>
      </c>
      <c r="F2452" s="2" t="s">
        <v>46</v>
      </c>
      <c r="G2452" s="3">
        <v>45492</v>
      </c>
      <c r="H2452" s="3">
        <v>45493</v>
      </c>
      <c r="I2452" s="2">
        <v>1</v>
      </c>
      <c r="J2452" s="2" t="s">
        <v>33</v>
      </c>
      <c r="K2452" s="2" t="s">
        <v>99</v>
      </c>
      <c r="L2452" s="2" t="s">
        <v>100</v>
      </c>
      <c r="M2452" s="2" t="s">
        <v>75</v>
      </c>
      <c r="N2452" s="2" t="s">
        <v>37</v>
      </c>
      <c r="O2452" s="2" t="s">
        <v>227</v>
      </c>
      <c r="P2452" s="2">
        <v>58</v>
      </c>
      <c r="Q2452" s="2" t="s">
        <v>103</v>
      </c>
      <c r="R2452" s="2" t="s">
        <v>40</v>
      </c>
      <c r="S2452" s="2">
        <v>115069</v>
      </c>
      <c r="T2452" s="2">
        <v>74636</v>
      </c>
      <c r="U2452" s="2">
        <v>40433</v>
      </c>
      <c r="V2452" s="2">
        <v>81846</v>
      </c>
      <c r="W2452" s="2">
        <v>20976</v>
      </c>
      <c r="X2452" s="2">
        <v>9157</v>
      </c>
      <c r="Y2452" s="2" t="s">
        <v>41</v>
      </c>
      <c r="Z2452" s="2">
        <v>56</v>
      </c>
      <c r="AA2452" s="2">
        <v>2.6</v>
      </c>
      <c r="AB2452" s="2" t="s">
        <v>52</v>
      </c>
    </row>
    <row r="2453" spans="1:28" x14ac:dyDescent="0.25">
      <c r="A2453" s="4" t="s">
        <v>3259</v>
      </c>
      <c r="B2453" s="4" t="s">
        <v>1687</v>
      </c>
      <c r="C2453" s="4">
        <v>83</v>
      </c>
      <c r="D2453" s="4" t="s">
        <v>30</v>
      </c>
      <c r="E2453" s="4" t="s">
        <v>56</v>
      </c>
      <c r="F2453" s="4" t="s">
        <v>114</v>
      </c>
      <c r="G2453" s="5">
        <v>44851</v>
      </c>
      <c r="H2453" s="5">
        <v>44872</v>
      </c>
      <c r="I2453" s="4">
        <v>21</v>
      </c>
      <c r="J2453" s="4" t="s">
        <v>115</v>
      </c>
      <c r="K2453" s="4" t="s">
        <v>116</v>
      </c>
      <c r="L2453" s="4" t="s">
        <v>117</v>
      </c>
      <c r="M2453" s="4" t="s">
        <v>143</v>
      </c>
      <c r="N2453" s="4" t="s">
        <v>118</v>
      </c>
      <c r="O2453" s="4" t="s">
        <v>194</v>
      </c>
      <c r="P2453" s="4">
        <v>311</v>
      </c>
      <c r="Q2453" s="4" t="s">
        <v>103</v>
      </c>
      <c r="R2453" s="4" t="s">
        <v>40</v>
      </c>
      <c r="S2453" s="4">
        <v>141347</v>
      </c>
      <c r="T2453" s="4">
        <v>62589</v>
      </c>
      <c r="U2453" s="4">
        <v>78758</v>
      </c>
      <c r="V2453" s="4">
        <v>134101</v>
      </c>
      <c r="W2453" s="4">
        <v>2861</v>
      </c>
      <c r="X2453" s="4">
        <v>1865</v>
      </c>
      <c r="Y2453" s="4" t="s">
        <v>91</v>
      </c>
      <c r="Z2453" s="4">
        <v>95</v>
      </c>
      <c r="AA2453" s="4">
        <v>4.5999999999999996</v>
      </c>
      <c r="AB2453" s="4" t="s">
        <v>137</v>
      </c>
    </row>
    <row r="2454" spans="1:28" x14ac:dyDescent="0.25">
      <c r="A2454" s="2" t="s">
        <v>3260</v>
      </c>
      <c r="B2454" s="2" t="s">
        <v>1485</v>
      </c>
      <c r="C2454" s="2">
        <v>13</v>
      </c>
      <c r="D2454" s="2" t="s">
        <v>55</v>
      </c>
      <c r="E2454" s="2" t="s">
        <v>87</v>
      </c>
      <c r="F2454" s="2" t="s">
        <v>157</v>
      </c>
      <c r="G2454" s="3">
        <v>45513</v>
      </c>
      <c r="H2454" s="3">
        <v>45517</v>
      </c>
      <c r="I2454" s="2">
        <v>4</v>
      </c>
      <c r="J2454" s="2" t="s">
        <v>123</v>
      </c>
      <c r="K2454" s="2" t="s">
        <v>251</v>
      </c>
      <c r="L2454" s="2" t="s">
        <v>125</v>
      </c>
      <c r="M2454" s="2" t="s">
        <v>95</v>
      </c>
      <c r="N2454" s="2" t="s">
        <v>109</v>
      </c>
      <c r="O2454" s="2" t="s">
        <v>631</v>
      </c>
      <c r="P2454" s="2">
        <v>415</v>
      </c>
      <c r="Q2454" s="2" t="s">
        <v>69</v>
      </c>
      <c r="R2454" s="2" t="s">
        <v>51</v>
      </c>
      <c r="S2454" s="2">
        <v>174755</v>
      </c>
      <c r="T2454" s="2">
        <v>78944</v>
      </c>
      <c r="U2454" s="2">
        <v>95811</v>
      </c>
      <c r="V2454" s="2">
        <v>149263</v>
      </c>
      <c r="W2454" s="2">
        <v>22899</v>
      </c>
      <c r="X2454" s="2">
        <v>866</v>
      </c>
      <c r="Y2454" s="2" t="s">
        <v>41</v>
      </c>
      <c r="Z2454" s="2">
        <v>75</v>
      </c>
      <c r="AA2454" s="2">
        <v>3.7</v>
      </c>
      <c r="AB2454" s="2" t="s">
        <v>137</v>
      </c>
    </row>
    <row r="2455" spans="1:28" x14ac:dyDescent="0.25">
      <c r="A2455" s="4" t="s">
        <v>3261</v>
      </c>
      <c r="B2455" s="4" t="s">
        <v>1341</v>
      </c>
      <c r="C2455" s="4">
        <v>9</v>
      </c>
      <c r="D2455" s="4" t="s">
        <v>55</v>
      </c>
      <c r="E2455" s="4" t="s">
        <v>79</v>
      </c>
      <c r="F2455" s="4" t="s">
        <v>114</v>
      </c>
      <c r="G2455" s="5">
        <v>44785</v>
      </c>
      <c r="H2455" s="5">
        <v>44813</v>
      </c>
      <c r="I2455" s="4">
        <v>28</v>
      </c>
      <c r="J2455" s="4" t="s">
        <v>202</v>
      </c>
      <c r="K2455" s="4" t="s">
        <v>203</v>
      </c>
      <c r="L2455" s="4" t="s">
        <v>204</v>
      </c>
      <c r="M2455" s="4" t="s">
        <v>61</v>
      </c>
      <c r="N2455" s="4" t="s">
        <v>118</v>
      </c>
      <c r="O2455" s="4" t="s">
        <v>178</v>
      </c>
      <c r="P2455" s="4">
        <v>461</v>
      </c>
      <c r="Q2455" s="4" t="s">
        <v>50</v>
      </c>
      <c r="R2455" s="4" t="s">
        <v>90</v>
      </c>
      <c r="S2455" s="4">
        <v>109967</v>
      </c>
      <c r="T2455" s="4">
        <v>77996</v>
      </c>
      <c r="U2455" s="4">
        <v>31971</v>
      </c>
      <c r="V2455" s="4">
        <v>78092</v>
      </c>
      <c r="W2455" s="4">
        <v>14359</v>
      </c>
      <c r="X2455" s="4">
        <v>14187</v>
      </c>
      <c r="Y2455" s="4" t="s">
        <v>41</v>
      </c>
      <c r="Z2455" s="4">
        <v>91</v>
      </c>
      <c r="AA2455" s="4">
        <v>5</v>
      </c>
      <c r="AB2455" s="4" t="s">
        <v>64</v>
      </c>
    </row>
    <row r="2456" spans="1:28" x14ac:dyDescent="0.25">
      <c r="A2456" s="2" t="s">
        <v>3262</v>
      </c>
      <c r="B2456" s="2" t="s">
        <v>1402</v>
      </c>
      <c r="C2456" s="2">
        <v>48</v>
      </c>
      <c r="D2456" s="2" t="s">
        <v>30</v>
      </c>
      <c r="E2456" s="2" t="s">
        <v>56</v>
      </c>
      <c r="F2456" s="2" t="s">
        <v>114</v>
      </c>
      <c r="G2456" s="3">
        <v>45179</v>
      </c>
      <c r="H2456" s="3">
        <v>45203</v>
      </c>
      <c r="I2456" s="2">
        <v>24</v>
      </c>
      <c r="J2456" s="2" t="s">
        <v>33</v>
      </c>
      <c r="K2456" s="2" t="s">
        <v>233</v>
      </c>
      <c r="L2456" s="2" t="s">
        <v>35</v>
      </c>
      <c r="M2456" s="2" t="s">
        <v>95</v>
      </c>
      <c r="N2456" s="2" t="s">
        <v>37</v>
      </c>
      <c r="O2456" s="2" t="s">
        <v>164</v>
      </c>
      <c r="P2456" s="2">
        <v>13</v>
      </c>
      <c r="Q2456" s="2" t="s">
        <v>39</v>
      </c>
      <c r="R2456" s="2" t="s">
        <v>111</v>
      </c>
      <c r="S2456" s="2">
        <v>78774</v>
      </c>
      <c r="T2456" s="2">
        <v>64161</v>
      </c>
      <c r="U2456" s="2">
        <v>14613</v>
      </c>
      <c r="V2456" s="2">
        <v>57378</v>
      </c>
      <c r="W2456" s="2">
        <v>8624</v>
      </c>
      <c r="X2456" s="2">
        <v>8897</v>
      </c>
      <c r="Y2456" s="2" t="s">
        <v>41</v>
      </c>
      <c r="Z2456" s="2">
        <v>61</v>
      </c>
      <c r="AA2456" s="2">
        <v>2.1</v>
      </c>
      <c r="AB2456" s="2" t="s">
        <v>137</v>
      </c>
    </row>
    <row r="2457" spans="1:28" x14ac:dyDescent="0.25">
      <c r="A2457" s="4" t="s">
        <v>3263</v>
      </c>
      <c r="B2457" s="4" t="s">
        <v>1113</v>
      </c>
      <c r="C2457" s="4">
        <v>38</v>
      </c>
      <c r="D2457" s="4" t="s">
        <v>55</v>
      </c>
      <c r="E2457" s="4" t="s">
        <v>45</v>
      </c>
      <c r="F2457" s="4" t="s">
        <v>129</v>
      </c>
      <c r="G2457" s="5">
        <v>45211</v>
      </c>
      <c r="H2457" s="5">
        <v>45239</v>
      </c>
      <c r="I2457" s="4">
        <v>28</v>
      </c>
      <c r="J2457" s="4" t="s">
        <v>123</v>
      </c>
      <c r="K2457" s="4" t="s">
        <v>251</v>
      </c>
      <c r="L2457" s="4" t="s">
        <v>125</v>
      </c>
      <c r="M2457" s="4" t="s">
        <v>101</v>
      </c>
      <c r="N2457" s="4" t="s">
        <v>62</v>
      </c>
      <c r="O2457" s="4" t="s">
        <v>390</v>
      </c>
      <c r="P2457" s="4">
        <v>119</v>
      </c>
      <c r="Q2457" s="4" t="s">
        <v>103</v>
      </c>
      <c r="R2457" s="4" t="s">
        <v>136</v>
      </c>
      <c r="S2457" s="4">
        <v>144940</v>
      </c>
      <c r="T2457" s="4">
        <v>0</v>
      </c>
      <c r="U2457" s="4">
        <v>144940</v>
      </c>
      <c r="V2457" s="4">
        <v>125856</v>
      </c>
      <c r="W2457" s="4">
        <v>1644</v>
      </c>
      <c r="X2457" s="4">
        <v>13722</v>
      </c>
      <c r="Y2457" s="4" t="s">
        <v>41</v>
      </c>
      <c r="Z2457" s="4">
        <v>79</v>
      </c>
      <c r="AA2457" s="4">
        <v>3.3</v>
      </c>
      <c r="AB2457" s="4" t="s">
        <v>137</v>
      </c>
    </row>
    <row r="2458" spans="1:28" x14ac:dyDescent="0.25">
      <c r="A2458" s="2" t="s">
        <v>3264</v>
      </c>
      <c r="B2458" s="2" t="s">
        <v>308</v>
      </c>
      <c r="C2458" s="2">
        <v>85</v>
      </c>
      <c r="D2458" s="2" t="s">
        <v>55</v>
      </c>
      <c r="E2458" s="2" t="s">
        <v>31</v>
      </c>
      <c r="F2458" s="2" t="s">
        <v>46</v>
      </c>
      <c r="G2458" s="3">
        <v>44694</v>
      </c>
      <c r="H2458" s="3">
        <v>44704</v>
      </c>
      <c r="I2458" s="2">
        <v>10</v>
      </c>
      <c r="J2458" s="2" t="s">
        <v>33</v>
      </c>
      <c r="K2458" s="2" t="s">
        <v>47</v>
      </c>
      <c r="L2458" s="2" t="s">
        <v>48</v>
      </c>
      <c r="M2458" s="2" t="s">
        <v>134</v>
      </c>
      <c r="N2458" s="2" t="s">
        <v>118</v>
      </c>
      <c r="O2458" s="2" t="s">
        <v>144</v>
      </c>
      <c r="P2458" s="2">
        <v>141</v>
      </c>
      <c r="Q2458" s="2" t="s">
        <v>69</v>
      </c>
      <c r="R2458" s="2" t="s">
        <v>136</v>
      </c>
      <c r="S2458" s="2">
        <v>75525</v>
      </c>
      <c r="T2458" s="2">
        <v>0</v>
      </c>
      <c r="U2458" s="2">
        <v>75525</v>
      </c>
      <c r="V2458" s="2">
        <v>61642</v>
      </c>
      <c r="W2458" s="2">
        <v>12341</v>
      </c>
      <c r="X2458" s="2">
        <v>901</v>
      </c>
      <c r="Y2458" s="2" t="s">
        <v>41</v>
      </c>
      <c r="Z2458" s="2">
        <v>52</v>
      </c>
      <c r="AA2458" s="2">
        <v>4.9000000000000004</v>
      </c>
      <c r="AB2458" s="2" t="s">
        <v>104</v>
      </c>
    </row>
    <row r="2459" spans="1:28" x14ac:dyDescent="0.25">
      <c r="A2459" s="4" t="s">
        <v>3265</v>
      </c>
      <c r="B2459" s="4" t="s">
        <v>1904</v>
      </c>
      <c r="C2459" s="4">
        <v>40</v>
      </c>
      <c r="D2459" s="4" t="s">
        <v>55</v>
      </c>
      <c r="E2459" s="4" t="s">
        <v>67</v>
      </c>
      <c r="F2459" s="4" t="s">
        <v>32</v>
      </c>
      <c r="G2459" s="5">
        <v>44876</v>
      </c>
      <c r="H2459" s="5">
        <v>44896</v>
      </c>
      <c r="I2459" s="4">
        <v>20</v>
      </c>
      <c r="J2459" s="4" t="s">
        <v>140</v>
      </c>
      <c r="K2459" s="4" t="s">
        <v>167</v>
      </c>
      <c r="L2459" s="4" t="s">
        <v>142</v>
      </c>
      <c r="M2459" s="4" t="s">
        <v>95</v>
      </c>
      <c r="N2459" s="4" t="s">
        <v>62</v>
      </c>
      <c r="O2459" s="4" t="s">
        <v>678</v>
      </c>
      <c r="P2459" s="4">
        <v>470</v>
      </c>
      <c r="Q2459" s="4" t="s">
        <v>103</v>
      </c>
      <c r="R2459" s="4" t="s">
        <v>90</v>
      </c>
      <c r="S2459" s="4">
        <v>26770</v>
      </c>
      <c r="T2459" s="4">
        <v>23014</v>
      </c>
      <c r="U2459" s="4">
        <v>3756</v>
      </c>
      <c r="V2459" s="4">
        <v>17888</v>
      </c>
      <c r="W2459" s="4">
        <v>2131</v>
      </c>
      <c r="X2459" s="4">
        <v>5402</v>
      </c>
      <c r="Y2459" s="4" t="s">
        <v>41</v>
      </c>
      <c r="Z2459" s="4">
        <v>97</v>
      </c>
      <c r="AA2459" s="4">
        <v>4.3</v>
      </c>
      <c r="AB2459" s="4" t="s">
        <v>64</v>
      </c>
    </row>
    <row r="2460" spans="1:28" x14ac:dyDescent="0.25">
      <c r="A2460" s="2" t="s">
        <v>3266</v>
      </c>
      <c r="B2460" s="2" t="s">
        <v>1216</v>
      </c>
      <c r="C2460" s="2">
        <v>65</v>
      </c>
      <c r="D2460" s="2" t="s">
        <v>55</v>
      </c>
      <c r="E2460" s="2" t="s">
        <v>56</v>
      </c>
      <c r="F2460" s="2" t="s">
        <v>72</v>
      </c>
      <c r="G2460" s="3">
        <v>44886</v>
      </c>
      <c r="H2460" s="3">
        <v>44907</v>
      </c>
      <c r="I2460" s="2">
        <v>21</v>
      </c>
      <c r="J2460" s="2" t="s">
        <v>123</v>
      </c>
      <c r="K2460" s="2" t="s">
        <v>251</v>
      </c>
      <c r="L2460" s="2" t="s">
        <v>125</v>
      </c>
      <c r="M2460" s="2" t="s">
        <v>130</v>
      </c>
      <c r="N2460" s="2" t="s">
        <v>62</v>
      </c>
      <c r="O2460" s="2" t="s">
        <v>164</v>
      </c>
      <c r="P2460" s="2">
        <v>123</v>
      </c>
      <c r="Q2460" s="2" t="s">
        <v>39</v>
      </c>
      <c r="R2460" s="2" t="s">
        <v>40</v>
      </c>
      <c r="S2460" s="2">
        <v>120680</v>
      </c>
      <c r="T2460" s="2">
        <v>53127</v>
      </c>
      <c r="U2460" s="2">
        <v>67553</v>
      </c>
      <c r="V2460" s="2">
        <v>107507</v>
      </c>
      <c r="W2460" s="2">
        <v>5164</v>
      </c>
      <c r="X2460" s="2">
        <v>5707</v>
      </c>
      <c r="Y2460" s="2" t="s">
        <v>41</v>
      </c>
      <c r="Z2460" s="2">
        <v>63</v>
      </c>
      <c r="AA2460" s="2">
        <v>3.5</v>
      </c>
      <c r="AB2460" s="2" t="s">
        <v>104</v>
      </c>
    </row>
    <row r="2461" spans="1:28" x14ac:dyDescent="0.25">
      <c r="A2461" s="4" t="s">
        <v>3267</v>
      </c>
      <c r="B2461" s="4" t="s">
        <v>3268</v>
      </c>
      <c r="C2461" s="4">
        <v>26</v>
      </c>
      <c r="D2461" s="4" t="s">
        <v>30</v>
      </c>
      <c r="E2461" s="4" t="s">
        <v>56</v>
      </c>
      <c r="F2461" s="4" t="s">
        <v>129</v>
      </c>
      <c r="G2461" s="5">
        <v>45608</v>
      </c>
      <c r="H2461" s="5">
        <v>45633</v>
      </c>
      <c r="I2461" s="4">
        <v>25</v>
      </c>
      <c r="J2461" s="4" t="s">
        <v>115</v>
      </c>
      <c r="K2461" s="4" t="s">
        <v>160</v>
      </c>
      <c r="L2461" s="4" t="s">
        <v>117</v>
      </c>
      <c r="M2461" s="4" t="s">
        <v>130</v>
      </c>
      <c r="N2461" s="4" t="s">
        <v>37</v>
      </c>
      <c r="O2461" s="4" t="s">
        <v>647</v>
      </c>
      <c r="P2461" s="4">
        <v>389</v>
      </c>
      <c r="Q2461" s="4" t="s">
        <v>69</v>
      </c>
      <c r="R2461" s="4" t="s">
        <v>51</v>
      </c>
      <c r="S2461" s="4">
        <v>95610</v>
      </c>
      <c r="T2461" s="4">
        <v>45938</v>
      </c>
      <c r="U2461" s="4">
        <v>49672</v>
      </c>
      <c r="V2461" s="4">
        <v>60534</v>
      </c>
      <c r="W2461" s="4">
        <v>22484</v>
      </c>
      <c r="X2461" s="4">
        <v>10700</v>
      </c>
      <c r="Y2461" s="4" t="s">
        <v>91</v>
      </c>
      <c r="Z2461" s="4">
        <v>71</v>
      </c>
      <c r="AA2461" s="4">
        <v>3.7</v>
      </c>
      <c r="AB2461" s="4" t="s">
        <v>137</v>
      </c>
    </row>
    <row r="2462" spans="1:28" x14ac:dyDescent="0.25">
      <c r="A2462" s="2" t="s">
        <v>3269</v>
      </c>
      <c r="B2462" s="2" t="s">
        <v>1543</v>
      </c>
      <c r="C2462" s="2">
        <v>20</v>
      </c>
      <c r="D2462" s="2" t="s">
        <v>30</v>
      </c>
      <c r="E2462" s="2" t="s">
        <v>122</v>
      </c>
      <c r="F2462" s="2" t="s">
        <v>150</v>
      </c>
      <c r="G2462" s="3">
        <v>44736</v>
      </c>
      <c r="H2462" s="3">
        <v>44740</v>
      </c>
      <c r="I2462" s="2">
        <v>4</v>
      </c>
      <c r="J2462" s="2" t="s">
        <v>33</v>
      </c>
      <c r="K2462" s="2" t="s">
        <v>174</v>
      </c>
      <c r="L2462" s="2" t="s">
        <v>48</v>
      </c>
      <c r="M2462" s="2" t="s">
        <v>101</v>
      </c>
      <c r="N2462" s="2" t="s">
        <v>109</v>
      </c>
      <c r="O2462" s="2" t="s">
        <v>595</v>
      </c>
      <c r="P2462" s="2">
        <v>485</v>
      </c>
      <c r="Q2462" s="2" t="s">
        <v>50</v>
      </c>
      <c r="R2462" s="2" t="s">
        <v>51</v>
      </c>
      <c r="S2462" s="2">
        <v>61068</v>
      </c>
      <c r="T2462" s="2">
        <v>31048</v>
      </c>
      <c r="U2462" s="2">
        <v>30020</v>
      </c>
      <c r="V2462" s="2">
        <v>37209</v>
      </c>
      <c r="W2462" s="2">
        <v>9156</v>
      </c>
      <c r="X2462" s="2">
        <v>12487</v>
      </c>
      <c r="Y2462" s="2" t="s">
        <v>91</v>
      </c>
      <c r="Z2462" s="2">
        <v>63</v>
      </c>
      <c r="AA2462" s="2">
        <v>2.7</v>
      </c>
      <c r="AB2462" s="2" t="s">
        <v>137</v>
      </c>
    </row>
    <row r="2463" spans="1:28" x14ac:dyDescent="0.25">
      <c r="A2463" s="4" t="s">
        <v>3270</v>
      </c>
      <c r="B2463" s="4" t="s">
        <v>697</v>
      </c>
      <c r="C2463" s="4">
        <v>63</v>
      </c>
      <c r="D2463" s="4" t="s">
        <v>55</v>
      </c>
      <c r="E2463" s="4" t="s">
        <v>79</v>
      </c>
      <c r="F2463" s="4" t="s">
        <v>80</v>
      </c>
      <c r="G2463" s="5">
        <v>44607</v>
      </c>
      <c r="H2463" s="5">
        <v>44632</v>
      </c>
      <c r="I2463" s="4">
        <v>25</v>
      </c>
      <c r="J2463" s="4" t="s">
        <v>140</v>
      </c>
      <c r="K2463" s="4" t="s">
        <v>167</v>
      </c>
      <c r="L2463" s="4" t="s">
        <v>142</v>
      </c>
      <c r="M2463" s="4" t="s">
        <v>101</v>
      </c>
      <c r="N2463" s="4" t="s">
        <v>118</v>
      </c>
      <c r="O2463" s="4" t="s">
        <v>161</v>
      </c>
      <c r="P2463" s="4">
        <v>407</v>
      </c>
      <c r="Q2463" s="4" t="s">
        <v>103</v>
      </c>
      <c r="R2463" s="4" t="s">
        <v>111</v>
      </c>
      <c r="S2463" s="4">
        <v>72538</v>
      </c>
      <c r="T2463" s="4">
        <v>55505</v>
      </c>
      <c r="U2463" s="4">
        <v>17033</v>
      </c>
      <c r="V2463" s="4">
        <v>28608</v>
      </c>
      <c r="W2463" s="4">
        <v>25774</v>
      </c>
      <c r="X2463" s="4">
        <v>14141</v>
      </c>
      <c r="Y2463" s="4" t="s">
        <v>41</v>
      </c>
      <c r="Z2463" s="4">
        <v>79</v>
      </c>
      <c r="AA2463" s="4">
        <v>3.6</v>
      </c>
      <c r="AB2463" s="4" t="s">
        <v>104</v>
      </c>
    </row>
    <row r="2464" spans="1:28" x14ac:dyDescent="0.25">
      <c r="A2464" s="2" t="s">
        <v>3271</v>
      </c>
      <c r="B2464" s="2" t="s">
        <v>1775</v>
      </c>
      <c r="C2464" s="2">
        <v>42</v>
      </c>
      <c r="D2464" s="2" t="s">
        <v>30</v>
      </c>
      <c r="E2464" s="2" t="s">
        <v>67</v>
      </c>
      <c r="F2464" s="2" t="s">
        <v>94</v>
      </c>
      <c r="G2464" s="3">
        <v>44891</v>
      </c>
      <c r="H2464" s="3">
        <v>44918</v>
      </c>
      <c r="I2464" s="2">
        <v>27</v>
      </c>
      <c r="J2464" s="2" t="s">
        <v>33</v>
      </c>
      <c r="K2464" s="2" t="s">
        <v>34</v>
      </c>
      <c r="L2464" s="2" t="s">
        <v>35</v>
      </c>
      <c r="M2464" s="2" t="s">
        <v>61</v>
      </c>
      <c r="N2464" s="2" t="s">
        <v>37</v>
      </c>
      <c r="O2464" s="2" t="s">
        <v>530</v>
      </c>
      <c r="P2464" s="2">
        <v>250</v>
      </c>
      <c r="Q2464" s="2" t="s">
        <v>69</v>
      </c>
      <c r="R2464" s="2" t="s">
        <v>40</v>
      </c>
      <c r="S2464" s="2">
        <v>174596</v>
      </c>
      <c r="T2464" s="2">
        <v>103563</v>
      </c>
      <c r="U2464" s="2">
        <v>71033</v>
      </c>
      <c r="V2464" s="2">
        <v>142149</v>
      </c>
      <c r="W2464" s="2">
        <v>15134</v>
      </c>
      <c r="X2464" s="2">
        <v>14480</v>
      </c>
      <c r="Y2464" s="2" t="s">
        <v>41</v>
      </c>
      <c r="Z2464" s="2">
        <v>97</v>
      </c>
      <c r="AA2464" s="2">
        <v>4</v>
      </c>
      <c r="AB2464" s="2" t="s">
        <v>137</v>
      </c>
    </row>
    <row r="2465" spans="1:28" x14ac:dyDescent="0.25">
      <c r="A2465" s="4" t="s">
        <v>3272</v>
      </c>
      <c r="B2465" s="4" t="s">
        <v>2805</v>
      </c>
      <c r="C2465" s="4">
        <v>23</v>
      </c>
      <c r="D2465" s="4" t="s">
        <v>55</v>
      </c>
      <c r="E2465" s="4" t="s">
        <v>31</v>
      </c>
      <c r="F2465" s="4" t="s">
        <v>129</v>
      </c>
      <c r="G2465" s="5">
        <v>44844</v>
      </c>
      <c r="H2465" s="5">
        <v>44853</v>
      </c>
      <c r="I2465" s="4">
        <v>9</v>
      </c>
      <c r="J2465" s="4" t="s">
        <v>123</v>
      </c>
      <c r="K2465" s="4" t="s">
        <v>124</v>
      </c>
      <c r="L2465" s="4" t="s">
        <v>125</v>
      </c>
      <c r="M2465" s="4" t="s">
        <v>61</v>
      </c>
      <c r="N2465" s="4" t="s">
        <v>37</v>
      </c>
      <c r="O2465" s="4" t="s">
        <v>358</v>
      </c>
      <c r="P2465" s="4">
        <v>202</v>
      </c>
      <c r="Q2465" s="4" t="s">
        <v>69</v>
      </c>
      <c r="R2465" s="4" t="s">
        <v>40</v>
      </c>
      <c r="S2465" s="4">
        <v>108581</v>
      </c>
      <c r="T2465" s="4">
        <v>54584</v>
      </c>
      <c r="U2465" s="4">
        <v>53997</v>
      </c>
      <c r="V2465" s="4">
        <v>94235</v>
      </c>
      <c r="W2465" s="4">
        <v>9237</v>
      </c>
      <c r="X2465" s="4">
        <v>2204</v>
      </c>
      <c r="Y2465" s="4" t="s">
        <v>91</v>
      </c>
      <c r="Z2465" s="4">
        <v>73</v>
      </c>
      <c r="AA2465" s="4">
        <v>4.3</v>
      </c>
      <c r="AB2465" s="4" t="s">
        <v>42</v>
      </c>
    </row>
    <row r="2466" spans="1:28" x14ac:dyDescent="0.25">
      <c r="A2466" s="2" t="s">
        <v>3273</v>
      </c>
      <c r="B2466" s="2" t="s">
        <v>482</v>
      </c>
      <c r="C2466" s="2">
        <v>49</v>
      </c>
      <c r="D2466" s="2" t="s">
        <v>55</v>
      </c>
      <c r="E2466" s="2" t="s">
        <v>79</v>
      </c>
      <c r="F2466" s="2" t="s">
        <v>46</v>
      </c>
      <c r="G2466" s="3">
        <v>45515</v>
      </c>
      <c r="H2466" s="3">
        <v>45525</v>
      </c>
      <c r="I2466" s="2">
        <v>10</v>
      </c>
      <c r="J2466" s="2" t="s">
        <v>202</v>
      </c>
      <c r="K2466" s="2" t="s">
        <v>203</v>
      </c>
      <c r="L2466" s="2" t="s">
        <v>204</v>
      </c>
      <c r="M2466" s="2" t="s">
        <v>108</v>
      </c>
      <c r="N2466" s="2" t="s">
        <v>118</v>
      </c>
      <c r="O2466" s="2" t="s">
        <v>168</v>
      </c>
      <c r="P2466" s="2">
        <v>138</v>
      </c>
      <c r="Q2466" s="2" t="s">
        <v>69</v>
      </c>
      <c r="R2466" s="2" t="s">
        <v>90</v>
      </c>
      <c r="S2466" s="2">
        <v>124297</v>
      </c>
      <c r="T2466" s="2">
        <v>99477</v>
      </c>
      <c r="U2466" s="2">
        <v>24820</v>
      </c>
      <c r="V2466" s="2">
        <v>95225</v>
      </c>
      <c r="W2466" s="2">
        <v>16015</v>
      </c>
      <c r="X2466" s="2">
        <v>10104</v>
      </c>
      <c r="Y2466" s="2" t="s">
        <v>91</v>
      </c>
      <c r="Z2466" s="2">
        <v>84</v>
      </c>
      <c r="AA2466" s="2">
        <v>3</v>
      </c>
      <c r="AB2466" s="2" t="s">
        <v>52</v>
      </c>
    </row>
    <row r="2467" spans="1:28" x14ac:dyDescent="0.25">
      <c r="A2467" s="4" t="s">
        <v>3274</v>
      </c>
      <c r="B2467" s="4" t="s">
        <v>675</v>
      </c>
      <c r="C2467" s="4">
        <v>79</v>
      </c>
      <c r="D2467" s="4" t="s">
        <v>55</v>
      </c>
      <c r="E2467" s="4" t="s">
        <v>154</v>
      </c>
      <c r="F2467" s="4" t="s">
        <v>46</v>
      </c>
      <c r="G2467" s="5">
        <v>45174</v>
      </c>
      <c r="H2467" s="5">
        <v>45201</v>
      </c>
      <c r="I2467" s="4">
        <v>27</v>
      </c>
      <c r="J2467" s="4" t="s">
        <v>140</v>
      </c>
      <c r="K2467" s="4" t="s">
        <v>167</v>
      </c>
      <c r="L2467" s="4" t="s">
        <v>142</v>
      </c>
      <c r="M2467" s="4" t="s">
        <v>61</v>
      </c>
      <c r="N2467" s="4" t="s">
        <v>118</v>
      </c>
      <c r="O2467" s="4" t="s">
        <v>282</v>
      </c>
      <c r="P2467" s="4">
        <v>296</v>
      </c>
      <c r="Q2467" s="4" t="s">
        <v>50</v>
      </c>
      <c r="R2467" s="4" t="s">
        <v>136</v>
      </c>
      <c r="S2467" s="4">
        <v>45737</v>
      </c>
      <c r="T2467" s="4">
        <v>0</v>
      </c>
      <c r="U2467" s="4">
        <v>45737</v>
      </c>
      <c r="V2467" s="4">
        <v>6352</v>
      </c>
      <c r="W2467" s="4">
        <v>25690</v>
      </c>
      <c r="X2467" s="4">
        <v>9513</v>
      </c>
      <c r="Y2467" s="4" t="s">
        <v>41</v>
      </c>
      <c r="Z2467" s="4">
        <v>99</v>
      </c>
      <c r="AA2467" s="4">
        <v>4.4000000000000004</v>
      </c>
      <c r="AB2467" s="4" t="s">
        <v>137</v>
      </c>
    </row>
    <row r="2468" spans="1:28" x14ac:dyDescent="0.25">
      <c r="A2468" s="2" t="s">
        <v>3275</v>
      </c>
      <c r="B2468" s="2" t="s">
        <v>1243</v>
      </c>
      <c r="C2468" s="2">
        <v>20</v>
      </c>
      <c r="D2468" s="2" t="s">
        <v>30</v>
      </c>
      <c r="E2468" s="2" t="s">
        <v>87</v>
      </c>
      <c r="F2468" s="2" t="s">
        <v>57</v>
      </c>
      <c r="G2468" s="3">
        <v>45438</v>
      </c>
      <c r="H2468" s="3">
        <v>45452</v>
      </c>
      <c r="I2468" s="2">
        <v>14</v>
      </c>
      <c r="J2468" s="2" t="s">
        <v>123</v>
      </c>
      <c r="K2468" s="2" t="s">
        <v>124</v>
      </c>
      <c r="L2468" s="2" t="s">
        <v>125</v>
      </c>
      <c r="M2468" s="2" t="s">
        <v>130</v>
      </c>
      <c r="N2468" s="2" t="s">
        <v>62</v>
      </c>
      <c r="O2468" s="2" t="s">
        <v>175</v>
      </c>
      <c r="P2468" s="2">
        <v>96</v>
      </c>
      <c r="Q2468" s="2" t="s">
        <v>69</v>
      </c>
      <c r="R2468" s="2" t="s">
        <v>136</v>
      </c>
      <c r="S2468" s="2">
        <v>97090</v>
      </c>
      <c r="T2468" s="2">
        <v>0</v>
      </c>
      <c r="U2468" s="2">
        <v>97090</v>
      </c>
      <c r="V2468" s="2">
        <v>56167</v>
      </c>
      <c r="W2468" s="2">
        <v>22606</v>
      </c>
      <c r="X2468" s="2">
        <v>14143</v>
      </c>
      <c r="Y2468" s="2" t="s">
        <v>41</v>
      </c>
      <c r="Z2468" s="2">
        <v>47</v>
      </c>
      <c r="AA2468" s="2">
        <v>2.8</v>
      </c>
      <c r="AB2468" s="2" t="s">
        <v>52</v>
      </c>
    </row>
    <row r="2469" spans="1:28" x14ac:dyDescent="0.25">
      <c r="A2469" s="4" t="s">
        <v>3276</v>
      </c>
      <c r="B2469" s="4" t="s">
        <v>1238</v>
      </c>
      <c r="C2469" s="4">
        <v>26</v>
      </c>
      <c r="D2469" s="4" t="s">
        <v>30</v>
      </c>
      <c r="E2469" s="4" t="s">
        <v>79</v>
      </c>
      <c r="F2469" s="4" t="s">
        <v>72</v>
      </c>
      <c r="G2469" s="5">
        <v>44826</v>
      </c>
      <c r="H2469" s="5">
        <v>44840</v>
      </c>
      <c r="I2469" s="4">
        <v>14</v>
      </c>
      <c r="J2469" s="4" t="s">
        <v>33</v>
      </c>
      <c r="K2469" s="4" t="s">
        <v>34</v>
      </c>
      <c r="L2469" s="4" t="s">
        <v>35</v>
      </c>
      <c r="M2469" s="4" t="s">
        <v>143</v>
      </c>
      <c r="N2469" s="4" t="s">
        <v>109</v>
      </c>
      <c r="O2469" s="4" t="s">
        <v>300</v>
      </c>
      <c r="P2469" s="4">
        <v>385</v>
      </c>
      <c r="Q2469" s="4" t="s">
        <v>103</v>
      </c>
      <c r="R2469" s="4" t="s">
        <v>51</v>
      </c>
      <c r="S2469" s="4">
        <v>67083</v>
      </c>
      <c r="T2469" s="4">
        <v>37071</v>
      </c>
      <c r="U2469" s="4">
        <v>30012</v>
      </c>
      <c r="V2469" s="4">
        <v>39998</v>
      </c>
      <c r="W2469" s="4">
        <v>24859</v>
      </c>
      <c r="X2469" s="4">
        <v>1341</v>
      </c>
      <c r="Y2469" s="4" t="s">
        <v>91</v>
      </c>
      <c r="Z2469" s="4">
        <v>70</v>
      </c>
      <c r="AA2469" s="4">
        <v>3.9</v>
      </c>
      <c r="AB2469" s="4" t="s">
        <v>104</v>
      </c>
    </row>
    <row r="2470" spans="1:28" x14ac:dyDescent="0.25">
      <c r="A2470" s="2" t="s">
        <v>3277</v>
      </c>
      <c r="B2470" s="2" t="s">
        <v>1754</v>
      </c>
      <c r="C2470" s="2">
        <v>70</v>
      </c>
      <c r="D2470" s="2" t="s">
        <v>55</v>
      </c>
      <c r="E2470" s="2" t="s">
        <v>154</v>
      </c>
      <c r="F2470" s="2" t="s">
        <v>57</v>
      </c>
      <c r="G2470" s="3">
        <v>44826</v>
      </c>
      <c r="H2470" s="3">
        <v>44838</v>
      </c>
      <c r="I2470" s="2">
        <v>12</v>
      </c>
      <c r="J2470" s="2" t="s">
        <v>123</v>
      </c>
      <c r="K2470" s="2" t="s">
        <v>124</v>
      </c>
      <c r="L2470" s="2" t="s">
        <v>125</v>
      </c>
      <c r="M2470" s="2" t="s">
        <v>130</v>
      </c>
      <c r="N2470" s="2" t="s">
        <v>118</v>
      </c>
      <c r="O2470" s="2" t="s">
        <v>647</v>
      </c>
      <c r="P2470" s="2">
        <v>326</v>
      </c>
      <c r="Q2470" s="2" t="s">
        <v>50</v>
      </c>
      <c r="R2470" s="2" t="s">
        <v>136</v>
      </c>
      <c r="S2470" s="2">
        <v>157328</v>
      </c>
      <c r="T2470" s="2">
        <v>0</v>
      </c>
      <c r="U2470" s="2">
        <v>157328</v>
      </c>
      <c r="V2470" s="2">
        <v>133742</v>
      </c>
      <c r="W2470" s="2">
        <v>19510</v>
      </c>
      <c r="X2470" s="2">
        <v>1843</v>
      </c>
      <c r="Y2470" s="2" t="s">
        <v>91</v>
      </c>
      <c r="Z2470" s="2">
        <v>50</v>
      </c>
      <c r="AA2470" s="2">
        <v>3.5</v>
      </c>
      <c r="AB2470" s="2" t="s">
        <v>42</v>
      </c>
    </row>
    <row r="2471" spans="1:28" x14ac:dyDescent="0.25">
      <c r="A2471" s="4" t="s">
        <v>3278</v>
      </c>
      <c r="B2471" s="4" t="s">
        <v>1568</v>
      </c>
      <c r="C2471" s="4">
        <v>79</v>
      </c>
      <c r="D2471" s="4" t="s">
        <v>55</v>
      </c>
      <c r="E2471" s="4" t="s">
        <v>154</v>
      </c>
      <c r="F2471" s="4" t="s">
        <v>80</v>
      </c>
      <c r="G2471" s="5">
        <v>44739</v>
      </c>
      <c r="H2471" s="5">
        <v>44740</v>
      </c>
      <c r="I2471" s="4">
        <v>1</v>
      </c>
      <c r="J2471" s="4" t="s">
        <v>123</v>
      </c>
      <c r="K2471" s="4" t="s">
        <v>251</v>
      </c>
      <c r="L2471" s="4" t="s">
        <v>125</v>
      </c>
      <c r="M2471" s="4" t="s">
        <v>143</v>
      </c>
      <c r="N2471" s="4" t="s">
        <v>37</v>
      </c>
      <c r="O2471" s="4" t="s">
        <v>259</v>
      </c>
      <c r="P2471" s="4">
        <v>474</v>
      </c>
      <c r="Q2471" s="4" t="s">
        <v>39</v>
      </c>
      <c r="R2471" s="4" t="s">
        <v>136</v>
      </c>
      <c r="S2471" s="4">
        <v>164417</v>
      </c>
      <c r="T2471" s="4">
        <v>0</v>
      </c>
      <c r="U2471" s="4">
        <v>164417</v>
      </c>
      <c r="V2471" s="4">
        <v>126533</v>
      </c>
      <c r="W2471" s="4">
        <v>19749</v>
      </c>
      <c r="X2471" s="4">
        <v>13437</v>
      </c>
      <c r="Y2471" s="4" t="s">
        <v>41</v>
      </c>
      <c r="Z2471" s="4">
        <v>55</v>
      </c>
      <c r="AA2471" s="4">
        <v>3</v>
      </c>
      <c r="AB2471" s="4" t="s">
        <v>42</v>
      </c>
    </row>
    <row r="2472" spans="1:28" x14ac:dyDescent="0.25">
      <c r="A2472" s="2" t="s">
        <v>3279</v>
      </c>
      <c r="B2472" s="2" t="s">
        <v>769</v>
      </c>
      <c r="C2472" s="2">
        <v>32</v>
      </c>
      <c r="D2472" s="2" t="s">
        <v>55</v>
      </c>
      <c r="E2472" s="2" t="s">
        <v>67</v>
      </c>
      <c r="F2472" s="2" t="s">
        <v>57</v>
      </c>
      <c r="G2472" s="3">
        <v>45037</v>
      </c>
      <c r="H2472" s="3">
        <v>45043</v>
      </c>
      <c r="I2472" s="2">
        <v>6</v>
      </c>
      <c r="J2472" s="2" t="s">
        <v>123</v>
      </c>
      <c r="K2472" s="2" t="s">
        <v>124</v>
      </c>
      <c r="L2472" s="2" t="s">
        <v>125</v>
      </c>
      <c r="M2472" s="2" t="s">
        <v>130</v>
      </c>
      <c r="N2472" s="2" t="s">
        <v>62</v>
      </c>
      <c r="O2472" s="2" t="s">
        <v>189</v>
      </c>
      <c r="P2472" s="2">
        <v>329</v>
      </c>
      <c r="Q2472" s="2" t="s">
        <v>69</v>
      </c>
      <c r="R2472" s="2" t="s">
        <v>90</v>
      </c>
      <c r="S2472" s="2">
        <v>100865</v>
      </c>
      <c r="T2472" s="2">
        <v>63669</v>
      </c>
      <c r="U2472" s="2">
        <v>37196</v>
      </c>
      <c r="V2472" s="2">
        <v>66073</v>
      </c>
      <c r="W2472" s="2">
        <v>16766</v>
      </c>
      <c r="X2472" s="2">
        <v>13151</v>
      </c>
      <c r="Y2472" s="2" t="s">
        <v>91</v>
      </c>
      <c r="Z2472" s="2">
        <v>62</v>
      </c>
      <c r="AA2472" s="2">
        <v>2.1</v>
      </c>
      <c r="AB2472" s="2" t="s">
        <v>137</v>
      </c>
    </row>
    <row r="2473" spans="1:28" x14ac:dyDescent="0.25">
      <c r="A2473" s="4" t="s">
        <v>3280</v>
      </c>
      <c r="B2473" s="4" t="s">
        <v>1520</v>
      </c>
      <c r="C2473" s="4">
        <v>23</v>
      </c>
      <c r="D2473" s="4" t="s">
        <v>30</v>
      </c>
      <c r="E2473" s="4" t="s">
        <v>67</v>
      </c>
      <c r="F2473" s="4" t="s">
        <v>57</v>
      </c>
      <c r="G2473" s="5">
        <v>45598</v>
      </c>
      <c r="H2473" s="5">
        <v>45615</v>
      </c>
      <c r="I2473" s="4">
        <v>17</v>
      </c>
      <c r="J2473" s="4" t="s">
        <v>33</v>
      </c>
      <c r="K2473" s="4" t="s">
        <v>99</v>
      </c>
      <c r="L2473" s="4" t="s">
        <v>100</v>
      </c>
      <c r="M2473" s="4" t="s">
        <v>95</v>
      </c>
      <c r="N2473" s="4" t="s">
        <v>109</v>
      </c>
      <c r="O2473" s="4" t="s">
        <v>194</v>
      </c>
      <c r="P2473" s="4">
        <v>168</v>
      </c>
      <c r="Q2473" s="4" t="s">
        <v>69</v>
      </c>
      <c r="R2473" s="4" t="s">
        <v>136</v>
      </c>
      <c r="S2473" s="4">
        <v>58880</v>
      </c>
      <c r="T2473" s="4">
        <v>0</v>
      </c>
      <c r="U2473" s="4">
        <v>58880</v>
      </c>
      <c r="V2473" s="4">
        <v>27089</v>
      </c>
      <c r="W2473" s="4">
        <v>26582</v>
      </c>
      <c r="X2473" s="4">
        <v>3560</v>
      </c>
      <c r="Y2473" s="4" t="s">
        <v>41</v>
      </c>
      <c r="Z2473" s="4">
        <v>72</v>
      </c>
      <c r="AA2473" s="4">
        <v>3.2</v>
      </c>
      <c r="AB2473" s="4" t="s">
        <v>137</v>
      </c>
    </row>
    <row r="2474" spans="1:28" x14ac:dyDescent="0.25">
      <c r="A2474" s="2" t="s">
        <v>3281</v>
      </c>
      <c r="B2474" s="2" t="s">
        <v>268</v>
      </c>
      <c r="C2474" s="2">
        <v>78</v>
      </c>
      <c r="D2474" s="2" t="s">
        <v>30</v>
      </c>
      <c r="E2474" s="2" t="s">
        <v>79</v>
      </c>
      <c r="F2474" s="2" t="s">
        <v>72</v>
      </c>
      <c r="G2474" s="3">
        <v>45136</v>
      </c>
      <c r="H2474" s="3">
        <v>45166</v>
      </c>
      <c r="I2474" s="2">
        <v>30</v>
      </c>
      <c r="J2474" s="2" t="s">
        <v>33</v>
      </c>
      <c r="K2474" s="2" t="s">
        <v>34</v>
      </c>
      <c r="L2474" s="2" t="s">
        <v>35</v>
      </c>
      <c r="M2474" s="2" t="s">
        <v>83</v>
      </c>
      <c r="N2474" s="2" t="s">
        <v>62</v>
      </c>
      <c r="O2474" s="2" t="s">
        <v>379</v>
      </c>
      <c r="P2474" s="2">
        <v>460</v>
      </c>
      <c r="Q2474" s="2" t="s">
        <v>69</v>
      </c>
      <c r="R2474" s="2" t="s">
        <v>40</v>
      </c>
      <c r="S2474" s="2">
        <v>140801</v>
      </c>
      <c r="T2474" s="2">
        <v>86761</v>
      </c>
      <c r="U2474" s="2">
        <v>54040</v>
      </c>
      <c r="V2474" s="2">
        <v>111366</v>
      </c>
      <c r="W2474" s="2">
        <v>10689</v>
      </c>
      <c r="X2474" s="2">
        <v>14144</v>
      </c>
      <c r="Y2474" s="2" t="s">
        <v>41</v>
      </c>
      <c r="Z2474" s="2">
        <v>48</v>
      </c>
      <c r="AA2474" s="2">
        <v>4.0999999999999996</v>
      </c>
      <c r="AB2474" s="2" t="s">
        <v>42</v>
      </c>
    </row>
    <row r="2475" spans="1:28" x14ac:dyDescent="0.25">
      <c r="A2475" s="4" t="s">
        <v>3282</v>
      </c>
      <c r="B2475" s="4" t="s">
        <v>868</v>
      </c>
      <c r="C2475" s="4">
        <v>18</v>
      </c>
      <c r="D2475" s="4" t="s">
        <v>55</v>
      </c>
      <c r="E2475" s="4" t="s">
        <v>45</v>
      </c>
      <c r="F2475" s="4" t="s">
        <v>72</v>
      </c>
      <c r="G2475" s="5">
        <v>45434</v>
      </c>
      <c r="H2475" s="5">
        <v>45451</v>
      </c>
      <c r="I2475" s="4">
        <v>17</v>
      </c>
      <c r="J2475" s="4" t="s">
        <v>140</v>
      </c>
      <c r="K2475" s="4" t="s">
        <v>167</v>
      </c>
      <c r="L2475" s="4" t="s">
        <v>142</v>
      </c>
      <c r="M2475" s="4" t="s">
        <v>61</v>
      </c>
      <c r="N2475" s="4" t="s">
        <v>118</v>
      </c>
      <c r="O2475" s="4" t="s">
        <v>678</v>
      </c>
      <c r="P2475" s="4">
        <v>289</v>
      </c>
      <c r="Q2475" s="4" t="s">
        <v>103</v>
      </c>
      <c r="R2475" s="4" t="s">
        <v>51</v>
      </c>
      <c r="S2475" s="4">
        <v>148017</v>
      </c>
      <c r="T2475" s="4">
        <v>74092</v>
      </c>
      <c r="U2475" s="4">
        <v>73925</v>
      </c>
      <c r="V2475" s="4">
        <v>116775</v>
      </c>
      <c r="W2475" s="4">
        <v>21601</v>
      </c>
      <c r="X2475" s="4">
        <v>8532</v>
      </c>
      <c r="Y2475" s="4" t="s">
        <v>41</v>
      </c>
      <c r="Z2475" s="4">
        <v>82</v>
      </c>
      <c r="AA2475" s="4">
        <v>4.5999999999999996</v>
      </c>
      <c r="AB2475" s="4" t="s">
        <v>42</v>
      </c>
    </row>
    <row r="2476" spans="1:28" x14ac:dyDescent="0.25">
      <c r="A2476" s="2" t="s">
        <v>3283</v>
      </c>
      <c r="B2476" s="2" t="s">
        <v>641</v>
      </c>
      <c r="C2476" s="2">
        <v>84</v>
      </c>
      <c r="D2476" s="2" t="s">
        <v>30</v>
      </c>
      <c r="E2476" s="2" t="s">
        <v>87</v>
      </c>
      <c r="F2476" s="2" t="s">
        <v>157</v>
      </c>
      <c r="G2476" s="3">
        <v>45180</v>
      </c>
      <c r="H2476" s="3">
        <v>45195</v>
      </c>
      <c r="I2476" s="2">
        <v>15</v>
      </c>
      <c r="J2476" s="2" t="s">
        <v>33</v>
      </c>
      <c r="K2476" s="2" t="s">
        <v>174</v>
      </c>
      <c r="L2476" s="2" t="s">
        <v>48</v>
      </c>
      <c r="M2476" s="2" t="s">
        <v>130</v>
      </c>
      <c r="N2476" s="2" t="s">
        <v>37</v>
      </c>
      <c r="O2476" s="2" t="s">
        <v>337</v>
      </c>
      <c r="P2476" s="2">
        <v>416</v>
      </c>
      <c r="Q2476" s="2" t="s">
        <v>69</v>
      </c>
      <c r="R2476" s="2" t="s">
        <v>90</v>
      </c>
      <c r="S2476" s="2">
        <v>84756</v>
      </c>
      <c r="T2476" s="2">
        <v>61065</v>
      </c>
      <c r="U2476" s="2">
        <v>23691</v>
      </c>
      <c r="V2476" s="2">
        <v>65864</v>
      </c>
      <c r="W2476" s="2">
        <v>13009</v>
      </c>
      <c r="X2476" s="2">
        <v>3590</v>
      </c>
      <c r="Y2476" s="2" t="s">
        <v>41</v>
      </c>
      <c r="Z2476" s="2">
        <v>62</v>
      </c>
      <c r="AA2476" s="2">
        <v>3.9</v>
      </c>
      <c r="AB2476" s="2" t="s">
        <v>104</v>
      </c>
    </row>
    <row r="2477" spans="1:28" x14ac:dyDescent="0.25">
      <c r="A2477" s="4" t="s">
        <v>3284</v>
      </c>
      <c r="B2477" s="4" t="s">
        <v>790</v>
      </c>
      <c r="C2477" s="4">
        <v>27</v>
      </c>
      <c r="D2477" s="4" t="s">
        <v>55</v>
      </c>
      <c r="E2477" s="4" t="s">
        <v>79</v>
      </c>
      <c r="F2477" s="4" t="s">
        <v>57</v>
      </c>
      <c r="G2477" s="5">
        <v>45255</v>
      </c>
      <c r="H2477" s="5">
        <v>45280</v>
      </c>
      <c r="I2477" s="4">
        <v>25</v>
      </c>
      <c r="J2477" s="4" t="s">
        <v>202</v>
      </c>
      <c r="K2477" s="4" t="s">
        <v>203</v>
      </c>
      <c r="L2477" s="4" t="s">
        <v>204</v>
      </c>
      <c r="M2477" s="4" t="s">
        <v>95</v>
      </c>
      <c r="N2477" s="4" t="s">
        <v>37</v>
      </c>
      <c r="O2477" s="4" t="s">
        <v>164</v>
      </c>
      <c r="P2477" s="4">
        <v>419</v>
      </c>
      <c r="Q2477" s="4" t="s">
        <v>69</v>
      </c>
      <c r="R2477" s="4" t="s">
        <v>136</v>
      </c>
      <c r="S2477" s="4">
        <v>90858</v>
      </c>
      <c r="T2477" s="4">
        <v>0</v>
      </c>
      <c r="U2477" s="4">
        <v>90858</v>
      </c>
      <c r="V2477" s="4">
        <v>62998</v>
      </c>
      <c r="W2477" s="4">
        <v>18759</v>
      </c>
      <c r="X2477" s="4">
        <v>8139</v>
      </c>
      <c r="Y2477" s="4" t="s">
        <v>41</v>
      </c>
      <c r="Z2477" s="4">
        <v>44</v>
      </c>
      <c r="AA2477" s="4">
        <v>3</v>
      </c>
      <c r="AB2477" s="4" t="s">
        <v>64</v>
      </c>
    </row>
    <row r="2478" spans="1:28" x14ac:dyDescent="0.25">
      <c r="A2478" s="2" t="s">
        <v>3285</v>
      </c>
      <c r="B2478" s="2" t="s">
        <v>985</v>
      </c>
      <c r="C2478" s="2">
        <v>19</v>
      </c>
      <c r="D2478" s="2" t="s">
        <v>30</v>
      </c>
      <c r="E2478" s="2" t="s">
        <v>79</v>
      </c>
      <c r="F2478" s="2" t="s">
        <v>72</v>
      </c>
      <c r="G2478" s="3">
        <v>44796</v>
      </c>
      <c r="H2478" s="3">
        <v>44816</v>
      </c>
      <c r="I2478" s="2">
        <v>20</v>
      </c>
      <c r="J2478" s="2" t="s">
        <v>140</v>
      </c>
      <c r="K2478" s="2" t="s">
        <v>141</v>
      </c>
      <c r="L2478" s="2" t="s">
        <v>142</v>
      </c>
      <c r="M2478" s="2" t="s">
        <v>95</v>
      </c>
      <c r="N2478" s="2" t="s">
        <v>118</v>
      </c>
      <c r="O2478" s="2" t="s">
        <v>178</v>
      </c>
      <c r="P2478" s="2">
        <v>106</v>
      </c>
      <c r="Q2478" s="2" t="s">
        <v>39</v>
      </c>
      <c r="R2478" s="2" t="s">
        <v>111</v>
      </c>
      <c r="S2478" s="2">
        <v>132594</v>
      </c>
      <c r="T2478" s="2">
        <v>84329</v>
      </c>
      <c r="U2478" s="2">
        <v>48265</v>
      </c>
      <c r="V2478" s="2">
        <v>107233</v>
      </c>
      <c r="W2478" s="2">
        <v>14862</v>
      </c>
      <c r="X2478" s="2">
        <v>5504</v>
      </c>
      <c r="Y2478" s="2" t="s">
        <v>41</v>
      </c>
      <c r="Z2478" s="2">
        <v>53</v>
      </c>
      <c r="AA2478" s="2">
        <v>4.4000000000000004</v>
      </c>
      <c r="AB2478" s="2" t="s">
        <v>52</v>
      </c>
    </row>
    <row r="2479" spans="1:28" x14ac:dyDescent="0.25">
      <c r="A2479" s="4" t="s">
        <v>3286</v>
      </c>
      <c r="B2479" s="4" t="s">
        <v>1259</v>
      </c>
      <c r="C2479" s="4">
        <v>16</v>
      </c>
      <c r="D2479" s="4" t="s">
        <v>55</v>
      </c>
      <c r="E2479" s="4" t="s">
        <v>56</v>
      </c>
      <c r="F2479" s="4" t="s">
        <v>157</v>
      </c>
      <c r="G2479" s="5">
        <v>44571</v>
      </c>
      <c r="H2479" s="5">
        <v>44600</v>
      </c>
      <c r="I2479" s="4">
        <v>29</v>
      </c>
      <c r="J2479" s="4" t="s">
        <v>33</v>
      </c>
      <c r="K2479" s="4" t="s">
        <v>81</v>
      </c>
      <c r="L2479" s="4" t="s">
        <v>82</v>
      </c>
      <c r="M2479" s="4" t="s">
        <v>75</v>
      </c>
      <c r="N2479" s="4" t="s">
        <v>109</v>
      </c>
      <c r="O2479" s="4" t="s">
        <v>181</v>
      </c>
      <c r="P2479" s="4">
        <v>429</v>
      </c>
      <c r="Q2479" s="4" t="s">
        <v>50</v>
      </c>
      <c r="R2479" s="4" t="s">
        <v>40</v>
      </c>
      <c r="S2479" s="4">
        <v>69119</v>
      </c>
      <c r="T2479" s="4">
        <v>47664</v>
      </c>
      <c r="U2479" s="4">
        <v>21455</v>
      </c>
      <c r="V2479" s="4">
        <v>46657</v>
      </c>
      <c r="W2479" s="4">
        <v>13597</v>
      </c>
      <c r="X2479" s="4">
        <v>6190</v>
      </c>
      <c r="Y2479" s="4" t="s">
        <v>41</v>
      </c>
      <c r="Z2479" s="4">
        <v>86</v>
      </c>
      <c r="AA2479" s="4">
        <v>2.9</v>
      </c>
      <c r="AB2479" s="4" t="s">
        <v>42</v>
      </c>
    </row>
    <row r="2480" spans="1:28" x14ac:dyDescent="0.25">
      <c r="A2480" s="2" t="s">
        <v>3287</v>
      </c>
      <c r="B2480" s="2" t="s">
        <v>1754</v>
      </c>
      <c r="C2480" s="2">
        <v>20</v>
      </c>
      <c r="D2480" s="2" t="s">
        <v>30</v>
      </c>
      <c r="E2480" s="2" t="s">
        <v>45</v>
      </c>
      <c r="F2480" s="2" t="s">
        <v>80</v>
      </c>
      <c r="G2480" s="3">
        <v>44695</v>
      </c>
      <c r="H2480" s="3">
        <v>44710</v>
      </c>
      <c r="I2480" s="2">
        <v>15</v>
      </c>
      <c r="J2480" s="2" t="s">
        <v>33</v>
      </c>
      <c r="K2480" s="2" t="s">
        <v>233</v>
      </c>
      <c r="L2480" s="2" t="s">
        <v>35</v>
      </c>
      <c r="M2480" s="2" t="s">
        <v>95</v>
      </c>
      <c r="N2480" s="2" t="s">
        <v>118</v>
      </c>
      <c r="O2480" s="2" t="s">
        <v>126</v>
      </c>
      <c r="P2480" s="2">
        <v>297</v>
      </c>
      <c r="Q2480" s="2" t="s">
        <v>69</v>
      </c>
      <c r="R2480" s="2" t="s">
        <v>40</v>
      </c>
      <c r="S2480" s="2">
        <v>101707</v>
      </c>
      <c r="T2480" s="2">
        <v>56971</v>
      </c>
      <c r="U2480" s="2">
        <v>44736</v>
      </c>
      <c r="V2480" s="2">
        <v>75705</v>
      </c>
      <c r="W2480" s="2">
        <v>13031</v>
      </c>
      <c r="X2480" s="2">
        <v>10370</v>
      </c>
      <c r="Y2480" s="2" t="s">
        <v>41</v>
      </c>
      <c r="Z2480" s="2">
        <v>41</v>
      </c>
      <c r="AA2480" s="2">
        <v>4.9000000000000004</v>
      </c>
      <c r="AB2480" s="2" t="s">
        <v>52</v>
      </c>
    </row>
    <row r="2481" spans="1:28" x14ac:dyDescent="0.25">
      <c r="A2481" s="4" t="s">
        <v>3288</v>
      </c>
      <c r="B2481" s="4" t="s">
        <v>1915</v>
      </c>
      <c r="C2481" s="4">
        <v>11</v>
      </c>
      <c r="D2481" s="4" t="s">
        <v>55</v>
      </c>
      <c r="E2481" s="4" t="s">
        <v>56</v>
      </c>
      <c r="F2481" s="4" t="s">
        <v>57</v>
      </c>
      <c r="G2481" s="5">
        <v>44573</v>
      </c>
      <c r="H2481" s="5">
        <v>44587</v>
      </c>
      <c r="I2481" s="4">
        <v>14</v>
      </c>
      <c r="J2481" s="4" t="s">
        <v>33</v>
      </c>
      <c r="K2481" s="4" t="s">
        <v>278</v>
      </c>
      <c r="L2481" s="4" t="s">
        <v>279</v>
      </c>
      <c r="M2481" s="4" t="s">
        <v>108</v>
      </c>
      <c r="N2481" s="4" t="s">
        <v>62</v>
      </c>
      <c r="O2481" s="4" t="s">
        <v>259</v>
      </c>
      <c r="P2481" s="4">
        <v>360</v>
      </c>
      <c r="Q2481" s="4" t="s">
        <v>39</v>
      </c>
      <c r="R2481" s="4" t="s">
        <v>40</v>
      </c>
      <c r="S2481" s="4">
        <v>70160</v>
      </c>
      <c r="T2481" s="4">
        <v>40463</v>
      </c>
      <c r="U2481" s="4">
        <v>29697</v>
      </c>
      <c r="V2481" s="4">
        <v>54982</v>
      </c>
      <c r="W2481" s="4">
        <v>3810</v>
      </c>
      <c r="X2481" s="4">
        <v>7013</v>
      </c>
      <c r="Y2481" s="4" t="s">
        <v>41</v>
      </c>
      <c r="Z2481" s="4">
        <v>64</v>
      </c>
      <c r="AA2481" s="4">
        <v>4.4000000000000004</v>
      </c>
      <c r="AB2481" s="4" t="s">
        <v>52</v>
      </c>
    </row>
    <row r="2482" spans="1:28" x14ac:dyDescent="0.25">
      <c r="A2482" s="2" t="s">
        <v>3289</v>
      </c>
      <c r="B2482" s="2" t="s">
        <v>562</v>
      </c>
      <c r="C2482" s="2">
        <v>11</v>
      </c>
      <c r="D2482" s="2" t="s">
        <v>30</v>
      </c>
      <c r="E2482" s="2" t="s">
        <v>45</v>
      </c>
      <c r="F2482" s="2" t="s">
        <v>57</v>
      </c>
      <c r="G2482" s="3">
        <v>45251</v>
      </c>
      <c r="H2482" s="3">
        <v>45270</v>
      </c>
      <c r="I2482" s="2">
        <v>19</v>
      </c>
      <c r="J2482" s="2" t="s">
        <v>33</v>
      </c>
      <c r="K2482" s="2" t="s">
        <v>278</v>
      </c>
      <c r="L2482" s="2" t="s">
        <v>279</v>
      </c>
      <c r="M2482" s="2" t="s">
        <v>130</v>
      </c>
      <c r="N2482" s="2" t="s">
        <v>37</v>
      </c>
      <c r="O2482" s="2" t="s">
        <v>246</v>
      </c>
      <c r="P2482" s="2">
        <v>265</v>
      </c>
      <c r="Q2482" s="2" t="s">
        <v>69</v>
      </c>
      <c r="R2482" s="2" t="s">
        <v>90</v>
      </c>
      <c r="S2482" s="2">
        <v>122373</v>
      </c>
      <c r="T2482" s="2">
        <v>94541</v>
      </c>
      <c r="U2482" s="2">
        <v>27832</v>
      </c>
      <c r="V2482" s="2">
        <v>103437</v>
      </c>
      <c r="W2482" s="2">
        <v>15660</v>
      </c>
      <c r="X2482" s="2">
        <v>2306</v>
      </c>
      <c r="Y2482" s="2" t="s">
        <v>41</v>
      </c>
      <c r="Z2482" s="2">
        <v>64</v>
      </c>
      <c r="AA2482" s="2">
        <v>3.1</v>
      </c>
      <c r="AB2482" s="2" t="s">
        <v>104</v>
      </c>
    </row>
    <row r="2483" spans="1:28" x14ac:dyDescent="0.25">
      <c r="A2483" s="4" t="s">
        <v>3290</v>
      </c>
      <c r="B2483" s="4" t="s">
        <v>1220</v>
      </c>
      <c r="C2483" s="4">
        <v>82</v>
      </c>
      <c r="D2483" s="4" t="s">
        <v>55</v>
      </c>
      <c r="E2483" s="4" t="s">
        <v>122</v>
      </c>
      <c r="F2483" s="4" t="s">
        <v>94</v>
      </c>
      <c r="G2483" s="5">
        <v>45345</v>
      </c>
      <c r="H2483" s="5">
        <v>45356</v>
      </c>
      <c r="I2483" s="4">
        <v>11</v>
      </c>
      <c r="J2483" s="4" t="s">
        <v>115</v>
      </c>
      <c r="K2483" s="4" t="s">
        <v>160</v>
      </c>
      <c r="L2483" s="4" t="s">
        <v>117</v>
      </c>
      <c r="M2483" s="4" t="s">
        <v>134</v>
      </c>
      <c r="N2483" s="4" t="s">
        <v>118</v>
      </c>
      <c r="O2483" s="4" t="s">
        <v>222</v>
      </c>
      <c r="P2483" s="4">
        <v>365</v>
      </c>
      <c r="Q2483" s="4" t="s">
        <v>39</v>
      </c>
      <c r="R2483" s="4" t="s">
        <v>51</v>
      </c>
      <c r="S2483" s="4">
        <v>70715</v>
      </c>
      <c r="T2483" s="4">
        <v>46694</v>
      </c>
      <c r="U2483" s="4">
        <v>24021</v>
      </c>
      <c r="V2483" s="4">
        <v>54338</v>
      </c>
      <c r="W2483" s="4">
        <v>3788</v>
      </c>
      <c r="X2483" s="4">
        <v>9105</v>
      </c>
      <c r="Y2483" s="4" t="s">
        <v>41</v>
      </c>
      <c r="Z2483" s="4">
        <v>64</v>
      </c>
      <c r="AA2483" s="4">
        <v>4.2</v>
      </c>
      <c r="AB2483" s="4" t="s">
        <v>52</v>
      </c>
    </row>
    <row r="2484" spans="1:28" x14ac:dyDescent="0.25">
      <c r="A2484" s="2" t="s">
        <v>3291</v>
      </c>
      <c r="B2484" s="2" t="s">
        <v>1300</v>
      </c>
      <c r="C2484" s="2">
        <v>36</v>
      </c>
      <c r="D2484" s="2" t="s">
        <v>30</v>
      </c>
      <c r="E2484" s="2" t="s">
        <v>87</v>
      </c>
      <c r="F2484" s="2" t="s">
        <v>94</v>
      </c>
      <c r="G2484" s="3">
        <v>44779</v>
      </c>
      <c r="H2484" s="3">
        <v>44805</v>
      </c>
      <c r="I2484" s="2">
        <v>26</v>
      </c>
      <c r="J2484" s="2" t="s">
        <v>140</v>
      </c>
      <c r="K2484" s="2" t="s">
        <v>141</v>
      </c>
      <c r="L2484" s="2" t="s">
        <v>142</v>
      </c>
      <c r="M2484" s="2" t="s">
        <v>75</v>
      </c>
      <c r="N2484" s="2" t="s">
        <v>62</v>
      </c>
      <c r="O2484" s="2" t="s">
        <v>631</v>
      </c>
      <c r="P2484" s="2">
        <v>322</v>
      </c>
      <c r="Q2484" s="2" t="s">
        <v>103</v>
      </c>
      <c r="R2484" s="2" t="s">
        <v>40</v>
      </c>
      <c r="S2484" s="2">
        <v>60152</v>
      </c>
      <c r="T2484" s="2">
        <v>24779</v>
      </c>
      <c r="U2484" s="2">
        <v>35373</v>
      </c>
      <c r="V2484" s="2">
        <v>51094</v>
      </c>
      <c r="W2484" s="2">
        <v>2930</v>
      </c>
      <c r="X2484" s="2">
        <v>1825</v>
      </c>
      <c r="Y2484" s="2" t="s">
        <v>41</v>
      </c>
      <c r="Z2484" s="2">
        <v>41</v>
      </c>
      <c r="AA2484" s="2">
        <v>3.5</v>
      </c>
      <c r="AB2484" s="2" t="s">
        <v>42</v>
      </c>
    </row>
    <row r="2485" spans="1:28" x14ac:dyDescent="0.25">
      <c r="A2485" s="4" t="s">
        <v>3292</v>
      </c>
      <c r="B2485" s="4" t="s">
        <v>665</v>
      </c>
      <c r="C2485" s="4">
        <v>59</v>
      </c>
      <c r="D2485" s="4" t="s">
        <v>55</v>
      </c>
      <c r="E2485" s="4" t="s">
        <v>31</v>
      </c>
      <c r="F2485" s="4" t="s">
        <v>129</v>
      </c>
      <c r="G2485" s="5">
        <v>45231</v>
      </c>
      <c r="H2485" s="5">
        <v>45242</v>
      </c>
      <c r="I2485" s="4">
        <v>11</v>
      </c>
      <c r="J2485" s="4" t="s">
        <v>202</v>
      </c>
      <c r="K2485" s="4" t="s">
        <v>225</v>
      </c>
      <c r="L2485" s="4" t="s">
        <v>226</v>
      </c>
      <c r="M2485" s="4" t="s">
        <v>36</v>
      </c>
      <c r="N2485" s="4" t="s">
        <v>62</v>
      </c>
      <c r="O2485" s="4" t="s">
        <v>520</v>
      </c>
      <c r="P2485" s="4">
        <v>85</v>
      </c>
      <c r="Q2485" s="4" t="s">
        <v>103</v>
      </c>
      <c r="R2485" s="4" t="s">
        <v>111</v>
      </c>
      <c r="S2485" s="4">
        <v>137398</v>
      </c>
      <c r="T2485" s="4">
        <v>117528</v>
      </c>
      <c r="U2485" s="4">
        <v>19870</v>
      </c>
      <c r="V2485" s="4">
        <v>114739</v>
      </c>
      <c r="W2485" s="4">
        <v>4227</v>
      </c>
      <c r="X2485" s="4">
        <v>14962</v>
      </c>
      <c r="Y2485" s="4" t="s">
        <v>41</v>
      </c>
      <c r="Z2485" s="4">
        <v>68</v>
      </c>
      <c r="AA2485" s="4">
        <v>5</v>
      </c>
      <c r="AB2485" s="4" t="s">
        <v>52</v>
      </c>
    </row>
    <row r="2486" spans="1:28" x14ac:dyDescent="0.25">
      <c r="A2486" s="2" t="s">
        <v>3293</v>
      </c>
      <c r="B2486" s="2" t="s">
        <v>1046</v>
      </c>
      <c r="C2486" s="2">
        <v>38</v>
      </c>
      <c r="D2486" s="2" t="s">
        <v>30</v>
      </c>
      <c r="E2486" s="2" t="s">
        <v>87</v>
      </c>
      <c r="F2486" s="2" t="s">
        <v>114</v>
      </c>
      <c r="G2486" s="3">
        <v>44601</v>
      </c>
      <c r="H2486" s="3">
        <v>44603</v>
      </c>
      <c r="I2486" s="2">
        <v>2</v>
      </c>
      <c r="J2486" s="2" t="s">
        <v>140</v>
      </c>
      <c r="K2486" s="2" t="s">
        <v>167</v>
      </c>
      <c r="L2486" s="2" t="s">
        <v>142</v>
      </c>
      <c r="M2486" s="2" t="s">
        <v>95</v>
      </c>
      <c r="N2486" s="2" t="s">
        <v>37</v>
      </c>
      <c r="O2486" s="2" t="s">
        <v>390</v>
      </c>
      <c r="P2486" s="2">
        <v>255</v>
      </c>
      <c r="Q2486" s="2" t="s">
        <v>69</v>
      </c>
      <c r="R2486" s="2" t="s">
        <v>40</v>
      </c>
      <c r="S2486" s="2">
        <v>111926</v>
      </c>
      <c r="T2486" s="2">
        <v>63072</v>
      </c>
      <c r="U2486" s="2">
        <v>48854</v>
      </c>
      <c r="V2486" s="2">
        <v>93764</v>
      </c>
      <c r="W2486" s="2">
        <v>9409</v>
      </c>
      <c r="X2486" s="2">
        <v>5386</v>
      </c>
      <c r="Y2486" s="2" t="s">
        <v>41</v>
      </c>
      <c r="Z2486" s="2">
        <v>68</v>
      </c>
      <c r="AA2486" s="2">
        <v>3.7</v>
      </c>
      <c r="AB2486" s="2" t="s">
        <v>52</v>
      </c>
    </row>
    <row r="2487" spans="1:28" x14ac:dyDescent="0.25">
      <c r="A2487" s="4" t="s">
        <v>3294</v>
      </c>
      <c r="B2487" s="4" t="s">
        <v>1095</v>
      </c>
      <c r="C2487" s="4">
        <v>55</v>
      </c>
      <c r="D2487" s="4" t="s">
        <v>55</v>
      </c>
      <c r="E2487" s="4" t="s">
        <v>79</v>
      </c>
      <c r="F2487" s="4" t="s">
        <v>72</v>
      </c>
      <c r="G2487" s="5">
        <v>44598</v>
      </c>
      <c r="H2487" s="5">
        <v>44626</v>
      </c>
      <c r="I2487" s="4">
        <v>28</v>
      </c>
      <c r="J2487" s="4" t="s">
        <v>202</v>
      </c>
      <c r="K2487" s="4" t="s">
        <v>203</v>
      </c>
      <c r="L2487" s="4" t="s">
        <v>204</v>
      </c>
      <c r="M2487" s="4" t="s">
        <v>130</v>
      </c>
      <c r="N2487" s="4" t="s">
        <v>62</v>
      </c>
      <c r="O2487" s="4" t="s">
        <v>461</v>
      </c>
      <c r="P2487" s="4">
        <v>477</v>
      </c>
      <c r="Q2487" s="4" t="s">
        <v>50</v>
      </c>
      <c r="R2487" s="4" t="s">
        <v>136</v>
      </c>
      <c r="S2487" s="4">
        <v>137096</v>
      </c>
      <c r="T2487" s="4">
        <v>0</v>
      </c>
      <c r="U2487" s="4">
        <v>137096</v>
      </c>
      <c r="V2487" s="4">
        <v>115828</v>
      </c>
      <c r="W2487" s="4">
        <v>6569</v>
      </c>
      <c r="X2487" s="4">
        <v>11135</v>
      </c>
      <c r="Y2487" s="4" t="s">
        <v>91</v>
      </c>
      <c r="Z2487" s="4">
        <v>47</v>
      </c>
      <c r="AA2487" s="4">
        <v>3.3</v>
      </c>
      <c r="AB2487" s="4" t="s">
        <v>64</v>
      </c>
    </row>
    <row r="2488" spans="1:28" x14ac:dyDescent="0.25">
      <c r="A2488" s="2" t="s">
        <v>3295</v>
      </c>
      <c r="B2488" s="2" t="s">
        <v>430</v>
      </c>
      <c r="C2488" s="2">
        <v>63</v>
      </c>
      <c r="D2488" s="2" t="s">
        <v>55</v>
      </c>
      <c r="E2488" s="2" t="s">
        <v>122</v>
      </c>
      <c r="F2488" s="2" t="s">
        <v>150</v>
      </c>
      <c r="G2488" s="3">
        <v>45388</v>
      </c>
      <c r="H2488" s="3">
        <v>45401</v>
      </c>
      <c r="I2488" s="2">
        <v>13</v>
      </c>
      <c r="J2488" s="2" t="s">
        <v>115</v>
      </c>
      <c r="K2488" s="2" t="s">
        <v>116</v>
      </c>
      <c r="L2488" s="2" t="s">
        <v>117</v>
      </c>
      <c r="M2488" s="2" t="s">
        <v>95</v>
      </c>
      <c r="N2488" s="2" t="s">
        <v>109</v>
      </c>
      <c r="O2488" s="2" t="s">
        <v>471</v>
      </c>
      <c r="P2488" s="2">
        <v>94</v>
      </c>
      <c r="Q2488" s="2" t="s">
        <v>69</v>
      </c>
      <c r="R2488" s="2" t="s">
        <v>40</v>
      </c>
      <c r="S2488" s="2">
        <v>76840</v>
      </c>
      <c r="T2488" s="2">
        <v>41820</v>
      </c>
      <c r="U2488" s="2">
        <v>35020</v>
      </c>
      <c r="V2488" s="2">
        <v>32207</v>
      </c>
      <c r="W2488" s="2">
        <v>28451</v>
      </c>
      <c r="X2488" s="2">
        <v>13055</v>
      </c>
      <c r="Y2488" s="2" t="s">
        <v>41</v>
      </c>
      <c r="Z2488" s="2">
        <v>40</v>
      </c>
      <c r="AA2488" s="2">
        <v>3.2</v>
      </c>
      <c r="AB2488" s="2" t="s">
        <v>52</v>
      </c>
    </row>
    <row r="2489" spans="1:28" x14ac:dyDescent="0.25">
      <c r="A2489" s="4" t="s">
        <v>3296</v>
      </c>
      <c r="B2489" s="4" t="s">
        <v>240</v>
      </c>
      <c r="C2489" s="4">
        <v>13</v>
      </c>
      <c r="D2489" s="4" t="s">
        <v>55</v>
      </c>
      <c r="E2489" s="4" t="s">
        <v>154</v>
      </c>
      <c r="F2489" s="4" t="s">
        <v>46</v>
      </c>
      <c r="G2489" s="5">
        <v>45317</v>
      </c>
      <c r="H2489" s="5">
        <v>45342</v>
      </c>
      <c r="I2489" s="4">
        <v>25</v>
      </c>
      <c r="J2489" s="4" t="s">
        <v>33</v>
      </c>
      <c r="K2489" s="4" t="s">
        <v>197</v>
      </c>
      <c r="L2489" s="4" t="s">
        <v>198</v>
      </c>
      <c r="M2489" s="4" t="s">
        <v>83</v>
      </c>
      <c r="N2489" s="4" t="s">
        <v>109</v>
      </c>
      <c r="O2489" s="4" t="s">
        <v>164</v>
      </c>
      <c r="P2489" s="4">
        <v>168</v>
      </c>
      <c r="Q2489" s="4" t="s">
        <v>69</v>
      </c>
      <c r="R2489" s="4" t="s">
        <v>51</v>
      </c>
      <c r="S2489" s="4">
        <v>150358</v>
      </c>
      <c r="T2489" s="4">
        <v>99585</v>
      </c>
      <c r="U2489" s="4">
        <v>50773</v>
      </c>
      <c r="V2489" s="4">
        <v>115496</v>
      </c>
      <c r="W2489" s="4">
        <v>25082</v>
      </c>
      <c r="X2489" s="4">
        <v>8881</v>
      </c>
      <c r="Y2489" s="4" t="s">
        <v>41</v>
      </c>
      <c r="Z2489" s="4">
        <v>49</v>
      </c>
      <c r="AA2489" s="4">
        <v>3.4</v>
      </c>
      <c r="AB2489" s="4" t="s">
        <v>137</v>
      </c>
    </row>
    <row r="2490" spans="1:28" x14ac:dyDescent="0.25">
      <c r="A2490" s="2" t="s">
        <v>3297</v>
      </c>
      <c r="B2490" s="2" t="s">
        <v>1228</v>
      </c>
      <c r="C2490" s="2">
        <v>31</v>
      </c>
      <c r="D2490" s="2" t="s">
        <v>55</v>
      </c>
      <c r="E2490" s="2" t="s">
        <v>45</v>
      </c>
      <c r="F2490" s="2" t="s">
        <v>129</v>
      </c>
      <c r="G2490" s="3">
        <v>45421</v>
      </c>
      <c r="H2490" s="3">
        <v>45422</v>
      </c>
      <c r="I2490" s="2">
        <v>1</v>
      </c>
      <c r="J2490" s="2" t="s">
        <v>202</v>
      </c>
      <c r="K2490" s="2" t="s">
        <v>203</v>
      </c>
      <c r="L2490" s="2" t="s">
        <v>204</v>
      </c>
      <c r="M2490" s="2" t="s">
        <v>83</v>
      </c>
      <c r="N2490" s="2" t="s">
        <v>109</v>
      </c>
      <c r="O2490" s="2" t="s">
        <v>390</v>
      </c>
      <c r="P2490" s="2">
        <v>172</v>
      </c>
      <c r="Q2490" s="2" t="s">
        <v>69</v>
      </c>
      <c r="R2490" s="2" t="s">
        <v>40</v>
      </c>
      <c r="S2490" s="2">
        <v>74247</v>
      </c>
      <c r="T2490" s="2">
        <v>33929</v>
      </c>
      <c r="U2490" s="2">
        <v>40318</v>
      </c>
      <c r="V2490" s="2">
        <v>38337</v>
      </c>
      <c r="W2490" s="2">
        <v>26983</v>
      </c>
      <c r="X2490" s="2">
        <v>7620</v>
      </c>
      <c r="Y2490" s="2" t="s">
        <v>41</v>
      </c>
      <c r="Z2490" s="2">
        <v>56</v>
      </c>
      <c r="AA2490" s="2">
        <v>4.8</v>
      </c>
      <c r="AB2490" s="2" t="s">
        <v>137</v>
      </c>
    </row>
    <row r="2491" spans="1:28" x14ac:dyDescent="0.25">
      <c r="A2491" s="4" t="s">
        <v>3298</v>
      </c>
      <c r="B2491" s="4" t="s">
        <v>1250</v>
      </c>
      <c r="C2491" s="4">
        <v>15</v>
      </c>
      <c r="D2491" s="4" t="s">
        <v>55</v>
      </c>
      <c r="E2491" s="4" t="s">
        <v>31</v>
      </c>
      <c r="F2491" s="4" t="s">
        <v>32</v>
      </c>
      <c r="G2491" s="5">
        <v>44833</v>
      </c>
      <c r="H2491" s="5">
        <v>44854</v>
      </c>
      <c r="I2491" s="4">
        <v>21</v>
      </c>
      <c r="J2491" s="4" t="s">
        <v>33</v>
      </c>
      <c r="K2491" s="4" t="s">
        <v>197</v>
      </c>
      <c r="L2491" s="4" t="s">
        <v>198</v>
      </c>
      <c r="M2491" s="4" t="s">
        <v>143</v>
      </c>
      <c r="N2491" s="4" t="s">
        <v>118</v>
      </c>
      <c r="O2491" s="4" t="s">
        <v>151</v>
      </c>
      <c r="P2491" s="4">
        <v>142</v>
      </c>
      <c r="Q2491" s="4" t="s">
        <v>103</v>
      </c>
      <c r="R2491" s="4" t="s">
        <v>111</v>
      </c>
      <c r="S2491" s="4">
        <v>105032</v>
      </c>
      <c r="T2491" s="4">
        <v>65978</v>
      </c>
      <c r="U2491" s="4">
        <v>39054</v>
      </c>
      <c r="V2491" s="4">
        <v>85968</v>
      </c>
      <c r="W2491" s="4">
        <v>1559</v>
      </c>
      <c r="X2491" s="4">
        <v>13293</v>
      </c>
      <c r="Y2491" s="4" t="s">
        <v>41</v>
      </c>
      <c r="Z2491" s="4">
        <v>85</v>
      </c>
      <c r="AA2491" s="4">
        <v>4.4000000000000004</v>
      </c>
      <c r="AB2491" s="4" t="s">
        <v>64</v>
      </c>
    </row>
    <row r="2492" spans="1:28" x14ac:dyDescent="0.25">
      <c r="A2492" s="2" t="s">
        <v>3299</v>
      </c>
      <c r="B2492" s="2" t="s">
        <v>219</v>
      </c>
      <c r="C2492" s="2">
        <v>14</v>
      </c>
      <c r="D2492" s="2" t="s">
        <v>30</v>
      </c>
      <c r="E2492" s="2" t="s">
        <v>67</v>
      </c>
      <c r="F2492" s="2" t="s">
        <v>46</v>
      </c>
      <c r="G2492" s="3">
        <v>45600</v>
      </c>
      <c r="H2492" s="3">
        <v>45608</v>
      </c>
      <c r="I2492" s="2">
        <v>8</v>
      </c>
      <c r="J2492" s="2" t="s">
        <v>33</v>
      </c>
      <c r="K2492" s="2" t="s">
        <v>47</v>
      </c>
      <c r="L2492" s="2" t="s">
        <v>48</v>
      </c>
      <c r="M2492" s="2" t="s">
        <v>143</v>
      </c>
      <c r="N2492" s="2" t="s">
        <v>37</v>
      </c>
      <c r="O2492" s="2" t="s">
        <v>248</v>
      </c>
      <c r="P2492" s="2">
        <v>352</v>
      </c>
      <c r="Q2492" s="2" t="s">
        <v>69</v>
      </c>
      <c r="R2492" s="2" t="s">
        <v>51</v>
      </c>
      <c r="S2492" s="2">
        <v>108431</v>
      </c>
      <c r="T2492" s="2">
        <v>51106</v>
      </c>
      <c r="U2492" s="2">
        <v>57325</v>
      </c>
      <c r="V2492" s="2">
        <v>72800</v>
      </c>
      <c r="W2492" s="2">
        <v>18790</v>
      </c>
      <c r="X2492" s="2">
        <v>14402</v>
      </c>
      <c r="Y2492" s="2" t="s">
        <v>41</v>
      </c>
      <c r="Z2492" s="2">
        <v>49</v>
      </c>
      <c r="AA2492" s="2">
        <v>2.2999999999999998</v>
      </c>
      <c r="AB2492" s="2" t="s">
        <v>64</v>
      </c>
    </row>
    <row r="2493" spans="1:28" x14ac:dyDescent="0.25">
      <c r="A2493" s="4" t="s">
        <v>3300</v>
      </c>
      <c r="B2493" s="4" t="s">
        <v>2057</v>
      </c>
      <c r="C2493" s="4">
        <v>58</v>
      </c>
      <c r="D2493" s="4" t="s">
        <v>30</v>
      </c>
      <c r="E2493" s="4" t="s">
        <v>45</v>
      </c>
      <c r="F2493" s="4" t="s">
        <v>94</v>
      </c>
      <c r="G2493" s="5">
        <v>45518</v>
      </c>
      <c r="H2493" s="5">
        <v>45543</v>
      </c>
      <c r="I2493" s="4">
        <v>25</v>
      </c>
      <c r="J2493" s="4" t="s">
        <v>202</v>
      </c>
      <c r="K2493" s="4" t="s">
        <v>203</v>
      </c>
      <c r="L2493" s="4" t="s">
        <v>204</v>
      </c>
      <c r="M2493" s="4" t="s">
        <v>108</v>
      </c>
      <c r="N2493" s="4" t="s">
        <v>109</v>
      </c>
      <c r="O2493" s="4" t="s">
        <v>382</v>
      </c>
      <c r="P2493" s="4">
        <v>368</v>
      </c>
      <c r="Q2493" s="4" t="s">
        <v>69</v>
      </c>
      <c r="R2493" s="4" t="s">
        <v>40</v>
      </c>
      <c r="S2493" s="4">
        <v>52157</v>
      </c>
      <c r="T2493" s="4">
        <v>32726</v>
      </c>
      <c r="U2493" s="4">
        <v>19431</v>
      </c>
      <c r="V2493" s="4">
        <v>39753</v>
      </c>
      <c r="W2493" s="4">
        <v>6275</v>
      </c>
      <c r="X2493" s="4">
        <v>2074</v>
      </c>
      <c r="Y2493" s="4" t="s">
        <v>41</v>
      </c>
      <c r="Z2493" s="4">
        <v>90</v>
      </c>
      <c r="AA2493" s="4">
        <v>3.5</v>
      </c>
      <c r="AB2493" s="4" t="s">
        <v>137</v>
      </c>
    </row>
    <row r="2494" spans="1:28" x14ac:dyDescent="0.25">
      <c r="A2494" s="2" t="s">
        <v>3301</v>
      </c>
      <c r="B2494" s="2" t="s">
        <v>923</v>
      </c>
      <c r="C2494" s="2">
        <v>70</v>
      </c>
      <c r="D2494" s="2" t="s">
        <v>55</v>
      </c>
      <c r="E2494" s="2" t="s">
        <v>56</v>
      </c>
      <c r="F2494" s="2" t="s">
        <v>80</v>
      </c>
      <c r="G2494" s="3">
        <v>45250</v>
      </c>
      <c r="H2494" s="3">
        <v>45266</v>
      </c>
      <c r="I2494" s="2">
        <v>16</v>
      </c>
      <c r="J2494" s="2" t="s">
        <v>140</v>
      </c>
      <c r="K2494" s="2" t="s">
        <v>167</v>
      </c>
      <c r="L2494" s="2" t="s">
        <v>142</v>
      </c>
      <c r="M2494" s="2" t="s">
        <v>143</v>
      </c>
      <c r="N2494" s="2" t="s">
        <v>118</v>
      </c>
      <c r="O2494" s="2" t="s">
        <v>241</v>
      </c>
      <c r="P2494" s="2">
        <v>54</v>
      </c>
      <c r="Q2494" s="2" t="s">
        <v>39</v>
      </c>
      <c r="R2494" s="2" t="s">
        <v>40</v>
      </c>
      <c r="S2494" s="2">
        <v>98259</v>
      </c>
      <c r="T2494" s="2">
        <v>53133</v>
      </c>
      <c r="U2494" s="2">
        <v>45126</v>
      </c>
      <c r="V2494" s="2">
        <v>81117</v>
      </c>
      <c r="W2494" s="2">
        <v>1498</v>
      </c>
      <c r="X2494" s="2">
        <v>14506</v>
      </c>
      <c r="Y2494" s="2" t="s">
        <v>41</v>
      </c>
      <c r="Z2494" s="2">
        <v>77</v>
      </c>
      <c r="AA2494" s="2">
        <v>4.7</v>
      </c>
      <c r="AB2494" s="2" t="s">
        <v>52</v>
      </c>
    </row>
    <row r="2495" spans="1:28" x14ac:dyDescent="0.25">
      <c r="A2495" s="4" t="s">
        <v>3302</v>
      </c>
      <c r="B2495" s="4" t="s">
        <v>641</v>
      </c>
      <c r="C2495" s="4">
        <v>85</v>
      </c>
      <c r="D2495" s="4" t="s">
        <v>30</v>
      </c>
      <c r="E2495" s="4" t="s">
        <v>87</v>
      </c>
      <c r="F2495" s="4" t="s">
        <v>114</v>
      </c>
      <c r="G2495" s="5">
        <v>45357</v>
      </c>
      <c r="H2495" s="5">
        <v>45387</v>
      </c>
      <c r="I2495" s="4">
        <v>30</v>
      </c>
      <c r="J2495" s="4" t="s">
        <v>33</v>
      </c>
      <c r="K2495" s="4" t="s">
        <v>278</v>
      </c>
      <c r="L2495" s="4" t="s">
        <v>279</v>
      </c>
      <c r="M2495" s="4" t="s">
        <v>143</v>
      </c>
      <c r="N2495" s="4" t="s">
        <v>118</v>
      </c>
      <c r="O2495" s="4" t="s">
        <v>126</v>
      </c>
      <c r="P2495" s="4">
        <v>232</v>
      </c>
      <c r="Q2495" s="4" t="s">
        <v>69</v>
      </c>
      <c r="R2495" s="4" t="s">
        <v>90</v>
      </c>
      <c r="S2495" s="4">
        <v>151698</v>
      </c>
      <c r="T2495" s="4">
        <v>92985</v>
      </c>
      <c r="U2495" s="4">
        <v>58713</v>
      </c>
      <c r="V2495" s="4">
        <v>132273</v>
      </c>
      <c r="W2495" s="4">
        <v>5025</v>
      </c>
      <c r="X2495" s="4">
        <v>12784</v>
      </c>
      <c r="Y2495" s="4" t="s">
        <v>41</v>
      </c>
      <c r="Z2495" s="4">
        <v>63</v>
      </c>
      <c r="AA2495" s="4">
        <v>4.0999999999999996</v>
      </c>
      <c r="AB2495" s="4" t="s">
        <v>137</v>
      </c>
    </row>
    <row r="2496" spans="1:28" x14ac:dyDescent="0.25">
      <c r="A2496" s="2" t="s">
        <v>3303</v>
      </c>
      <c r="B2496" s="2" t="s">
        <v>769</v>
      </c>
      <c r="C2496" s="2">
        <v>20</v>
      </c>
      <c r="D2496" s="2" t="s">
        <v>30</v>
      </c>
      <c r="E2496" s="2" t="s">
        <v>45</v>
      </c>
      <c r="F2496" s="2" t="s">
        <v>114</v>
      </c>
      <c r="G2496" s="3">
        <v>45267</v>
      </c>
      <c r="H2496" s="3">
        <v>45295</v>
      </c>
      <c r="I2496" s="2">
        <v>28</v>
      </c>
      <c r="J2496" s="2" t="s">
        <v>33</v>
      </c>
      <c r="K2496" s="2" t="s">
        <v>233</v>
      </c>
      <c r="L2496" s="2" t="s">
        <v>35</v>
      </c>
      <c r="M2496" s="2" t="s">
        <v>61</v>
      </c>
      <c r="N2496" s="2" t="s">
        <v>62</v>
      </c>
      <c r="O2496" s="2" t="s">
        <v>208</v>
      </c>
      <c r="P2496" s="2">
        <v>95</v>
      </c>
      <c r="Q2496" s="2" t="s">
        <v>50</v>
      </c>
      <c r="R2496" s="2" t="s">
        <v>40</v>
      </c>
      <c r="S2496" s="2">
        <v>56525</v>
      </c>
      <c r="T2496" s="2">
        <v>29434</v>
      </c>
      <c r="U2496" s="2">
        <v>27091</v>
      </c>
      <c r="V2496" s="2">
        <v>38833</v>
      </c>
      <c r="W2496" s="2">
        <v>8568</v>
      </c>
      <c r="X2496" s="2">
        <v>7874</v>
      </c>
      <c r="Y2496" s="2" t="s">
        <v>41</v>
      </c>
      <c r="Z2496" s="2">
        <v>54</v>
      </c>
      <c r="AA2496" s="2">
        <v>5</v>
      </c>
      <c r="AB2496" s="2" t="s">
        <v>64</v>
      </c>
    </row>
    <row r="2497" spans="1:28" x14ac:dyDescent="0.25">
      <c r="A2497" s="4" t="s">
        <v>3304</v>
      </c>
      <c r="B2497" s="4" t="s">
        <v>317</v>
      </c>
      <c r="C2497" s="4">
        <v>15</v>
      </c>
      <c r="D2497" s="4" t="s">
        <v>30</v>
      </c>
      <c r="E2497" s="4" t="s">
        <v>154</v>
      </c>
      <c r="F2497" s="4" t="s">
        <v>157</v>
      </c>
      <c r="G2497" s="5">
        <v>44697</v>
      </c>
      <c r="H2497" s="5">
        <v>44700</v>
      </c>
      <c r="I2497" s="4">
        <v>3</v>
      </c>
      <c r="J2497" s="4" t="s">
        <v>33</v>
      </c>
      <c r="K2497" s="4" t="s">
        <v>47</v>
      </c>
      <c r="L2497" s="4" t="s">
        <v>48</v>
      </c>
      <c r="M2497" s="4" t="s">
        <v>101</v>
      </c>
      <c r="N2497" s="4" t="s">
        <v>109</v>
      </c>
      <c r="O2497" s="4" t="s">
        <v>373</v>
      </c>
      <c r="P2497" s="4">
        <v>430</v>
      </c>
      <c r="Q2497" s="4" t="s">
        <v>39</v>
      </c>
      <c r="R2497" s="4" t="s">
        <v>90</v>
      </c>
      <c r="S2497" s="4">
        <v>155373</v>
      </c>
      <c r="T2497" s="4">
        <v>122615</v>
      </c>
      <c r="U2497" s="4">
        <v>32758</v>
      </c>
      <c r="V2497" s="4">
        <v>115538</v>
      </c>
      <c r="W2497" s="4">
        <v>27602</v>
      </c>
      <c r="X2497" s="4">
        <v>8219</v>
      </c>
      <c r="Y2497" s="4" t="s">
        <v>91</v>
      </c>
      <c r="Z2497" s="4">
        <v>80</v>
      </c>
      <c r="AA2497" s="4">
        <v>4.9000000000000004</v>
      </c>
      <c r="AB2497" s="4" t="s">
        <v>104</v>
      </c>
    </row>
    <row r="2498" spans="1:28" x14ac:dyDescent="0.25">
      <c r="A2498" s="2" t="s">
        <v>3305</v>
      </c>
      <c r="B2498" s="2" t="s">
        <v>1104</v>
      </c>
      <c r="C2498" s="2">
        <v>68</v>
      </c>
      <c r="D2498" s="2" t="s">
        <v>55</v>
      </c>
      <c r="E2498" s="2" t="s">
        <v>56</v>
      </c>
      <c r="F2498" s="2" t="s">
        <v>57</v>
      </c>
      <c r="G2498" s="3">
        <v>44721</v>
      </c>
      <c r="H2498" s="3">
        <v>44723</v>
      </c>
      <c r="I2498" s="2">
        <v>2</v>
      </c>
      <c r="J2498" s="2" t="s">
        <v>33</v>
      </c>
      <c r="K2498" s="2" t="s">
        <v>233</v>
      </c>
      <c r="L2498" s="2" t="s">
        <v>35</v>
      </c>
      <c r="M2498" s="2" t="s">
        <v>130</v>
      </c>
      <c r="N2498" s="2" t="s">
        <v>118</v>
      </c>
      <c r="O2498" s="2" t="s">
        <v>368</v>
      </c>
      <c r="P2498" s="2">
        <v>25</v>
      </c>
      <c r="Q2498" s="2" t="s">
        <v>50</v>
      </c>
      <c r="R2498" s="2" t="s">
        <v>40</v>
      </c>
      <c r="S2498" s="2">
        <v>41853</v>
      </c>
      <c r="T2498" s="2">
        <v>27138</v>
      </c>
      <c r="U2498" s="2">
        <v>14715</v>
      </c>
      <c r="V2498" s="2">
        <v>17273</v>
      </c>
      <c r="W2498" s="2">
        <v>11201</v>
      </c>
      <c r="X2498" s="2">
        <v>10091</v>
      </c>
      <c r="Y2498" s="2" t="s">
        <v>41</v>
      </c>
      <c r="Z2498" s="2">
        <v>74</v>
      </c>
      <c r="AA2498" s="2">
        <v>4.4000000000000004</v>
      </c>
      <c r="AB2498" s="2" t="s">
        <v>52</v>
      </c>
    </row>
    <row r="2499" spans="1:28" x14ac:dyDescent="0.25">
      <c r="A2499" s="4" t="s">
        <v>3306</v>
      </c>
      <c r="B2499" s="4" t="s">
        <v>776</v>
      </c>
      <c r="C2499" s="4">
        <v>30</v>
      </c>
      <c r="D2499" s="4" t="s">
        <v>30</v>
      </c>
      <c r="E2499" s="4" t="s">
        <v>31</v>
      </c>
      <c r="F2499" s="4" t="s">
        <v>150</v>
      </c>
      <c r="G2499" s="5">
        <v>44933</v>
      </c>
      <c r="H2499" s="5">
        <v>44938</v>
      </c>
      <c r="I2499" s="4">
        <v>5</v>
      </c>
      <c r="J2499" s="4" t="s">
        <v>33</v>
      </c>
      <c r="K2499" s="4" t="s">
        <v>107</v>
      </c>
      <c r="L2499" s="4" t="s">
        <v>48</v>
      </c>
      <c r="M2499" s="4" t="s">
        <v>61</v>
      </c>
      <c r="N2499" s="4" t="s">
        <v>109</v>
      </c>
      <c r="O2499" s="4" t="s">
        <v>464</v>
      </c>
      <c r="P2499" s="4">
        <v>86</v>
      </c>
      <c r="Q2499" s="4" t="s">
        <v>50</v>
      </c>
      <c r="R2499" s="4" t="s">
        <v>40</v>
      </c>
      <c r="S2499" s="4">
        <v>73343</v>
      </c>
      <c r="T2499" s="4">
        <v>41302</v>
      </c>
      <c r="U2499" s="4">
        <v>32041</v>
      </c>
      <c r="V2499" s="4">
        <v>52548</v>
      </c>
      <c r="W2499" s="4">
        <v>11076</v>
      </c>
      <c r="X2499" s="4">
        <v>4888</v>
      </c>
      <c r="Y2499" s="4" t="s">
        <v>41</v>
      </c>
      <c r="Z2499" s="4">
        <v>41</v>
      </c>
      <c r="AA2499" s="4">
        <v>3.5</v>
      </c>
      <c r="AB2499" s="4" t="s">
        <v>137</v>
      </c>
    </row>
    <row r="2500" spans="1:28" x14ac:dyDescent="0.25">
      <c r="A2500" s="2" t="s">
        <v>3307</v>
      </c>
      <c r="B2500" s="2" t="s">
        <v>1087</v>
      </c>
      <c r="C2500" s="2">
        <v>50</v>
      </c>
      <c r="D2500" s="2" t="s">
        <v>30</v>
      </c>
      <c r="E2500" s="2" t="s">
        <v>87</v>
      </c>
      <c r="F2500" s="2" t="s">
        <v>114</v>
      </c>
      <c r="G2500" s="3">
        <v>45206</v>
      </c>
      <c r="H2500" s="3">
        <v>45216</v>
      </c>
      <c r="I2500" s="2">
        <v>10</v>
      </c>
      <c r="J2500" s="2" t="s">
        <v>115</v>
      </c>
      <c r="K2500" s="2" t="s">
        <v>160</v>
      </c>
      <c r="L2500" s="2" t="s">
        <v>117</v>
      </c>
      <c r="M2500" s="2" t="s">
        <v>95</v>
      </c>
      <c r="N2500" s="2" t="s">
        <v>109</v>
      </c>
      <c r="O2500" s="2" t="s">
        <v>295</v>
      </c>
      <c r="P2500" s="2">
        <v>52</v>
      </c>
      <c r="Q2500" s="2" t="s">
        <v>50</v>
      </c>
      <c r="R2500" s="2" t="s">
        <v>111</v>
      </c>
      <c r="S2500" s="2">
        <v>96416</v>
      </c>
      <c r="T2500" s="2">
        <v>83117</v>
      </c>
      <c r="U2500" s="2">
        <v>13299</v>
      </c>
      <c r="V2500" s="2">
        <v>66874</v>
      </c>
      <c r="W2500" s="2">
        <v>25987</v>
      </c>
      <c r="X2500" s="2">
        <v>1694</v>
      </c>
      <c r="Y2500" s="2" t="s">
        <v>41</v>
      </c>
      <c r="Z2500" s="2">
        <v>61</v>
      </c>
      <c r="AA2500" s="2">
        <v>4.0999999999999996</v>
      </c>
      <c r="AB2500" s="2" t="s">
        <v>52</v>
      </c>
    </row>
    <row r="2501" spans="1:28" x14ac:dyDescent="0.25">
      <c r="A2501" s="4" t="s">
        <v>3308</v>
      </c>
      <c r="B2501" s="4" t="s">
        <v>475</v>
      </c>
      <c r="C2501" s="4">
        <v>79</v>
      </c>
      <c r="D2501" s="4" t="s">
        <v>55</v>
      </c>
      <c r="E2501" s="4" t="s">
        <v>56</v>
      </c>
      <c r="F2501" s="4" t="s">
        <v>114</v>
      </c>
      <c r="G2501" s="5">
        <v>44631</v>
      </c>
      <c r="H2501" s="5">
        <v>44655</v>
      </c>
      <c r="I2501" s="4">
        <v>24</v>
      </c>
      <c r="J2501" s="4" t="s">
        <v>202</v>
      </c>
      <c r="K2501" s="4" t="s">
        <v>225</v>
      </c>
      <c r="L2501" s="4" t="s">
        <v>226</v>
      </c>
      <c r="M2501" s="4" t="s">
        <v>83</v>
      </c>
      <c r="N2501" s="4" t="s">
        <v>62</v>
      </c>
      <c r="O2501" s="4" t="s">
        <v>217</v>
      </c>
      <c r="P2501" s="4">
        <v>75</v>
      </c>
      <c r="Q2501" s="4" t="s">
        <v>39</v>
      </c>
      <c r="R2501" s="4" t="s">
        <v>40</v>
      </c>
      <c r="S2501" s="4">
        <v>105941</v>
      </c>
      <c r="T2501" s="4">
        <v>51226</v>
      </c>
      <c r="U2501" s="4">
        <v>54715</v>
      </c>
      <c r="V2501" s="4">
        <v>74879</v>
      </c>
      <c r="W2501" s="4">
        <v>23250</v>
      </c>
      <c r="X2501" s="4">
        <v>4940</v>
      </c>
      <c r="Y2501" s="4" t="s">
        <v>41</v>
      </c>
      <c r="Z2501" s="4">
        <v>82</v>
      </c>
      <c r="AA2501" s="4">
        <v>4.4000000000000004</v>
      </c>
      <c r="AB2501" s="4" t="s">
        <v>42</v>
      </c>
    </row>
    <row r="2502" spans="1:28" x14ac:dyDescent="0.25">
      <c r="A2502" s="2" t="s">
        <v>3309</v>
      </c>
      <c r="B2502" s="2" t="s">
        <v>2060</v>
      </c>
      <c r="C2502" s="2">
        <v>50</v>
      </c>
      <c r="D2502" s="2" t="s">
        <v>30</v>
      </c>
      <c r="E2502" s="2" t="s">
        <v>79</v>
      </c>
      <c r="F2502" s="2" t="s">
        <v>46</v>
      </c>
      <c r="G2502" s="3">
        <v>45234</v>
      </c>
      <c r="H2502" s="3">
        <v>45237</v>
      </c>
      <c r="I2502" s="2">
        <v>3</v>
      </c>
      <c r="J2502" s="2" t="s">
        <v>140</v>
      </c>
      <c r="K2502" s="2" t="s">
        <v>167</v>
      </c>
      <c r="L2502" s="2" t="s">
        <v>142</v>
      </c>
      <c r="M2502" s="2" t="s">
        <v>36</v>
      </c>
      <c r="N2502" s="2" t="s">
        <v>118</v>
      </c>
      <c r="O2502" s="2" t="s">
        <v>591</v>
      </c>
      <c r="P2502" s="2">
        <v>318</v>
      </c>
      <c r="Q2502" s="2" t="s">
        <v>69</v>
      </c>
      <c r="R2502" s="2" t="s">
        <v>136</v>
      </c>
      <c r="S2502" s="2">
        <v>66384</v>
      </c>
      <c r="T2502" s="2">
        <v>0</v>
      </c>
      <c r="U2502" s="2">
        <v>66384</v>
      </c>
      <c r="V2502" s="2">
        <v>39735</v>
      </c>
      <c r="W2502" s="2">
        <v>13433</v>
      </c>
      <c r="X2502" s="2">
        <v>12262</v>
      </c>
      <c r="Y2502" s="2" t="s">
        <v>41</v>
      </c>
      <c r="Z2502" s="2">
        <v>54</v>
      </c>
      <c r="AA2502" s="2">
        <v>2.6</v>
      </c>
      <c r="AB2502" s="2" t="s">
        <v>42</v>
      </c>
    </row>
    <row r="2503" spans="1:28" x14ac:dyDescent="0.25">
      <c r="A2503" s="4" t="s">
        <v>3310</v>
      </c>
      <c r="B2503" s="4" t="s">
        <v>386</v>
      </c>
      <c r="C2503" s="4">
        <v>34</v>
      </c>
      <c r="D2503" s="4" t="s">
        <v>55</v>
      </c>
      <c r="E2503" s="4" t="s">
        <v>87</v>
      </c>
      <c r="F2503" s="4" t="s">
        <v>114</v>
      </c>
      <c r="G2503" s="5">
        <v>45138</v>
      </c>
      <c r="H2503" s="5">
        <v>45160</v>
      </c>
      <c r="I2503" s="4">
        <v>22</v>
      </c>
      <c r="J2503" s="4" t="s">
        <v>115</v>
      </c>
      <c r="K2503" s="4" t="s">
        <v>116</v>
      </c>
      <c r="L2503" s="4" t="s">
        <v>117</v>
      </c>
      <c r="M2503" s="4" t="s">
        <v>143</v>
      </c>
      <c r="N2503" s="4" t="s">
        <v>109</v>
      </c>
      <c r="O2503" s="4" t="s">
        <v>950</v>
      </c>
      <c r="P2503" s="4">
        <v>166</v>
      </c>
      <c r="Q2503" s="4" t="s">
        <v>50</v>
      </c>
      <c r="R2503" s="4" t="s">
        <v>136</v>
      </c>
      <c r="S2503" s="4">
        <v>69374</v>
      </c>
      <c r="T2503" s="4">
        <v>0</v>
      </c>
      <c r="U2503" s="4">
        <v>69374</v>
      </c>
      <c r="V2503" s="4">
        <v>43612</v>
      </c>
      <c r="W2503" s="4">
        <v>11979</v>
      </c>
      <c r="X2503" s="4">
        <v>12368</v>
      </c>
      <c r="Y2503" s="4" t="s">
        <v>41</v>
      </c>
      <c r="Z2503" s="4">
        <v>68</v>
      </c>
      <c r="AA2503" s="4">
        <v>2.5</v>
      </c>
      <c r="AB2503" s="4" t="s">
        <v>104</v>
      </c>
    </row>
    <row r="2504" spans="1:28" x14ac:dyDescent="0.25">
      <c r="A2504" s="2" t="s">
        <v>3311</v>
      </c>
      <c r="B2504" s="2" t="s">
        <v>1348</v>
      </c>
      <c r="C2504" s="2">
        <v>64</v>
      </c>
      <c r="D2504" s="2" t="s">
        <v>30</v>
      </c>
      <c r="E2504" s="2" t="s">
        <v>31</v>
      </c>
      <c r="F2504" s="2" t="s">
        <v>57</v>
      </c>
      <c r="G2504" s="3">
        <v>45505</v>
      </c>
      <c r="H2504" s="3">
        <v>45523</v>
      </c>
      <c r="I2504" s="2">
        <v>18</v>
      </c>
      <c r="J2504" s="2" t="s">
        <v>123</v>
      </c>
      <c r="K2504" s="2" t="s">
        <v>251</v>
      </c>
      <c r="L2504" s="2" t="s">
        <v>125</v>
      </c>
      <c r="M2504" s="2" t="s">
        <v>101</v>
      </c>
      <c r="N2504" s="2" t="s">
        <v>109</v>
      </c>
      <c r="O2504" s="2" t="s">
        <v>538</v>
      </c>
      <c r="P2504" s="2">
        <v>287</v>
      </c>
      <c r="Q2504" s="2" t="s">
        <v>103</v>
      </c>
      <c r="R2504" s="2" t="s">
        <v>40</v>
      </c>
      <c r="S2504" s="2">
        <v>54404</v>
      </c>
      <c r="T2504" s="2">
        <v>37570</v>
      </c>
      <c r="U2504" s="2">
        <v>16834</v>
      </c>
      <c r="V2504" s="2">
        <v>18334</v>
      </c>
      <c r="W2504" s="2">
        <v>24410</v>
      </c>
      <c r="X2504" s="2">
        <v>8345</v>
      </c>
      <c r="Y2504" s="2" t="s">
        <v>41</v>
      </c>
      <c r="Z2504" s="2">
        <v>76</v>
      </c>
      <c r="AA2504" s="2">
        <v>2.2999999999999998</v>
      </c>
      <c r="AB2504" s="2" t="s">
        <v>42</v>
      </c>
    </row>
    <row r="2505" spans="1:28" x14ac:dyDescent="0.25">
      <c r="A2505" s="4" t="s">
        <v>3312</v>
      </c>
      <c r="B2505" s="4" t="s">
        <v>2849</v>
      </c>
      <c r="C2505" s="4">
        <v>29</v>
      </c>
      <c r="D2505" s="4" t="s">
        <v>55</v>
      </c>
      <c r="E2505" s="4" t="s">
        <v>56</v>
      </c>
      <c r="F2505" s="4" t="s">
        <v>94</v>
      </c>
      <c r="G2505" s="5">
        <v>44993</v>
      </c>
      <c r="H2505" s="5">
        <v>45022</v>
      </c>
      <c r="I2505" s="4">
        <v>29</v>
      </c>
      <c r="J2505" s="4" t="s">
        <v>33</v>
      </c>
      <c r="K2505" s="4" t="s">
        <v>47</v>
      </c>
      <c r="L2505" s="4" t="s">
        <v>48</v>
      </c>
      <c r="M2505" s="4" t="s">
        <v>83</v>
      </c>
      <c r="N2505" s="4" t="s">
        <v>109</v>
      </c>
      <c r="O2505" s="4" t="s">
        <v>259</v>
      </c>
      <c r="P2505" s="4">
        <v>156</v>
      </c>
      <c r="Q2505" s="4" t="s">
        <v>50</v>
      </c>
      <c r="R2505" s="4" t="s">
        <v>136</v>
      </c>
      <c r="S2505" s="4">
        <v>25566</v>
      </c>
      <c r="T2505" s="4">
        <v>0</v>
      </c>
      <c r="U2505" s="4">
        <v>25566</v>
      </c>
      <c r="V2505" s="4">
        <v>7857</v>
      </c>
      <c r="W2505" s="4">
        <v>12902</v>
      </c>
      <c r="X2505" s="4">
        <v>1103</v>
      </c>
      <c r="Y2505" s="4" t="s">
        <v>41</v>
      </c>
      <c r="Z2505" s="4">
        <v>62</v>
      </c>
      <c r="AA2505" s="4">
        <v>2.2999999999999998</v>
      </c>
      <c r="AB2505" s="4" t="s">
        <v>104</v>
      </c>
    </row>
    <row r="2506" spans="1:28" x14ac:dyDescent="0.25">
      <c r="A2506" s="2" t="s">
        <v>3313</v>
      </c>
      <c r="B2506" s="2" t="s">
        <v>1334</v>
      </c>
      <c r="C2506" s="2">
        <v>22</v>
      </c>
      <c r="D2506" s="2" t="s">
        <v>30</v>
      </c>
      <c r="E2506" s="2" t="s">
        <v>45</v>
      </c>
      <c r="F2506" s="2" t="s">
        <v>114</v>
      </c>
      <c r="G2506" s="3">
        <v>45395</v>
      </c>
      <c r="H2506" s="3">
        <v>45401</v>
      </c>
      <c r="I2506" s="2">
        <v>6</v>
      </c>
      <c r="J2506" s="2" t="s">
        <v>202</v>
      </c>
      <c r="K2506" s="2" t="s">
        <v>203</v>
      </c>
      <c r="L2506" s="2" t="s">
        <v>204</v>
      </c>
      <c r="M2506" s="2" t="s">
        <v>108</v>
      </c>
      <c r="N2506" s="2" t="s">
        <v>109</v>
      </c>
      <c r="O2506" s="2" t="s">
        <v>591</v>
      </c>
      <c r="P2506" s="2">
        <v>159</v>
      </c>
      <c r="Q2506" s="2" t="s">
        <v>39</v>
      </c>
      <c r="R2506" s="2" t="s">
        <v>51</v>
      </c>
      <c r="S2506" s="2">
        <v>56650</v>
      </c>
      <c r="T2506" s="2">
        <v>29620</v>
      </c>
      <c r="U2506" s="2">
        <v>27030</v>
      </c>
      <c r="V2506" s="2">
        <v>37277</v>
      </c>
      <c r="W2506" s="2">
        <v>10994</v>
      </c>
      <c r="X2506" s="2">
        <v>4909</v>
      </c>
      <c r="Y2506" s="2" t="s">
        <v>41</v>
      </c>
      <c r="Z2506" s="2">
        <v>62</v>
      </c>
      <c r="AA2506" s="2">
        <v>2.2000000000000002</v>
      </c>
      <c r="AB2506" s="2" t="s">
        <v>52</v>
      </c>
    </row>
    <row r="2507" spans="1:28" x14ac:dyDescent="0.25">
      <c r="A2507" s="4" t="s">
        <v>3314</v>
      </c>
      <c r="B2507" s="4" t="s">
        <v>1413</v>
      </c>
      <c r="C2507" s="4">
        <v>62</v>
      </c>
      <c r="D2507" s="4" t="s">
        <v>30</v>
      </c>
      <c r="E2507" s="4" t="s">
        <v>31</v>
      </c>
      <c r="F2507" s="4" t="s">
        <v>57</v>
      </c>
      <c r="G2507" s="5">
        <v>44704</v>
      </c>
      <c r="H2507" s="5">
        <v>44714</v>
      </c>
      <c r="I2507" s="4">
        <v>10</v>
      </c>
      <c r="J2507" s="4" t="s">
        <v>140</v>
      </c>
      <c r="K2507" s="4" t="s">
        <v>167</v>
      </c>
      <c r="L2507" s="4" t="s">
        <v>142</v>
      </c>
      <c r="M2507" s="4" t="s">
        <v>61</v>
      </c>
      <c r="N2507" s="4" t="s">
        <v>109</v>
      </c>
      <c r="O2507" s="4" t="s">
        <v>492</v>
      </c>
      <c r="P2507" s="4">
        <v>165</v>
      </c>
      <c r="Q2507" s="4" t="s">
        <v>50</v>
      </c>
      <c r="R2507" s="4" t="s">
        <v>136</v>
      </c>
      <c r="S2507" s="4">
        <v>121452</v>
      </c>
      <c r="T2507" s="4">
        <v>0</v>
      </c>
      <c r="U2507" s="4">
        <v>121452</v>
      </c>
      <c r="V2507" s="4">
        <v>92462</v>
      </c>
      <c r="W2507" s="4">
        <v>27205</v>
      </c>
      <c r="X2507" s="4">
        <v>554</v>
      </c>
      <c r="Y2507" s="4" t="s">
        <v>91</v>
      </c>
      <c r="Z2507" s="4">
        <v>49</v>
      </c>
      <c r="AA2507" s="4">
        <v>2.4</v>
      </c>
      <c r="AB2507" s="4" t="s">
        <v>42</v>
      </c>
    </row>
    <row r="2508" spans="1:28" x14ac:dyDescent="0.25">
      <c r="A2508" s="2" t="s">
        <v>3315</v>
      </c>
      <c r="B2508" s="2" t="s">
        <v>1424</v>
      </c>
      <c r="C2508" s="2">
        <v>69</v>
      </c>
      <c r="D2508" s="2" t="s">
        <v>30</v>
      </c>
      <c r="E2508" s="2" t="s">
        <v>56</v>
      </c>
      <c r="F2508" s="2" t="s">
        <v>32</v>
      </c>
      <c r="G2508" s="3">
        <v>44723</v>
      </c>
      <c r="H2508" s="3">
        <v>44728</v>
      </c>
      <c r="I2508" s="2">
        <v>5</v>
      </c>
      <c r="J2508" s="2" t="s">
        <v>33</v>
      </c>
      <c r="K2508" s="2" t="s">
        <v>197</v>
      </c>
      <c r="L2508" s="2" t="s">
        <v>198</v>
      </c>
      <c r="M2508" s="2" t="s">
        <v>101</v>
      </c>
      <c r="N2508" s="2" t="s">
        <v>109</v>
      </c>
      <c r="O2508" s="2" t="s">
        <v>194</v>
      </c>
      <c r="P2508" s="2">
        <v>294</v>
      </c>
      <c r="Q2508" s="2" t="s">
        <v>39</v>
      </c>
      <c r="R2508" s="2" t="s">
        <v>90</v>
      </c>
      <c r="S2508" s="2">
        <v>72546</v>
      </c>
      <c r="T2508" s="2">
        <v>59029</v>
      </c>
      <c r="U2508" s="2">
        <v>13517</v>
      </c>
      <c r="V2508" s="2">
        <v>44848</v>
      </c>
      <c r="W2508" s="2">
        <v>22421</v>
      </c>
      <c r="X2508" s="2">
        <v>3536</v>
      </c>
      <c r="Y2508" s="2" t="s">
        <v>41</v>
      </c>
      <c r="Z2508" s="2">
        <v>99</v>
      </c>
      <c r="AA2508" s="2">
        <v>2.9</v>
      </c>
      <c r="AB2508" s="2" t="s">
        <v>104</v>
      </c>
    </row>
    <row r="2509" spans="1:28" x14ac:dyDescent="0.25">
      <c r="A2509" s="4" t="s">
        <v>3316</v>
      </c>
      <c r="B2509" s="4" t="s">
        <v>798</v>
      </c>
      <c r="C2509" s="4">
        <v>59</v>
      </c>
      <c r="D2509" s="4" t="s">
        <v>30</v>
      </c>
      <c r="E2509" s="4" t="s">
        <v>87</v>
      </c>
      <c r="F2509" s="4" t="s">
        <v>57</v>
      </c>
      <c r="G2509" s="5">
        <v>45389</v>
      </c>
      <c r="H2509" s="5">
        <v>45417</v>
      </c>
      <c r="I2509" s="4">
        <v>28</v>
      </c>
      <c r="J2509" s="4" t="s">
        <v>202</v>
      </c>
      <c r="K2509" s="4" t="s">
        <v>225</v>
      </c>
      <c r="L2509" s="4" t="s">
        <v>226</v>
      </c>
      <c r="M2509" s="4" t="s">
        <v>75</v>
      </c>
      <c r="N2509" s="4" t="s">
        <v>109</v>
      </c>
      <c r="O2509" s="4" t="s">
        <v>217</v>
      </c>
      <c r="P2509" s="4">
        <v>194</v>
      </c>
      <c r="Q2509" s="4" t="s">
        <v>103</v>
      </c>
      <c r="R2509" s="4" t="s">
        <v>111</v>
      </c>
      <c r="S2509" s="4">
        <v>96225</v>
      </c>
      <c r="T2509" s="4">
        <v>76967</v>
      </c>
      <c r="U2509" s="4">
        <v>19258</v>
      </c>
      <c r="V2509" s="4">
        <v>80896</v>
      </c>
      <c r="W2509" s="4">
        <v>2978</v>
      </c>
      <c r="X2509" s="4">
        <v>11701</v>
      </c>
      <c r="Y2509" s="4" t="s">
        <v>41</v>
      </c>
      <c r="Z2509" s="4">
        <v>82</v>
      </c>
      <c r="AA2509" s="4">
        <v>3.4</v>
      </c>
      <c r="AB2509" s="4" t="s">
        <v>64</v>
      </c>
    </row>
    <row r="2510" spans="1:28" x14ac:dyDescent="0.25">
      <c r="A2510" s="2" t="s">
        <v>3317</v>
      </c>
      <c r="B2510" s="2" t="s">
        <v>1675</v>
      </c>
      <c r="C2510" s="2">
        <v>79</v>
      </c>
      <c r="D2510" s="2" t="s">
        <v>30</v>
      </c>
      <c r="E2510" s="2" t="s">
        <v>154</v>
      </c>
      <c r="F2510" s="2" t="s">
        <v>80</v>
      </c>
      <c r="G2510" s="3">
        <v>45278</v>
      </c>
      <c r="H2510" s="3">
        <v>45297</v>
      </c>
      <c r="I2510" s="2">
        <v>19</v>
      </c>
      <c r="J2510" s="2" t="s">
        <v>123</v>
      </c>
      <c r="K2510" s="2" t="s">
        <v>251</v>
      </c>
      <c r="L2510" s="2" t="s">
        <v>125</v>
      </c>
      <c r="M2510" s="2" t="s">
        <v>143</v>
      </c>
      <c r="N2510" s="2" t="s">
        <v>62</v>
      </c>
      <c r="O2510" s="2" t="s">
        <v>627</v>
      </c>
      <c r="P2510" s="2">
        <v>171</v>
      </c>
      <c r="Q2510" s="2" t="s">
        <v>39</v>
      </c>
      <c r="R2510" s="2" t="s">
        <v>90</v>
      </c>
      <c r="S2510" s="2">
        <v>50632</v>
      </c>
      <c r="T2510" s="2">
        <v>34214</v>
      </c>
      <c r="U2510" s="2">
        <v>16418</v>
      </c>
      <c r="V2510" s="2">
        <v>35976</v>
      </c>
      <c r="W2510" s="2">
        <v>6301</v>
      </c>
      <c r="X2510" s="2">
        <v>6039</v>
      </c>
      <c r="Y2510" s="2" t="s">
        <v>41</v>
      </c>
      <c r="Z2510" s="2">
        <v>67</v>
      </c>
      <c r="AA2510" s="2">
        <v>4.2</v>
      </c>
      <c r="AB2510" s="2" t="s">
        <v>137</v>
      </c>
    </row>
    <row r="2511" spans="1:28" x14ac:dyDescent="0.25">
      <c r="A2511" s="4" t="s">
        <v>3318</v>
      </c>
      <c r="B2511" s="4" t="s">
        <v>2101</v>
      </c>
      <c r="C2511" s="4">
        <v>33</v>
      </c>
      <c r="D2511" s="4" t="s">
        <v>30</v>
      </c>
      <c r="E2511" s="4" t="s">
        <v>122</v>
      </c>
      <c r="F2511" s="4" t="s">
        <v>114</v>
      </c>
      <c r="G2511" s="5">
        <v>45535</v>
      </c>
      <c r="H2511" s="5">
        <v>45556</v>
      </c>
      <c r="I2511" s="4">
        <v>21</v>
      </c>
      <c r="J2511" s="4" t="s">
        <v>33</v>
      </c>
      <c r="K2511" s="4" t="s">
        <v>47</v>
      </c>
      <c r="L2511" s="4" t="s">
        <v>48</v>
      </c>
      <c r="M2511" s="4" t="s">
        <v>134</v>
      </c>
      <c r="N2511" s="4" t="s">
        <v>118</v>
      </c>
      <c r="O2511" s="4" t="s">
        <v>1038</v>
      </c>
      <c r="P2511" s="4">
        <v>323</v>
      </c>
      <c r="Q2511" s="4" t="s">
        <v>69</v>
      </c>
      <c r="R2511" s="4" t="s">
        <v>136</v>
      </c>
      <c r="S2511" s="4">
        <v>151744</v>
      </c>
      <c r="T2511" s="4">
        <v>0</v>
      </c>
      <c r="U2511" s="4">
        <v>151744</v>
      </c>
      <c r="V2511" s="4">
        <v>140009</v>
      </c>
      <c r="W2511" s="4">
        <v>6750</v>
      </c>
      <c r="X2511" s="4">
        <v>3506</v>
      </c>
      <c r="Y2511" s="4" t="s">
        <v>91</v>
      </c>
      <c r="Z2511" s="4">
        <v>86</v>
      </c>
      <c r="AA2511" s="4">
        <v>2.8</v>
      </c>
      <c r="AB2511" s="4" t="s">
        <v>52</v>
      </c>
    </row>
    <row r="2512" spans="1:28" x14ac:dyDescent="0.25">
      <c r="A2512" s="2" t="s">
        <v>3319</v>
      </c>
      <c r="B2512" s="2" t="s">
        <v>275</v>
      </c>
      <c r="C2512" s="2">
        <v>28</v>
      </c>
      <c r="D2512" s="2" t="s">
        <v>55</v>
      </c>
      <c r="E2512" s="2" t="s">
        <v>45</v>
      </c>
      <c r="F2512" s="2" t="s">
        <v>80</v>
      </c>
      <c r="G2512" s="3">
        <v>45217</v>
      </c>
      <c r="H2512" s="3">
        <v>45225</v>
      </c>
      <c r="I2512" s="2">
        <v>8</v>
      </c>
      <c r="J2512" s="2" t="s">
        <v>123</v>
      </c>
      <c r="K2512" s="2" t="s">
        <v>124</v>
      </c>
      <c r="L2512" s="2" t="s">
        <v>125</v>
      </c>
      <c r="M2512" s="2" t="s">
        <v>108</v>
      </c>
      <c r="N2512" s="2" t="s">
        <v>118</v>
      </c>
      <c r="O2512" s="2" t="s">
        <v>222</v>
      </c>
      <c r="P2512" s="2">
        <v>1</v>
      </c>
      <c r="Q2512" s="2" t="s">
        <v>39</v>
      </c>
      <c r="R2512" s="2" t="s">
        <v>111</v>
      </c>
      <c r="S2512" s="2">
        <v>114042</v>
      </c>
      <c r="T2512" s="2">
        <v>80490</v>
      </c>
      <c r="U2512" s="2">
        <v>33552</v>
      </c>
      <c r="V2512" s="2">
        <v>79748</v>
      </c>
      <c r="W2512" s="2">
        <v>27163</v>
      </c>
      <c r="X2512" s="2">
        <v>6519</v>
      </c>
      <c r="Y2512" s="2" t="s">
        <v>41</v>
      </c>
      <c r="Z2512" s="2">
        <v>53</v>
      </c>
      <c r="AA2512" s="2">
        <v>4.2</v>
      </c>
      <c r="AB2512" s="2" t="s">
        <v>104</v>
      </c>
    </row>
    <row r="2513" spans="1:28" x14ac:dyDescent="0.25">
      <c r="A2513" s="4" t="s">
        <v>3320</v>
      </c>
      <c r="B2513" s="4" t="s">
        <v>849</v>
      </c>
      <c r="C2513" s="4">
        <v>24</v>
      </c>
      <c r="D2513" s="4" t="s">
        <v>30</v>
      </c>
      <c r="E2513" s="4" t="s">
        <v>31</v>
      </c>
      <c r="F2513" s="4" t="s">
        <v>72</v>
      </c>
      <c r="G2513" s="5">
        <v>44868</v>
      </c>
      <c r="H2513" s="5">
        <v>44894</v>
      </c>
      <c r="I2513" s="4">
        <v>26</v>
      </c>
      <c r="J2513" s="4" t="s">
        <v>33</v>
      </c>
      <c r="K2513" s="4" t="s">
        <v>99</v>
      </c>
      <c r="L2513" s="4" t="s">
        <v>100</v>
      </c>
      <c r="M2513" s="4" t="s">
        <v>108</v>
      </c>
      <c r="N2513" s="4" t="s">
        <v>37</v>
      </c>
      <c r="O2513" s="4" t="s">
        <v>295</v>
      </c>
      <c r="P2513" s="4">
        <v>271</v>
      </c>
      <c r="Q2513" s="4" t="s">
        <v>69</v>
      </c>
      <c r="R2513" s="4" t="s">
        <v>90</v>
      </c>
      <c r="S2513" s="4">
        <v>41417</v>
      </c>
      <c r="T2513" s="4">
        <v>36537</v>
      </c>
      <c r="U2513" s="4">
        <v>4880</v>
      </c>
      <c r="V2513" s="4">
        <v>13163</v>
      </c>
      <c r="W2513" s="4">
        <v>14104</v>
      </c>
      <c r="X2513" s="4">
        <v>10861</v>
      </c>
      <c r="Y2513" s="4" t="s">
        <v>41</v>
      </c>
      <c r="Z2513" s="4">
        <v>86</v>
      </c>
      <c r="AA2513" s="4">
        <v>2.5</v>
      </c>
      <c r="AB2513" s="4" t="s">
        <v>52</v>
      </c>
    </row>
    <row r="2514" spans="1:28" x14ac:dyDescent="0.25">
      <c r="A2514" s="2" t="s">
        <v>3321</v>
      </c>
      <c r="B2514" s="2" t="s">
        <v>2222</v>
      </c>
      <c r="C2514" s="2">
        <v>30</v>
      </c>
      <c r="D2514" s="2" t="s">
        <v>55</v>
      </c>
      <c r="E2514" s="2" t="s">
        <v>45</v>
      </c>
      <c r="F2514" s="2" t="s">
        <v>129</v>
      </c>
      <c r="G2514" s="3">
        <v>44994</v>
      </c>
      <c r="H2514" s="3">
        <v>45018</v>
      </c>
      <c r="I2514" s="2">
        <v>24</v>
      </c>
      <c r="J2514" s="2" t="s">
        <v>33</v>
      </c>
      <c r="K2514" s="2" t="s">
        <v>81</v>
      </c>
      <c r="L2514" s="2" t="s">
        <v>82</v>
      </c>
      <c r="M2514" s="2" t="s">
        <v>134</v>
      </c>
      <c r="N2514" s="2" t="s">
        <v>62</v>
      </c>
      <c r="O2514" s="2" t="s">
        <v>164</v>
      </c>
      <c r="P2514" s="2">
        <v>335</v>
      </c>
      <c r="Q2514" s="2" t="s">
        <v>103</v>
      </c>
      <c r="R2514" s="2" t="s">
        <v>90</v>
      </c>
      <c r="S2514" s="2">
        <v>155343</v>
      </c>
      <c r="T2514" s="2">
        <v>135717</v>
      </c>
      <c r="U2514" s="2">
        <v>19626</v>
      </c>
      <c r="V2514" s="2">
        <v>125718</v>
      </c>
      <c r="W2514" s="2">
        <v>21905</v>
      </c>
      <c r="X2514" s="2">
        <v>3152</v>
      </c>
      <c r="Y2514" s="2" t="s">
        <v>41</v>
      </c>
      <c r="Z2514" s="2">
        <v>97</v>
      </c>
      <c r="AA2514" s="2">
        <v>2.1</v>
      </c>
      <c r="AB2514" s="2" t="s">
        <v>52</v>
      </c>
    </row>
    <row r="2515" spans="1:28" x14ac:dyDescent="0.25">
      <c r="A2515" s="4" t="s">
        <v>3322</v>
      </c>
      <c r="B2515" s="4" t="s">
        <v>1763</v>
      </c>
      <c r="C2515" s="4">
        <v>84</v>
      </c>
      <c r="D2515" s="4" t="s">
        <v>30</v>
      </c>
      <c r="E2515" s="4" t="s">
        <v>122</v>
      </c>
      <c r="F2515" s="4" t="s">
        <v>150</v>
      </c>
      <c r="G2515" s="5">
        <v>45026</v>
      </c>
      <c r="H2515" s="5">
        <v>45046</v>
      </c>
      <c r="I2515" s="4">
        <v>20</v>
      </c>
      <c r="J2515" s="4" t="s">
        <v>33</v>
      </c>
      <c r="K2515" s="4" t="s">
        <v>107</v>
      </c>
      <c r="L2515" s="4" t="s">
        <v>48</v>
      </c>
      <c r="M2515" s="4" t="s">
        <v>75</v>
      </c>
      <c r="N2515" s="4" t="s">
        <v>62</v>
      </c>
      <c r="O2515" s="4" t="s">
        <v>428</v>
      </c>
      <c r="P2515" s="4">
        <v>261</v>
      </c>
      <c r="Q2515" s="4" t="s">
        <v>50</v>
      </c>
      <c r="R2515" s="4" t="s">
        <v>51</v>
      </c>
      <c r="S2515" s="4">
        <v>57552</v>
      </c>
      <c r="T2515" s="4">
        <v>35817</v>
      </c>
      <c r="U2515" s="4">
        <v>21735</v>
      </c>
      <c r="V2515" s="4">
        <v>31292</v>
      </c>
      <c r="W2515" s="4">
        <v>12405</v>
      </c>
      <c r="X2515" s="4">
        <v>13153</v>
      </c>
      <c r="Y2515" s="4" t="s">
        <v>41</v>
      </c>
      <c r="Z2515" s="4">
        <v>50</v>
      </c>
      <c r="AA2515" s="4">
        <v>4.5999999999999996</v>
      </c>
      <c r="AB2515" s="4" t="s">
        <v>52</v>
      </c>
    </row>
    <row r="2516" spans="1:28" x14ac:dyDescent="0.25">
      <c r="A2516" s="2" t="s">
        <v>3323</v>
      </c>
      <c r="B2516" s="2" t="s">
        <v>699</v>
      </c>
      <c r="C2516" s="2">
        <v>71</v>
      </c>
      <c r="D2516" s="2" t="s">
        <v>30</v>
      </c>
      <c r="E2516" s="2" t="s">
        <v>122</v>
      </c>
      <c r="F2516" s="2" t="s">
        <v>46</v>
      </c>
      <c r="G2516" s="3">
        <v>44776</v>
      </c>
      <c r="H2516" s="3">
        <v>44801</v>
      </c>
      <c r="I2516" s="2">
        <v>25</v>
      </c>
      <c r="J2516" s="2" t="s">
        <v>58</v>
      </c>
      <c r="K2516" s="2" t="s">
        <v>59</v>
      </c>
      <c r="L2516" s="2" t="s">
        <v>60</v>
      </c>
      <c r="M2516" s="2" t="s">
        <v>36</v>
      </c>
      <c r="N2516" s="2" t="s">
        <v>118</v>
      </c>
      <c r="O2516" s="2" t="s">
        <v>194</v>
      </c>
      <c r="P2516" s="2">
        <v>441</v>
      </c>
      <c r="Q2516" s="2" t="s">
        <v>103</v>
      </c>
      <c r="R2516" s="2" t="s">
        <v>111</v>
      </c>
      <c r="S2516" s="2">
        <v>139825</v>
      </c>
      <c r="T2516" s="2">
        <v>97455</v>
      </c>
      <c r="U2516" s="2">
        <v>42370</v>
      </c>
      <c r="V2516" s="2">
        <v>96558</v>
      </c>
      <c r="W2516" s="2">
        <v>28757</v>
      </c>
      <c r="X2516" s="2">
        <v>13375</v>
      </c>
      <c r="Y2516" s="2" t="s">
        <v>41</v>
      </c>
      <c r="Z2516" s="2">
        <v>79</v>
      </c>
      <c r="AA2516" s="2">
        <v>3.8</v>
      </c>
      <c r="AB2516" s="2" t="s">
        <v>64</v>
      </c>
    </row>
    <row r="2517" spans="1:28" x14ac:dyDescent="0.25">
      <c r="A2517" s="4" t="s">
        <v>3324</v>
      </c>
      <c r="B2517" s="4" t="s">
        <v>1568</v>
      </c>
      <c r="C2517" s="4">
        <v>19</v>
      </c>
      <c r="D2517" s="4" t="s">
        <v>55</v>
      </c>
      <c r="E2517" s="4" t="s">
        <v>87</v>
      </c>
      <c r="F2517" s="4" t="s">
        <v>72</v>
      </c>
      <c r="G2517" s="5">
        <v>44631</v>
      </c>
      <c r="H2517" s="5">
        <v>44652</v>
      </c>
      <c r="I2517" s="4">
        <v>21</v>
      </c>
      <c r="J2517" s="4" t="s">
        <v>202</v>
      </c>
      <c r="K2517" s="4" t="s">
        <v>203</v>
      </c>
      <c r="L2517" s="4" t="s">
        <v>204</v>
      </c>
      <c r="M2517" s="4" t="s">
        <v>75</v>
      </c>
      <c r="N2517" s="4" t="s">
        <v>118</v>
      </c>
      <c r="O2517" s="4" t="s">
        <v>428</v>
      </c>
      <c r="P2517" s="4">
        <v>358</v>
      </c>
      <c r="Q2517" s="4" t="s">
        <v>103</v>
      </c>
      <c r="R2517" s="4" t="s">
        <v>111</v>
      </c>
      <c r="S2517" s="4">
        <v>79022</v>
      </c>
      <c r="T2517" s="4">
        <v>58578</v>
      </c>
      <c r="U2517" s="4">
        <v>20444</v>
      </c>
      <c r="V2517" s="4">
        <v>66769</v>
      </c>
      <c r="W2517" s="4">
        <v>8528</v>
      </c>
      <c r="X2517" s="4">
        <v>687</v>
      </c>
      <c r="Y2517" s="4" t="s">
        <v>41</v>
      </c>
      <c r="Z2517" s="4">
        <v>46</v>
      </c>
      <c r="AA2517" s="4">
        <v>2.9</v>
      </c>
      <c r="AB2517" s="4" t="s">
        <v>52</v>
      </c>
    </row>
    <row r="2518" spans="1:28" x14ac:dyDescent="0.25">
      <c r="A2518" s="2" t="s">
        <v>3325</v>
      </c>
      <c r="B2518" s="2" t="s">
        <v>1346</v>
      </c>
      <c r="C2518" s="2">
        <v>28</v>
      </c>
      <c r="D2518" s="2" t="s">
        <v>30</v>
      </c>
      <c r="E2518" s="2" t="s">
        <v>154</v>
      </c>
      <c r="F2518" s="2" t="s">
        <v>150</v>
      </c>
      <c r="G2518" s="3">
        <v>45340</v>
      </c>
      <c r="H2518" s="3">
        <v>45356</v>
      </c>
      <c r="I2518" s="2">
        <v>16</v>
      </c>
      <c r="J2518" s="2" t="s">
        <v>33</v>
      </c>
      <c r="K2518" s="2" t="s">
        <v>107</v>
      </c>
      <c r="L2518" s="2" t="s">
        <v>48</v>
      </c>
      <c r="M2518" s="2" t="s">
        <v>36</v>
      </c>
      <c r="N2518" s="2" t="s">
        <v>37</v>
      </c>
      <c r="O2518" s="2" t="s">
        <v>248</v>
      </c>
      <c r="P2518" s="2">
        <v>399</v>
      </c>
      <c r="Q2518" s="2" t="s">
        <v>103</v>
      </c>
      <c r="R2518" s="2" t="s">
        <v>136</v>
      </c>
      <c r="S2518" s="2">
        <v>147825</v>
      </c>
      <c r="T2518" s="2">
        <v>0</v>
      </c>
      <c r="U2518" s="2">
        <v>147825</v>
      </c>
      <c r="V2518" s="2">
        <v>111987</v>
      </c>
      <c r="W2518" s="2">
        <v>25083</v>
      </c>
      <c r="X2518" s="2">
        <v>6645</v>
      </c>
      <c r="Y2518" s="2" t="s">
        <v>41</v>
      </c>
      <c r="Z2518" s="2">
        <v>92</v>
      </c>
      <c r="AA2518" s="2">
        <v>3.3</v>
      </c>
      <c r="AB2518" s="2" t="s">
        <v>137</v>
      </c>
    </row>
    <row r="2519" spans="1:28" x14ac:dyDescent="0.25">
      <c r="A2519" s="4" t="s">
        <v>3326</v>
      </c>
      <c r="B2519" s="4" t="s">
        <v>663</v>
      </c>
      <c r="C2519" s="4">
        <v>42</v>
      </c>
      <c r="D2519" s="4" t="s">
        <v>55</v>
      </c>
      <c r="E2519" s="4" t="s">
        <v>67</v>
      </c>
      <c r="F2519" s="4" t="s">
        <v>157</v>
      </c>
      <c r="G2519" s="5">
        <v>44794</v>
      </c>
      <c r="H2519" s="5">
        <v>44798</v>
      </c>
      <c r="I2519" s="4">
        <v>4</v>
      </c>
      <c r="J2519" s="4" t="s">
        <v>115</v>
      </c>
      <c r="K2519" s="4" t="s">
        <v>116</v>
      </c>
      <c r="L2519" s="4" t="s">
        <v>117</v>
      </c>
      <c r="M2519" s="4" t="s">
        <v>95</v>
      </c>
      <c r="N2519" s="4" t="s">
        <v>118</v>
      </c>
      <c r="O2519" s="4" t="s">
        <v>181</v>
      </c>
      <c r="P2519" s="4">
        <v>37</v>
      </c>
      <c r="Q2519" s="4" t="s">
        <v>103</v>
      </c>
      <c r="R2519" s="4" t="s">
        <v>90</v>
      </c>
      <c r="S2519" s="4">
        <v>147459</v>
      </c>
      <c r="T2519" s="4">
        <v>110182</v>
      </c>
      <c r="U2519" s="4">
        <v>37277</v>
      </c>
      <c r="V2519" s="4">
        <v>117794</v>
      </c>
      <c r="W2519" s="4">
        <v>18109</v>
      </c>
      <c r="X2519" s="4">
        <v>8592</v>
      </c>
      <c r="Y2519" s="4" t="s">
        <v>41</v>
      </c>
      <c r="Z2519" s="4">
        <v>66</v>
      </c>
      <c r="AA2519" s="4">
        <v>3.9</v>
      </c>
      <c r="AB2519" s="4" t="s">
        <v>52</v>
      </c>
    </row>
    <row r="2520" spans="1:28" x14ac:dyDescent="0.25">
      <c r="A2520" s="2" t="s">
        <v>3327</v>
      </c>
      <c r="B2520" s="2" t="s">
        <v>610</v>
      </c>
      <c r="C2520" s="2">
        <v>27</v>
      </c>
      <c r="D2520" s="2" t="s">
        <v>30</v>
      </c>
      <c r="E2520" s="2" t="s">
        <v>56</v>
      </c>
      <c r="F2520" s="2" t="s">
        <v>57</v>
      </c>
      <c r="G2520" s="3">
        <v>44813</v>
      </c>
      <c r="H2520" s="3">
        <v>44841</v>
      </c>
      <c r="I2520" s="2">
        <v>28</v>
      </c>
      <c r="J2520" s="2" t="s">
        <v>202</v>
      </c>
      <c r="K2520" s="2" t="s">
        <v>203</v>
      </c>
      <c r="L2520" s="2" t="s">
        <v>204</v>
      </c>
      <c r="M2520" s="2" t="s">
        <v>143</v>
      </c>
      <c r="N2520" s="2" t="s">
        <v>109</v>
      </c>
      <c r="O2520" s="2" t="s">
        <v>161</v>
      </c>
      <c r="P2520" s="2">
        <v>293</v>
      </c>
      <c r="Q2520" s="2" t="s">
        <v>69</v>
      </c>
      <c r="R2520" s="2" t="s">
        <v>136</v>
      </c>
      <c r="S2520" s="2">
        <v>30938</v>
      </c>
      <c r="T2520" s="2">
        <v>0</v>
      </c>
      <c r="U2520" s="2">
        <v>30938</v>
      </c>
      <c r="V2520" s="2">
        <v>25070</v>
      </c>
      <c r="W2520" s="2">
        <v>2744</v>
      </c>
      <c r="X2520" s="2">
        <v>1889</v>
      </c>
      <c r="Y2520" s="2" t="s">
        <v>41</v>
      </c>
      <c r="Z2520" s="2">
        <v>42</v>
      </c>
      <c r="AA2520" s="2">
        <v>4.4000000000000004</v>
      </c>
      <c r="AB2520" s="2" t="s">
        <v>137</v>
      </c>
    </row>
    <row r="2521" spans="1:28" x14ac:dyDescent="0.25">
      <c r="A2521" s="4" t="s">
        <v>3328</v>
      </c>
      <c r="B2521" s="4" t="s">
        <v>527</v>
      </c>
      <c r="C2521" s="4">
        <v>64</v>
      </c>
      <c r="D2521" s="4" t="s">
        <v>30</v>
      </c>
      <c r="E2521" s="4" t="s">
        <v>56</v>
      </c>
      <c r="F2521" s="4" t="s">
        <v>80</v>
      </c>
      <c r="G2521" s="5">
        <v>45534</v>
      </c>
      <c r="H2521" s="5">
        <v>45553</v>
      </c>
      <c r="I2521" s="4">
        <v>19</v>
      </c>
      <c r="J2521" s="4" t="s">
        <v>33</v>
      </c>
      <c r="K2521" s="4" t="s">
        <v>81</v>
      </c>
      <c r="L2521" s="4" t="s">
        <v>82</v>
      </c>
      <c r="M2521" s="4" t="s">
        <v>101</v>
      </c>
      <c r="N2521" s="4" t="s">
        <v>118</v>
      </c>
      <c r="O2521" s="4" t="s">
        <v>647</v>
      </c>
      <c r="P2521" s="4">
        <v>399</v>
      </c>
      <c r="Q2521" s="4" t="s">
        <v>69</v>
      </c>
      <c r="R2521" s="4" t="s">
        <v>40</v>
      </c>
      <c r="S2521" s="4">
        <v>37276</v>
      </c>
      <c r="T2521" s="4">
        <v>23898</v>
      </c>
      <c r="U2521" s="4">
        <v>13378</v>
      </c>
      <c r="V2521" s="4">
        <v>22757</v>
      </c>
      <c r="W2521" s="4">
        <v>6662</v>
      </c>
      <c r="X2521" s="4">
        <v>4719</v>
      </c>
      <c r="Y2521" s="4" t="s">
        <v>41</v>
      </c>
      <c r="Z2521" s="4">
        <v>56</v>
      </c>
      <c r="AA2521" s="4">
        <v>4.5999999999999996</v>
      </c>
      <c r="AB2521" s="4" t="s">
        <v>137</v>
      </c>
    </row>
    <row r="2522" spans="1:28" x14ac:dyDescent="0.25">
      <c r="A2522" s="2" t="s">
        <v>3329</v>
      </c>
      <c r="B2522" s="2" t="s">
        <v>1011</v>
      </c>
      <c r="C2522" s="2">
        <v>70</v>
      </c>
      <c r="D2522" s="2" t="s">
        <v>55</v>
      </c>
      <c r="E2522" s="2" t="s">
        <v>87</v>
      </c>
      <c r="F2522" s="2" t="s">
        <v>57</v>
      </c>
      <c r="G2522" s="3">
        <v>44931</v>
      </c>
      <c r="H2522" s="3">
        <v>44946</v>
      </c>
      <c r="I2522" s="2">
        <v>15</v>
      </c>
      <c r="J2522" s="2" t="s">
        <v>202</v>
      </c>
      <c r="K2522" s="2" t="s">
        <v>225</v>
      </c>
      <c r="L2522" s="2" t="s">
        <v>226</v>
      </c>
      <c r="M2522" s="2" t="s">
        <v>83</v>
      </c>
      <c r="N2522" s="2" t="s">
        <v>118</v>
      </c>
      <c r="O2522" s="2" t="s">
        <v>126</v>
      </c>
      <c r="P2522" s="2">
        <v>356</v>
      </c>
      <c r="Q2522" s="2" t="s">
        <v>50</v>
      </c>
      <c r="R2522" s="2" t="s">
        <v>40</v>
      </c>
      <c r="S2522" s="2">
        <v>107980</v>
      </c>
      <c r="T2522" s="2">
        <v>65186</v>
      </c>
      <c r="U2522" s="2">
        <v>42794</v>
      </c>
      <c r="V2522" s="2">
        <v>91526</v>
      </c>
      <c r="W2522" s="2">
        <v>9995</v>
      </c>
      <c r="X2522" s="2">
        <v>3423</v>
      </c>
      <c r="Y2522" s="2" t="s">
        <v>91</v>
      </c>
      <c r="Z2522" s="2">
        <v>51</v>
      </c>
      <c r="AA2522" s="2">
        <v>3.2</v>
      </c>
      <c r="AB2522" s="2" t="s">
        <v>104</v>
      </c>
    </row>
    <row r="2523" spans="1:28" x14ac:dyDescent="0.25">
      <c r="A2523" s="4" t="s">
        <v>3330</v>
      </c>
      <c r="B2523" s="4" t="s">
        <v>1410</v>
      </c>
      <c r="C2523" s="4">
        <v>42</v>
      </c>
      <c r="D2523" s="4" t="s">
        <v>30</v>
      </c>
      <c r="E2523" s="4" t="s">
        <v>67</v>
      </c>
      <c r="F2523" s="4" t="s">
        <v>114</v>
      </c>
      <c r="G2523" s="5">
        <v>44831</v>
      </c>
      <c r="H2523" s="5">
        <v>44861</v>
      </c>
      <c r="I2523" s="4">
        <v>30</v>
      </c>
      <c r="J2523" s="4" t="s">
        <v>123</v>
      </c>
      <c r="K2523" s="4" t="s">
        <v>251</v>
      </c>
      <c r="L2523" s="4" t="s">
        <v>125</v>
      </c>
      <c r="M2523" s="4" t="s">
        <v>143</v>
      </c>
      <c r="N2523" s="4" t="s">
        <v>37</v>
      </c>
      <c r="O2523" s="4" t="s">
        <v>560</v>
      </c>
      <c r="P2523" s="4">
        <v>402</v>
      </c>
      <c r="Q2523" s="4" t="s">
        <v>39</v>
      </c>
      <c r="R2523" s="4" t="s">
        <v>90</v>
      </c>
      <c r="S2523" s="4">
        <v>172772</v>
      </c>
      <c r="T2523" s="4">
        <v>130034</v>
      </c>
      <c r="U2523" s="4">
        <v>42738</v>
      </c>
      <c r="V2523" s="4">
        <v>142162</v>
      </c>
      <c r="W2523" s="4">
        <v>22232</v>
      </c>
      <c r="X2523" s="4">
        <v>7670</v>
      </c>
      <c r="Y2523" s="4" t="s">
        <v>41</v>
      </c>
      <c r="Z2523" s="4">
        <v>84</v>
      </c>
      <c r="AA2523" s="4">
        <v>2.7</v>
      </c>
      <c r="AB2523" s="4" t="s">
        <v>52</v>
      </c>
    </row>
    <row r="2524" spans="1:28" x14ac:dyDescent="0.25">
      <c r="A2524" s="2" t="s">
        <v>3331</v>
      </c>
      <c r="B2524" s="2" t="s">
        <v>1056</v>
      </c>
      <c r="C2524" s="2">
        <v>49</v>
      </c>
      <c r="D2524" s="2" t="s">
        <v>55</v>
      </c>
      <c r="E2524" s="2" t="s">
        <v>87</v>
      </c>
      <c r="F2524" s="2" t="s">
        <v>80</v>
      </c>
      <c r="G2524" s="3">
        <v>44657</v>
      </c>
      <c r="H2524" s="3">
        <v>44675</v>
      </c>
      <c r="I2524" s="2">
        <v>18</v>
      </c>
      <c r="J2524" s="2" t="s">
        <v>123</v>
      </c>
      <c r="K2524" s="2" t="s">
        <v>124</v>
      </c>
      <c r="L2524" s="2" t="s">
        <v>125</v>
      </c>
      <c r="M2524" s="2" t="s">
        <v>130</v>
      </c>
      <c r="N2524" s="2" t="s">
        <v>109</v>
      </c>
      <c r="O2524" s="2" t="s">
        <v>673</v>
      </c>
      <c r="P2524" s="2">
        <v>200</v>
      </c>
      <c r="Q2524" s="2" t="s">
        <v>69</v>
      </c>
      <c r="R2524" s="2" t="s">
        <v>40</v>
      </c>
      <c r="S2524" s="2">
        <v>96885</v>
      </c>
      <c r="T2524" s="2">
        <v>51855</v>
      </c>
      <c r="U2524" s="2">
        <v>45030</v>
      </c>
      <c r="V2524" s="2">
        <v>84471</v>
      </c>
      <c r="W2524" s="2">
        <v>10125</v>
      </c>
      <c r="X2524" s="2">
        <v>531</v>
      </c>
      <c r="Y2524" s="2" t="s">
        <v>41</v>
      </c>
      <c r="Z2524" s="2">
        <v>84</v>
      </c>
      <c r="AA2524" s="2">
        <v>2.4</v>
      </c>
      <c r="AB2524" s="2" t="s">
        <v>137</v>
      </c>
    </row>
    <row r="2525" spans="1:28" x14ac:dyDescent="0.25">
      <c r="A2525" s="4" t="s">
        <v>3332</v>
      </c>
      <c r="B2525" s="4" t="s">
        <v>2667</v>
      </c>
      <c r="C2525" s="4">
        <v>84</v>
      </c>
      <c r="D2525" s="4" t="s">
        <v>30</v>
      </c>
      <c r="E2525" s="4" t="s">
        <v>56</v>
      </c>
      <c r="F2525" s="4" t="s">
        <v>46</v>
      </c>
      <c r="G2525" s="5">
        <v>45499</v>
      </c>
      <c r="H2525" s="5">
        <v>45519</v>
      </c>
      <c r="I2525" s="4">
        <v>20</v>
      </c>
      <c r="J2525" s="4" t="s">
        <v>33</v>
      </c>
      <c r="K2525" s="4" t="s">
        <v>197</v>
      </c>
      <c r="L2525" s="4" t="s">
        <v>198</v>
      </c>
      <c r="M2525" s="4" t="s">
        <v>134</v>
      </c>
      <c r="N2525" s="4" t="s">
        <v>37</v>
      </c>
      <c r="O2525" s="4" t="s">
        <v>282</v>
      </c>
      <c r="P2525" s="4">
        <v>178</v>
      </c>
      <c r="Q2525" s="4" t="s">
        <v>39</v>
      </c>
      <c r="R2525" s="4" t="s">
        <v>111</v>
      </c>
      <c r="S2525" s="4">
        <v>74441</v>
      </c>
      <c r="T2525" s="4">
        <v>63346</v>
      </c>
      <c r="U2525" s="4">
        <v>11095</v>
      </c>
      <c r="V2525" s="4">
        <v>48709</v>
      </c>
      <c r="W2525" s="4">
        <v>14133</v>
      </c>
      <c r="X2525" s="4">
        <v>10953</v>
      </c>
      <c r="Y2525" s="4" t="s">
        <v>41</v>
      </c>
      <c r="Z2525" s="4">
        <v>97</v>
      </c>
      <c r="AA2525" s="4">
        <v>3.6</v>
      </c>
      <c r="AB2525" s="4" t="s">
        <v>64</v>
      </c>
    </row>
    <row r="2526" spans="1:28" x14ac:dyDescent="0.25">
      <c r="A2526" s="2" t="s">
        <v>3333</v>
      </c>
      <c r="B2526" s="2" t="s">
        <v>635</v>
      </c>
      <c r="C2526" s="2">
        <v>23</v>
      </c>
      <c r="D2526" s="2" t="s">
        <v>55</v>
      </c>
      <c r="E2526" s="2" t="s">
        <v>122</v>
      </c>
      <c r="F2526" s="2" t="s">
        <v>57</v>
      </c>
      <c r="G2526" s="3">
        <v>44914</v>
      </c>
      <c r="H2526" s="3">
        <v>44934</v>
      </c>
      <c r="I2526" s="2">
        <v>20</v>
      </c>
      <c r="J2526" s="2" t="s">
        <v>33</v>
      </c>
      <c r="K2526" s="2" t="s">
        <v>174</v>
      </c>
      <c r="L2526" s="2" t="s">
        <v>48</v>
      </c>
      <c r="M2526" s="2" t="s">
        <v>130</v>
      </c>
      <c r="N2526" s="2" t="s">
        <v>37</v>
      </c>
      <c r="O2526" s="2" t="s">
        <v>681</v>
      </c>
      <c r="P2526" s="2">
        <v>72</v>
      </c>
      <c r="Q2526" s="2" t="s">
        <v>50</v>
      </c>
      <c r="R2526" s="2" t="s">
        <v>111</v>
      </c>
      <c r="S2526" s="2">
        <v>116817</v>
      </c>
      <c r="T2526" s="2">
        <v>70257</v>
      </c>
      <c r="U2526" s="2">
        <v>46560</v>
      </c>
      <c r="V2526" s="2">
        <v>87329</v>
      </c>
      <c r="W2526" s="2">
        <v>21693</v>
      </c>
      <c r="X2526" s="2">
        <v>5636</v>
      </c>
      <c r="Y2526" s="2" t="s">
        <v>91</v>
      </c>
      <c r="Z2526" s="2">
        <v>51</v>
      </c>
      <c r="AA2526" s="2">
        <v>4.9000000000000004</v>
      </c>
      <c r="AB2526" s="2" t="s">
        <v>104</v>
      </c>
    </row>
    <row r="2527" spans="1:28" x14ac:dyDescent="0.25">
      <c r="A2527" s="4" t="s">
        <v>3334</v>
      </c>
      <c r="B2527" s="4" t="s">
        <v>484</v>
      </c>
      <c r="C2527" s="4">
        <v>75</v>
      </c>
      <c r="D2527" s="4" t="s">
        <v>55</v>
      </c>
      <c r="E2527" s="4" t="s">
        <v>67</v>
      </c>
      <c r="F2527" s="4" t="s">
        <v>72</v>
      </c>
      <c r="G2527" s="5">
        <v>44604</v>
      </c>
      <c r="H2527" s="5">
        <v>44611</v>
      </c>
      <c r="I2527" s="4">
        <v>7</v>
      </c>
      <c r="J2527" s="4" t="s">
        <v>33</v>
      </c>
      <c r="K2527" s="4" t="s">
        <v>47</v>
      </c>
      <c r="L2527" s="4" t="s">
        <v>48</v>
      </c>
      <c r="M2527" s="4" t="s">
        <v>61</v>
      </c>
      <c r="N2527" s="4" t="s">
        <v>109</v>
      </c>
      <c r="O2527" s="4" t="s">
        <v>647</v>
      </c>
      <c r="P2527" s="4">
        <v>86</v>
      </c>
      <c r="Q2527" s="4" t="s">
        <v>103</v>
      </c>
      <c r="R2527" s="4" t="s">
        <v>40</v>
      </c>
      <c r="S2527" s="4">
        <v>81482</v>
      </c>
      <c r="T2527" s="4">
        <v>39142</v>
      </c>
      <c r="U2527" s="4">
        <v>42340</v>
      </c>
      <c r="V2527" s="4">
        <v>64113</v>
      </c>
      <c r="W2527" s="4">
        <v>10993</v>
      </c>
      <c r="X2527" s="4">
        <v>4744</v>
      </c>
      <c r="Y2527" s="4" t="s">
        <v>41</v>
      </c>
      <c r="Z2527" s="4">
        <v>96</v>
      </c>
      <c r="AA2527" s="4">
        <v>3.2</v>
      </c>
      <c r="AB2527" s="4" t="s">
        <v>104</v>
      </c>
    </row>
    <row r="2528" spans="1:28" x14ac:dyDescent="0.25">
      <c r="A2528" s="2" t="s">
        <v>3335</v>
      </c>
      <c r="B2528" s="2" t="s">
        <v>741</v>
      </c>
      <c r="C2528" s="2">
        <v>76</v>
      </c>
      <c r="D2528" s="2" t="s">
        <v>55</v>
      </c>
      <c r="E2528" s="2" t="s">
        <v>79</v>
      </c>
      <c r="F2528" s="2" t="s">
        <v>94</v>
      </c>
      <c r="G2528" s="3">
        <v>45117</v>
      </c>
      <c r="H2528" s="3">
        <v>45135</v>
      </c>
      <c r="I2528" s="2">
        <v>18</v>
      </c>
      <c r="J2528" s="2" t="s">
        <v>123</v>
      </c>
      <c r="K2528" s="2" t="s">
        <v>124</v>
      </c>
      <c r="L2528" s="2" t="s">
        <v>125</v>
      </c>
      <c r="M2528" s="2" t="s">
        <v>61</v>
      </c>
      <c r="N2528" s="2" t="s">
        <v>109</v>
      </c>
      <c r="O2528" s="2" t="s">
        <v>560</v>
      </c>
      <c r="P2528" s="2">
        <v>258</v>
      </c>
      <c r="Q2528" s="2" t="s">
        <v>50</v>
      </c>
      <c r="R2528" s="2" t="s">
        <v>111</v>
      </c>
      <c r="S2528" s="2">
        <v>128011</v>
      </c>
      <c r="T2528" s="2">
        <v>79920</v>
      </c>
      <c r="U2528" s="2">
        <v>48091</v>
      </c>
      <c r="V2528" s="2">
        <v>108596</v>
      </c>
      <c r="W2528" s="2">
        <v>4914</v>
      </c>
      <c r="X2528" s="2">
        <v>10358</v>
      </c>
      <c r="Y2528" s="2" t="s">
        <v>41</v>
      </c>
      <c r="Z2528" s="2">
        <v>46</v>
      </c>
      <c r="AA2528" s="2">
        <v>4.3</v>
      </c>
      <c r="AB2528" s="2" t="s">
        <v>137</v>
      </c>
    </row>
    <row r="2529" spans="1:28" x14ac:dyDescent="0.25">
      <c r="A2529" s="4" t="s">
        <v>3336</v>
      </c>
      <c r="B2529" s="4" t="s">
        <v>1638</v>
      </c>
      <c r="C2529" s="4">
        <v>19</v>
      </c>
      <c r="D2529" s="4" t="s">
        <v>55</v>
      </c>
      <c r="E2529" s="4" t="s">
        <v>31</v>
      </c>
      <c r="F2529" s="4" t="s">
        <v>150</v>
      </c>
      <c r="G2529" s="5">
        <v>45213</v>
      </c>
      <c r="H2529" s="5">
        <v>45236</v>
      </c>
      <c r="I2529" s="4">
        <v>23</v>
      </c>
      <c r="J2529" s="4" t="s">
        <v>123</v>
      </c>
      <c r="K2529" s="4" t="s">
        <v>124</v>
      </c>
      <c r="L2529" s="4" t="s">
        <v>125</v>
      </c>
      <c r="M2529" s="4" t="s">
        <v>134</v>
      </c>
      <c r="N2529" s="4" t="s">
        <v>118</v>
      </c>
      <c r="O2529" s="4" t="s">
        <v>461</v>
      </c>
      <c r="P2529" s="4">
        <v>132</v>
      </c>
      <c r="Q2529" s="4" t="s">
        <v>103</v>
      </c>
      <c r="R2529" s="4" t="s">
        <v>40</v>
      </c>
      <c r="S2529" s="4">
        <v>63998</v>
      </c>
      <c r="T2529" s="4">
        <v>42366</v>
      </c>
      <c r="U2529" s="4">
        <v>21632</v>
      </c>
      <c r="V2529" s="4">
        <v>45457</v>
      </c>
      <c r="W2529" s="4">
        <v>16665</v>
      </c>
      <c r="X2529" s="4">
        <v>956</v>
      </c>
      <c r="Y2529" s="4" t="s">
        <v>41</v>
      </c>
      <c r="Z2529" s="4">
        <v>98</v>
      </c>
      <c r="AA2529" s="4">
        <v>3.8</v>
      </c>
      <c r="AB2529" s="4" t="s">
        <v>42</v>
      </c>
    </row>
    <row r="2530" spans="1:28" x14ac:dyDescent="0.25">
      <c r="A2530" s="2" t="s">
        <v>3337</v>
      </c>
      <c r="B2530" s="2" t="s">
        <v>932</v>
      </c>
      <c r="C2530" s="2">
        <v>37</v>
      </c>
      <c r="D2530" s="2" t="s">
        <v>55</v>
      </c>
      <c r="E2530" s="2" t="s">
        <v>154</v>
      </c>
      <c r="F2530" s="2" t="s">
        <v>80</v>
      </c>
      <c r="G2530" s="3">
        <v>45488</v>
      </c>
      <c r="H2530" s="3">
        <v>45495</v>
      </c>
      <c r="I2530" s="2">
        <v>7</v>
      </c>
      <c r="J2530" s="2" t="s">
        <v>33</v>
      </c>
      <c r="K2530" s="2" t="s">
        <v>197</v>
      </c>
      <c r="L2530" s="2" t="s">
        <v>198</v>
      </c>
      <c r="M2530" s="2" t="s">
        <v>83</v>
      </c>
      <c r="N2530" s="2" t="s">
        <v>118</v>
      </c>
      <c r="O2530" s="2" t="s">
        <v>673</v>
      </c>
      <c r="P2530" s="2">
        <v>332</v>
      </c>
      <c r="Q2530" s="2" t="s">
        <v>69</v>
      </c>
      <c r="R2530" s="2" t="s">
        <v>51</v>
      </c>
      <c r="S2530" s="2">
        <v>97623</v>
      </c>
      <c r="T2530" s="2">
        <v>63844</v>
      </c>
      <c r="U2530" s="2">
        <v>33779</v>
      </c>
      <c r="V2530" s="2">
        <v>60580</v>
      </c>
      <c r="W2530" s="2">
        <v>26666</v>
      </c>
      <c r="X2530" s="2">
        <v>7675</v>
      </c>
      <c r="Y2530" s="2" t="s">
        <v>91</v>
      </c>
      <c r="Z2530" s="2">
        <v>43</v>
      </c>
      <c r="AA2530" s="2">
        <v>4.3</v>
      </c>
      <c r="AB2530" s="2" t="s">
        <v>104</v>
      </c>
    </row>
    <row r="2531" spans="1:28" x14ac:dyDescent="0.25">
      <c r="A2531" s="4" t="s">
        <v>3338</v>
      </c>
      <c r="B2531" s="4" t="s">
        <v>1698</v>
      </c>
      <c r="C2531" s="4">
        <v>75</v>
      </c>
      <c r="D2531" s="4" t="s">
        <v>55</v>
      </c>
      <c r="E2531" s="4" t="s">
        <v>122</v>
      </c>
      <c r="F2531" s="4" t="s">
        <v>150</v>
      </c>
      <c r="G2531" s="5">
        <v>45560</v>
      </c>
      <c r="H2531" s="5">
        <v>45568</v>
      </c>
      <c r="I2531" s="4">
        <v>8</v>
      </c>
      <c r="J2531" s="4" t="s">
        <v>33</v>
      </c>
      <c r="K2531" s="4" t="s">
        <v>81</v>
      </c>
      <c r="L2531" s="4" t="s">
        <v>82</v>
      </c>
      <c r="M2531" s="4" t="s">
        <v>83</v>
      </c>
      <c r="N2531" s="4" t="s">
        <v>118</v>
      </c>
      <c r="O2531" s="4" t="s">
        <v>673</v>
      </c>
      <c r="P2531" s="4">
        <v>298</v>
      </c>
      <c r="Q2531" s="4" t="s">
        <v>103</v>
      </c>
      <c r="R2531" s="4" t="s">
        <v>111</v>
      </c>
      <c r="S2531" s="4">
        <v>69988</v>
      </c>
      <c r="T2531" s="4">
        <v>51815</v>
      </c>
      <c r="U2531" s="4">
        <v>18173</v>
      </c>
      <c r="V2531" s="4">
        <v>29543</v>
      </c>
      <c r="W2531" s="4">
        <v>24828</v>
      </c>
      <c r="X2531" s="4">
        <v>12519</v>
      </c>
      <c r="Y2531" s="4" t="s">
        <v>41</v>
      </c>
      <c r="Z2531" s="4">
        <v>54</v>
      </c>
      <c r="AA2531" s="4">
        <v>3</v>
      </c>
      <c r="AB2531" s="4" t="s">
        <v>64</v>
      </c>
    </row>
    <row r="2532" spans="1:28" x14ac:dyDescent="0.25">
      <c r="A2532" s="2" t="s">
        <v>3339</v>
      </c>
      <c r="B2532" s="2" t="s">
        <v>741</v>
      </c>
      <c r="C2532" s="2">
        <v>68</v>
      </c>
      <c r="D2532" s="2" t="s">
        <v>55</v>
      </c>
      <c r="E2532" s="2" t="s">
        <v>154</v>
      </c>
      <c r="F2532" s="2" t="s">
        <v>32</v>
      </c>
      <c r="G2532" s="3">
        <v>45655</v>
      </c>
      <c r="H2532" s="3">
        <v>45657</v>
      </c>
      <c r="I2532" s="2">
        <v>2</v>
      </c>
      <c r="J2532" s="2" t="s">
        <v>33</v>
      </c>
      <c r="K2532" s="2" t="s">
        <v>278</v>
      </c>
      <c r="L2532" s="2" t="s">
        <v>279</v>
      </c>
      <c r="M2532" s="2" t="s">
        <v>130</v>
      </c>
      <c r="N2532" s="2" t="s">
        <v>118</v>
      </c>
      <c r="O2532" s="2" t="s">
        <v>431</v>
      </c>
      <c r="P2532" s="2">
        <v>375</v>
      </c>
      <c r="Q2532" s="2" t="s">
        <v>50</v>
      </c>
      <c r="R2532" s="2" t="s">
        <v>111</v>
      </c>
      <c r="S2532" s="2">
        <v>134635</v>
      </c>
      <c r="T2532" s="2">
        <v>99495</v>
      </c>
      <c r="U2532" s="2">
        <v>35140</v>
      </c>
      <c r="V2532" s="2">
        <v>104566</v>
      </c>
      <c r="W2532" s="2">
        <v>25971</v>
      </c>
      <c r="X2532" s="2">
        <v>2216</v>
      </c>
      <c r="Y2532" s="2" t="s">
        <v>41</v>
      </c>
      <c r="Z2532" s="2">
        <v>73</v>
      </c>
      <c r="AA2532" s="2">
        <v>2.4</v>
      </c>
      <c r="AB2532" s="2" t="s">
        <v>104</v>
      </c>
    </row>
    <row r="2533" spans="1:28" x14ac:dyDescent="0.25">
      <c r="A2533" s="4" t="s">
        <v>3340</v>
      </c>
      <c r="B2533" s="4" t="s">
        <v>433</v>
      </c>
      <c r="C2533" s="4">
        <v>85</v>
      </c>
      <c r="D2533" s="4" t="s">
        <v>30</v>
      </c>
      <c r="E2533" s="4" t="s">
        <v>154</v>
      </c>
      <c r="F2533" s="4" t="s">
        <v>46</v>
      </c>
      <c r="G2533" s="5">
        <v>44635</v>
      </c>
      <c r="H2533" s="5">
        <v>44664</v>
      </c>
      <c r="I2533" s="4">
        <v>29</v>
      </c>
      <c r="J2533" s="4" t="s">
        <v>33</v>
      </c>
      <c r="K2533" s="4" t="s">
        <v>278</v>
      </c>
      <c r="L2533" s="4" t="s">
        <v>279</v>
      </c>
      <c r="M2533" s="4" t="s">
        <v>95</v>
      </c>
      <c r="N2533" s="4" t="s">
        <v>109</v>
      </c>
      <c r="O2533" s="4" t="s">
        <v>181</v>
      </c>
      <c r="P2533" s="4">
        <v>337</v>
      </c>
      <c r="Q2533" s="4" t="s">
        <v>39</v>
      </c>
      <c r="R2533" s="4" t="s">
        <v>111</v>
      </c>
      <c r="S2533" s="4">
        <v>112473</v>
      </c>
      <c r="T2533" s="4">
        <v>91664</v>
      </c>
      <c r="U2533" s="4">
        <v>20809</v>
      </c>
      <c r="V2533" s="4">
        <v>90910</v>
      </c>
      <c r="W2533" s="4">
        <v>14981</v>
      </c>
      <c r="X2533" s="4">
        <v>2397</v>
      </c>
      <c r="Y2533" s="4" t="s">
        <v>41</v>
      </c>
      <c r="Z2533" s="4">
        <v>68</v>
      </c>
      <c r="AA2533" s="4">
        <v>2.5</v>
      </c>
      <c r="AB2533" s="4" t="s">
        <v>104</v>
      </c>
    </row>
    <row r="2534" spans="1:28" x14ac:dyDescent="0.25">
      <c r="A2534" s="2" t="s">
        <v>3341</v>
      </c>
      <c r="B2534" s="2" t="s">
        <v>747</v>
      </c>
      <c r="C2534" s="2">
        <v>13</v>
      </c>
      <c r="D2534" s="2" t="s">
        <v>55</v>
      </c>
      <c r="E2534" s="2" t="s">
        <v>87</v>
      </c>
      <c r="F2534" s="2" t="s">
        <v>80</v>
      </c>
      <c r="G2534" s="3">
        <v>45238</v>
      </c>
      <c r="H2534" s="3">
        <v>45249</v>
      </c>
      <c r="I2534" s="2">
        <v>11</v>
      </c>
      <c r="J2534" s="2" t="s">
        <v>115</v>
      </c>
      <c r="K2534" s="2" t="s">
        <v>116</v>
      </c>
      <c r="L2534" s="2" t="s">
        <v>117</v>
      </c>
      <c r="M2534" s="2" t="s">
        <v>83</v>
      </c>
      <c r="N2534" s="2" t="s">
        <v>118</v>
      </c>
      <c r="O2534" s="2" t="s">
        <v>256</v>
      </c>
      <c r="P2534" s="2">
        <v>189</v>
      </c>
      <c r="Q2534" s="2" t="s">
        <v>69</v>
      </c>
      <c r="R2534" s="2" t="s">
        <v>90</v>
      </c>
      <c r="S2534" s="2">
        <v>145804</v>
      </c>
      <c r="T2534" s="2">
        <v>125384</v>
      </c>
      <c r="U2534" s="2">
        <v>20420</v>
      </c>
      <c r="V2534" s="2">
        <v>114742</v>
      </c>
      <c r="W2534" s="2">
        <v>15853</v>
      </c>
      <c r="X2534" s="2">
        <v>12222</v>
      </c>
      <c r="Y2534" s="2" t="s">
        <v>41</v>
      </c>
      <c r="Z2534" s="2">
        <v>78</v>
      </c>
      <c r="AA2534" s="2">
        <v>4.4000000000000004</v>
      </c>
      <c r="AB2534" s="2" t="s">
        <v>42</v>
      </c>
    </row>
    <row r="2535" spans="1:28" x14ac:dyDescent="0.25">
      <c r="A2535" s="4" t="s">
        <v>3342</v>
      </c>
      <c r="B2535" s="4" t="s">
        <v>381</v>
      </c>
      <c r="C2535" s="4">
        <v>67</v>
      </c>
      <c r="D2535" s="4" t="s">
        <v>55</v>
      </c>
      <c r="E2535" s="4" t="s">
        <v>67</v>
      </c>
      <c r="F2535" s="4" t="s">
        <v>150</v>
      </c>
      <c r="G2535" s="5">
        <v>45568</v>
      </c>
      <c r="H2535" s="5">
        <v>45585</v>
      </c>
      <c r="I2535" s="4">
        <v>17</v>
      </c>
      <c r="J2535" s="4" t="s">
        <v>202</v>
      </c>
      <c r="K2535" s="4" t="s">
        <v>225</v>
      </c>
      <c r="L2535" s="4" t="s">
        <v>226</v>
      </c>
      <c r="M2535" s="4" t="s">
        <v>61</v>
      </c>
      <c r="N2535" s="4" t="s">
        <v>62</v>
      </c>
      <c r="O2535" s="4" t="s">
        <v>181</v>
      </c>
      <c r="P2535" s="4">
        <v>385</v>
      </c>
      <c r="Q2535" s="4" t="s">
        <v>39</v>
      </c>
      <c r="R2535" s="4" t="s">
        <v>40</v>
      </c>
      <c r="S2535" s="4">
        <v>18757</v>
      </c>
      <c r="T2535" s="4">
        <v>8765</v>
      </c>
      <c r="U2535" s="4">
        <v>9992</v>
      </c>
      <c r="V2535" s="4">
        <v>5507</v>
      </c>
      <c r="W2535" s="4">
        <v>1318</v>
      </c>
      <c r="X2535" s="4">
        <v>9676</v>
      </c>
      <c r="Y2535" s="4" t="s">
        <v>91</v>
      </c>
      <c r="Z2535" s="4">
        <v>74</v>
      </c>
      <c r="AA2535" s="4">
        <v>3.4</v>
      </c>
      <c r="AB2535" s="4" t="s">
        <v>104</v>
      </c>
    </row>
    <row r="2536" spans="1:28" x14ac:dyDescent="0.25">
      <c r="A2536" s="2" t="s">
        <v>3343</v>
      </c>
      <c r="B2536" s="2" t="s">
        <v>1400</v>
      </c>
      <c r="C2536" s="2">
        <v>45</v>
      </c>
      <c r="D2536" s="2" t="s">
        <v>55</v>
      </c>
      <c r="E2536" s="2" t="s">
        <v>31</v>
      </c>
      <c r="F2536" s="2" t="s">
        <v>72</v>
      </c>
      <c r="G2536" s="3">
        <v>44959</v>
      </c>
      <c r="H2536" s="3">
        <v>44961</v>
      </c>
      <c r="I2536" s="2">
        <v>2</v>
      </c>
      <c r="J2536" s="2" t="s">
        <v>73</v>
      </c>
      <c r="K2536" s="2" t="s">
        <v>74</v>
      </c>
      <c r="L2536" s="2" t="s">
        <v>73</v>
      </c>
      <c r="M2536" s="2" t="s">
        <v>130</v>
      </c>
      <c r="N2536" s="2" t="s">
        <v>109</v>
      </c>
      <c r="O2536" s="2" t="s">
        <v>461</v>
      </c>
      <c r="P2536" s="2">
        <v>106</v>
      </c>
      <c r="Q2536" s="2" t="s">
        <v>69</v>
      </c>
      <c r="R2536" s="2" t="s">
        <v>40</v>
      </c>
      <c r="S2536" s="2">
        <v>151217</v>
      </c>
      <c r="T2536" s="2">
        <v>67337</v>
      </c>
      <c r="U2536" s="2">
        <v>83880</v>
      </c>
      <c r="V2536" s="2">
        <v>120611</v>
      </c>
      <c r="W2536" s="2">
        <v>25106</v>
      </c>
      <c r="X2536" s="2">
        <v>4105</v>
      </c>
      <c r="Y2536" s="2" t="s">
        <v>41</v>
      </c>
      <c r="Z2536" s="2">
        <v>63</v>
      </c>
      <c r="AA2536" s="2">
        <v>4.4000000000000004</v>
      </c>
      <c r="AB2536" s="2" t="s">
        <v>104</v>
      </c>
    </row>
    <row r="2537" spans="1:28" x14ac:dyDescent="0.25">
      <c r="A2537" s="4" t="s">
        <v>3344</v>
      </c>
      <c r="B2537" s="4" t="s">
        <v>1233</v>
      </c>
      <c r="C2537" s="4">
        <v>75</v>
      </c>
      <c r="D2537" s="4" t="s">
        <v>55</v>
      </c>
      <c r="E2537" s="4" t="s">
        <v>87</v>
      </c>
      <c r="F2537" s="4" t="s">
        <v>80</v>
      </c>
      <c r="G2537" s="5">
        <v>45509</v>
      </c>
      <c r="H2537" s="5">
        <v>45517</v>
      </c>
      <c r="I2537" s="4">
        <v>8</v>
      </c>
      <c r="J2537" s="4" t="s">
        <v>140</v>
      </c>
      <c r="K2537" s="4" t="s">
        <v>141</v>
      </c>
      <c r="L2537" s="4" t="s">
        <v>142</v>
      </c>
      <c r="M2537" s="4" t="s">
        <v>101</v>
      </c>
      <c r="N2537" s="4" t="s">
        <v>109</v>
      </c>
      <c r="O2537" s="4" t="s">
        <v>681</v>
      </c>
      <c r="P2537" s="4">
        <v>20</v>
      </c>
      <c r="Q2537" s="4" t="s">
        <v>39</v>
      </c>
      <c r="R2537" s="4" t="s">
        <v>51</v>
      </c>
      <c r="S2537" s="4">
        <v>115145</v>
      </c>
      <c r="T2537" s="4">
        <v>59741</v>
      </c>
      <c r="U2537" s="4">
        <v>55404</v>
      </c>
      <c r="V2537" s="4">
        <v>66678</v>
      </c>
      <c r="W2537" s="4">
        <v>29919</v>
      </c>
      <c r="X2537" s="4">
        <v>13629</v>
      </c>
      <c r="Y2537" s="4" t="s">
        <v>41</v>
      </c>
      <c r="Z2537" s="4">
        <v>46</v>
      </c>
      <c r="AA2537" s="4">
        <v>3.9</v>
      </c>
      <c r="AB2537" s="4" t="s">
        <v>137</v>
      </c>
    </row>
    <row r="2538" spans="1:28" x14ac:dyDescent="0.25">
      <c r="A2538" s="2" t="s">
        <v>3345</v>
      </c>
      <c r="B2538" s="2" t="s">
        <v>1895</v>
      </c>
      <c r="C2538" s="2">
        <v>40</v>
      </c>
      <c r="D2538" s="2" t="s">
        <v>30</v>
      </c>
      <c r="E2538" s="2" t="s">
        <v>87</v>
      </c>
      <c r="F2538" s="2" t="s">
        <v>94</v>
      </c>
      <c r="G2538" s="3">
        <v>45411</v>
      </c>
      <c r="H2538" s="3">
        <v>45441</v>
      </c>
      <c r="I2538" s="2">
        <v>30</v>
      </c>
      <c r="J2538" s="2" t="s">
        <v>115</v>
      </c>
      <c r="K2538" s="2" t="s">
        <v>160</v>
      </c>
      <c r="L2538" s="2" t="s">
        <v>117</v>
      </c>
      <c r="M2538" s="2" t="s">
        <v>61</v>
      </c>
      <c r="N2538" s="2" t="s">
        <v>62</v>
      </c>
      <c r="O2538" s="2" t="s">
        <v>431</v>
      </c>
      <c r="P2538" s="2">
        <v>35</v>
      </c>
      <c r="Q2538" s="2" t="s">
        <v>50</v>
      </c>
      <c r="R2538" s="2" t="s">
        <v>51</v>
      </c>
      <c r="S2538" s="2">
        <v>130192</v>
      </c>
      <c r="T2538" s="2">
        <v>77426</v>
      </c>
      <c r="U2538" s="2">
        <v>52766</v>
      </c>
      <c r="V2538" s="2">
        <v>108003</v>
      </c>
      <c r="W2538" s="2">
        <v>16718</v>
      </c>
      <c r="X2538" s="2">
        <v>1140</v>
      </c>
      <c r="Y2538" s="2" t="s">
        <v>41</v>
      </c>
      <c r="Z2538" s="2">
        <v>100</v>
      </c>
      <c r="AA2538" s="2">
        <v>3.6</v>
      </c>
      <c r="AB2538" s="2" t="s">
        <v>137</v>
      </c>
    </row>
    <row r="2539" spans="1:28" x14ac:dyDescent="0.25">
      <c r="A2539" s="4" t="s">
        <v>3346</v>
      </c>
      <c r="B2539" s="4" t="s">
        <v>1182</v>
      </c>
      <c r="C2539" s="4">
        <v>39</v>
      </c>
      <c r="D2539" s="4" t="s">
        <v>30</v>
      </c>
      <c r="E2539" s="4" t="s">
        <v>56</v>
      </c>
      <c r="F2539" s="4" t="s">
        <v>157</v>
      </c>
      <c r="G2539" s="5">
        <v>45280</v>
      </c>
      <c r="H2539" s="5">
        <v>45283</v>
      </c>
      <c r="I2539" s="4">
        <v>3</v>
      </c>
      <c r="J2539" s="4" t="s">
        <v>33</v>
      </c>
      <c r="K2539" s="4" t="s">
        <v>197</v>
      </c>
      <c r="L2539" s="4" t="s">
        <v>198</v>
      </c>
      <c r="M2539" s="4" t="s">
        <v>95</v>
      </c>
      <c r="N2539" s="4" t="s">
        <v>118</v>
      </c>
      <c r="O2539" s="4" t="s">
        <v>331</v>
      </c>
      <c r="P2539" s="4">
        <v>399</v>
      </c>
      <c r="Q2539" s="4" t="s">
        <v>39</v>
      </c>
      <c r="R2539" s="4" t="s">
        <v>136</v>
      </c>
      <c r="S2539" s="4">
        <v>113534</v>
      </c>
      <c r="T2539" s="4">
        <v>0</v>
      </c>
      <c r="U2539" s="4">
        <v>113534</v>
      </c>
      <c r="V2539" s="4">
        <v>92618</v>
      </c>
      <c r="W2539" s="4">
        <v>16052</v>
      </c>
      <c r="X2539" s="4">
        <v>4244</v>
      </c>
      <c r="Y2539" s="4" t="s">
        <v>41</v>
      </c>
      <c r="Z2539" s="4">
        <v>72</v>
      </c>
      <c r="AA2539" s="4">
        <v>4.2</v>
      </c>
      <c r="AB2539" s="4" t="s">
        <v>42</v>
      </c>
    </row>
    <row r="2540" spans="1:28" x14ac:dyDescent="0.25">
      <c r="A2540" s="2" t="s">
        <v>3347</v>
      </c>
      <c r="B2540" s="2" t="s">
        <v>488</v>
      </c>
      <c r="C2540" s="2">
        <v>48</v>
      </c>
      <c r="D2540" s="2" t="s">
        <v>30</v>
      </c>
      <c r="E2540" s="2" t="s">
        <v>154</v>
      </c>
      <c r="F2540" s="2" t="s">
        <v>32</v>
      </c>
      <c r="G2540" s="3">
        <v>44595</v>
      </c>
      <c r="H2540" s="3">
        <v>44600</v>
      </c>
      <c r="I2540" s="2">
        <v>5</v>
      </c>
      <c r="J2540" s="2" t="s">
        <v>123</v>
      </c>
      <c r="K2540" s="2" t="s">
        <v>124</v>
      </c>
      <c r="L2540" s="2" t="s">
        <v>125</v>
      </c>
      <c r="M2540" s="2" t="s">
        <v>143</v>
      </c>
      <c r="N2540" s="2" t="s">
        <v>37</v>
      </c>
      <c r="O2540" s="2" t="s">
        <v>355</v>
      </c>
      <c r="P2540" s="2">
        <v>59</v>
      </c>
      <c r="Q2540" s="2" t="s">
        <v>50</v>
      </c>
      <c r="R2540" s="2" t="s">
        <v>40</v>
      </c>
      <c r="S2540" s="2">
        <v>173376</v>
      </c>
      <c r="T2540" s="2">
        <v>81905</v>
      </c>
      <c r="U2540" s="2">
        <v>91471</v>
      </c>
      <c r="V2540" s="2">
        <v>132704</v>
      </c>
      <c r="W2540" s="2">
        <v>26512</v>
      </c>
      <c r="X2540" s="2">
        <v>12455</v>
      </c>
      <c r="Y2540" s="2" t="s">
        <v>41</v>
      </c>
      <c r="Z2540" s="2">
        <v>84</v>
      </c>
      <c r="AA2540" s="2">
        <v>2.8</v>
      </c>
      <c r="AB2540" s="2" t="s">
        <v>52</v>
      </c>
    </row>
    <row r="2541" spans="1:28" x14ac:dyDescent="0.25">
      <c r="A2541" s="4" t="s">
        <v>3348</v>
      </c>
      <c r="B2541" s="4" t="s">
        <v>378</v>
      </c>
      <c r="C2541" s="4">
        <v>54</v>
      </c>
      <c r="D2541" s="4" t="s">
        <v>55</v>
      </c>
      <c r="E2541" s="4" t="s">
        <v>154</v>
      </c>
      <c r="F2541" s="4" t="s">
        <v>114</v>
      </c>
      <c r="G2541" s="5">
        <v>45508</v>
      </c>
      <c r="H2541" s="5">
        <v>45523</v>
      </c>
      <c r="I2541" s="4">
        <v>15</v>
      </c>
      <c r="J2541" s="4" t="s">
        <v>58</v>
      </c>
      <c r="K2541" s="4" t="s">
        <v>88</v>
      </c>
      <c r="L2541" s="4" t="s">
        <v>60</v>
      </c>
      <c r="M2541" s="4" t="s">
        <v>83</v>
      </c>
      <c r="N2541" s="4" t="s">
        <v>109</v>
      </c>
      <c r="O2541" s="4" t="s">
        <v>189</v>
      </c>
      <c r="P2541" s="4">
        <v>239</v>
      </c>
      <c r="Q2541" s="4" t="s">
        <v>69</v>
      </c>
      <c r="R2541" s="4" t="s">
        <v>51</v>
      </c>
      <c r="S2541" s="4">
        <v>171206</v>
      </c>
      <c r="T2541" s="4">
        <v>69847</v>
      </c>
      <c r="U2541" s="4">
        <v>101359</v>
      </c>
      <c r="V2541" s="4">
        <v>138412</v>
      </c>
      <c r="W2541" s="4">
        <v>23950</v>
      </c>
      <c r="X2541" s="4">
        <v>5007</v>
      </c>
      <c r="Y2541" s="4" t="s">
        <v>41</v>
      </c>
      <c r="Z2541" s="4">
        <v>99</v>
      </c>
      <c r="AA2541" s="4">
        <v>2.9</v>
      </c>
      <c r="AB2541" s="4" t="s">
        <v>137</v>
      </c>
    </row>
    <row r="2542" spans="1:28" x14ac:dyDescent="0.25">
      <c r="A2542" s="2" t="s">
        <v>3349</v>
      </c>
      <c r="B2542" s="2" t="s">
        <v>427</v>
      </c>
      <c r="C2542" s="2">
        <v>61</v>
      </c>
      <c r="D2542" s="2" t="s">
        <v>30</v>
      </c>
      <c r="E2542" s="2" t="s">
        <v>122</v>
      </c>
      <c r="F2542" s="2" t="s">
        <v>72</v>
      </c>
      <c r="G2542" s="3">
        <v>45342</v>
      </c>
      <c r="H2542" s="3">
        <v>45368</v>
      </c>
      <c r="I2542" s="2">
        <v>26</v>
      </c>
      <c r="J2542" s="2" t="s">
        <v>33</v>
      </c>
      <c r="K2542" s="2" t="s">
        <v>99</v>
      </c>
      <c r="L2542" s="2" t="s">
        <v>100</v>
      </c>
      <c r="M2542" s="2" t="s">
        <v>134</v>
      </c>
      <c r="N2542" s="2" t="s">
        <v>37</v>
      </c>
      <c r="O2542" s="2" t="s">
        <v>259</v>
      </c>
      <c r="P2542" s="2">
        <v>251</v>
      </c>
      <c r="Q2542" s="2" t="s">
        <v>69</v>
      </c>
      <c r="R2542" s="2" t="s">
        <v>111</v>
      </c>
      <c r="S2542" s="2">
        <v>115748</v>
      </c>
      <c r="T2542" s="2">
        <v>90778</v>
      </c>
      <c r="U2542" s="2">
        <v>24970</v>
      </c>
      <c r="V2542" s="2">
        <v>81097</v>
      </c>
      <c r="W2542" s="2">
        <v>25793</v>
      </c>
      <c r="X2542" s="2">
        <v>7062</v>
      </c>
      <c r="Y2542" s="2" t="s">
        <v>41</v>
      </c>
      <c r="Z2542" s="2">
        <v>88</v>
      </c>
      <c r="AA2542" s="2">
        <v>3.5</v>
      </c>
      <c r="AB2542" s="2" t="s">
        <v>64</v>
      </c>
    </row>
    <row r="2543" spans="1:28" x14ac:dyDescent="0.25">
      <c r="A2543" s="4" t="s">
        <v>3350</v>
      </c>
      <c r="B2543" s="4" t="s">
        <v>1698</v>
      </c>
      <c r="C2543" s="4">
        <v>46</v>
      </c>
      <c r="D2543" s="4" t="s">
        <v>55</v>
      </c>
      <c r="E2543" s="4" t="s">
        <v>122</v>
      </c>
      <c r="F2543" s="4" t="s">
        <v>94</v>
      </c>
      <c r="G2543" s="5">
        <v>44693</v>
      </c>
      <c r="H2543" s="5">
        <v>44696</v>
      </c>
      <c r="I2543" s="4">
        <v>3</v>
      </c>
      <c r="J2543" s="4" t="s">
        <v>123</v>
      </c>
      <c r="K2543" s="4" t="s">
        <v>251</v>
      </c>
      <c r="L2543" s="4" t="s">
        <v>125</v>
      </c>
      <c r="M2543" s="4" t="s">
        <v>130</v>
      </c>
      <c r="N2543" s="4" t="s">
        <v>37</v>
      </c>
      <c r="O2543" s="4" t="s">
        <v>681</v>
      </c>
      <c r="P2543" s="4">
        <v>122</v>
      </c>
      <c r="Q2543" s="4" t="s">
        <v>69</v>
      </c>
      <c r="R2543" s="4" t="s">
        <v>51</v>
      </c>
      <c r="S2543" s="4">
        <v>80378</v>
      </c>
      <c r="T2543" s="4">
        <v>43644</v>
      </c>
      <c r="U2543" s="4">
        <v>36734</v>
      </c>
      <c r="V2543" s="4">
        <v>46019</v>
      </c>
      <c r="W2543" s="4">
        <v>25000</v>
      </c>
      <c r="X2543" s="4">
        <v>7194</v>
      </c>
      <c r="Y2543" s="4" t="s">
        <v>41</v>
      </c>
      <c r="Z2543" s="4">
        <v>77</v>
      </c>
      <c r="AA2543" s="4">
        <v>3.6</v>
      </c>
      <c r="AB2543" s="4" t="s">
        <v>104</v>
      </c>
    </row>
    <row r="2544" spans="1:28" x14ac:dyDescent="0.25">
      <c r="A2544" s="2" t="s">
        <v>3351</v>
      </c>
      <c r="B2544" s="2" t="s">
        <v>675</v>
      </c>
      <c r="C2544" s="2">
        <v>28</v>
      </c>
      <c r="D2544" s="2" t="s">
        <v>30</v>
      </c>
      <c r="E2544" s="2" t="s">
        <v>122</v>
      </c>
      <c r="F2544" s="2" t="s">
        <v>94</v>
      </c>
      <c r="G2544" s="3">
        <v>44743</v>
      </c>
      <c r="H2544" s="3">
        <v>44763</v>
      </c>
      <c r="I2544" s="2">
        <v>20</v>
      </c>
      <c r="J2544" s="2" t="s">
        <v>115</v>
      </c>
      <c r="K2544" s="2" t="s">
        <v>160</v>
      </c>
      <c r="L2544" s="2" t="s">
        <v>117</v>
      </c>
      <c r="M2544" s="2" t="s">
        <v>101</v>
      </c>
      <c r="N2544" s="2" t="s">
        <v>109</v>
      </c>
      <c r="O2544" s="2" t="s">
        <v>331</v>
      </c>
      <c r="P2544" s="2">
        <v>499</v>
      </c>
      <c r="Q2544" s="2" t="s">
        <v>50</v>
      </c>
      <c r="R2544" s="2" t="s">
        <v>136</v>
      </c>
      <c r="S2544" s="2">
        <v>126134</v>
      </c>
      <c r="T2544" s="2">
        <v>0</v>
      </c>
      <c r="U2544" s="2">
        <v>126134</v>
      </c>
      <c r="V2544" s="2">
        <v>101771</v>
      </c>
      <c r="W2544" s="2">
        <v>9686</v>
      </c>
      <c r="X2544" s="2">
        <v>11310</v>
      </c>
      <c r="Y2544" s="2" t="s">
        <v>41</v>
      </c>
      <c r="Z2544" s="2">
        <v>58</v>
      </c>
      <c r="AA2544" s="2">
        <v>4.3</v>
      </c>
      <c r="AB2544" s="2" t="s">
        <v>137</v>
      </c>
    </row>
    <row r="2545" spans="1:28" x14ac:dyDescent="0.25">
      <c r="A2545" s="4" t="s">
        <v>3352</v>
      </c>
      <c r="B2545" s="4" t="s">
        <v>133</v>
      </c>
      <c r="C2545" s="4">
        <v>71</v>
      </c>
      <c r="D2545" s="4" t="s">
        <v>30</v>
      </c>
      <c r="E2545" s="4" t="s">
        <v>154</v>
      </c>
      <c r="F2545" s="4" t="s">
        <v>46</v>
      </c>
      <c r="G2545" s="5">
        <v>45140</v>
      </c>
      <c r="H2545" s="5">
        <v>45166</v>
      </c>
      <c r="I2545" s="4">
        <v>26</v>
      </c>
      <c r="J2545" s="4" t="s">
        <v>33</v>
      </c>
      <c r="K2545" s="4" t="s">
        <v>107</v>
      </c>
      <c r="L2545" s="4" t="s">
        <v>48</v>
      </c>
      <c r="M2545" s="4" t="s">
        <v>36</v>
      </c>
      <c r="N2545" s="4" t="s">
        <v>37</v>
      </c>
      <c r="O2545" s="4" t="s">
        <v>246</v>
      </c>
      <c r="P2545" s="4">
        <v>209</v>
      </c>
      <c r="Q2545" s="4" t="s">
        <v>103</v>
      </c>
      <c r="R2545" s="4" t="s">
        <v>51</v>
      </c>
      <c r="S2545" s="4">
        <v>134750</v>
      </c>
      <c r="T2545" s="4">
        <v>58980</v>
      </c>
      <c r="U2545" s="4">
        <v>75770</v>
      </c>
      <c r="V2545" s="4">
        <v>106577</v>
      </c>
      <c r="W2545" s="4">
        <v>15724</v>
      </c>
      <c r="X2545" s="4">
        <v>9813</v>
      </c>
      <c r="Y2545" s="4" t="s">
        <v>91</v>
      </c>
      <c r="Z2545" s="4">
        <v>89</v>
      </c>
      <c r="AA2545" s="4">
        <v>3.1</v>
      </c>
      <c r="AB2545" s="4" t="s">
        <v>64</v>
      </c>
    </row>
    <row r="2546" spans="1:28" x14ac:dyDescent="0.25">
      <c r="A2546" s="2" t="s">
        <v>3353</v>
      </c>
      <c r="B2546" s="2" t="s">
        <v>3354</v>
      </c>
      <c r="C2546" s="2">
        <v>82</v>
      </c>
      <c r="D2546" s="2" t="s">
        <v>55</v>
      </c>
      <c r="E2546" s="2" t="s">
        <v>31</v>
      </c>
      <c r="F2546" s="2" t="s">
        <v>150</v>
      </c>
      <c r="G2546" s="3">
        <v>45331</v>
      </c>
      <c r="H2546" s="3">
        <v>45334</v>
      </c>
      <c r="I2546" s="2">
        <v>3</v>
      </c>
      <c r="J2546" s="2" t="s">
        <v>33</v>
      </c>
      <c r="K2546" s="2" t="s">
        <v>99</v>
      </c>
      <c r="L2546" s="2" t="s">
        <v>100</v>
      </c>
      <c r="M2546" s="2" t="s">
        <v>95</v>
      </c>
      <c r="N2546" s="2" t="s">
        <v>109</v>
      </c>
      <c r="O2546" s="2" t="s">
        <v>194</v>
      </c>
      <c r="P2546" s="2">
        <v>253</v>
      </c>
      <c r="Q2546" s="2" t="s">
        <v>103</v>
      </c>
      <c r="R2546" s="2" t="s">
        <v>51</v>
      </c>
      <c r="S2546" s="2">
        <v>36881</v>
      </c>
      <c r="T2546" s="2">
        <v>20288</v>
      </c>
      <c r="U2546" s="2">
        <v>16593</v>
      </c>
      <c r="V2546" s="2">
        <v>12623</v>
      </c>
      <c r="W2546" s="2">
        <v>20664</v>
      </c>
      <c r="X2546" s="2">
        <v>1646</v>
      </c>
      <c r="Y2546" s="2" t="s">
        <v>91</v>
      </c>
      <c r="Z2546" s="2">
        <v>100</v>
      </c>
      <c r="AA2546" s="2">
        <v>2.2000000000000002</v>
      </c>
      <c r="AB2546" s="2" t="s">
        <v>64</v>
      </c>
    </row>
    <row r="2547" spans="1:28" x14ac:dyDescent="0.25">
      <c r="A2547" s="4" t="s">
        <v>3355</v>
      </c>
      <c r="B2547" s="4" t="s">
        <v>2902</v>
      </c>
      <c r="C2547" s="4">
        <v>32</v>
      </c>
      <c r="D2547" s="4" t="s">
        <v>30</v>
      </c>
      <c r="E2547" s="4" t="s">
        <v>56</v>
      </c>
      <c r="F2547" s="4" t="s">
        <v>80</v>
      </c>
      <c r="G2547" s="5">
        <v>45451</v>
      </c>
      <c r="H2547" s="5">
        <v>45467</v>
      </c>
      <c r="I2547" s="4">
        <v>16</v>
      </c>
      <c r="J2547" s="4" t="s">
        <v>202</v>
      </c>
      <c r="K2547" s="4" t="s">
        <v>203</v>
      </c>
      <c r="L2547" s="4" t="s">
        <v>204</v>
      </c>
      <c r="M2547" s="4" t="s">
        <v>143</v>
      </c>
      <c r="N2547" s="4" t="s">
        <v>37</v>
      </c>
      <c r="O2547" s="4" t="s">
        <v>560</v>
      </c>
      <c r="P2547" s="4">
        <v>364</v>
      </c>
      <c r="Q2547" s="4" t="s">
        <v>50</v>
      </c>
      <c r="R2547" s="4" t="s">
        <v>90</v>
      </c>
      <c r="S2547" s="4">
        <v>74287</v>
      </c>
      <c r="T2547" s="4">
        <v>47481</v>
      </c>
      <c r="U2547" s="4">
        <v>26806</v>
      </c>
      <c r="V2547" s="4">
        <v>57370</v>
      </c>
      <c r="W2547" s="4">
        <v>7291</v>
      </c>
      <c r="X2547" s="4">
        <v>5692</v>
      </c>
      <c r="Y2547" s="4" t="s">
        <v>41</v>
      </c>
      <c r="Z2547" s="4">
        <v>72</v>
      </c>
      <c r="AA2547" s="4">
        <v>4.5999999999999996</v>
      </c>
      <c r="AB2547" s="4" t="s">
        <v>52</v>
      </c>
    </row>
    <row r="2548" spans="1:28" x14ac:dyDescent="0.25">
      <c r="A2548" s="2" t="s">
        <v>3356</v>
      </c>
      <c r="B2548" s="2" t="s">
        <v>823</v>
      </c>
      <c r="C2548" s="2">
        <v>28</v>
      </c>
      <c r="D2548" s="2" t="s">
        <v>55</v>
      </c>
      <c r="E2548" s="2" t="s">
        <v>79</v>
      </c>
      <c r="F2548" s="2" t="s">
        <v>57</v>
      </c>
      <c r="G2548" s="3">
        <v>44765</v>
      </c>
      <c r="H2548" s="3">
        <v>44793</v>
      </c>
      <c r="I2548" s="2">
        <v>28</v>
      </c>
      <c r="J2548" s="2" t="s">
        <v>123</v>
      </c>
      <c r="K2548" s="2" t="s">
        <v>124</v>
      </c>
      <c r="L2548" s="2" t="s">
        <v>125</v>
      </c>
      <c r="M2548" s="2" t="s">
        <v>143</v>
      </c>
      <c r="N2548" s="2" t="s">
        <v>62</v>
      </c>
      <c r="O2548" s="2" t="s">
        <v>428</v>
      </c>
      <c r="P2548" s="2">
        <v>126</v>
      </c>
      <c r="Q2548" s="2" t="s">
        <v>39</v>
      </c>
      <c r="R2548" s="2" t="s">
        <v>90</v>
      </c>
      <c r="S2548" s="2">
        <v>49622</v>
      </c>
      <c r="T2548" s="2">
        <v>41116</v>
      </c>
      <c r="U2548" s="2">
        <v>8506</v>
      </c>
      <c r="V2548" s="2">
        <v>23236</v>
      </c>
      <c r="W2548" s="2">
        <v>18722</v>
      </c>
      <c r="X2548" s="2">
        <v>3066</v>
      </c>
      <c r="Y2548" s="2" t="s">
        <v>91</v>
      </c>
      <c r="Z2548" s="2">
        <v>58</v>
      </c>
      <c r="AA2548" s="2">
        <v>3.4</v>
      </c>
      <c r="AB2548" s="2" t="s">
        <v>42</v>
      </c>
    </row>
    <row r="2549" spans="1:28" x14ac:dyDescent="0.25">
      <c r="A2549" s="4" t="s">
        <v>3357</v>
      </c>
      <c r="B2549" s="4" t="s">
        <v>408</v>
      </c>
      <c r="C2549" s="4">
        <v>60</v>
      </c>
      <c r="D2549" s="4" t="s">
        <v>30</v>
      </c>
      <c r="E2549" s="4" t="s">
        <v>31</v>
      </c>
      <c r="F2549" s="4" t="s">
        <v>57</v>
      </c>
      <c r="G2549" s="5">
        <v>44956</v>
      </c>
      <c r="H2549" s="5">
        <v>44960</v>
      </c>
      <c r="I2549" s="4">
        <v>4</v>
      </c>
      <c r="J2549" s="4" t="s">
        <v>33</v>
      </c>
      <c r="K2549" s="4" t="s">
        <v>174</v>
      </c>
      <c r="L2549" s="4" t="s">
        <v>48</v>
      </c>
      <c r="M2549" s="4" t="s">
        <v>101</v>
      </c>
      <c r="N2549" s="4" t="s">
        <v>118</v>
      </c>
      <c r="O2549" s="4" t="s">
        <v>321</v>
      </c>
      <c r="P2549" s="4">
        <v>313</v>
      </c>
      <c r="Q2549" s="4" t="s">
        <v>39</v>
      </c>
      <c r="R2549" s="4" t="s">
        <v>111</v>
      </c>
      <c r="S2549" s="4">
        <v>108944</v>
      </c>
      <c r="T2549" s="4">
        <v>78958</v>
      </c>
      <c r="U2549" s="4">
        <v>29986</v>
      </c>
      <c r="V2549" s="4">
        <v>96832</v>
      </c>
      <c r="W2549" s="4">
        <v>3633</v>
      </c>
      <c r="X2549" s="4">
        <v>3991</v>
      </c>
      <c r="Y2549" s="4" t="s">
        <v>41</v>
      </c>
      <c r="Z2549" s="4">
        <v>74</v>
      </c>
      <c r="AA2549" s="4">
        <v>4.8</v>
      </c>
      <c r="AB2549" s="4" t="s">
        <v>52</v>
      </c>
    </row>
    <row r="2550" spans="1:28" x14ac:dyDescent="0.25">
      <c r="A2550" s="2" t="s">
        <v>3358</v>
      </c>
      <c r="B2550" s="2" t="s">
        <v>1048</v>
      </c>
      <c r="C2550" s="2">
        <v>43</v>
      </c>
      <c r="D2550" s="2" t="s">
        <v>55</v>
      </c>
      <c r="E2550" s="2" t="s">
        <v>67</v>
      </c>
      <c r="F2550" s="2" t="s">
        <v>150</v>
      </c>
      <c r="G2550" s="3">
        <v>44766</v>
      </c>
      <c r="H2550" s="3">
        <v>44784</v>
      </c>
      <c r="I2550" s="2">
        <v>18</v>
      </c>
      <c r="J2550" s="2" t="s">
        <v>58</v>
      </c>
      <c r="K2550" s="2" t="s">
        <v>59</v>
      </c>
      <c r="L2550" s="2" t="s">
        <v>60</v>
      </c>
      <c r="M2550" s="2" t="s">
        <v>36</v>
      </c>
      <c r="N2550" s="2" t="s">
        <v>109</v>
      </c>
      <c r="O2550" s="2" t="s">
        <v>194</v>
      </c>
      <c r="P2550" s="2">
        <v>370</v>
      </c>
      <c r="Q2550" s="2" t="s">
        <v>50</v>
      </c>
      <c r="R2550" s="2" t="s">
        <v>51</v>
      </c>
      <c r="S2550" s="2">
        <v>138585</v>
      </c>
      <c r="T2550" s="2">
        <v>69402</v>
      </c>
      <c r="U2550" s="2">
        <v>69183</v>
      </c>
      <c r="V2550" s="2">
        <v>116816</v>
      </c>
      <c r="W2550" s="2">
        <v>12477</v>
      </c>
      <c r="X2550" s="2">
        <v>4591</v>
      </c>
      <c r="Y2550" s="2" t="s">
        <v>41</v>
      </c>
      <c r="Z2550" s="2">
        <v>56</v>
      </c>
      <c r="AA2550" s="2">
        <v>2.1</v>
      </c>
      <c r="AB2550" s="2" t="s">
        <v>137</v>
      </c>
    </row>
    <row r="2551" spans="1:28" x14ac:dyDescent="0.25">
      <c r="A2551" s="4" t="s">
        <v>3359</v>
      </c>
      <c r="B2551" s="4" t="s">
        <v>1976</v>
      </c>
      <c r="C2551" s="4">
        <v>49</v>
      </c>
      <c r="D2551" s="4" t="s">
        <v>55</v>
      </c>
      <c r="E2551" s="4" t="s">
        <v>79</v>
      </c>
      <c r="F2551" s="4" t="s">
        <v>57</v>
      </c>
      <c r="G2551" s="5">
        <v>44765</v>
      </c>
      <c r="H2551" s="5">
        <v>44767</v>
      </c>
      <c r="I2551" s="4">
        <v>2</v>
      </c>
      <c r="J2551" s="4" t="s">
        <v>33</v>
      </c>
      <c r="K2551" s="4" t="s">
        <v>107</v>
      </c>
      <c r="L2551" s="4" t="s">
        <v>48</v>
      </c>
      <c r="M2551" s="4" t="s">
        <v>143</v>
      </c>
      <c r="N2551" s="4" t="s">
        <v>37</v>
      </c>
      <c r="O2551" s="4" t="s">
        <v>131</v>
      </c>
      <c r="P2551" s="4">
        <v>243</v>
      </c>
      <c r="Q2551" s="4" t="s">
        <v>39</v>
      </c>
      <c r="R2551" s="4" t="s">
        <v>40</v>
      </c>
      <c r="S2551" s="4">
        <v>127025</v>
      </c>
      <c r="T2551" s="4">
        <v>52613</v>
      </c>
      <c r="U2551" s="4">
        <v>74412</v>
      </c>
      <c r="V2551" s="4">
        <v>94044</v>
      </c>
      <c r="W2551" s="4">
        <v>16486</v>
      </c>
      <c r="X2551" s="4">
        <v>13367</v>
      </c>
      <c r="Y2551" s="4" t="s">
        <v>41</v>
      </c>
      <c r="Z2551" s="4">
        <v>61</v>
      </c>
      <c r="AA2551" s="4">
        <v>3.9</v>
      </c>
      <c r="AB2551" s="4" t="s">
        <v>104</v>
      </c>
    </row>
    <row r="2552" spans="1:28" x14ac:dyDescent="0.25">
      <c r="A2552" s="2" t="s">
        <v>3360</v>
      </c>
      <c r="B2552" s="2" t="s">
        <v>800</v>
      </c>
      <c r="C2552" s="2">
        <v>28</v>
      </c>
      <c r="D2552" s="2" t="s">
        <v>30</v>
      </c>
      <c r="E2552" s="2" t="s">
        <v>154</v>
      </c>
      <c r="F2552" s="2" t="s">
        <v>80</v>
      </c>
      <c r="G2552" s="3">
        <v>45113</v>
      </c>
      <c r="H2552" s="3">
        <v>45142</v>
      </c>
      <c r="I2552" s="2">
        <v>29</v>
      </c>
      <c r="J2552" s="2" t="s">
        <v>58</v>
      </c>
      <c r="K2552" s="2" t="s">
        <v>59</v>
      </c>
      <c r="L2552" s="2" t="s">
        <v>60</v>
      </c>
      <c r="M2552" s="2" t="s">
        <v>95</v>
      </c>
      <c r="N2552" s="2" t="s">
        <v>118</v>
      </c>
      <c r="O2552" s="2" t="s">
        <v>1038</v>
      </c>
      <c r="P2552" s="2">
        <v>349</v>
      </c>
      <c r="Q2552" s="2" t="s">
        <v>69</v>
      </c>
      <c r="R2552" s="2" t="s">
        <v>111</v>
      </c>
      <c r="S2552" s="2">
        <v>112913</v>
      </c>
      <c r="T2552" s="2">
        <v>76263</v>
      </c>
      <c r="U2552" s="2">
        <v>36650</v>
      </c>
      <c r="V2552" s="2">
        <v>88151</v>
      </c>
      <c r="W2552" s="2">
        <v>18886</v>
      </c>
      <c r="X2552" s="2">
        <v>2671</v>
      </c>
      <c r="Y2552" s="2" t="s">
        <v>41</v>
      </c>
      <c r="Z2552" s="2">
        <v>68</v>
      </c>
      <c r="AA2552" s="2">
        <v>2.4</v>
      </c>
      <c r="AB2552" s="2" t="s">
        <v>42</v>
      </c>
    </row>
    <row r="2553" spans="1:28" x14ac:dyDescent="0.25">
      <c r="A2553" s="4" t="s">
        <v>3361</v>
      </c>
      <c r="B2553" s="4" t="s">
        <v>911</v>
      </c>
      <c r="C2553" s="4">
        <v>67</v>
      </c>
      <c r="D2553" s="4" t="s">
        <v>55</v>
      </c>
      <c r="E2553" s="4" t="s">
        <v>122</v>
      </c>
      <c r="F2553" s="4" t="s">
        <v>150</v>
      </c>
      <c r="G2553" s="5">
        <v>45216</v>
      </c>
      <c r="H2553" s="5">
        <v>45245</v>
      </c>
      <c r="I2553" s="4">
        <v>29</v>
      </c>
      <c r="J2553" s="4" t="s">
        <v>202</v>
      </c>
      <c r="K2553" s="4" t="s">
        <v>203</v>
      </c>
      <c r="L2553" s="4" t="s">
        <v>204</v>
      </c>
      <c r="M2553" s="4" t="s">
        <v>61</v>
      </c>
      <c r="N2553" s="4" t="s">
        <v>62</v>
      </c>
      <c r="O2553" s="4" t="s">
        <v>171</v>
      </c>
      <c r="P2553" s="4">
        <v>93</v>
      </c>
      <c r="Q2553" s="4" t="s">
        <v>103</v>
      </c>
      <c r="R2553" s="4" t="s">
        <v>111</v>
      </c>
      <c r="S2553" s="4">
        <v>96079</v>
      </c>
      <c r="T2553" s="4">
        <v>70877</v>
      </c>
      <c r="U2553" s="4">
        <v>25202</v>
      </c>
      <c r="V2553" s="4">
        <v>83363</v>
      </c>
      <c r="W2553" s="4">
        <v>1426</v>
      </c>
      <c r="X2553" s="4">
        <v>10475</v>
      </c>
      <c r="Y2553" s="4" t="s">
        <v>41</v>
      </c>
      <c r="Z2553" s="4">
        <v>48</v>
      </c>
      <c r="AA2553" s="4">
        <v>2.5</v>
      </c>
      <c r="AB2553" s="4" t="s">
        <v>104</v>
      </c>
    </row>
    <row r="2554" spans="1:28" x14ac:dyDescent="0.25">
      <c r="A2554" s="2" t="s">
        <v>3362</v>
      </c>
      <c r="B2554" s="2" t="s">
        <v>1246</v>
      </c>
      <c r="C2554" s="2">
        <v>40</v>
      </c>
      <c r="D2554" s="2" t="s">
        <v>55</v>
      </c>
      <c r="E2554" s="2" t="s">
        <v>31</v>
      </c>
      <c r="F2554" s="2" t="s">
        <v>114</v>
      </c>
      <c r="G2554" s="3">
        <v>44703</v>
      </c>
      <c r="H2554" s="3">
        <v>44713</v>
      </c>
      <c r="I2554" s="2">
        <v>10</v>
      </c>
      <c r="J2554" s="2" t="s">
        <v>58</v>
      </c>
      <c r="K2554" s="2" t="s">
        <v>88</v>
      </c>
      <c r="L2554" s="2" t="s">
        <v>60</v>
      </c>
      <c r="M2554" s="2" t="s">
        <v>134</v>
      </c>
      <c r="N2554" s="2" t="s">
        <v>62</v>
      </c>
      <c r="O2554" s="2" t="s">
        <v>530</v>
      </c>
      <c r="P2554" s="2">
        <v>41</v>
      </c>
      <c r="Q2554" s="2" t="s">
        <v>50</v>
      </c>
      <c r="R2554" s="2" t="s">
        <v>111</v>
      </c>
      <c r="S2554" s="2">
        <v>108454</v>
      </c>
      <c r="T2554" s="2">
        <v>89392</v>
      </c>
      <c r="U2554" s="2">
        <v>19062</v>
      </c>
      <c r="V2554" s="2">
        <v>92260</v>
      </c>
      <c r="W2554" s="2">
        <v>1633</v>
      </c>
      <c r="X2554" s="2">
        <v>11400</v>
      </c>
      <c r="Y2554" s="2" t="s">
        <v>41</v>
      </c>
      <c r="Z2554" s="2">
        <v>59</v>
      </c>
      <c r="AA2554" s="2">
        <v>2.2000000000000002</v>
      </c>
      <c r="AB2554" s="2" t="s">
        <v>52</v>
      </c>
    </row>
    <row r="2555" spans="1:28" x14ac:dyDescent="0.25">
      <c r="A2555" s="4" t="s">
        <v>3363</v>
      </c>
      <c r="B2555" s="4" t="s">
        <v>1744</v>
      </c>
      <c r="C2555" s="4">
        <v>21</v>
      </c>
      <c r="D2555" s="4" t="s">
        <v>55</v>
      </c>
      <c r="E2555" s="4" t="s">
        <v>45</v>
      </c>
      <c r="F2555" s="4" t="s">
        <v>114</v>
      </c>
      <c r="G2555" s="5">
        <v>44631</v>
      </c>
      <c r="H2555" s="5">
        <v>44654</v>
      </c>
      <c r="I2555" s="4">
        <v>23</v>
      </c>
      <c r="J2555" s="4" t="s">
        <v>140</v>
      </c>
      <c r="K2555" s="4" t="s">
        <v>141</v>
      </c>
      <c r="L2555" s="4" t="s">
        <v>142</v>
      </c>
      <c r="M2555" s="4" t="s">
        <v>101</v>
      </c>
      <c r="N2555" s="4" t="s">
        <v>109</v>
      </c>
      <c r="O2555" s="4" t="s">
        <v>282</v>
      </c>
      <c r="P2555" s="4">
        <v>42</v>
      </c>
      <c r="Q2555" s="4" t="s">
        <v>103</v>
      </c>
      <c r="R2555" s="4" t="s">
        <v>136</v>
      </c>
      <c r="S2555" s="4">
        <v>169975</v>
      </c>
      <c r="T2555" s="4">
        <v>0</v>
      </c>
      <c r="U2555" s="4">
        <v>169975</v>
      </c>
      <c r="V2555" s="4">
        <v>138971</v>
      </c>
      <c r="W2555" s="4">
        <v>21799</v>
      </c>
      <c r="X2555" s="4">
        <v>7154</v>
      </c>
      <c r="Y2555" s="4" t="s">
        <v>41</v>
      </c>
      <c r="Z2555" s="4">
        <v>55</v>
      </c>
      <c r="AA2555" s="4">
        <v>4.8</v>
      </c>
      <c r="AB2555" s="4" t="s">
        <v>104</v>
      </c>
    </row>
    <row r="2556" spans="1:28" x14ac:dyDescent="0.25">
      <c r="A2556" s="2" t="s">
        <v>3364</v>
      </c>
      <c r="B2556" s="2" t="s">
        <v>388</v>
      </c>
      <c r="C2556" s="2">
        <v>37</v>
      </c>
      <c r="D2556" s="2" t="s">
        <v>30</v>
      </c>
      <c r="E2556" s="2" t="s">
        <v>122</v>
      </c>
      <c r="F2556" s="2" t="s">
        <v>150</v>
      </c>
      <c r="G2556" s="3">
        <v>44574</v>
      </c>
      <c r="H2556" s="3">
        <v>44596</v>
      </c>
      <c r="I2556" s="2">
        <v>22</v>
      </c>
      <c r="J2556" s="2" t="s">
        <v>140</v>
      </c>
      <c r="K2556" s="2" t="s">
        <v>167</v>
      </c>
      <c r="L2556" s="2" t="s">
        <v>142</v>
      </c>
      <c r="M2556" s="2" t="s">
        <v>95</v>
      </c>
      <c r="N2556" s="2" t="s">
        <v>62</v>
      </c>
      <c r="O2556" s="2" t="s">
        <v>343</v>
      </c>
      <c r="P2556" s="2">
        <v>311</v>
      </c>
      <c r="Q2556" s="2" t="s">
        <v>39</v>
      </c>
      <c r="R2556" s="2" t="s">
        <v>90</v>
      </c>
      <c r="S2556" s="2">
        <v>134407</v>
      </c>
      <c r="T2556" s="2">
        <v>116131</v>
      </c>
      <c r="U2556" s="2">
        <v>18276</v>
      </c>
      <c r="V2556" s="2">
        <v>119697</v>
      </c>
      <c r="W2556" s="2">
        <v>6259</v>
      </c>
      <c r="X2556" s="2">
        <v>7415</v>
      </c>
      <c r="Y2556" s="2" t="s">
        <v>91</v>
      </c>
      <c r="Z2556" s="2">
        <v>83</v>
      </c>
      <c r="AA2556" s="2">
        <v>4.5</v>
      </c>
      <c r="AB2556" s="2" t="s">
        <v>52</v>
      </c>
    </row>
    <row r="2557" spans="1:28" x14ac:dyDescent="0.25">
      <c r="A2557" s="4" t="s">
        <v>3365</v>
      </c>
      <c r="B2557" s="4" t="s">
        <v>2481</v>
      </c>
      <c r="C2557" s="4">
        <v>14</v>
      </c>
      <c r="D2557" s="4" t="s">
        <v>30</v>
      </c>
      <c r="E2557" s="4" t="s">
        <v>87</v>
      </c>
      <c r="F2557" s="4" t="s">
        <v>72</v>
      </c>
      <c r="G2557" s="5">
        <v>45375</v>
      </c>
      <c r="H2557" s="5">
        <v>45379</v>
      </c>
      <c r="I2557" s="4">
        <v>4</v>
      </c>
      <c r="J2557" s="4" t="s">
        <v>123</v>
      </c>
      <c r="K2557" s="4" t="s">
        <v>124</v>
      </c>
      <c r="L2557" s="4" t="s">
        <v>125</v>
      </c>
      <c r="M2557" s="4" t="s">
        <v>95</v>
      </c>
      <c r="N2557" s="4" t="s">
        <v>62</v>
      </c>
      <c r="O2557" s="4" t="s">
        <v>553</v>
      </c>
      <c r="P2557" s="4">
        <v>365</v>
      </c>
      <c r="Q2557" s="4" t="s">
        <v>103</v>
      </c>
      <c r="R2557" s="4" t="s">
        <v>136</v>
      </c>
      <c r="S2557" s="4">
        <v>127351</v>
      </c>
      <c r="T2557" s="4">
        <v>0</v>
      </c>
      <c r="U2557" s="4">
        <v>127351</v>
      </c>
      <c r="V2557" s="4">
        <v>92820</v>
      </c>
      <c r="W2557" s="4">
        <v>17568</v>
      </c>
      <c r="X2557" s="4">
        <v>13842</v>
      </c>
      <c r="Y2557" s="4" t="s">
        <v>41</v>
      </c>
      <c r="Z2557" s="4">
        <v>70</v>
      </c>
      <c r="AA2557" s="4">
        <v>3.8</v>
      </c>
      <c r="AB2557" s="4" t="s">
        <v>137</v>
      </c>
    </row>
    <row r="2558" spans="1:28" x14ac:dyDescent="0.25">
      <c r="A2558" s="2" t="s">
        <v>3366</v>
      </c>
      <c r="B2558" s="2" t="s">
        <v>86</v>
      </c>
      <c r="C2558" s="2">
        <v>15</v>
      </c>
      <c r="D2558" s="2" t="s">
        <v>30</v>
      </c>
      <c r="E2558" s="2" t="s">
        <v>67</v>
      </c>
      <c r="F2558" s="2" t="s">
        <v>94</v>
      </c>
      <c r="G2558" s="3">
        <v>44650</v>
      </c>
      <c r="H2558" s="3">
        <v>44670</v>
      </c>
      <c r="I2558" s="2">
        <v>20</v>
      </c>
      <c r="J2558" s="2" t="s">
        <v>115</v>
      </c>
      <c r="K2558" s="2" t="s">
        <v>116</v>
      </c>
      <c r="L2558" s="2" t="s">
        <v>117</v>
      </c>
      <c r="M2558" s="2" t="s">
        <v>36</v>
      </c>
      <c r="N2558" s="2" t="s">
        <v>62</v>
      </c>
      <c r="O2558" s="2" t="s">
        <v>259</v>
      </c>
      <c r="P2558" s="2">
        <v>491</v>
      </c>
      <c r="Q2558" s="2" t="s">
        <v>103</v>
      </c>
      <c r="R2558" s="2" t="s">
        <v>136</v>
      </c>
      <c r="S2558" s="2">
        <v>118837</v>
      </c>
      <c r="T2558" s="2">
        <v>0</v>
      </c>
      <c r="U2558" s="2">
        <v>118837</v>
      </c>
      <c r="V2558" s="2">
        <v>84362</v>
      </c>
      <c r="W2558" s="2">
        <v>24107</v>
      </c>
      <c r="X2558" s="2">
        <v>8278</v>
      </c>
      <c r="Y2558" s="2" t="s">
        <v>41</v>
      </c>
      <c r="Z2558" s="2">
        <v>45</v>
      </c>
      <c r="AA2558" s="2">
        <v>3.4</v>
      </c>
      <c r="AB2558" s="2" t="s">
        <v>137</v>
      </c>
    </row>
    <row r="2559" spans="1:28" x14ac:dyDescent="0.25">
      <c r="A2559" s="4" t="s">
        <v>3367</v>
      </c>
      <c r="B2559" s="4" t="s">
        <v>1007</v>
      </c>
      <c r="C2559" s="4">
        <v>42</v>
      </c>
      <c r="D2559" s="4" t="s">
        <v>30</v>
      </c>
      <c r="E2559" s="4" t="s">
        <v>87</v>
      </c>
      <c r="F2559" s="4" t="s">
        <v>46</v>
      </c>
      <c r="G2559" s="5">
        <v>45538</v>
      </c>
      <c r="H2559" s="5">
        <v>45568</v>
      </c>
      <c r="I2559" s="4">
        <v>30</v>
      </c>
      <c r="J2559" s="4" t="s">
        <v>33</v>
      </c>
      <c r="K2559" s="4" t="s">
        <v>107</v>
      </c>
      <c r="L2559" s="4" t="s">
        <v>48</v>
      </c>
      <c r="M2559" s="4" t="s">
        <v>108</v>
      </c>
      <c r="N2559" s="4" t="s">
        <v>62</v>
      </c>
      <c r="O2559" s="4" t="s">
        <v>673</v>
      </c>
      <c r="P2559" s="4">
        <v>378</v>
      </c>
      <c r="Q2559" s="4" t="s">
        <v>50</v>
      </c>
      <c r="R2559" s="4" t="s">
        <v>51</v>
      </c>
      <c r="S2559" s="4">
        <v>167673</v>
      </c>
      <c r="T2559" s="4">
        <v>94247</v>
      </c>
      <c r="U2559" s="4">
        <v>73426</v>
      </c>
      <c r="V2559" s="4">
        <v>138042</v>
      </c>
      <c r="W2559" s="4">
        <v>22949</v>
      </c>
      <c r="X2559" s="4">
        <v>3626</v>
      </c>
      <c r="Y2559" s="4" t="s">
        <v>41</v>
      </c>
      <c r="Z2559" s="4">
        <v>66</v>
      </c>
      <c r="AA2559" s="4">
        <v>2.9</v>
      </c>
      <c r="AB2559" s="4" t="s">
        <v>64</v>
      </c>
    </row>
    <row r="2560" spans="1:28" x14ac:dyDescent="0.25">
      <c r="A2560" s="2" t="s">
        <v>3368</v>
      </c>
      <c r="B2560" s="2" t="s">
        <v>452</v>
      </c>
      <c r="C2560" s="2">
        <v>64</v>
      </c>
      <c r="D2560" s="2" t="s">
        <v>30</v>
      </c>
      <c r="E2560" s="2" t="s">
        <v>79</v>
      </c>
      <c r="F2560" s="2" t="s">
        <v>157</v>
      </c>
      <c r="G2560" s="3">
        <v>44707</v>
      </c>
      <c r="H2560" s="3">
        <v>44731</v>
      </c>
      <c r="I2560" s="2">
        <v>24</v>
      </c>
      <c r="J2560" s="2" t="s">
        <v>33</v>
      </c>
      <c r="K2560" s="2" t="s">
        <v>47</v>
      </c>
      <c r="L2560" s="2" t="s">
        <v>48</v>
      </c>
      <c r="M2560" s="2" t="s">
        <v>95</v>
      </c>
      <c r="N2560" s="2" t="s">
        <v>109</v>
      </c>
      <c r="O2560" s="2" t="s">
        <v>189</v>
      </c>
      <c r="P2560" s="2">
        <v>27</v>
      </c>
      <c r="Q2560" s="2" t="s">
        <v>69</v>
      </c>
      <c r="R2560" s="2" t="s">
        <v>136</v>
      </c>
      <c r="S2560" s="2">
        <v>122324</v>
      </c>
      <c r="T2560" s="2">
        <v>0</v>
      </c>
      <c r="U2560" s="2">
        <v>122324</v>
      </c>
      <c r="V2560" s="2">
        <v>105352</v>
      </c>
      <c r="W2560" s="2">
        <v>6303</v>
      </c>
      <c r="X2560" s="2">
        <v>6885</v>
      </c>
      <c r="Y2560" s="2" t="s">
        <v>41</v>
      </c>
      <c r="Z2560" s="2">
        <v>79</v>
      </c>
      <c r="AA2560" s="2">
        <v>3.7</v>
      </c>
      <c r="AB2560" s="2" t="s">
        <v>104</v>
      </c>
    </row>
    <row r="2561" spans="1:28" x14ac:dyDescent="0.25">
      <c r="A2561" s="4" t="s">
        <v>3369</v>
      </c>
      <c r="B2561" s="4" t="s">
        <v>351</v>
      </c>
      <c r="C2561" s="4">
        <v>52</v>
      </c>
      <c r="D2561" s="4" t="s">
        <v>55</v>
      </c>
      <c r="E2561" s="4" t="s">
        <v>87</v>
      </c>
      <c r="F2561" s="4" t="s">
        <v>72</v>
      </c>
      <c r="G2561" s="5">
        <v>44868</v>
      </c>
      <c r="H2561" s="5">
        <v>44869</v>
      </c>
      <c r="I2561" s="4">
        <v>1</v>
      </c>
      <c r="J2561" s="4" t="s">
        <v>33</v>
      </c>
      <c r="K2561" s="4" t="s">
        <v>197</v>
      </c>
      <c r="L2561" s="4" t="s">
        <v>198</v>
      </c>
      <c r="M2561" s="4" t="s">
        <v>95</v>
      </c>
      <c r="N2561" s="4" t="s">
        <v>118</v>
      </c>
      <c r="O2561" s="4" t="s">
        <v>164</v>
      </c>
      <c r="P2561" s="4">
        <v>419</v>
      </c>
      <c r="Q2561" s="4" t="s">
        <v>69</v>
      </c>
      <c r="R2561" s="4" t="s">
        <v>111</v>
      </c>
      <c r="S2561" s="4">
        <v>110161</v>
      </c>
      <c r="T2561" s="4">
        <v>79307</v>
      </c>
      <c r="U2561" s="4">
        <v>30854</v>
      </c>
      <c r="V2561" s="4">
        <v>77767</v>
      </c>
      <c r="W2561" s="4">
        <v>24372</v>
      </c>
      <c r="X2561" s="4">
        <v>7202</v>
      </c>
      <c r="Y2561" s="4" t="s">
        <v>41</v>
      </c>
      <c r="Z2561" s="4">
        <v>80</v>
      </c>
      <c r="AA2561" s="4">
        <v>2.9</v>
      </c>
      <c r="AB2561" s="4" t="s">
        <v>64</v>
      </c>
    </row>
    <row r="2562" spans="1:28" x14ac:dyDescent="0.25">
      <c r="A2562" s="2" t="s">
        <v>3370</v>
      </c>
      <c r="B2562" s="2" t="s">
        <v>1360</v>
      </c>
      <c r="C2562" s="2">
        <v>35</v>
      </c>
      <c r="D2562" s="2" t="s">
        <v>30</v>
      </c>
      <c r="E2562" s="2" t="s">
        <v>45</v>
      </c>
      <c r="F2562" s="2" t="s">
        <v>80</v>
      </c>
      <c r="G2562" s="3">
        <v>44993</v>
      </c>
      <c r="H2562" s="3">
        <v>45010</v>
      </c>
      <c r="I2562" s="2">
        <v>17</v>
      </c>
      <c r="J2562" s="2" t="s">
        <v>202</v>
      </c>
      <c r="K2562" s="2" t="s">
        <v>225</v>
      </c>
      <c r="L2562" s="2" t="s">
        <v>226</v>
      </c>
      <c r="M2562" s="2" t="s">
        <v>61</v>
      </c>
      <c r="N2562" s="2" t="s">
        <v>109</v>
      </c>
      <c r="O2562" s="2" t="s">
        <v>161</v>
      </c>
      <c r="P2562" s="2">
        <v>298</v>
      </c>
      <c r="Q2562" s="2" t="s">
        <v>39</v>
      </c>
      <c r="R2562" s="2" t="s">
        <v>40</v>
      </c>
      <c r="S2562" s="2">
        <v>137506</v>
      </c>
      <c r="T2562" s="2">
        <v>68397</v>
      </c>
      <c r="U2562" s="2">
        <v>69109</v>
      </c>
      <c r="V2562" s="2">
        <v>98757</v>
      </c>
      <c r="W2562" s="2">
        <v>28883</v>
      </c>
      <c r="X2562" s="2">
        <v>5179</v>
      </c>
      <c r="Y2562" s="2" t="s">
        <v>41</v>
      </c>
      <c r="Z2562" s="2">
        <v>50</v>
      </c>
      <c r="AA2562" s="2">
        <v>3.5</v>
      </c>
      <c r="AB2562" s="2" t="s">
        <v>64</v>
      </c>
    </row>
    <row r="2563" spans="1:28" x14ac:dyDescent="0.25">
      <c r="A2563" s="4" t="s">
        <v>3371</v>
      </c>
      <c r="B2563" s="4" t="s">
        <v>1011</v>
      </c>
      <c r="C2563" s="4">
        <v>55</v>
      </c>
      <c r="D2563" s="4" t="s">
        <v>30</v>
      </c>
      <c r="E2563" s="4" t="s">
        <v>67</v>
      </c>
      <c r="F2563" s="4" t="s">
        <v>80</v>
      </c>
      <c r="G2563" s="5">
        <v>44987</v>
      </c>
      <c r="H2563" s="5">
        <v>44996</v>
      </c>
      <c r="I2563" s="4">
        <v>9</v>
      </c>
      <c r="J2563" s="4" t="s">
        <v>33</v>
      </c>
      <c r="K2563" s="4" t="s">
        <v>174</v>
      </c>
      <c r="L2563" s="4" t="s">
        <v>48</v>
      </c>
      <c r="M2563" s="4" t="s">
        <v>83</v>
      </c>
      <c r="N2563" s="4" t="s">
        <v>62</v>
      </c>
      <c r="O2563" s="4" t="s">
        <v>321</v>
      </c>
      <c r="P2563" s="4">
        <v>11</v>
      </c>
      <c r="Q2563" s="4" t="s">
        <v>69</v>
      </c>
      <c r="R2563" s="4" t="s">
        <v>40</v>
      </c>
      <c r="S2563" s="4">
        <v>150775</v>
      </c>
      <c r="T2563" s="4">
        <v>61196</v>
      </c>
      <c r="U2563" s="4">
        <v>89579</v>
      </c>
      <c r="V2563" s="4">
        <v>145753</v>
      </c>
      <c r="W2563" s="4">
        <v>3700</v>
      </c>
      <c r="X2563" s="4">
        <v>501</v>
      </c>
      <c r="Y2563" s="4" t="s">
        <v>41</v>
      </c>
      <c r="Z2563" s="4">
        <v>87</v>
      </c>
      <c r="AA2563" s="4">
        <v>3.3</v>
      </c>
      <c r="AB2563" s="4" t="s">
        <v>137</v>
      </c>
    </row>
    <row r="2564" spans="1:28" x14ac:dyDescent="0.25">
      <c r="A2564" s="2" t="s">
        <v>3372</v>
      </c>
      <c r="B2564" s="2" t="s">
        <v>418</v>
      </c>
      <c r="C2564" s="2">
        <v>64</v>
      </c>
      <c r="D2564" s="2" t="s">
        <v>55</v>
      </c>
      <c r="E2564" s="2" t="s">
        <v>67</v>
      </c>
      <c r="F2564" s="2" t="s">
        <v>46</v>
      </c>
      <c r="G2564" s="3">
        <v>45193</v>
      </c>
      <c r="H2564" s="3">
        <v>45216</v>
      </c>
      <c r="I2564" s="2">
        <v>23</v>
      </c>
      <c r="J2564" s="2" t="s">
        <v>33</v>
      </c>
      <c r="K2564" s="2" t="s">
        <v>233</v>
      </c>
      <c r="L2564" s="2" t="s">
        <v>35</v>
      </c>
      <c r="M2564" s="2" t="s">
        <v>36</v>
      </c>
      <c r="N2564" s="2" t="s">
        <v>37</v>
      </c>
      <c r="O2564" s="2" t="s">
        <v>331</v>
      </c>
      <c r="P2564" s="2">
        <v>356</v>
      </c>
      <c r="Q2564" s="2" t="s">
        <v>103</v>
      </c>
      <c r="R2564" s="2" t="s">
        <v>111</v>
      </c>
      <c r="S2564" s="2">
        <v>102570</v>
      </c>
      <c r="T2564" s="2">
        <v>90277</v>
      </c>
      <c r="U2564" s="2">
        <v>12293</v>
      </c>
      <c r="V2564" s="2">
        <v>95619</v>
      </c>
      <c r="W2564" s="2">
        <v>1115</v>
      </c>
      <c r="X2564" s="2">
        <v>2920</v>
      </c>
      <c r="Y2564" s="2" t="s">
        <v>41</v>
      </c>
      <c r="Z2564" s="2">
        <v>43</v>
      </c>
      <c r="AA2564" s="2">
        <v>4.3</v>
      </c>
      <c r="AB2564" s="2" t="s">
        <v>64</v>
      </c>
    </row>
    <row r="2565" spans="1:28" x14ac:dyDescent="0.25">
      <c r="A2565" s="4" t="s">
        <v>3373</v>
      </c>
      <c r="B2565" s="4" t="s">
        <v>1568</v>
      </c>
      <c r="C2565" s="4">
        <v>19</v>
      </c>
      <c r="D2565" s="4" t="s">
        <v>30</v>
      </c>
      <c r="E2565" s="4" t="s">
        <v>31</v>
      </c>
      <c r="F2565" s="4" t="s">
        <v>80</v>
      </c>
      <c r="G2565" s="5">
        <v>44977</v>
      </c>
      <c r="H2565" s="5">
        <v>44992</v>
      </c>
      <c r="I2565" s="4">
        <v>15</v>
      </c>
      <c r="J2565" s="4" t="s">
        <v>33</v>
      </c>
      <c r="K2565" s="4" t="s">
        <v>47</v>
      </c>
      <c r="L2565" s="4" t="s">
        <v>48</v>
      </c>
      <c r="M2565" s="4" t="s">
        <v>143</v>
      </c>
      <c r="N2565" s="4" t="s">
        <v>37</v>
      </c>
      <c r="O2565" s="4" t="s">
        <v>337</v>
      </c>
      <c r="P2565" s="4">
        <v>238</v>
      </c>
      <c r="Q2565" s="4" t="s">
        <v>103</v>
      </c>
      <c r="R2565" s="4" t="s">
        <v>111</v>
      </c>
      <c r="S2565" s="4">
        <v>54896</v>
      </c>
      <c r="T2565" s="4">
        <v>35182</v>
      </c>
      <c r="U2565" s="4">
        <v>19714</v>
      </c>
      <c r="V2565" s="4">
        <v>35474</v>
      </c>
      <c r="W2565" s="4">
        <v>13319</v>
      </c>
      <c r="X2565" s="4">
        <v>3239</v>
      </c>
      <c r="Y2565" s="4" t="s">
        <v>41</v>
      </c>
      <c r="Z2565" s="4">
        <v>52</v>
      </c>
      <c r="AA2565" s="4">
        <v>2.6</v>
      </c>
      <c r="AB2565" s="4" t="s">
        <v>104</v>
      </c>
    </row>
    <row r="2566" spans="1:28" x14ac:dyDescent="0.25">
      <c r="A2566" s="2" t="s">
        <v>3374</v>
      </c>
      <c r="B2566" s="2" t="s">
        <v>1018</v>
      </c>
      <c r="C2566" s="2">
        <v>65</v>
      </c>
      <c r="D2566" s="2" t="s">
        <v>55</v>
      </c>
      <c r="E2566" s="2" t="s">
        <v>56</v>
      </c>
      <c r="F2566" s="2" t="s">
        <v>150</v>
      </c>
      <c r="G2566" s="3">
        <v>45506</v>
      </c>
      <c r="H2566" s="3">
        <v>45531</v>
      </c>
      <c r="I2566" s="2">
        <v>25</v>
      </c>
      <c r="J2566" s="2" t="s">
        <v>58</v>
      </c>
      <c r="K2566" s="2" t="s">
        <v>59</v>
      </c>
      <c r="L2566" s="2" t="s">
        <v>60</v>
      </c>
      <c r="M2566" s="2" t="s">
        <v>108</v>
      </c>
      <c r="N2566" s="2" t="s">
        <v>62</v>
      </c>
      <c r="O2566" s="2" t="s">
        <v>358</v>
      </c>
      <c r="P2566" s="2">
        <v>152</v>
      </c>
      <c r="Q2566" s="2" t="s">
        <v>103</v>
      </c>
      <c r="R2566" s="2" t="s">
        <v>136</v>
      </c>
      <c r="S2566" s="2">
        <v>68490</v>
      </c>
      <c r="T2566" s="2">
        <v>0</v>
      </c>
      <c r="U2566" s="2">
        <v>68490</v>
      </c>
      <c r="V2566" s="2">
        <v>35692</v>
      </c>
      <c r="W2566" s="2">
        <v>16970</v>
      </c>
      <c r="X2566" s="2">
        <v>12679</v>
      </c>
      <c r="Y2566" s="2" t="s">
        <v>91</v>
      </c>
      <c r="Z2566" s="2">
        <v>75</v>
      </c>
      <c r="AA2566" s="2">
        <v>4.3</v>
      </c>
      <c r="AB2566" s="2" t="s">
        <v>64</v>
      </c>
    </row>
    <row r="2567" spans="1:28" x14ac:dyDescent="0.25">
      <c r="A2567" s="4" t="s">
        <v>3375</v>
      </c>
      <c r="B2567" s="4" t="s">
        <v>446</v>
      </c>
      <c r="C2567" s="4">
        <v>31</v>
      </c>
      <c r="D2567" s="4" t="s">
        <v>55</v>
      </c>
      <c r="E2567" s="4" t="s">
        <v>56</v>
      </c>
      <c r="F2567" s="4" t="s">
        <v>80</v>
      </c>
      <c r="G2567" s="5">
        <v>45025</v>
      </c>
      <c r="H2567" s="5">
        <v>45034</v>
      </c>
      <c r="I2567" s="4">
        <v>9</v>
      </c>
      <c r="J2567" s="4" t="s">
        <v>33</v>
      </c>
      <c r="K2567" s="4" t="s">
        <v>233</v>
      </c>
      <c r="L2567" s="4" t="s">
        <v>35</v>
      </c>
      <c r="M2567" s="4" t="s">
        <v>108</v>
      </c>
      <c r="N2567" s="4" t="s">
        <v>109</v>
      </c>
      <c r="O2567" s="4" t="s">
        <v>178</v>
      </c>
      <c r="P2567" s="4">
        <v>147</v>
      </c>
      <c r="Q2567" s="4" t="s">
        <v>69</v>
      </c>
      <c r="R2567" s="4" t="s">
        <v>90</v>
      </c>
      <c r="S2567" s="4">
        <v>86399</v>
      </c>
      <c r="T2567" s="4">
        <v>59568</v>
      </c>
      <c r="U2567" s="4">
        <v>26831</v>
      </c>
      <c r="V2567" s="4">
        <v>63007</v>
      </c>
      <c r="W2567" s="4">
        <v>15828</v>
      </c>
      <c r="X2567" s="4">
        <v>6208</v>
      </c>
      <c r="Y2567" s="4" t="s">
        <v>41</v>
      </c>
      <c r="Z2567" s="4">
        <v>75</v>
      </c>
      <c r="AA2567" s="4">
        <v>4.2</v>
      </c>
      <c r="AB2567" s="4" t="s">
        <v>137</v>
      </c>
    </row>
    <row r="2568" spans="1:28" x14ac:dyDescent="0.25">
      <c r="A2568" s="2" t="s">
        <v>3376</v>
      </c>
      <c r="B2568" s="2" t="s">
        <v>1169</v>
      </c>
      <c r="C2568" s="2">
        <v>72</v>
      </c>
      <c r="D2568" s="2" t="s">
        <v>55</v>
      </c>
      <c r="E2568" s="2" t="s">
        <v>31</v>
      </c>
      <c r="F2568" s="2" t="s">
        <v>72</v>
      </c>
      <c r="G2568" s="3">
        <v>45491</v>
      </c>
      <c r="H2568" s="3">
        <v>45513</v>
      </c>
      <c r="I2568" s="2">
        <v>22</v>
      </c>
      <c r="J2568" s="2" t="s">
        <v>115</v>
      </c>
      <c r="K2568" s="2" t="s">
        <v>160</v>
      </c>
      <c r="L2568" s="2" t="s">
        <v>117</v>
      </c>
      <c r="M2568" s="2" t="s">
        <v>83</v>
      </c>
      <c r="N2568" s="2" t="s">
        <v>37</v>
      </c>
      <c r="O2568" s="2" t="s">
        <v>208</v>
      </c>
      <c r="P2568" s="2">
        <v>416</v>
      </c>
      <c r="Q2568" s="2" t="s">
        <v>50</v>
      </c>
      <c r="R2568" s="2" t="s">
        <v>51</v>
      </c>
      <c r="S2568" s="2">
        <v>131253</v>
      </c>
      <c r="T2568" s="2">
        <v>88785</v>
      </c>
      <c r="U2568" s="2">
        <v>42468</v>
      </c>
      <c r="V2568" s="2">
        <v>113298</v>
      </c>
      <c r="W2568" s="2">
        <v>8059</v>
      </c>
      <c r="X2568" s="2">
        <v>6395</v>
      </c>
      <c r="Y2568" s="2" t="s">
        <v>41</v>
      </c>
      <c r="Z2568" s="2">
        <v>41</v>
      </c>
      <c r="AA2568" s="2">
        <v>2.2000000000000002</v>
      </c>
      <c r="AB2568" s="2" t="s">
        <v>104</v>
      </c>
    </row>
    <row r="2569" spans="1:28" x14ac:dyDescent="0.25">
      <c r="A2569" s="4" t="s">
        <v>3377</v>
      </c>
      <c r="B2569" s="4" t="s">
        <v>323</v>
      </c>
      <c r="C2569" s="4">
        <v>77</v>
      </c>
      <c r="D2569" s="4" t="s">
        <v>55</v>
      </c>
      <c r="E2569" s="4" t="s">
        <v>79</v>
      </c>
      <c r="F2569" s="4" t="s">
        <v>72</v>
      </c>
      <c r="G2569" s="5">
        <v>45274</v>
      </c>
      <c r="H2569" s="5">
        <v>45279</v>
      </c>
      <c r="I2569" s="4">
        <v>5</v>
      </c>
      <c r="J2569" s="4" t="s">
        <v>33</v>
      </c>
      <c r="K2569" s="4" t="s">
        <v>47</v>
      </c>
      <c r="L2569" s="4" t="s">
        <v>48</v>
      </c>
      <c r="M2569" s="4" t="s">
        <v>95</v>
      </c>
      <c r="N2569" s="4" t="s">
        <v>118</v>
      </c>
      <c r="O2569" s="4" t="s">
        <v>151</v>
      </c>
      <c r="P2569" s="4">
        <v>43</v>
      </c>
      <c r="Q2569" s="4" t="s">
        <v>103</v>
      </c>
      <c r="R2569" s="4" t="s">
        <v>136</v>
      </c>
      <c r="S2569" s="4">
        <v>112808</v>
      </c>
      <c r="T2569" s="4">
        <v>0</v>
      </c>
      <c r="U2569" s="4">
        <v>112808</v>
      </c>
      <c r="V2569" s="4">
        <v>76192</v>
      </c>
      <c r="W2569" s="4">
        <v>19653</v>
      </c>
      <c r="X2569" s="4">
        <v>12466</v>
      </c>
      <c r="Y2569" s="4" t="s">
        <v>91</v>
      </c>
      <c r="Z2569" s="4">
        <v>90</v>
      </c>
      <c r="AA2569" s="4">
        <v>4.9000000000000004</v>
      </c>
      <c r="AB2569" s="4" t="s">
        <v>52</v>
      </c>
    </row>
    <row r="2570" spans="1:28" x14ac:dyDescent="0.25">
      <c r="A2570" s="2" t="s">
        <v>3378</v>
      </c>
      <c r="B2570" s="2" t="s">
        <v>367</v>
      </c>
      <c r="C2570" s="2">
        <v>80</v>
      </c>
      <c r="D2570" s="2" t="s">
        <v>55</v>
      </c>
      <c r="E2570" s="2" t="s">
        <v>79</v>
      </c>
      <c r="F2570" s="2" t="s">
        <v>80</v>
      </c>
      <c r="G2570" s="3">
        <v>44864</v>
      </c>
      <c r="H2570" s="3">
        <v>44889</v>
      </c>
      <c r="I2570" s="2">
        <v>25</v>
      </c>
      <c r="J2570" s="2" t="s">
        <v>202</v>
      </c>
      <c r="K2570" s="2" t="s">
        <v>203</v>
      </c>
      <c r="L2570" s="2" t="s">
        <v>204</v>
      </c>
      <c r="M2570" s="2" t="s">
        <v>143</v>
      </c>
      <c r="N2570" s="2" t="s">
        <v>62</v>
      </c>
      <c r="O2570" s="2" t="s">
        <v>266</v>
      </c>
      <c r="P2570" s="2">
        <v>280</v>
      </c>
      <c r="Q2570" s="2" t="s">
        <v>103</v>
      </c>
      <c r="R2570" s="2" t="s">
        <v>90</v>
      </c>
      <c r="S2570" s="2">
        <v>135448</v>
      </c>
      <c r="T2570" s="2">
        <v>82170</v>
      </c>
      <c r="U2570" s="2">
        <v>53278</v>
      </c>
      <c r="V2570" s="2">
        <v>123499</v>
      </c>
      <c r="W2570" s="2">
        <v>3386</v>
      </c>
      <c r="X2570" s="2">
        <v>4545</v>
      </c>
      <c r="Y2570" s="2" t="s">
        <v>41</v>
      </c>
      <c r="Z2570" s="2">
        <v>48</v>
      </c>
      <c r="AA2570" s="2">
        <v>2.2000000000000002</v>
      </c>
      <c r="AB2570" s="2" t="s">
        <v>104</v>
      </c>
    </row>
    <row r="2571" spans="1:28" x14ac:dyDescent="0.25">
      <c r="A2571" s="4" t="s">
        <v>3379</v>
      </c>
      <c r="B2571" s="4" t="s">
        <v>454</v>
      </c>
      <c r="C2571" s="4">
        <v>9</v>
      </c>
      <c r="D2571" s="4" t="s">
        <v>30</v>
      </c>
      <c r="E2571" s="4" t="s">
        <v>67</v>
      </c>
      <c r="F2571" s="4" t="s">
        <v>94</v>
      </c>
      <c r="G2571" s="5">
        <v>45555</v>
      </c>
      <c r="H2571" s="5">
        <v>45575</v>
      </c>
      <c r="I2571" s="4">
        <v>20</v>
      </c>
      <c r="J2571" s="4" t="s">
        <v>33</v>
      </c>
      <c r="K2571" s="4" t="s">
        <v>174</v>
      </c>
      <c r="L2571" s="4" t="s">
        <v>48</v>
      </c>
      <c r="M2571" s="4" t="s">
        <v>143</v>
      </c>
      <c r="N2571" s="4" t="s">
        <v>62</v>
      </c>
      <c r="O2571" s="4" t="s">
        <v>38</v>
      </c>
      <c r="P2571" s="4">
        <v>270</v>
      </c>
      <c r="Q2571" s="4" t="s">
        <v>50</v>
      </c>
      <c r="R2571" s="4" t="s">
        <v>51</v>
      </c>
      <c r="S2571" s="4">
        <v>136767</v>
      </c>
      <c r="T2571" s="4">
        <v>68946</v>
      </c>
      <c r="U2571" s="4">
        <v>67821</v>
      </c>
      <c r="V2571" s="4">
        <v>118144</v>
      </c>
      <c r="W2571" s="4">
        <v>11279</v>
      </c>
      <c r="X2571" s="4">
        <v>5408</v>
      </c>
      <c r="Y2571" s="4" t="s">
        <v>41</v>
      </c>
      <c r="Z2571" s="4">
        <v>85</v>
      </c>
      <c r="AA2571" s="4">
        <v>3.3</v>
      </c>
      <c r="AB2571" s="4" t="s">
        <v>42</v>
      </c>
    </row>
    <row r="2572" spans="1:28" x14ac:dyDescent="0.25">
      <c r="A2572" s="2" t="s">
        <v>3380</v>
      </c>
      <c r="B2572" s="2" t="s">
        <v>170</v>
      </c>
      <c r="C2572" s="2">
        <v>28</v>
      </c>
      <c r="D2572" s="2" t="s">
        <v>55</v>
      </c>
      <c r="E2572" s="2" t="s">
        <v>122</v>
      </c>
      <c r="F2572" s="2" t="s">
        <v>80</v>
      </c>
      <c r="G2572" s="3">
        <v>45107</v>
      </c>
      <c r="H2572" s="3">
        <v>45117</v>
      </c>
      <c r="I2572" s="2">
        <v>10</v>
      </c>
      <c r="J2572" s="2" t="s">
        <v>33</v>
      </c>
      <c r="K2572" s="2" t="s">
        <v>34</v>
      </c>
      <c r="L2572" s="2" t="s">
        <v>35</v>
      </c>
      <c r="M2572" s="2" t="s">
        <v>36</v>
      </c>
      <c r="N2572" s="2" t="s">
        <v>62</v>
      </c>
      <c r="O2572" s="2" t="s">
        <v>68</v>
      </c>
      <c r="P2572" s="2">
        <v>255</v>
      </c>
      <c r="Q2572" s="2" t="s">
        <v>39</v>
      </c>
      <c r="R2572" s="2" t="s">
        <v>51</v>
      </c>
      <c r="S2572" s="2">
        <v>71868</v>
      </c>
      <c r="T2572" s="2">
        <v>45005</v>
      </c>
      <c r="U2572" s="2">
        <v>26863</v>
      </c>
      <c r="V2572" s="2">
        <v>42634</v>
      </c>
      <c r="W2572" s="2">
        <v>21317</v>
      </c>
      <c r="X2572" s="2">
        <v>4047</v>
      </c>
      <c r="Y2572" s="2" t="s">
        <v>41</v>
      </c>
      <c r="Z2572" s="2">
        <v>69</v>
      </c>
      <c r="AA2572" s="2">
        <v>5</v>
      </c>
      <c r="AB2572" s="2" t="s">
        <v>137</v>
      </c>
    </row>
    <row r="2573" spans="1:28" x14ac:dyDescent="0.25">
      <c r="A2573" s="4" t="s">
        <v>3381</v>
      </c>
      <c r="B2573" s="4" t="s">
        <v>93</v>
      </c>
      <c r="C2573" s="4">
        <v>68</v>
      </c>
      <c r="D2573" s="4" t="s">
        <v>55</v>
      </c>
      <c r="E2573" s="4" t="s">
        <v>31</v>
      </c>
      <c r="F2573" s="4" t="s">
        <v>80</v>
      </c>
      <c r="G2573" s="5">
        <v>45636</v>
      </c>
      <c r="H2573" s="5">
        <v>45657</v>
      </c>
      <c r="I2573" s="4">
        <v>21</v>
      </c>
      <c r="J2573" s="4" t="s">
        <v>115</v>
      </c>
      <c r="K2573" s="4" t="s">
        <v>160</v>
      </c>
      <c r="L2573" s="4" t="s">
        <v>117</v>
      </c>
      <c r="M2573" s="4" t="s">
        <v>101</v>
      </c>
      <c r="N2573" s="4" t="s">
        <v>118</v>
      </c>
      <c r="O2573" s="4" t="s">
        <v>178</v>
      </c>
      <c r="P2573" s="4">
        <v>449</v>
      </c>
      <c r="Q2573" s="4" t="s">
        <v>50</v>
      </c>
      <c r="R2573" s="4" t="s">
        <v>40</v>
      </c>
      <c r="S2573" s="4">
        <v>42791</v>
      </c>
      <c r="T2573" s="4">
        <v>17414</v>
      </c>
      <c r="U2573" s="4">
        <v>25377</v>
      </c>
      <c r="V2573" s="4">
        <v>19256</v>
      </c>
      <c r="W2573" s="4">
        <v>10966</v>
      </c>
      <c r="X2573" s="4">
        <v>8112</v>
      </c>
      <c r="Y2573" s="4" t="s">
        <v>41</v>
      </c>
      <c r="Z2573" s="4">
        <v>52</v>
      </c>
      <c r="AA2573" s="4">
        <v>4.0999999999999996</v>
      </c>
      <c r="AB2573" s="4" t="s">
        <v>137</v>
      </c>
    </row>
    <row r="2574" spans="1:28" x14ac:dyDescent="0.25">
      <c r="A2574" s="2" t="s">
        <v>3382</v>
      </c>
      <c r="B2574" s="2" t="s">
        <v>170</v>
      </c>
      <c r="C2574" s="2">
        <v>64</v>
      </c>
      <c r="D2574" s="2" t="s">
        <v>55</v>
      </c>
      <c r="E2574" s="2" t="s">
        <v>154</v>
      </c>
      <c r="F2574" s="2" t="s">
        <v>80</v>
      </c>
      <c r="G2574" s="3">
        <v>45264</v>
      </c>
      <c r="H2574" s="3">
        <v>45271</v>
      </c>
      <c r="I2574" s="2">
        <v>7</v>
      </c>
      <c r="J2574" s="2" t="s">
        <v>33</v>
      </c>
      <c r="K2574" s="2" t="s">
        <v>99</v>
      </c>
      <c r="L2574" s="2" t="s">
        <v>100</v>
      </c>
      <c r="M2574" s="2" t="s">
        <v>83</v>
      </c>
      <c r="N2574" s="2" t="s">
        <v>118</v>
      </c>
      <c r="O2574" s="2" t="s">
        <v>266</v>
      </c>
      <c r="P2574" s="2">
        <v>120</v>
      </c>
      <c r="Q2574" s="2" t="s">
        <v>39</v>
      </c>
      <c r="R2574" s="2" t="s">
        <v>111</v>
      </c>
      <c r="S2574" s="2">
        <v>82512</v>
      </c>
      <c r="T2574" s="2">
        <v>50952</v>
      </c>
      <c r="U2574" s="2">
        <v>31560</v>
      </c>
      <c r="V2574" s="2">
        <v>47281</v>
      </c>
      <c r="W2574" s="2">
        <v>29380</v>
      </c>
      <c r="X2574" s="2">
        <v>2588</v>
      </c>
      <c r="Y2574" s="2" t="s">
        <v>41</v>
      </c>
      <c r="Z2574" s="2">
        <v>53</v>
      </c>
      <c r="AA2574" s="2">
        <v>2.9</v>
      </c>
      <c r="AB2574" s="2" t="s">
        <v>64</v>
      </c>
    </row>
    <row r="2575" spans="1:28" x14ac:dyDescent="0.25">
      <c r="A2575" s="4" t="s">
        <v>3383</v>
      </c>
      <c r="B2575" s="4" t="s">
        <v>852</v>
      </c>
      <c r="C2575" s="4">
        <v>22</v>
      </c>
      <c r="D2575" s="4" t="s">
        <v>55</v>
      </c>
      <c r="E2575" s="4" t="s">
        <v>122</v>
      </c>
      <c r="F2575" s="4" t="s">
        <v>157</v>
      </c>
      <c r="G2575" s="5">
        <v>45094</v>
      </c>
      <c r="H2575" s="5">
        <v>45123</v>
      </c>
      <c r="I2575" s="4">
        <v>29</v>
      </c>
      <c r="J2575" s="4" t="s">
        <v>33</v>
      </c>
      <c r="K2575" s="4" t="s">
        <v>81</v>
      </c>
      <c r="L2575" s="4" t="s">
        <v>82</v>
      </c>
      <c r="M2575" s="4" t="s">
        <v>108</v>
      </c>
      <c r="N2575" s="4" t="s">
        <v>37</v>
      </c>
      <c r="O2575" s="4" t="s">
        <v>497</v>
      </c>
      <c r="P2575" s="4">
        <v>128</v>
      </c>
      <c r="Q2575" s="4" t="s">
        <v>69</v>
      </c>
      <c r="R2575" s="4" t="s">
        <v>51</v>
      </c>
      <c r="S2575" s="4">
        <v>122417</v>
      </c>
      <c r="T2575" s="4">
        <v>68851</v>
      </c>
      <c r="U2575" s="4">
        <v>53566</v>
      </c>
      <c r="V2575" s="4">
        <v>90649</v>
      </c>
      <c r="W2575" s="4">
        <v>25236</v>
      </c>
      <c r="X2575" s="4">
        <v>5335</v>
      </c>
      <c r="Y2575" s="4" t="s">
        <v>41</v>
      </c>
      <c r="Z2575" s="4">
        <v>43</v>
      </c>
      <c r="AA2575" s="4">
        <v>2.6</v>
      </c>
      <c r="AB2575" s="4" t="s">
        <v>137</v>
      </c>
    </row>
    <row r="2576" spans="1:28" x14ac:dyDescent="0.25">
      <c r="A2576" s="2" t="s">
        <v>3384</v>
      </c>
      <c r="B2576" s="2" t="s">
        <v>1018</v>
      </c>
      <c r="C2576" s="2">
        <v>20</v>
      </c>
      <c r="D2576" s="2" t="s">
        <v>55</v>
      </c>
      <c r="E2576" s="2" t="s">
        <v>79</v>
      </c>
      <c r="F2576" s="2" t="s">
        <v>46</v>
      </c>
      <c r="G2576" s="3">
        <v>45005</v>
      </c>
      <c r="H2576" s="3">
        <v>45012</v>
      </c>
      <c r="I2576" s="2">
        <v>7</v>
      </c>
      <c r="J2576" s="2" t="s">
        <v>33</v>
      </c>
      <c r="K2576" s="2" t="s">
        <v>197</v>
      </c>
      <c r="L2576" s="2" t="s">
        <v>198</v>
      </c>
      <c r="M2576" s="2" t="s">
        <v>130</v>
      </c>
      <c r="N2576" s="2" t="s">
        <v>62</v>
      </c>
      <c r="O2576" s="2" t="s">
        <v>131</v>
      </c>
      <c r="P2576" s="2">
        <v>459</v>
      </c>
      <c r="Q2576" s="2" t="s">
        <v>39</v>
      </c>
      <c r="R2576" s="2" t="s">
        <v>136</v>
      </c>
      <c r="S2576" s="2">
        <v>52349</v>
      </c>
      <c r="T2576" s="2">
        <v>0</v>
      </c>
      <c r="U2576" s="2">
        <v>52349</v>
      </c>
      <c r="V2576" s="2">
        <v>15754</v>
      </c>
      <c r="W2576" s="2">
        <v>22745</v>
      </c>
      <c r="X2576" s="2">
        <v>10001</v>
      </c>
      <c r="Y2576" s="2" t="s">
        <v>41</v>
      </c>
      <c r="Z2576" s="2">
        <v>43</v>
      </c>
      <c r="AA2576" s="2">
        <v>4.2</v>
      </c>
      <c r="AB2576" s="2" t="s">
        <v>137</v>
      </c>
    </row>
    <row r="2577" spans="1:28" x14ac:dyDescent="0.25">
      <c r="A2577" s="4" t="s">
        <v>3385</v>
      </c>
      <c r="B2577" s="4" t="s">
        <v>2902</v>
      </c>
      <c r="C2577" s="4">
        <v>69</v>
      </c>
      <c r="D2577" s="4" t="s">
        <v>30</v>
      </c>
      <c r="E2577" s="4" t="s">
        <v>67</v>
      </c>
      <c r="F2577" s="4" t="s">
        <v>80</v>
      </c>
      <c r="G2577" s="5">
        <v>45232</v>
      </c>
      <c r="H2577" s="5">
        <v>45249</v>
      </c>
      <c r="I2577" s="4">
        <v>17</v>
      </c>
      <c r="J2577" s="4" t="s">
        <v>58</v>
      </c>
      <c r="K2577" s="4" t="s">
        <v>59</v>
      </c>
      <c r="L2577" s="4" t="s">
        <v>60</v>
      </c>
      <c r="M2577" s="4" t="s">
        <v>143</v>
      </c>
      <c r="N2577" s="4" t="s">
        <v>118</v>
      </c>
      <c r="O2577" s="4" t="s">
        <v>331</v>
      </c>
      <c r="P2577" s="4">
        <v>226</v>
      </c>
      <c r="Q2577" s="4" t="s">
        <v>103</v>
      </c>
      <c r="R2577" s="4" t="s">
        <v>51</v>
      </c>
      <c r="S2577" s="4">
        <v>123005</v>
      </c>
      <c r="T2577" s="4">
        <v>74779</v>
      </c>
      <c r="U2577" s="4">
        <v>48226</v>
      </c>
      <c r="V2577" s="4">
        <v>97187</v>
      </c>
      <c r="W2577" s="4">
        <v>16321</v>
      </c>
      <c r="X2577" s="4">
        <v>5997</v>
      </c>
      <c r="Y2577" s="4" t="s">
        <v>41</v>
      </c>
      <c r="Z2577" s="4">
        <v>96</v>
      </c>
      <c r="AA2577" s="4">
        <v>2.9</v>
      </c>
      <c r="AB2577" s="4" t="s">
        <v>64</v>
      </c>
    </row>
    <row r="2578" spans="1:28" x14ac:dyDescent="0.25">
      <c r="A2578" s="2" t="s">
        <v>3386</v>
      </c>
      <c r="B2578" s="2" t="s">
        <v>1744</v>
      </c>
      <c r="C2578" s="2">
        <v>68</v>
      </c>
      <c r="D2578" s="2" t="s">
        <v>30</v>
      </c>
      <c r="E2578" s="2" t="s">
        <v>45</v>
      </c>
      <c r="F2578" s="2" t="s">
        <v>57</v>
      </c>
      <c r="G2578" s="3">
        <v>44739</v>
      </c>
      <c r="H2578" s="3">
        <v>44759</v>
      </c>
      <c r="I2578" s="2">
        <v>20</v>
      </c>
      <c r="J2578" s="2" t="s">
        <v>115</v>
      </c>
      <c r="K2578" s="2" t="s">
        <v>160</v>
      </c>
      <c r="L2578" s="2" t="s">
        <v>117</v>
      </c>
      <c r="M2578" s="2" t="s">
        <v>95</v>
      </c>
      <c r="N2578" s="2" t="s">
        <v>109</v>
      </c>
      <c r="O2578" s="2" t="s">
        <v>448</v>
      </c>
      <c r="P2578" s="2">
        <v>160</v>
      </c>
      <c r="Q2578" s="2" t="s">
        <v>50</v>
      </c>
      <c r="R2578" s="2" t="s">
        <v>40</v>
      </c>
      <c r="S2578" s="2">
        <v>96334</v>
      </c>
      <c r="T2578" s="2">
        <v>41140</v>
      </c>
      <c r="U2578" s="2">
        <v>55194</v>
      </c>
      <c r="V2578" s="2">
        <v>54027</v>
      </c>
      <c r="W2578" s="2">
        <v>26003</v>
      </c>
      <c r="X2578" s="2">
        <v>14387</v>
      </c>
      <c r="Y2578" s="2" t="s">
        <v>41</v>
      </c>
      <c r="Z2578" s="2">
        <v>79</v>
      </c>
      <c r="AA2578" s="2">
        <v>4.9000000000000004</v>
      </c>
      <c r="AB2578" s="2" t="s">
        <v>52</v>
      </c>
    </row>
    <row r="2579" spans="1:28" x14ac:dyDescent="0.25">
      <c r="A2579" s="4" t="s">
        <v>3387</v>
      </c>
      <c r="B2579" s="4" t="s">
        <v>1495</v>
      </c>
      <c r="C2579" s="4">
        <v>70</v>
      </c>
      <c r="D2579" s="4" t="s">
        <v>55</v>
      </c>
      <c r="E2579" s="4" t="s">
        <v>79</v>
      </c>
      <c r="F2579" s="4" t="s">
        <v>72</v>
      </c>
      <c r="G2579" s="5">
        <v>45483</v>
      </c>
      <c r="H2579" s="5">
        <v>45486</v>
      </c>
      <c r="I2579" s="4">
        <v>3</v>
      </c>
      <c r="J2579" s="4" t="s">
        <v>58</v>
      </c>
      <c r="K2579" s="4" t="s">
        <v>59</v>
      </c>
      <c r="L2579" s="4" t="s">
        <v>60</v>
      </c>
      <c r="M2579" s="4" t="s">
        <v>130</v>
      </c>
      <c r="N2579" s="4" t="s">
        <v>109</v>
      </c>
      <c r="O2579" s="4" t="s">
        <v>416</v>
      </c>
      <c r="P2579" s="4">
        <v>452</v>
      </c>
      <c r="Q2579" s="4" t="s">
        <v>103</v>
      </c>
      <c r="R2579" s="4" t="s">
        <v>111</v>
      </c>
      <c r="S2579" s="4">
        <v>73689</v>
      </c>
      <c r="T2579" s="4">
        <v>45335</v>
      </c>
      <c r="U2579" s="4">
        <v>28354</v>
      </c>
      <c r="V2579" s="4">
        <v>62779</v>
      </c>
      <c r="W2579" s="4">
        <v>4938</v>
      </c>
      <c r="X2579" s="4">
        <v>3396</v>
      </c>
      <c r="Y2579" s="4" t="s">
        <v>41</v>
      </c>
      <c r="Z2579" s="4">
        <v>73</v>
      </c>
      <c r="AA2579" s="4">
        <v>3.1</v>
      </c>
      <c r="AB2579" s="4" t="s">
        <v>64</v>
      </c>
    </row>
    <row r="2580" spans="1:28" x14ac:dyDescent="0.25">
      <c r="A2580" s="2" t="s">
        <v>3388</v>
      </c>
      <c r="B2580" s="2" t="s">
        <v>170</v>
      </c>
      <c r="C2580" s="2">
        <v>34</v>
      </c>
      <c r="D2580" s="2" t="s">
        <v>55</v>
      </c>
      <c r="E2580" s="2" t="s">
        <v>87</v>
      </c>
      <c r="F2580" s="2" t="s">
        <v>80</v>
      </c>
      <c r="G2580" s="3">
        <v>45281</v>
      </c>
      <c r="H2580" s="3">
        <v>45288</v>
      </c>
      <c r="I2580" s="2">
        <v>7</v>
      </c>
      <c r="J2580" s="2" t="s">
        <v>115</v>
      </c>
      <c r="K2580" s="2" t="s">
        <v>160</v>
      </c>
      <c r="L2580" s="2" t="s">
        <v>117</v>
      </c>
      <c r="M2580" s="2" t="s">
        <v>61</v>
      </c>
      <c r="N2580" s="2" t="s">
        <v>118</v>
      </c>
      <c r="O2580" s="2" t="s">
        <v>189</v>
      </c>
      <c r="P2580" s="2">
        <v>333</v>
      </c>
      <c r="Q2580" s="2" t="s">
        <v>103</v>
      </c>
      <c r="R2580" s="2" t="s">
        <v>40</v>
      </c>
      <c r="S2580" s="2">
        <v>68209</v>
      </c>
      <c r="T2580" s="2">
        <v>33837</v>
      </c>
      <c r="U2580" s="2">
        <v>34372</v>
      </c>
      <c r="V2580" s="2">
        <v>21356</v>
      </c>
      <c r="W2580" s="2">
        <v>29615</v>
      </c>
      <c r="X2580" s="2">
        <v>13180</v>
      </c>
      <c r="Y2580" s="2" t="s">
        <v>41</v>
      </c>
      <c r="Z2580" s="2">
        <v>72</v>
      </c>
      <c r="AA2580" s="2">
        <v>2.4</v>
      </c>
      <c r="AB2580" s="2" t="s">
        <v>137</v>
      </c>
    </row>
    <row r="2581" spans="1:28" x14ac:dyDescent="0.25">
      <c r="A2581" s="4" t="s">
        <v>3389</v>
      </c>
      <c r="B2581" s="4" t="s">
        <v>550</v>
      </c>
      <c r="C2581" s="4">
        <v>85</v>
      </c>
      <c r="D2581" s="4" t="s">
        <v>30</v>
      </c>
      <c r="E2581" s="4" t="s">
        <v>56</v>
      </c>
      <c r="F2581" s="4" t="s">
        <v>80</v>
      </c>
      <c r="G2581" s="5">
        <v>45564</v>
      </c>
      <c r="H2581" s="5">
        <v>45572</v>
      </c>
      <c r="I2581" s="4">
        <v>8</v>
      </c>
      <c r="J2581" s="4" t="s">
        <v>123</v>
      </c>
      <c r="K2581" s="4" t="s">
        <v>251</v>
      </c>
      <c r="L2581" s="4" t="s">
        <v>125</v>
      </c>
      <c r="M2581" s="4" t="s">
        <v>83</v>
      </c>
      <c r="N2581" s="4" t="s">
        <v>118</v>
      </c>
      <c r="O2581" s="4" t="s">
        <v>205</v>
      </c>
      <c r="P2581" s="4">
        <v>471</v>
      </c>
      <c r="Q2581" s="4" t="s">
        <v>50</v>
      </c>
      <c r="R2581" s="4" t="s">
        <v>136</v>
      </c>
      <c r="S2581" s="4">
        <v>69048</v>
      </c>
      <c r="T2581" s="4">
        <v>0</v>
      </c>
      <c r="U2581" s="4">
        <v>69048</v>
      </c>
      <c r="V2581" s="4">
        <v>38261</v>
      </c>
      <c r="W2581" s="4">
        <v>19569</v>
      </c>
      <c r="X2581" s="4">
        <v>9085</v>
      </c>
      <c r="Y2581" s="4" t="s">
        <v>41</v>
      </c>
      <c r="Z2581" s="4">
        <v>69</v>
      </c>
      <c r="AA2581" s="4">
        <v>3.2</v>
      </c>
      <c r="AB2581" s="4" t="s">
        <v>42</v>
      </c>
    </row>
    <row r="2582" spans="1:28" x14ac:dyDescent="0.25">
      <c r="A2582" s="2" t="s">
        <v>3390</v>
      </c>
      <c r="B2582" s="2" t="s">
        <v>996</v>
      </c>
      <c r="C2582" s="2">
        <v>45</v>
      </c>
      <c r="D2582" s="2" t="s">
        <v>55</v>
      </c>
      <c r="E2582" s="2" t="s">
        <v>45</v>
      </c>
      <c r="F2582" s="2" t="s">
        <v>114</v>
      </c>
      <c r="G2582" s="3">
        <v>44722</v>
      </c>
      <c r="H2582" s="3">
        <v>44726</v>
      </c>
      <c r="I2582" s="2">
        <v>4</v>
      </c>
      <c r="J2582" s="2" t="s">
        <v>58</v>
      </c>
      <c r="K2582" s="2" t="s">
        <v>88</v>
      </c>
      <c r="L2582" s="2" t="s">
        <v>60</v>
      </c>
      <c r="M2582" s="2" t="s">
        <v>95</v>
      </c>
      <c r="N2582" s="2" t="s">
        <v>62</v>
      </c>
      <c r="O2582" s="2" t="s">
        <v>631</v>
      </c>
      <c r="P2582" s="2">
        <v>477</v>
      </c>
      <c r="Q2582" s="2" t="s">
        <v>50</v>
      </c>
      <c r="R2582" s="2" t="s">
        <v>51</v>
      </c>
      <c r="S2582" s="2">
        <v>167371</v>
      </c>
      <c r="T2582" s="2">
        <v>87104</v>
      </c>
      <c r="U2582" s="2">
        <v>80267</v>
      </c>
      <c r="V2582" s="2">
        <v>147870</v>
      </c>
      <c r="W2582" s="2">
        <v>5018</v>
      </c>
      <c r="X2582" s="2">
        <v>9714</v>
      </c>
      <c r="Y2582" s="2" t="s">
        <v>41</v>
      </c>
      <c r="Z2582" s="2">
        <v>95</v>
      </c>
      <c r="AA2582" s="2">
        <v>3.1</v>
      </c>
      <c r="AB2582" s="2" t="s">
        <v>104</v>
      </c>
    </row>
    <row r="2583" spans="1:28" x14ac:dyDescent="0.25">
      <c r="A2583" s="4" t="s">
        <v>3391</v>
      </c>
      <c r="B2583" s="4" t="s">
        <v>879</v>
      </c>
      <c r="C2583" s="4">
        <v>76</v>
      </c>
      <c r="D2583" s="4" t="s">
        <v>55</v>
      </c>
      <c r="E2583" s="4" t="s">
        <v>56</v>
      </c>
      <c r="F2583" s="4" t="s">
        <v>150</v>
      </c>
      <c r="G2583" s="5">
        <v>44709</v>
      </c>
      <c r="H2583" s="5">
        <v>44733</v>
      </c>
      <c r="I2583" s="4">
        <v>24</v>
      </c>
      <c r="J2583" s="4" t="s">
        <v>202</v>
      </c>
      <c r="K2583" s="4" t="s">
        <v>225</v>
      </c>
      <c r="L2583" s="4" t="s">
        <v>226</v>
      </c>
      <c r="M2583" s="4" t="s">
        <v>143</v>
      </c>
      <c r="N2583" s="4" t="s">
        <v>37</v>
      </c>
      <c r="O2583" s="4" t="s">
        <v>396</v>
      </c>
      <c r="P2583" s="4">
        <v>374</v>
      </c>
      <c r="Q2583" s="4" t="s">
        <v>39</v>
      </c>
      <c r="R2583" s="4" t="s">
        <v>111</v>
      </c>
      <c r="S2583" s="4">
        <v>158386</v>
      </c>
      <c r="T2583" s="4">
        <v>111953</v>
      </c>
      <c r="U2583" s="4">
        <v>46433</v>
      </c>
      <c r="V2583" s="4">
        <v>137910</v>
      </c>
      <c r="W2583" s="4">
        <v>8005</v>
      </c>
      <c r="X2583" s="4">
        <v>11014</v>
      </c>
      <c r="Y2583" s="4" t="s">
        <v>41</v>
      </c>
      <c r="Z2583" s="4">
        <v>81</v>
      </c>
      <c r="AA2583" s="4">
        <v>4.5999999999999996</v>
      </c>
      <c r="AB2583" s="4" t="s">
        <v>64</v>
      </c>
    </row>
    <row r="2584" spans="1:28" x14ac:dyDescent="0.25">
      <c r="A2584" s="2" t="s">
        <v>3392</v>
      </c>
      <c r="B2584" s="2" t="s">
        <v>106</v>
      </c>
      <c r="C2584" s="2">
        <v>11</v>
      </c>
      <c r="D2584" s="2" t="s">
        <v>30</v>
      </c>
      <c r="E2584" s="2" t="s">
        <v>56</v>
      </c>
      <c r="F2584" s="2" t="s">
        <v>157</v>
      </c>
      <c r="G2584" s="3">
        <v>45388</v>
      </c>
      <c r="H2584" s="3">
        <v>45408</v>
      </c>
      <c r="I2584" s="2">
        <v>20</v>
      </c>
      <c r="J2584" s="2" t="s">
        <v>33</v>
      </c>
      <c r="K2584" s="2" t="s">
        <v>174</v>
      </c>
      <c r="L2584" s="2" t="s">
        <v>48</v>
      </c>
      <c r="M2584" s="2" t="s">
        <v>101</v>
      </c>
      <c r="N2584" s="2" t="s">
        <v>62</v>
      </c>
      <c r="O2584" s="2" t="s">
        <v>461</v>
      </c>
      <c r="P2584" s="2">
        <v>127</v>
      </c>
      <c r="Q2584" s="2" t="s">
        <v>50</v>
      </c>
      <c r="R2584" s="2" t="s">
        <v>40</v>
      </c>
      <c r="S2584" s="2">
        <v>152069</v>
      </c>
      <c r="T2584" s="2">
        <v>94333</v>
      </c>
      <c r="U2584" s="2">
        <v>57736</v>
      </c>
      <c r="V2584" s="2">
        <v>111288</v>
      </c>
      <c r="W2584" s="2">
        <v>29715</v>
      </c>
      <c r="X2584" s="2">
        <v>9539</v>
      </c>
      <c r="Y2584" s="2" t="s">
        <v>41</v>
      </c>
      <c r="Z2584" s="2">
        <v>78</v>
      </c>
      <c r="AA2584" s="2">
        <v>4.5</v>
      </c>
      <c r="AB2584" s="2" t="s">
        <v>52</v>
      </c>
    </row>
    <row r="2585" spans="1:28" x14ac:dyDescent="0.25">
      <c r="A2585" s="4" t="s">
        <v>3393</v>
      </c>
      <c r="B2585" s="4" t="s">
        <v>281</v>
      </c>
      <c r="C2585" s="4">
        <v>15</v>
      </c>
      <c r="D2585" s="4" t="s">
        <v>55</v>
      </c>
      <c r="E2585" s="4" t="s">
        <v>154</v>
      </c>
      <c r="F2585" s="4" t="s">
        <v>32</v>
      </c>
      <c r="G2585" s="5">
        <v>44916</v>
      </c>
      <c r="H2585" s="5">
        <v>44932</v>
      </c>
      <c r="I2585" s="4">
        <v>16</v>
      </c>
      <c r="J2585" s="4" t="s">
        <v>33</v>
      </c>
      <c r="K2585" s="4" t="s">
        <v>34</v>
      </c>
      <c r="L2585" s="4" t="s">
        <v>35</v>
      </c>
      <c r="M2585" s="4" t="s">
        <v>83</v>
      </c>
      <c r="N2585" s="4" t="s">
        <v>109</v>
      </c>
      <c r="O2585" s="4" t="s">
        <v>406</v>
      </c>
      <c r="P2585" s="4">
        <v>487</v>
      </c>
      <c r="Q2585" s="4" t="s">
        <v>103</v>
      </c>
      <c r="R2585" s="4" t="s">
        <v>136</v>
      </c>
      <c r="S2585" s="4">
        <v>52599</v>
      </c>
      <c r="T2585" s="4">
        <v>0</v>
      </c>
      <c r="U2585" s="4">
        <v>52599</v>
      </c>
      <c r="V2585" s="4">
        <v>41723</v>
      </c>
      <c r="W2585" s="4">
        <v>4946</v>
      </c>
      <c r="X2585" s="4">
        <v>3464</v>
      </c>
      <c r="Y2585" s="4" t="s">
        <v>41</v>
      </c>
      <c r="Z2585" s="4">
        <v>91</v>
      </c>
      <c r="AA2585" s="4">
        <v>4.9000000000000004</v>
      </c>
      <c r="AB2585" s="4" t="s">
        <v>52</v>
      </c>
    </row>
    <row r="2586" spans="1:28" x14ac:dyDescent="0.25">
      <c r="A2586" s="2" t="s">
        <v>3394</v>
      </c>
      <c r="B2586" s="2" t="s">
        <v>3181</v>
      </c>
      <c r="C2586" s="2">
        <v>77</v>
      </c>
      <c r="D2586" s="2" t="s">
        <v>55</v>
      </c>
      <c r="E2586" s="2" t="s">
        <v>45</v>
      </c>
      <c r="F2586" s="2" t="s">
        <v>114</v>
      </c>
      <c r="G2586" s="3">
        <v>45076</v>
      </c>
      <c r="H2586" s="3">
        <v>45102</v>
      </c>
      <c r="I2586" s="2">
        <v>26</v>
      </c>
      <c r="J2586" s="2" t="s">
        <v>115</v>
      </c>
      <c r="K2586" s="2" t="s">
        <v>160</v>
      </c>
      <c r="L2586" s="2" t="s">
        <v>117</v>
      </c>
      <c r="M2586" s="2" t="s">
        <v>83</v>
      </c>
      <c r="N2586" s="2" t="s">
        <v>109</v>
      </c>
      <c r="O2586" s="2" t="s">
        <v>76</v>
      </c>
      <c r="P2586" s="2">
        <v>331</v>
      </c>
      <c r="Q2586" s="2" t="s">
        <v>50</v>
      </c>
      <c r="R2586" s="2" t="s">
        <v>111</v>
      </c>
      <c r="S2586" s="2">
        <v>101052</v>
      </c>
      <c r="T2586" s="2">
        <v>84594</v>
      </c>
      <c r="U2586" s="2">
        <v>16458</v>
      </c>
      <c r="V2586" s="2">
        <v>59927</v>
      </c>
      <c r="W2586" s="2">
        <v>26259</v>
      </c>
      <c r="X2586" s="2">
        <v>13820</v>
      </c>
      <c r="Y2586" s="2" t="s">
        <v>41</v>
      </c>
      <c r="Z2586" s="2">
        <v>64</v>
      </c>
      <c r="AA2586" s="2">
        <v>4.3</v>
      </c>
      <c r="AB2586" s="2" t="s">
        <v>137</v>
      </c>
    </row>
    <row r="2587" spans="1:28" x14ac:dyDescent="0.25">
      <c r="A2587" s="4" t="s">
        <v>3395</v>
      </c>
      <c r="B2587" s="4" t="s">
        <v>2813</v>
      </c>
      <c r="C2587" s="4">
        <v>13</v>
      </c>
      <c r="D2587" s="4" t="s">
        <v>30</v>
      </c>
      <c r="E2587" s="4" t="s">
        <v>31</v>
      </c>
      <c r="F2587" s="4" t="s">
        <v>80</v>
      </c>
      <c r="G2587" s="5">
        <v>44602</v>
      </c>
      <c r="H2587" s="5">
        <v>44624</v>
      </c>
      <c r="I2587" s="4">
        <v>22</v>
      </c>
      <c r="J2587" s="4" t="s">
        <v>33</v>
      </c>
      <c r="K2587" s="4" t="s">
        <v>47</v>
      </c>
      <c r="L2587" s="4" t="s">
        <v>48</v>
      </c>
      <c r="M2587" s="4" t="s">
        <v>134</v>
      </c>
      <c r="N2587" s="4" t="s">
        <v>118</v>
      </c>
      <c r="O2587" s="4" t="s">
        <v>382</v>
      </c>
      <c r="P2587" s="4">
        <v>56</v>
      </c>
      <c r="Q2587" s="4" t="s">
        <v>69</v>
      </c>
      <c r="R2587" s="4" t="s">
        <v>40</v>
      </c>
      <c r="S2587" s="4">
        <v>45081</v>
      </c>
      <c r="T2587" s="4">
        <v>30232</v>
      </c>
      <c r="U2587" s="4">
        <v>14849</v>
      </c>
      <c r="V2587" s="4">
        <v>29935</v>
      </c>
      <c r="W2587" s="4">
        <v>5870</v>
      </c>
      <c r="X2587" s="4">
        <v>6382</v>
      </c>
      <c r="Y2587" s="4" t="s">
        <v>91</v>
      </c>
      <c r="Z2587" s="4">
        <v>99</v>
      </c>
      <c r="AA2587" s="4">
        <v>3.7</v>
      </c>
      <c r="AB2587" s="4" t="s">
        <v>137</v>
      </c>
    </row>
    <row r="2588" spans="1:28" x14ac:dyDescent="0.25">
      <c r="A2588" s="2" t="s">
        <v>3396</v>
      </c>
      <c r="B2588" s="2" t="s">
        <v>1139</v>
      </c>
      <c r="C2588" s="2">
        <v>18</v>
      </c>
      <c r="D2588" s="2" t="s">
        <v>55</v>
      </c>
      <c r="E2588" s="2" t="s">
        <v>45</v>
      </c>
      <c r="F2588" s="2" t="s">
        <v>57</v>
      </c>
      <c r="G2588" s="3">
        <v>45262</v>
      </c>
      <c r="H2588" s="3">
        <v>45271</v>
      </c>
      <c r="I2588" s="2">
        <v>9</v>
      </c>
      <c r="J2588" s="2" t="s">
        <v>123</v>
      </c>
      <c r="K2588" s="2" t="s">
        <v>251</v>
      </c>
      <c r="L2588" s="2" t="s">
        <v>125</v>
      </c>
      <c r="M2588" s="2" t="s">
        <v>108</v>
      </c>
      <c r="N2588" s="2" t="s">
        <v>118</v>
      </c>
      <c r="O2588" s="2" t="s">
        <v>227</v>
      </c>
      <c r="P2588" s="2">
        <v>333</v>
      </c>
      <c r="Q2588" s="2" t="s">
        <v>103</v>
      </c>
      <c r="R2588" s="2" t="s">
        <v>40</v>
      </c>
      <c r="S2588" s="2">
        <v>95262</v>
      </c>
      <c r="T2588" s="2">
        <v>57823</v>
      </c>
      <c r="U2588" s="2">
        <v>37439</v>
      </c>
      <c r="V2588" s="2">
        <v>75783</v>
      </c>
      <c r="W2588" s="2">
        <v>7287</v>
      </c>
      <c r="X2588" s="2">
        <v>7201</v>
      </c>
      <c r="Y2588" s="2" t="s">
        <v>41</v>
      </c>
      <c r="Z2588" s="2">
        <v>58</v>
      </c>
      <c r="AA2588" s="2">
        <v>4.5999999999999996</v>
      </c>
      <c r="AB2588" s="2" t="s">
        <v>64</v>
      </c>
    </row>
    <row r="2589" spans="1:28" x14ac:dyDescent="0.25">
      <c r="A2589" s="4" t="s">
        <v>3397</v>
      </c>
      <c r="B2589" s="4" t="s">
        <v>847</v>
      </c>
      <c r="C2589" s="4">
        <v>41</v>
      </c>
      <c r="D2589" s="4" t="s">
        <v>55</v>
      </c>
      <c r="E2589" s="4" t="s">
        <v>87</v>
      </c>
      <c r="F2589" s="4" t="s">
        <v>129</v>
      </c>
      <c r="G2589" s="5">
        <v>44608</v>
      </c>
      <c r="H2589" s="5">
        <v>44635</v>
      </c>
      <c r="I2589" s="4">
        <v>27</v>
      </c>
      <c r="J2589" s="4" t="s">
        <v>33</v>
      </c>
      <c r="K2589" s="4" t="s">
        <v>107</v>
      </c>
      <c r="L2589" s="4" t="s">
        <v>48</v>
      </c>
      <c r="M2589" s="4" t="s">
        <v>134</v>
      </c>
      <c r="N2589" s="4" t="s">
        <v>118</v>
      </c>
      <c r="O2589" s="4" t="s">
        <v>492</v>
      </c>
      <c r="P2589" s="4">
        <v>169</v>
      </c>
      <c r="Q2589" s="4" t="s">
        <v>50</v>
      </c>
      <c r="R2589" s="4" t="s">
        <v>90</v>
      </c>
      <c r="S2589" s="4">
        <v>63953</v>
      </c>
      <c r="T2589" s="4">
        <v>52181</v>
      </c>
      <c r="U2589" s="4">
        <v>11772</v>
      </c>
      <c r="V2589" s="4">
        <v>51343</v>
      </c>
      <c r="W2589" s="4">
        <v>5330</v>
      </c>
      <c r="X2589" s="4">
        <v>3147</v>
      </c>
      <c r="Y2589" s="4" t="s">
        <v>41</v>
      </c>
      <c r="Z2589" s="4">
        <v>83</v>
      </c>
      <c r="AA2589" s="4">
        <v>2</v>
      </c>
      <c r="AB2589" s="4" t="s">
        <v>104</v>
      </c>
    </row>
    <row r="2590" spans="1:28" x14ac:dyDescent="0.25">
      <c r="A2590" s="2" t="s">
        <v>3398</v>
      </c>
      <c r="B2590" s="2" t="s">
        <v>351</v>
      </c>
      <c r="C2590" s="2">
        <v>59</v>
      </c>
      <c r="D2590" s="2" t="s">
        <v>30</v>
      </c>
      <c r="E2590" s="2" t="s">
        <v>87</v>
      </c>
      <c r="F2590" s="2" t="s">
        <v>129</v>
      </c>
      <c r="G2590" s="3">
        <v>45249</v>
      </c>
      <c r="H2590" s="3">
        <v>45255</v>
      </c>
      <c r="I2590" s="2">
        <v>6</v>
      </c>
      <c r="J2590" s="2" t="s">
        <v>33</v>
      </c>
      <c r="K2590" s="2" t="s">
        <v>107</v>
      </c>
      <c r="L2590" s="2" t="s">
        <v>48</v>
      </c>
      <c r="M2590" s="2" t="s">
        <v>61</v>
      </c>
      <c r="N2590" s="2" t="s">
        <v>118</v>
      </c>
      <c r="O2590" s="2" t="s">
        <v>471</v>
      </c>
      <c r="P2590" s="2">
        <v>180</v>
      </c>
      <c r="Q2590" s="2" t="s">
        <v>69</v>
      </c>
      <c r="R2590" s="2" t="s">
        <v>51</v>
      </c>
      <c r="S2590" s="2">
        <v>41527</v>
      </c>
      <c r="T2590" s="2">
        <v>20313</v>
      </c>
      <c r="U2590" s="2">
        <v>21214</v>
      </c>
      <c r="V2590" s="2">
        <v>15024</v>
      </c>
      <c r="W2590" s="2">
        <v>14290</v>
      </c>
      <c r="X2590" s="2">
        <v>7709</v>
      </c>
      <c r="Y2590" s="2" t="s">
        <v>91</v>
      </c>
      <c r="Z2590" s="2">
        <v>86</v>
      </c>
      <c r="AA2590" s="2">
        <v>4.5</v>
      </c>
      <c r="AB2590" s="2" t="s">
        <v>42</v>
      </c>
    </row>
    <row r="2591" spans="1:28" x14ac:dyDescent="0.25">
      <c r="A2591" s="4" t="s">
        <v>3399</v>
      </c>
      <c r="B2591" s="4" t="s">
        <v>501</v>
      </c>
      <c r="C2591" s="4">
        <v>58</v>
      </c>
      <c r="D2591" s="4" t="s">
        <v>55</v>
      </c>
      <c r="E2591" s="4" t="s">
        <v>79</v>
      </c>
      <c r="F2591" s="4" t="s">
        <v>46</v>
      </c>
      <c r="G2591" s="5">
        <v>44971</v>
      </c>
      <c r="H2591" s="5">
        <v>44998</v>
      </c>
      <c r="I2591" s="4">
        <v>27</v>
      </c>
      <c r="J2591" s="4" t="s">
        <v>33</v>
      </c>
      <c r="K2591" s="4" t="s">
        <v>174</v>
      </c>
      <c r="L2591" s="4" t="s">
        <v>48</v>
      </c>
      <c r="M2591" s="4" t="s">
        <v>130</v>
      </c>
      <c r="N2591" s="4" t="s">
        <v>118</v>
      </c>
      <c r="O2591" s="4" t="s">
        <v>406</v>
      </c>
      <c r="P2591" s="4">
        <v>228</v>
      </c>
      <c r="Q2591" s="4" t="s">
        <v>50</v>
      </c>
      <c r="R2591" s="4" t="s">
        <v>136</v>
      </c>
      <c r="S2591" s="4">
        <v>89679</v>
      </c>
      <c r="T2591" s="4">
        <v>0</v>
      </c>
      <c r="U2591" s="4">
        <v>89679</v>
      </c>
      <c r="V2591" s="4">
        <v>53574</v>
      </c>
      <c r="W2591" s="4">
        <v>27583</v>
      </c>
      <c r="X2591" s="4">
        <v>4253</v>
      </c>
      <c r="Y2591" s="4" t="s">
        <v>41</v>
      </c>
      <c r="Z2591" s="4">
        <v>61</v>
      </c>
      <c r="AA2591" s="4">
        <v>2.6</v>
      </c>
      <c r="AB2591" s="4" t="s">
        <v>52</v>
      </c>
    </row>
    <row r="2592" spans="1:28" x14ac:dyDescent="0.25">
      <c r="A2592" s="2" t="s">
        <v>3400</v>
      </c>
      <c r="B2592" s="2" t="s">
        <v>1222</v>
      </c>
      <c r="C2592" s="2">
        <v>21</v>
      </c>
      <c r="D2592" s="2" t="s">
        <v>30</v>
      </c>
      <c r="E2592" s="2" t="s">
        <v>67</v>
      </c>
      <c r="F2592" s="2" t="s">
        <v>94</v>
      </c>
      <c r="G2592" s="3">
        <v>45605</v>
      </c>
      <c r="H2592" s="3">
        <v>45632</v>
      </c>
      <c r="I2592" s="2">
        <v>27</v>
      </c>
      <c r="J2592" s="2" t="s">
        <v>115</v>
      </c>
      <c r="K2592" s="2" t="s">
        <v>160</v>
      </c>
      <c r="L2592" s="2" t="s">
        <v>117</v>
      </c>
      <c r="M2592" s="2" t="s">
        <v>143</v>
      </c>
      <c r="N2592" s="2" t="s">
        <v>118</v>
      </c>
      <c r="O2592" s="2" t="s">
        <v>627</v>
      </c>
      <c r="P2592" s="2">
        <v>14</v>
      </c>
      <c r="Q2592" s="2" t="s">
        <v>39</v>
      </c>
      <c r="R2592" s="2" t="s">
        <v>40</v>
      </c>
      <c r="S2592" s="2">
        <v>146389</v>
      </c>
      <c r="T2592" s="2">
        <v>86649</v>
      </c>
      <c r="U2592" s="2">
        <v>59740</v>
      </c>
      <c r="V2592" s="2">
        <v>122252</v>
      </c>
      <c r="W2592" s="2">
        <v>15612</v>
      </c>
      <c r="X2592" s="2">
        <v>4785</v>
      </c>
      <c r="Y2592" s="2" t="s">
        <v>91</v>
      </c>
      <c r="Z2592" s="2">
        <v>54</v>
      </c>
      <c r="AA2592" s="2">
        <v>3.6</v>
      </c>
      <c r="AB2592" s="2" t="s">
        <v>137</v>
      </c>
    </row>
    <row r="2593" spans="1:28" x14ac:dyDescent="0.25">
      <c r="A2593" s="4" t="s">
        <v>3401</v>
      </c>
      <c r="B2593" s="4" t="s">
        <v>985</v>
      </c>
      <c r="C2593" s="4">
        <v>33</v>
      </c>
      <c r="D2593" s="4" t="s">
        <v>30</v>
      </c>
      <c r="E2593" s="4" t="s">
        <v>122</v>
      </c>
      <c r="F2593" s="4" t="s">
        <v>80</v>
      </c>
      <c r="G2593" s="5">
        <v>45643</v>
      </c>
      <c r="H2593" s="5">
        <v>45657</v>
      </c>
      <c r="I2593" s="4">
        <v>14</v>
      </c>
      <c r="J2593" s="4" t="s">
        <v>33</v>
      </c>
      <c r="K2593" s="4" t="s">
        <v>174</v>
      </c>
      <c r="L2593" s="4" t="s">
        <v>48</v>
      </c>
      <c r="M2593" s="4" t="s">
        <v>95</v>
      </c>
      <c r="N2593" s="4" t="s">
        <v>109</v>
      </c>
      <c r="O2593" s="4" t="s">
        <v>560</v>
      </c>
      <c r="P2593" s="4">
        <v>404</v>
      </c>
      <c r="Q2593" s="4" t="s">
        <v>69</v>
      </c>
      <c r="R2593" s="4" t="s">
        <v>40</v>
      </c>
      <c r="S2593" s="4">
        <v>34456</v>
      </c>
      <c r="T2593" s="4">
        <v>13909</v>
      </c>
      <c r="U2593" s="4">
        <v>20547</v>
      </c>
      <c r="V2593" s="4">
        <v>16832</v>
      </c>
      <c r="W2593" s="4">
        <v>2099</v>
      </c>
      <c r="X2593" s="4">
        <v>12524</v>
      </c>
      <c r="Y2593" s="4" t="s">
        <v>41</v>
      </c>
      <c r="Z2593" s="4">
        <v>82</v>
      </c>
      <c r="AA2593" s="4">
        <v>4.9000000000000004</v>
      </c>
      <c r="AB2593" s="4" t="s">
        <v>64</v>
      </c>
    </row>
    <row r="2594" spans="1:28" x14ac:dyDescent="0.25">
      <c r="A2594" s="2" t="s">
        <v>3402</v>
      </c>
      <c r="B2594" s="2" t="s">
        <v>659</v>
      </c>
      <c r="C2594" s="2">
        <v>29</v>
      </c>
      <c r="D2594" s="2" t="s">
        <v>55</v>
      </c>
      <c r="E2594" s="2" t="s">
        <v>87</v>
      </c>
      <c r="F2594" s="2" t="s">
        <v>32</v>
      </c>
      <c r="G2594" s="3">
        <v>45179</v>
      </c>
      <c r="H2594" s="3">
        <v>45191</v>
      </c>
      <c r="I2594" s="2">
        <v>12</v>
      </c>
      <c r="J2594" s="2" t="s">
        <v>115</v>
      </c>
      <c r="K2594" s="2" t="s">
        <v>160</v>
      </c>
      <c r="L2594" s="2" t="s">
        <v>117</v>
      </c>
      <c r="M2594" s="2" t="s">
        <v>130</v>
      </c>
      <c r="N2594" s="2" t="s">
        <v>62</v>
      </c>
      <c r="O2594" s="2" t="s">
        <v>509</v>
      </c>
      <c r="P2594" s="2">
        <v>161</v>
      </c>
      <c r="Q2594" s="2" t="s">
        <v>103</v>
      </c>
      <c r="R2594" s="2" t="s">
        <v>40</v>
      </c>
      <c r="S2594" s="2">
        <v>165544</v>
      </c>
      <c r="T2594" s="2">
        <v>86853</v>
      </c>
      <c r="U2594" s="2">
        <v>78691</v>
      </c>
      <c r="V2594" s="2">
        <v>147354</v>
      </c>
      <c r="W2594" s="2">
        <v>7496</v>
      </c>
      <c r="X2594" s="2">
        <v>7101</v>
      </c>
      <c r="Y2594" s="2" t="s">
        <v>41</v>
      </c>
      <c r="Z2594" s="2">
        <v>88</v>
      </c>
      <c r="AA2594" s="2">
        <v>2.6</v>
      </c>
      <c r="AB2594" s="2" t="s">
        <v>52</v>
      </c>
    </row>
    <row r="2595" spans="1:28" x14ac:dyDescent="0.25">
      <c r="A2595" s="4" t="s">
        <v>3403</v>
      </c>
      <c r="B2595" s="4" t="s">
        <v>1946</v>
      </c>
      <c r="C2595" s="4">
        <v>84</v>
      </c>
      <c r="D2595" s="4" t="s">
        <v>30</v>
      </c>
      <c r="E2595" s="4" t="s">
        <v>56</v>
      </c>
      <c r="F2595" s="4" t="s">
        <v>72</v>
      </c>
      <c r="G2595" s="5">
        <v>45544</v>
      </c>
      <c r="H2595" s="5">
        <v>45562</v>
      </c>
      <c r="I2595" s="4">
        <v>18</v>
      </c>
      <c r="J2595" s="4" t="s">
        <v>33</v>
      </c>
      <c r="K2595" s="4" t="s">
        <v>47</v>
      </c>
      <c r="L2595" s="4" t="s">
        <v>48</v>
      </c>
      <c r="M2595" s="4" t="s">
        <v>61</v>
      </c>
      <c r="N2595" s="4" t="s">
        <v>118</v>
      </c>
      <c r="O2595" s="4" t="s">
        <v>399</v>
      </c>
      <c r="P2595" s="4">
        <v>372</v>
      </c>
      <c r="Q2595" s="4" t="s">
        <v>50</v>
      </c>
      <c r="R2595" s="4" t="s">
        <v>40</v>
      </c>
      <c r="S2595" s="4">
        <v>79376</v>
      </c>
      <c r="T2595" s="4">
        <v>43593</v>
      </c>
      <c r="U2595" s="4">
        <v>35783</v>
      </c>
      <c r="V2595" s="4">
        <v>47365</v>
      </c>
      <c r="W2595" s="4">
        <v>20545</v>
      </c>
      <c r="X2595" s="4">
        <v>6887</v>
      </c>
      <c r="Y2595" s="4" t="s">
        <v>41</v>
      </c>
      <c r="Z2595" s="4">
        <v>60</v>
      </c>
      <c r="AA2595" s="4">
        <v>3.7</v>
      </c>
      <c r="AB2595" s="4" t="s">
        <v>64</v>
      </c>
    </row>
    <row r="2596" spans="1:28" x14ac:dyDescent="0.25">
      <c r="A2596" s="2" t="s">
        <v>3404</v>
      </c>
      <c r="B2596" s="2" t="s">
        <v>3405</v>
      </c>
      <c r="C2596" s="2">
        <v>16</v>
      </c>
      <c r="D2596" s="2" t="s">
        <v>30</v>
      </c>
      <c r="E2596" s="2" t="s">
        <v>56</v>
      </c>
      <c r="F2596" s="2" t="s">
        <v>114</v>
      </c>
      <c r="G2596" s="3">
        <v>45419</v>
      </c>
      <c r="H2596" s="3">
        <v>45432</v>
      </c>
      <c r="I2596" s="2">
        <v>13</v>
      </c>
      <c r="J2596" s="2" t="s">
        <v>73</v>
      </c>
      <c r="K2596" s="2" t="s">
        <v>74</v>
      </c>
      <c r="L2596" s="2" t="s">
        <v>73</v>
      </c>
      <c r="M2596" s="2" t="s">
        <v>134</v>
      </c>
      <c r="N2596" s="2" t="s">
        <v>109</v>
      </c>
      <c r="O2596" s="2" t="s">
        <v>214</v>
      </c>
      <c r="P2596" s="2">
        <v>309</v>
      </c>
      <c r="Q2596" s="2" t="s">
        <v>69</v>
      </c>
      <c r="R2596" s="2" t="s">
        <v>90</v>
      </c>
      <c r="S2596" s="2">
        <v>117323</v>
      </c>
      <c r="T2596" s="2">
        <v>83738</v>
      </c>
      <c r="U2596" s="2">
        <v>33585</v>
      </c>
      <c r="V2596" s="2">
        <v>93911</v>
      </c>
      <c r="W2596" s="2">
        <v>9506</v>
      </c>
      <c r="X2596" s="2">
        <v>12486</v>
      </c>
      <c r="Y2596" s="2" t="s">
        <v>41</v>
      </c>
      <c r="Z2596" s="2">
        <v>78</v>
      </c>
      <c r="AA2596" s="2">
        <v>4.4000000000000004</v>
      </c>
      <c r="AB2596" s="2" t="s">
        <v>137</v>
      </c>
    </row>
    <row r="2597" spans="1:28" x14ac:dyDescent="0.25">
      <c r="A2597" s="4" t="s">
        <v>3406</v>
      </c>
      <c r="B2597" s="4" t="s">
        <v>1269</v>
      </c>
      <c r="C2597" s="4">
        <v>38</v>
      </c>
      <c r="D2597" s="4" t="s">
        <v>55</v>
      </c>
      <c r="E2597" s="4" t="s">
        <v>56</v>
      </c>
      <c r="F2597" s="4" t="s">
        <v>46</v>
      </c>
      <c r="G2597" s="5">
        <v>44626</v>
      </c>
      <c r="H2597" s="5">
        <v>44654</v>
      </c>
      <c r="I2597" s="4">
        <v>28</v>
      </c>
      <c r="J2597" s="4" t="s">
        <v>33</v>
      </c>
      <c r="K2597" s="4" t="s">
        <v>81</v>
      </c>
      <c r="L2597" s="4" t="s">
        <v>82</v>
      </c>
      <c r="M2597" s="4" t="s">
        <v>134</v>
      </c>
      <c r="N2597" s="4" t="s">
        <v>37</v>
      </c>
      <c r="O2597" s="4" t="s">
        <v>390</v>
      </c>
      <c r="P2597" s="4">
        <v>49</v>
      </c>
      <c r="Q2597" s="4" t="s">
        <v>39</v>
      </c>
      <c r="R2597" s="4" t="s">
        <v>111</v>
      </c>
      <c r="S2597" s="4">
        <v>168634</v>
      </c>
      <c r="T2597" s="4">
        <v>150562</v>
      </c>
      <c r="U2597" s="4">
        <v>18072</v>
      </c>
      <c r="V2597" s="4">
        <v>131478</v>
      </c>
      <c r="W2597" s="4">
        <v>23422</v>
      </c>
      <c r="X2597" s="4">
        <v>10994</v>
      </c>
      <c r="Y2597" s="4" t="s">
        <v>41</v>
      </c>
      <c r="Z2597" s="4">
        <v>69</v>
      </c>
      <c r="AA2597" s="4">
        <v>3.1</v>
      </c>
      <c r="AB2597" s="4" t="s">
        <v>64</v>
      </c>
    </row>
    <row r="2598" spans="1:28" x14ac:dyDescent="0.25">
      <c r="A2598" s="2" t="s">
        <v>3407</v>
      </c>
      <c r="B2598" s="2" t="s">
        <v>810</v>
      </c>
      <c r="C2598" s="2">
        <v>30</v>
      </c>
      <c r="D2598" s="2" t="s">
        <v>55</v>
      </c>
      <c r="E2598" s="2" t="s">
        <v>79</v>
      </c>
      <c r="F2598" s="2" t="s">
        <v>80</v>
      </c>
      <c r="G2598" s="3">
        <v>45408</v>
      </c>
      <c r="H2598" s="3">
        <v>45414</v>
      </c>
      <c r="I2598" s="2">
        <v>6</v>
      </c>
      <c r="J2598" s="2" t="s">
        <v>33</v>
      </c>
      <c r="K2598" s="2" t="s">
        <v>278</v>
      </c>
      <c r="L2598" s="2" t="s">
        <v>279</v>
      </c>
      <c r="M2598" s="2" t="s">
        <v>61</v>
      </c>
      <c r="N2598" s="2" t="s">
        <v>118</v>
      </c>
      <c r="O2598" s="2" t="s">
        <v>950</v>
      </c>
      <c r="P2598" s="2">
        <v>217</v>
      </c>
      <c r="Q2598" s="2" t="s">
        <v>50</v>
      </c>
      <c r="R2598" s="2" t="s">
        <v>90</v>
      </c>
      <c r="S2598" s="2">
        <v>127387</v>
      </c>
      <c r="T2598" s="2">
        <v>82350</v>
      </c>
      <c r="U2598" s="2">
        <v>45037</v>
      </c>
      <c r="V2598" s="2">
        <v>92728</v>
      </c>
      <c r="W2598" s="2">
        <v>23688</v>
      </c>
      <c r="X2598" s="2">
        <v>9214</v>
      </c>
      <c r="Y2598" s="2" t="s">
        <v>41</v>
      </c>
      <c r="Z2598" s="2">
        <v>53</v>
      </c>
      <c r="AA2598" s="2">
        <v>4.5</v>
      </c>
      <c r="AB2598" s="2" t="s">
        <v>42</v>
      </c>
    </row>
    <row r="2599" spans="1:28" x14ac:dyDescent="0.25">
      <c r="A2599" s="4" t="s">
        <v>3408</v>
      </c>
      <c r="B2599" s="4" t="s">
        <v>532</v>
      </c>
      <c r="C2599" s="4">
        <v>67</v>
      </c>
      <c r="D2599" s="4" t="s">
        <v>30</v>
      </c>
      <c r="E2599" s="4" t="s">
        <v>122</v>
      </c>
      <c r="F2599" s="4" t="s">
        <v>80</v>
      </c>
      <c r="G2599" s="5">
        <v>45436</v>
      </c>
      <c r="H2599" s="5">
        <v>45451</v>
      </c>
      <c r="I2599" s="4">
        <v>15</v>
      </c>
      <c r="J2599" s="4" t="s">
        <v>33</v>
      </c>
      <c r="K2599" s="4" t="s">
        <v>81</v>
      </c>
      <c r="L2599" s="4" t="s">
        <v>82</v>
      </c>
      <c r="M2599" s="4" t="s">
        <v>108</v>
      </c>
      <c r="N2599" s="4" t="s">
        <v>62</v>
      </c>
      <c r="O2599" s="4" t="s">
        <v>181</v>
      </c>
      <c r="P2599" s="4">
        <v>290</v>
      </c>
      <c r="Q2599" s="4" t="s">
        <v>39</v>
      </c>
      <c r="R2599" s="4" t="s">
        <v>40</v>
      </c>
      <c r="S2599" s="4">
        <v>97877</v>
      </c>
      <c r="T2599" s="4">
        <v>50364</v>
      </c>
      <c r="U2599" s="4">
        <v>47513</v>
      </c>
      <c r="V2599" s="4">
        <v>83258</v>
      </c>
      <c r="W2599" s="4">
        <v>9462</v>
      </c>
      <c r="X2599" s="4">
        <v>2099</v>
      </c>
      <c r="Y2599" s="4" t="s">
        <v>41</v>
      </c>
      <c r="Z2599" s="4">
        <v>93</v>
      </c>
      <c r="AA2599" s="4">
        <v>3.2</v>
      </c>
      <c r="AB2599" s="4" t="s">
        <v>64</v>
      </c>
    </row>
    <row r="2600" spans="1:28" x14ac:dyDescent="0.25">
      <c r="A2600" s="2" t="s">
        <v>3409</v>
      </c>
      <c r="B2600" s="2" t="s">
        <v>477</v>
      </c>
      <c r="C2600" s="2">
        <v>24</v>
      </c>
      <c r="D2600" s="2" t="s">
        <v>30</v>
      </c>
      <c r="E2600" s="2" t="s">
        <v>154</v>
      </c>
      <c r="F2600" s="2" t="s">
        <v>72</v>
      </c>
      <c r="G2600" s="3">
        <v>44768</v>
      </c>
      <c r="H2600" s="3">
        <v>44794</v>
      </c>
      <c r="I2600" s="2">
        <v>26</v>
      </c>
      <c r="J2600" s="2" t="s">
        <v>58</v>
      </c>
      <c r="K2600" s="2" t="s">
        <v>59</v>
      </c>
      <c r="L2600" s="2" t="s">
        <v>60</v>
      </c>
      <c r="M2600" s="2" t="s">
        <v>61</v>
      </c>
      <c r="N2600" s="2" t="s">
        <v>37</v>
      </c>
      <c r="O2600" s="2" t="s">
        <v>627</v>
      </c>
      <c r="P2600" s="2">
        <v>328</v>
      </c>
      <c r="Q2600" s="2" t="s">
        <v>39</v>
      </c>
      <c r="R2600" s="2" t="s">
        <v>51</v>
      </c>
      <c r="S2600" s="2">
        <v>40885</v>
      </c>
      <c r="T2600" s="2">
        <v>25682</v>
      </c>
      <c r="U2600" s="2">
        <v>15203</v>
      </c>
      <c r="V2600" s="2">
        <v>17502</v>
      </c>
      <c r="W2600" s="2">
        <v>18014</v>
      </c>
      <c r="X2600" s="2">
        <v>4181</v>
      </c>
      <c r="Y2600" s="2" t="s">
        <v>91</v>
      </c>
      <c r="Z2600" s="2">
        <v>65</v>
      </c>
      <c r="AA2600" s="2">
        <v>4.0999999999999996</v>
      </c>
      <c r="AB2600" s="2" t="s">
        <v>42</v>
      </c>
    </row>
    <row r="2601" spans="1:28" x14ac:dyDescent="0.25">
      <c r="A2601" s="4" t="s">
        <v>3410</v>
      </c>
      <c r="B2601" s="4" t="s">
        <v>410</v>
      </c>
      <c r="C2601" s="4">
        <v>38</v>
      </c>
      <c r="D2601" s="4" t="s">
        <v>30</v>
      </c>
      <c r="E2601" s="4" t="s">
        <v>87</v>
      </c>
      <c r="F2601" s="4" t="s">
        <v>94</v>
      </c>
      <c r="G2601" s="5">
        <v>45456</v>
      </c>
      <c r="H2601" s="5">
        <v>45483</v>
      </c>
      <c r="I2601" s="4">
        <v>27</v>
      </c>
      <c r="J2601" s="4" t="s">
        <v>202</v>
      </c>
      <c r="K2601" s="4" t="s">
        <v>225</v>
      </c>
      <c r="L2601" s="4" t="s">
        <v>226</v>
      </c>
      <c r="M2601" s="4" t="s">
        <v>61</v>
      </c>
      <c r="N2601" s="4" t="s">
        <v>109</v>
      </c>
      <c r="O2601" s="4" t="s">
        <v>631</v>
      </c>
      <c r="P2601" s="4">
        <v>33</v>
      </c>
      <c r="Q2601" s="4" t="s">
        <v>69</v>
      </c>
      <c r="R2601" s="4" t="s">
        <v>90</v>
      </c>
      <c r="S2601" s="4">
        <v>139313</v>
      </c>
      <c r="T2601" s="4">
        <v>118575</v>
      </c>
      <c r="U2601" s="4">
        <v>20738</v>
      </c>
      <c r="V2601" s="4">
        <v>110886</v>
      </c>
      <c r="W2601" s="4">
        <v>21222</v>
      </c>
      <c r="X2601" s="4">
        <v>4649</v>
      </c>
      <c r="Y2601" s="4" t="s">
        <v>41</v>
      </c>
      <c r="Z2601" s="4">
        <v>49</v>
      </c>
      <c r="AA2601" s="4">
        <v>3.2</v>
      </c>
      <c r="AB2601" s="4" t="s">
        <v>42</v>
      </c>
    </row>
    <row r="2602" spans="1:28" x14ac:dyDescent="0.25">
      <c r="A2602" s="2" t="s">
        <v>3411</v>
      </c>
      <c r="B2602" s="2" t="s">
        <v>349</v>
      </c>
      <c r="C2602" s="2">
        <v>69</v>
      </c>
      <c r="D2602" s="2" t="s">
        <v>30</v>
      </c>
      <c r="E2602" s="2" t="s">
        <v>122</v>
      </c>
      <c r="F2602" s="2" t="s">
        <v>157</v>
      </c>
      <c r="G2602" s="3">
        <v>45264</v>
      </c>
      <c r="H2602" s="3">
        <v>45272</v>
      </c>
      <c r="I2602" s="2">
        <v>8</v>
      </c>
      <c r="J2602" s="2" t="s">
        <v>33</v>
      </c>
      <c r="K2602" s="2" t="s">
        <v>278</v>
      </c>
      <c r="L2602" s="2" t="s">
        <v>279</v>
      </c>
      <c r="M2602" s="2" t="s">
        <v>83</v>
      </c>
      <c r="N2602" s="2" t="s">
        <v>118</v>
      </c>
      <c r="O2602" s="2" t="s">
        <v>300</v>
      </c>
      <c r="P2602" s="2">
        <v>385</v>
      </c>
      <c r="Q2602" s="2" t="s">
        <v>50</v>
      </c>
      <c r="R2602" s="2" t="s">
        <v>90</v>
      </c>
      <c r="S2602" s="2">
        <v>58689</v>
      </c>
      <c r="T2602" s="2">
        <v>47851</v>
      </c>
      <c r="U2602" s="2">
        <v>10838</v>
      </c>
      <c r="V2602" s="2">
        <v>21931</v>
      </c>
      <c r="W2602" s="2">
        <v>20102</v>
      </c>
      <c r="X2602" s="2">
        <v>13705</v>
      </c>
      <c r="Y2602" s="2" t="s">
        <v>41</v>
      </c>
      <c r="Z2602" s="2">
        <v>74</v>
      </c>
      <c r="AA2602" s="2">
        <v>3.9</v>
      </c>
      <c r="AB2602" s="2" t="s">
        <v>104</v>
      </c>
    </row>
    <row r="2603" spans="1:28" x14ac:dyDescent="0.25">
      <c r="A2603" s="4" t="s">
        <v>3412</v>
      </c>
      <c r="B2603" s="4" t="s">
        <v>985</v>
      </c>
      <c r="C2603" s="4">
        <v>66</v>
      </c>
      <c r="D2603" s="4" t="s">
        <v>30</v>
      </c>
      <c r="E2603" s="4" t="s">
        <v>154</v>
      </c>
      <c r="F2603" s="4" t="s">
        <v>114</v>
      </c>
      <c r="G2603" s="5">
        <v>44725</v>
      </c>
      <c r="H2603" s="5">
        <v>44735</v>
      </c>
      <c r="I2603" s="4">
        <v>10</v>
      </c>
      <c r="J2603" s="4" t="s">
        <v>140</v>
      </c>
      <c r="K2603" s="4" t="s">
        <v>141</v>
      </c>
      <c r="L2603" s="4" t="s">
        <v>142</v>
      </c>
      <c r="M2603" s="4" t="s">
        <v>83</v>
      </c>
      <c r="N2603" s="4" t="s">
        <v>118</v>
      </c>
      <c r="O2603" s="4" t="s">
        <v>428</v>
      </c>
      <c r="P2603" s="4">
        <v>184</v>
      </c>
      <c r="Q2603" s="4" t="s">
        <v>69</v>
      </c>
      <c r="R2603" s="4" t="s">
        <v>40</v>
      </c>
      <c r="S2603" s="4">
        <v>81626</v>
      </c>
      <c r="T2603" s="4">
        <v>53518</v>
      </c>
      <c r="U2603" s="4">
        <v>28108</v>
      </c>
      <c r="V2603" s="4">
        <v>48630</v>
      </c>
      <c r="W2603" s="4">
        <v>18165</v>
      </c>
      <c r="X2603" s="4">
        <v>11636</v>
      </c>
      <c r="Y2603" s="4" t="s">
        <v>41</v>
      </c>
      <c r="Z2603" s="4">
        <v>72</v>
      </c>
      <c r="AA2603" s="4">
        <v>3.7</v>
      </c>
      <c r="AB2603" s="4" t="s">
        <v>64</v>
      </c>
    </row>
    <row r="2604" spans="1:28" x14ac:dyDescent="0.25">
      <c r="A2604" s="2" t="s">
        <v>3413</v>
      </c>
      <c r="B2604" s="2" t="s">
        <v>1002</v>
      </c>
      <c r="C2604" s="2">
        <v>8</v>
      </c>
      <c r="D2604" s="2" t="s">
        <v>55</v>
      </c>
      <c r="E2604" s="2" t="s">
        <v>122</v>
      </c>
      <c r="F2604" s="2" t="s">
        <v>32</v>
      </c>
      <c r="G2604" s="3">
        <v>45269</v>
      </c>
      <c r="H2604" s="3">
        <v>45284</v>
      </c>
      <c r="I2604" s="2">
        <v>15</v>
      </c>
      <c r="J2604" s="2" t="s">
        <v>140</v>
      </c>
      <c r="K2604" s="2" t="s">
        <v>167</v>
      </c>
      <c r="L2604" s="2" t="s">
        <v>142</v>
      </c>
      <c r="M2604" s="2" t="s">
        <v>36</v>
      </c>
      <c r="N2604" s="2" t="s">
        <v>62</v>
      </c>
      <c r="O2604" s="2" t="s">
        <v>38</v>
      </c>
      <c r="P2604" s="2">
        <v>160</v>
      </c>
      <c r="Q2604" s="2" t="s">
        <v>39</v>
      </c>
      <c r="R2604" s="2" t="s">
        <v>136</v>
      </c>
      <c r="S2604" s="2">
        <v>128235</v>
      </c>
      <c r="T2604" s="2">
        <v>0</v>
      </c>
      <c r="U2604" s="2">
        <v>128235</v>
      </c>
      <c r="V2604" s="2">
        <v>110386</v>
      </c>
      <c r="W2604" s="2">
        <v>2196</v>
      </c>
      <c r="X2604" s="2">
        <v>14166</v>
      </c>
      <c r="Y2604" s="2" t="s">
        <v>41</v>
      </c>
      <c r="Z2604" s="2">
        <v>49</v>
      </c>
      <c r="AA2604" s="2">
        <v>3.6</v>
      </c>
      <c r="AB2604" s="2" t="s">
        <v>52</v>
      </c>
    </row>
    <row r="2605" spans="1:28" x14ac:dyDescent="0.25">
      <c r="A2605" s="4" t="s">
        <v>3414</v>
      </c>
      <c r="B2605" s="4" t="s">
        <v>1300</v>
      </c>
      <c r="C2605" s="4">
        <v>78</v>
      </c>
      <c r="D2605" s="4" t="s">
        <v>30</v>
      </c>
      <c r="E2605" s="4" t="s">
        <v>154</v>
      </c>
      <c r="F2605" s="4" t="s">
        <v>114</v>
      </c>
      <c r="G2605" s="5">
        <v>45028</v>
      </c>
      <c r="H2605" s="5">
        <v>45032</v>
      </c>
      <c r="I2605" s="4">
        <v>4</v>
      </c>
      <c r="J2605" s="4" t="s">
        <v>33</v>
      </c>
      <c r="K2605" s="4" t="s">
        <v>47</v>
      </c>
      <c r="L2605" s="4" t="s">
        <v>48</v>
      </c>
      <c r="M2605" s="4" t="s">
        <v>75</v>
      </c>
      <c r="N2605" s="4" t="s">
        <v>62</v>
      </c>
      <c r="O2605" s="4" t="s">
        <v>194</v>
      </c>
      <c r="P2605" s="4">
        <v>223</v>
      </c>
      <c r="Q2605" s="4" t="s">
        <v>103</v>
      </c>
      <c r="R2605" s="4" t="s">
        <v>111</v>
      </c>
      <c r="S2605" s="4">
        <v>41770</v>
      </c>
      <c r="T2605" s="4">
        <v>34301</v>
      </c>
      <c r="U2605" s="4">
        <v>7469</v>
      </c>
      <c r="V2605" s="4">
        <v>18837</v>
      </c>
      <c r="W2605" s="4">
        <v>9799</v>
      </c>
      <c r="X2605" s="4">
        <v>11575</v>
      </c>
      <c r="Y2605" s="4" t="s">
        <v>41</v>
      </c>
      <c r="Z2605" s="4">
        <v>83</v>
      </c>
      <c r="AA2605" s="4">
        <v>3.3</v>
      </c>
      <c r="AB2605" s="4" t="s">
        <v>104</v>
      </c>
    </row>
    <row r="2606" spans="1:28" x14ac:dyDescent="0.25">
      <c r="A2606" s="2" t="s">
        <v>3415</v>
      </c>
      <c r="B2606" s="2" t="s">
        <v>711</v>
      </c>
      <c r="C2606" s="2">
        <v>40</v>
      </c>
      <c r="D2606" s="2" t="s">
        <v>55</v>
      </c>
      <c r="E2606" s="2" t="s">
        <v>67</v>
      </c>
      <c r="F2606" s="2" t="s">
        <v>46</v>
      </c>
      <c r="G2606" s="3">
        <v>44868</v>
      </c>
      <c r="H2606" s="3">
        <v>44892</v>
      </c>
      <c r="I2606" s="2">
        <v>24</v>
      </c>
      <c r="J2606" s="2" t="s">
        <v>202</v>
      </c>
      <c r="K2606" s="2" t="s">
        <v>225</v>
      </c>
      <c r="L2606" s="2" t="s">
        <v>226</v>
      </c>
      <c r="M2606" s="2" t="s">
        <v>61</v>
      </c>
      <c r="N2606" s="2" t="s">
        <v>118</v>
      </c>
      <c r="O2606" s="2" t="s">
        <v>259</v>
      </c>
      <c r="P2606" s="2">
        <v>144</v>
      </c>
      <c r="Q2606" s="2" t="s">
        <v>103</v>
      </c>
      <c r="R2606" s="2" t="s">
        <v>111</v>
      </c>
      <c r="S2606" s="2">
        <v>60442</v>
      </c>
      <c r="T2606" s="2">
        <v>41389</v>
      </c>
      <c r="U2606" s="2">
        <v>19053</v>
      </c>
      <c r="V2606" s="2">
        <v>25629</v>
      </c>
      <c r="W2606" s="2">
        <v>18620</v>
      </c>
      <c r="X2606" s="2">
        <v>12264</v>
      </c>
      <c r="Y2606" s="2" t="s">
        <v>41</v>
      </c>
      <c r="Z2606" s="2">
        <v>73</v>
      </c>
      <c r="AA2606" s="2">
        <v>4.0999999999999996</v>
      </c>
      <c r="AB2606" s="2" t="s">
        <v>52</v>
      </c>
    </row>
    <row r="2607" spans="1:28" x14ac:dyDescent="0.25">
      <c r="A2607" s="4" t="s">
        <v>3416</v>
      </c>
      <c r="B2607" s="4" t="s">
        <v>919</v>
      </c>
      <c r="C2607" s="4">
        <v>15</v>
      </c>
      <c r="D2607" s="4" t="s">
        <v>55</v>
      </c>
      <c r="E2607" s="4" t="s">
        <v>31</v>
      </c>
      <c r="F2607" s="4" t="s">
        <v>46</v>
      </c>
      <c r="G2607" s="5">
        <v>45339</v>
      </c>
      <c r="H2607" s="5">
        <v>45341</v>
      </c>
      <c r="I2607" s="4">
        <v>2</v>
      </c>
      <c r="J2607" s="4" t="s">
        <v>58</v>
      </c>
      <c r="K2607" s="4" t="s">
        <v>88</v>
      </c>
      <c r="L2607" s="4" t="s">
        <v>60</v>
      </c>
      <c r="M2607" s="4" t="s">
        <v>61</v>
      </c>
      <c r="N2607" s="4" t="s">
        <v>37</v>
      </c>
      <c r="O2607" s="4" t="s">
        <v>184</v>
      </c>
      <c r="P2607" s="4">
        <v>75</v>
      </c>
      <c r="Q2607" s="4" t="s">
        <v>103</v>
      </c>
      <c r="R2607" s="4" t="s">
        <v>40</v>
      </c>
      <c r="S2607" s="4">
        <v>82625</v>
      </c>
      <c r="T2607" s="4">
        <v>39752</v>
      </c>
      <c r="U2607" s="4">
        <v>42873</v>
      </c>
      <c r="V2607" s="4">
        <v>64192</v>
      </c>
      <c r="W2607" s="4">
        <v>11947</v>
      </c>
      <c r="X2607" s="4">
        <v>2781</v>
      </c>
      <c r="Y2607" s="4" t="s">
        <v>41</v>
      </c>
      <c r="Z2607" s="4">
        <v>53</v>
      </c>
      <c r="AA2607" s="4">
        <v>3.1</v>
      </c>
      <c r="AB2607" s="4" t="s">
        <v>104</v>
      </c>
    </row>
    <row r="2608" spans="1:28" x14ac:dyDescent="0.25">
      <c r="A2608" s="2" t="s">
        <v>3417</v>
      </c>
      <c r="B2608" s="2" t="s">
        <v>635</v>
      </c>
      <c r="C2608" s="2">
        <v>73</v>
      </c>
      <c r="D2608" s="2" t="s">
        <v>30</v>
      </c>
      <c r="E2608" s="2" t="s">
        <v>122</v>
      </c>
      <c r="F2608" s="2" t="s">
        <v>80</v>
      </c>
      <c r="G2608" s="3">
        <v>45523</v>
      </c>
      <c r="H2608" s="3">
        <v>45527</v>
      </c>
      <c r="I2608" s="2">
        <v>4</v>
      </c>
      <c r="J2608" s="2" t="s">
        <v>33</v>
      </c>
      <c r="K2608" s="2" t="s">
        <v>81</v>
      </c>
      <c r="L2608" s="2" t="s">
        <v>82</v>
      </c>
      <c r="M2608" s="2" t="s">
        <v>101</v>
      </c>
      <c r="N2608" s="2" t="s">
        <v>118</v>
      </c>
      <c r="O2608" s="2" t="s">
        <v>343</v>
      </c>
      <c r="P2608" s="2">
        <v>470</v>
      </c>
      <c r="Q2608" s="2" t="s">
        <v>50</v>
      </c>
      <c r="R2608" s="2" t="s">
        <v>51</v>
      </c>
      <c r="S2608" s="2">
        <v>150200</v>
      </c>
      <c r="T2608" s="2">
        <v>85706</v>
      </c>
      <c r="U2608" s="2">
        <v>64494</v>
      </c>
      <c r="V2608" s="2">
        <v>134207</v>
      </c>
      <c r="W2608" s="2">
        <v>2464</v>
      </c>
      <c r="X2608" s="2">
        <v>12598</v>
      </c>
      <c r="Y2608" s="2" t="s">
        <v>41</v>
      </c>
      <c r="Z2608" s="2">
        <v>47</v>
      </c>
      <c r="AA2608" s="2">
        <v>2.8</v>
      </c>
      <c r="AB2608" s="2" t="s">
        <v>42</v>
      </c>
    </row>
    <row r="2609" spans="1:28" x14ac:dyDescent="0.25">
      <c r="A2609" s="4" t="s">
        <v>3418</v>
      </c>
      <c r="B2609" s="4" t="s">
        <v>1915</v>
      </c>
      <c r="C2609" s="4">
        <v>70</v>
      </c>
      <c r="D2609" s="4" t="s">
        <v>55</v>
      </c>
      <c r="E2609" s="4" t="s">
        <v>45</v>
      </c>
      <c r="F2609" s="4" t="s">
        <v>114</v>
      </c>
      <c r="G2609" s="5">
        <v>44652</v>
      </c>
      <c r="H2609" s="5">
        <v>44656</v>
      </c>
      <c r="I2609" s="4">
        <v>4</v>
      </c>
      <c r="J2609" s="4" t="s">
        <v>33</v>
      </c>
      <c r="K2609" s="4" t="s">
        <v>81</v>
      </c>
      <c r="L2609" s="4" t="s">
        <v>82</v>
      </c>
      <c r="M2609" s="4" t="s">
        <v>75</v>
      </c>
      <c r="N2609" s="4" t="s">
        <v>118</v>
      </c>
      <c r="O2609" s="4" t="s">
        <v>144</v>
      </c>
      <c r="P2609" s="4">
        <v>233</v>
      </c>
      <c r="Q2609" s="4" t="s">
        <v>103</v>
      </c>
      <c r="R2609" s="4" t="s">
        <v>51</v>
      </c>
      <c r="S2609" s="4">
        <v>114977</v>
      </c>
      <c r="T2609" s="4">
        <v>56577</v>
      </c>
      <c r="U2609" s="4">
        <v>58400</v>
      </c>
      <c r="V2609" s="4">
        <v>92277</v>
      </c>
      <c r="W2609" s="4">
        <v>8563</v>
      </c>
      <c r="X2609" s="4">
        <v>12514</v>
      </c>
      <c r="Y2609" s="4" t="s">
        <v>41</v>
      </c>
      <c r="Z2609" s="4">
        <v>61</v>
      </c>
      <c r="AA2609" s="4">
        <v>4.4000000000000004</v>
      </c>
      <c r="AB2609" s="4" t="s">
        <v>42</v>
      </c>
    </row>
    <row r="2610" spans="1:28" x14ac:dyDescent="0.25">
      <c r="A2610" s="2" t="s">
        <v>3419</v>
      </c>
      <c r="B2610" s="2" t="s">
        <v>1280</v>
      </c>
      <c r="C2610" s="2">
        <v>34</v>
      </c>
      <c r="D2610" s="2" t="s">
        <v>30</v>
      </c>
      <c r="E2610" s="2" t="s">
        <v>56</v>
      </c>
      <c r="F2610" s="2" t="s">
        <v>72</v>
      </c>
      <c r="G2610" s="3">
        <v>44989</v>
      </c>
      <c r="H2610" s="3">
        <v>44994</v>
      </c>
      <c r="I2610" s="2">
        <v>5</v>
      </c>
      <c r="J2610" s="2" t="s">
        <v>115</v>
      </c>
      <c r="K2610" s="2" t="s">
        <v>116</v>
      </c>
      <c r="L2610" s="2" t="s">
        <v>117</v>
      </c>
      <c r="M2610" s="2" t="s">
        <v>61</v>
      </c>
      <c r="N2610" s="2" t="s">
        <v>37</v>
      </c>
      <c r="O2610" s="2" t="s">
        <v>49</v>
      </c>
      <c r="P2610" s="2">
        <v>370</v>
      </c>
      <c r="Q2610" s="2" t="s">
        <v>103</v>
      </c>
      <c r="R2610" s="2" t="s">
        <v>136</v>
      </c>
      <c r="S2610" s="2">
        <v>85456</v>
      </c>
      <c r="T2610" s="2">
        <v>0</v>
      </c>
      <c r="U2610" s="2">
        <v>85456</v>
      </c>
      <c r="V2610" s="2">
        <v>39726</v>
      </c>
      <c r="W2610" s="2">
        <v>29423</v>
      </c>
      <c r="X2610" s="2">
        <v>14257</v>
      </c>
      <c r="Y2610" s="2" t="s">
        <v>41</v>
      </c>
      <c r="Z2610" s="2">
        <v>74</v>
      </c>
      <c r="AA2610" s="2">
        <v>2.6</v>
      </c>
      <c r="AB2610" s="2" t="s">
        <v>42</v>
      </c>
    </row>
    <row r="2611" spans="1:28" x14ac:dyDescent="0.25">
      <c r="A2611" s="4" t="s">
        <v>3420</v>
      </c>
      <c r="B2611" s="4" t="s">
        <v>584</v>
      </c>
      <c r="C2611" s="4">
        <v>62</v>
      </c>
      <c r="D2611" s="4" t="s">
        <v>55</v>
      </c>
      <c r="E2611" s="4" t="s">
        <v>87</v>
      </c>
      <c r="F2611" s="4" t="s">
        <v>157</v>
      </c>
      <c r="G2611" s="5">
        <v>45449</v>
      </c>
      <c r="H2611" s="5">
        <v>45460</v>
      </c>
      <c r="I2611" s="4">
        <v>11</v>
      </c>
      <c r="J2611" s="4" t="s">
        <v>33</v>
      </c>
      <c r="K2611" s="4" t="s">
        <v>99</v>
      </c>
      <c r="L2611" s="4" t="s">
        <v>100</v>
      </c>
      <c r="M2611" s="4" t="s">
        <v>130</v>
      </c>
      <c r="N2611" s="4" t="s">
        <v>37</v>
      </c>
      <c r="O2611" s="4" t="s">
        <v>538</v>
      </c>
      <c r="P2611" s="4">
        <v>401</v>
      </c>
      <c r="Q2611" s="4" t="s">
        <v>69</v>
      </c>
      <c r="R2611" s="4" t="s">
        <v>40</v>
      </c>
      <c r="S2611" s="4">
        <v>42637</v>
      </c>
      <c r="T2611" s="4">
        <v>21376</v>
      </c>
      <c r="U2611" s="4">
        <v>21261</v>
      </c>
      <c r="V2611" s="4">
        <v>15304</v>
      </c>
      <c r="W2611" s="4">
        <v>9235</v>
      </c>
      <c r="X2611" s="4">
        <v>14209</v>
      </c>
      <c r="Y2611" s="4" t="s">
        <v>41</v>
      </c>
      <c r="Z2611" s="4">
        <v>60</v>
      </c>
      <c r="AA2611" s="4">
        <v>3.3</v>
      </c>
      <c r="AB2611" s="4" t="s">
        <v>64</v>
      </c>
    </row>
    <row r="2612" spans="1:28" x14ac:dyDescent="0.25">
      <c r="A2612" s="2" t="s">
        <v>3421</v>
      </c>
      <c r="B2612" s="2" t="s">
        <v>1169</v>
      </c>
      <c r="C2612" s="2">
        <v>31</v>
      </c>
      <c r="D2612" s="2" t="s">
        <v>30</v>
      </c>
      <c r="E2612" s="2" t="s">
        <v>31</v>
      </c>
      <c r="F2612" s="2" t="s">
        <v>94</v>
      </c>
      <c r="G2612" s="3">
        <v>44794</v>
      </c>
      <c r="H2612" s="3">
        <v>44801</v>
      </c>
      <c r="I2612" s="2">
        <v>7</v>
      </c>
      <c r="J2612" s="2" t="s">
        <v>33</v>
      </c>
      <c r="K2612" s="2" t="s">
        <v>233</v>
      </c>
      <c r="L2612" s="2" t="s">
        <v>35</v>
      </c>
      <c r="M2612" s="2" t="s">
        <v>143</v>
      </c>
      <c r="N2612" s="2" t="s">
        <v>109</v>
      </c>
      <c r="O2612" s="2" t="s">
        <v>151</v>
      </c>
      <c r="P2612" s="2">
        <v>464</v>
      </c>
      <c r="Q2612" s="2" t="s">
        <v>50</v>
      </c>
      <c r="R2612" s="2" t="s">
        <v>40</v>
      </c>
      <c r="S2612" s="2">
        <v>42055</v>
      </c>
      <c r="T2612" s="2">
        <v>24322</v>
      </c>
      <c r="U2612" s="2">
        <v>17733</v>
      </c>
      <c r="V2612" s="2">
        <v>30385</v>
      </c>
      <c r="W2612" s="2">
        <v>2856</v>
      </c>
      <c r="X2612" s="2">
        <v>4283</v>
      </c>
      <c r="Y2612" s="2" t="s">
        <v>41</v>
      </c>
      <c r="Z2612" s="2">
        <v>76</v>
      </c>
      <c r="AA2612" s="2">
        <v>3.6</v>
      </c>
      <c r="AB2612" s="2" t="s">
        <v>64</v>
      </c>
    </row>
    <row r="2613" spans="1:28" x14ac:dyDescent="0.25">
      <c r="A2613" s="4" t="s">
        <v>3422</v>
      </c>
      <c r="B2613" s="4" t="s">
        <v>1827</v>
      </c>
      <c r="C2613" s="4">
        <v>43</v>
      </c>
      <c r="D2613" s="4" t="s">
        <v>30</v>
      </c>
      <c r="E2613" s="4" t="s">
        <v>31</v>
      </c>
      <c r="F2613" s="4" t="s">
        <v>150</v>
      </c>
      <c r="G2613" s="5">
        <v>44656</v>
      </c>
      <c r="H2613" s="5">
        <v>44686</v>
      </c>
      <c r="I2613" s="4">
        <v>30</v>
      </c>
      <c r="J2613" s="4" t="s">
        <v>202</v>
      </c>
      <c r="K2613" s="4" t="s">
        <v>203</v>
      </c>
      <c r="L2613" s="4" t="s">
        <v>204</v>
      </c>
      <c r="M2613" s="4" t="s">
        <v>61</v>
      </c>
      <c r="N2613" s="4" t="s">
        <v>109</v>
      </c>
      <c r="O2613" s="4" t="s">
        <v>416</v>
      </c>
      <c r="P2613" s="4">
        <v>427</v>
      </c>
      <c r="Q2613" s="4" t="s">
        <v>39</v>
      </c>
      <c r="R2613" s="4" t="s">
        <v>111</v>
      </c>
      <c r="S2613" s="4">
        <v>168630</v>
      </c>
      <c r="T2613" s="4">
        <v>131383</v>
      </c>
      <c r="U2613" s="4">
        <v>37247</v>
      </c>
      <c r="V2613" s="4">
        <v>128509</v>
      </c>
      <c r="W2613" s="4">
        <v>24210</v>
      </c>
      <c r="X2613" s="4">
        <v>12569</v>
      </c>
      <c r="Y2613" s="4" t="s">
        <v>91</v>
      </c>
      <c r="Z2613" s="4">
        <v>78</v>
      </c>
      <c r="AA2613" s="4">
        <v>2.4</v>
      </c>
      <c r="AB2613" s="4" t="s">
        <v>42</v>
      </c>
    </row>
    <row r="2614" spans="1:28" x14ac:dyDescent="0.25">
      <c r="A2614" s="2" t="s">
        <v>3423</v>
      </c>
      <c r="B2614" s="2" t="s">
        <v>496</v>
      </c>
      <c r="C2614" s="2">
        <v>24</v>
      </c>
      <c r="D2614" s="2" t="s">
        <v>55</v>
      </c>
      <c r="E2614" s="2" t="s">
        <v>56</v>
      </c>
      <c r="F2614" s="2" t="s">
        <v>32</v>
      </c>
      <c r="G2614" s="3">
        <v>44990</v>
      </c>
      <c r="H2614" s="3">
        <v>45005</v>
      </c>
      <c r="I2614" s="2">
        <v>15</v>
      </c>
      <c r="J2614" s="2" t="s">
        <v>123</v>
      </c>
      <c r="K2614" s="2" t="s">
        <v>251</v>
      </c>
      <c r="L2614" s="2" t="s">
        <v>125</v>
      </c>
      <c r="M2614" s="2" t="s">
        <v>95</v>
      </c>
      <c r="N2614" s="2" t="s">
        <v>37</v>
      </c>
      <c r="O2614" s="2" t="s">
        <v>246</v>
      </c>
      <c r="P2614" s="2">
        <v>339</v>
      </c>
      <c r="Q2614" s="2" t="s">
        <v>50</v>
      </c>
      <c r="R2614" s="2" t="s">
        <v>90</v>
      </c>
      <c r="S2614" s="2">
        <v>159496</v>
      </c>
      <c r="T2614" s="2">
        <v>139968</v>
      </c>
      <c r="U2614" s="2">
        <v>19528</v>
      </c>
      <c r="V2614" s="2">
        <v>128863</v>
      </c>
      <c r="W2614" s="2">
        <v>24131</v>
      </c>
      <c r="X2614" s="2">
        <v>5361</v>
      </c>
      <c r="Y2614" s="2" t="s">
        <v>91</v>
      </c>
      <c r="Z2614" s="2">
        <v>54</v>
      </c>
      <c r="AA2614" s="2">
        <v>3.8</v>
      </c>
      <c r="AB2614" s="2" t="s">
        <v>42</v>
      </c>
    </row>
    <row r="2615" spans="1:28" x14ac:dyDescent="0.25">
      <c r="A2615" s="4" t="s">
        <v>3424</v>
      </c>
      <c r="B2615" s="4" t="s">
        <v>637</v>
      </c>
      <c r="C2615" s="4">
        <v>57</v>
      </c>
      <c r="D2615" s="4" t="s">
        <v>30</v>
      </c>
      <c r="E2615" s="4" t="s">
        <v>79</v>
      </c>
      <c r="F2615" s="4" t="s">
        <v>72</v>
      </c>
      <c r="G2615" s="5">
        <v>45052</v>
      </c>
      <c r="H2615" s="5">
        <v>45070</v>
      </c>
      <c r="I2615" s="4">
        <v>18</v>
      </c>
      <c r="J2615" s="4" t="s">
        <v>140</v>
      </c>
      <c r="K2615" s="4" t="s">
        <v>141</v>
      </c>
      <c r="L2615" s="4" t="s">
        <v>142</v>
      </c>
      <c r="M2615" s="4" t="s">
        <v>75</v>
      </c>
      <c r="N2615" s="4" t="s">
        <v>109</v>
      </c>
      <c r="O2615" s="4" t="s">
        <v>199</v>
      </c>
      <c r="P2615" s="4">
        <v>281</v>
      </c>
      <c r="Q2615" s="4" t="s">
        <v>69</v>
      </c>
      <c r="R2615" s="4" t="s">
        <v>90</v>
      </c>
      <c r="S2615" s="4">
        <v>83185</v>
      </c>
      <c r="T2615" s="4">
        <v>70639</v>
      </c>
      <c r="U2615" s="4">
        <v>12546</v>
      </c>
      <c r="V2615" s="4">
        <v>62174</v>
      </c>
      <c r="W2615" s="4">
        <v>9183</v>
      </c>
      <c r="X2615" s="4">
        <v>9709</v>
      </c>
      <c r="Y2615" s="4" t="s">
        <v>41</v>
      </c>
      <c r="Z2615" s="4">
        <v>87</v>
      </c>
      <c r="AA2615" s="4">
        <v>3.4</v>
      </c>
      <c r="AB2615" s="4" t="s">
        <v>64</v>
      </c>
    </row>
    <row r="2616" spans="1:28" x14ac:dyDescent="0.25">
      <c r="A2616" s="2" t="s">
        <v>3425</v>
      </c>
      <c r="B2616" s="2" t="s">
        <v>1169</v>
      </c>
      <c r="C2616" s="2">
        <v>13</v>
      </c>
      <c r="D2616" s="2" t="s">
        <v>30</v>
      </c>
      <c r="E2616" s="2" t="s">
        <v>122</v>
      </c>
      <c r="F2616" s="2" t="s">
        <v>46</v>
      </c>
      <c r="G2616" s="3">
        <v>45583</v>
      </c>
      <c r="H2616" s="3">
        <v>45605</v>
      </c>
      <c r="I2616" s="2">
        <v>22</v>
      </c>
      <c r="J2616" s="2" t="s">
        <v>33</v>
      </c>
      <c r="K2616" s="2" t="s">
        <v>81</v>
      </c>
      <c r="L2616" s="2" t="s">
        <v>82</v>
      </c>
      <c r="M2616" s="2" t="s">
        <v>101</v>
      </c>
      <c r="N2616" s="2" t="s">
        <v>118</v>
      </c>
      <c r="O2616" s="2" t="s">
        <v>68</v>
      </c>
      <c r="P2616" s="2">
        <v>45</v>
      </c>
      <c r="Q2616" s="2" t="s">
        <v>50</v>
      </c>
      <c r="R2616" s="2" t="s">
        <v>51</v>
      </c>
      <c r="S2616" s="2">
        <v>54214</v>
      </c>
      <c r="T2616" s="2">
        <v>21876</v>
      </c>
      <c r="U2616" s="2">
        <v>32338</v>
      </c>
      <c r="V2616" s="2">
        <v>33229</v>
      </c>
      <c r="W2616" s="2">
        <v>17551</v>
      </c>
      <c r="X2616" s="2">
        <v>2322</v>
      </c>
      <c r="Y2616" s="2" t="s">
        <v>41</v>
      </c>
      <c r="Z2616" s="2">
        <v>79</v>
      </c>
      <c r="AA2616" s="2">
        <v>3.8</v>
      </c>
      <c r="AB2616" s="2" t="s">
        <v>64</v>
      </c>
    </row>
    <row r="2617" spans="1:28" x14ac:dyDescent="0.25">
      <c r="A2617" s="4" t="s">
        <v>3426</v>
      </c>
      <c r="B2617" s="4" t="s">
        <v>468</v>
      </c>
      <c r="C2617" s="4">
        <v>28</v>
      </c>
      <c r="D2617" s="4" t="s">
        <v>55</v>
      </c>
      <c r="E2617" s="4" t="s">
        <v>31</v>
      </c>
      <c r="F2617" s="4" t="s">
        <v>157</v>
      </c>
      <c r="G2617" s="5">
        <v>45566</v>
      </c>
      <c r="H2617" s="5">
        <v>45590</v>
      </c>
      <c r="I2617" s="4">
        <v>24</v>
      </c>
      <c r="J2617" s="4" t="s">
        <v>202</v>
      </c>
      <c r="K2617" s="4" t="s">
        <v>225</v>
      </c>
      <c r="L2617" s="4" t="s">
        <v>226</v>
      </c>
      <c r="M2617" s="4" t="s">
        <v>95</v>
      </c>
      <c r="N2617" s="4" t="s">
        <v>109</v>
      </c>
      <c r="O2617" s="4" t="s">
        <v>548</v>
      </c>
      <c r="P2617" s="4">
        <v>33</v>
      </c>
      <c r="Q2617" s="4" t="s">
        <v>69</v>
      </c>
      <c r="R2617" s="4" t="s">
        <v>51</v>
      </c>
      <c r="S2617" s="4">
        <v>166601</v>
      </c>
      <c r="T2617" s="4">
        <v>90670</v>
      </c>
      <c r="U2617" s="4">
        <v>75931</v>
      </c>
      <c r="V2617" s="4">
        <v>140756</v>
      </c>
      <c r="W2617" s="4">
        <v>23558</v>
      </c>
      <c r="X2617" s="4">
        <v>1729</v>
      </c>
      <c r="Y2617" s="4" t="s">
        <v>41</v>
      </c>
      <c r="Z2617" s="4">
        <v>86</v>
      </c>
      <c r="AA2617" s="4">
        <v>4.4000000000000004</v>
      </c>
      <c r="AB2617" s="4" t="s">
        <v>137</v>
      </c>
    </row>
    <row r="2618" spans="1:28" x14ac:dyDescent="0.25">
      <c r="A2618" s="2" t="s">
        <v>3427</v>
      </c>
      <c r="B2618" s="2" t="s">
        <v>304</v>
      </c>
      <c r="C2618" s="2">
        <v>71</v>
      </c>
      <c r="D2618" s="2" t="s">
        <v>55</v>
      </c>
      <c r="E2618" s="2" t="s">
        <v>122</v>
      </c>
      <c r="F2618" s="2" t="s">
        <v>157</v>
      </c>
      <c r="G2618" s="3">
        <v>45194</v>
      </c>
      <c r="H2618" s="3">
        <v>45203</v>
      </c>
      <c r="I2618" s="2">
        <v>9</v>
      </c>
      <c r="J2618" s="2" t="s">
        <v>33</v>
      </c>
      <c r="K2618" s="2" t="s">
        <v>34</v>
      </c>
      <c r="L2618" s="2" t="s">
        <v>35</v>
      </c>
      <c r="M2618" s="2" t="s">
        <v>75</v>
      </c>
      <c r="N2618" s="2" t="s">
        <v>109</v>
      </c>
      <c r="O2618" s="2" t="s">
        <v>471</v>
      </c>
      <c r="P2618" s="2">
        <v>129</v>
      </c>
      <c r="Q2618" s="2" t="s">
        <v>39</v>
      </c>
      <c r="R2618" s="2" t="s">
        <v>136</v>
      </c>
      <c r="S2618" s="2">
        <v>93881</v>
      </c>
      <c r="T2618" s="2">
        <v>0</v>
      </c>
      <c r="U2618" s="2">
        <v>93881</v>
      </c>
      <c r="V2618" s="2">
        <v>70052</v>
      </c>
      <c r="W2618" s="2">
        <v>16917</v>
      </c>
      <c r="X2618" s="2">
        <v>5277</v>
      </c>
      <c r="Y2618" s="2" t="s">
        <v>41</v>
      </c>
      <c r="Z2618" s="2">
        <v>88</v>
      </c>
      <c r="AA2618" s="2">
        <v>2.9</v>
      </c>
      <c r="AB2618" s="2" t="s">
        <v>137</v>
      </c>
    </row>
    <row r="2619" spans="1:28" x14ac:dyDescent="0.25">
      <c r="A2619" s="4" t="s">
        <v>3428</v>
      </c>
      <c r="B2619" s="4" t="s">
        <v>1007</v>
      </c>
      <c r="C2619" s="4">
        <v>75</v>
      </c>
      <c r="D2619" s="4" t="s">
        <v>30</v>
      </c>
      <c r="E2619" s="4" t="s">
        <v>87</v>
      </c>
      <c r="F2619" s="4" t="s">
        <v>150</v>
      </c>
      <c r="G2619" s="5">
        <v>44650</v>
      </c>
      <c r="H2619" s="5">
        <v>44655</v>
      </c>
      <c r="I2619" s="4">
        <v>5</v>
      </c>
      <c r="J2619" s="4" t="s">
        <v>115</v>
      </c>
      <c r="K2619" s="4" t="s">
        <v>160</v>
      </c>
      <c r="L2619" s="4" t="s">
        <v>117</v>
      </c>
      <c r="M2619" s="4" t="s">
        <v>143</v>
      </c>
      <c r="N2619" s="4" t="s">
        <v>109</v>
      </c>
      <c r="O2619" s="4" t="s">
        <v>76</v>
      </c>
      <c r="P2619" s="4">
        <v>309</v>
      </c>
      <c r="Q2619" s="4" t="s">
        <v>69</v>
      </c>
      <c r="R2619" s="4" t="s">
        <v>136</v>
      </c>
      <c r="S2619" s="4">
        <v>134922</v>
      </c>
      <c r="T2619" s="4">
        <v>0</v>
      </c>
      <c r="U2619" s="4">
        <v>134922</v>
      </c>
      <c r="V2619" s="4">
        <v>120126</v>
      </c>
      <c r="W2619" s="4">
        <v>3245</v>
      </c>
      <c r="X2619" s="4">
        <v>10284</v>
      </c>
      <c r="Y2619" s="4" t="s">
        <v>91</v>
      </c>
      <c r="Z2619" s="4">
        <v>81</v>
      </c>
      <c r="AA2619" s="4">
        <v>2.7</v>
      </c>
      <c r="AB2619" s="4" t="s">
        <v>42</v>
      </c>
    </row>
    <row r="2620" spans="1:28" x14ac:dyDescent="0.25">
      <c r="A2620" s="2" t="s">
        <v>3429</v>
      </c>
      <c r="B2620" s="2" t="s">
        <v>403</v>
      </c>
      <c r="C2620" s="2">
        <v>27</v>
      </c>
      <c r="D2620" s="2" t="s">
        <v>55</v>
      </c>
      <c r="E2620" s="2" t="s">
        <v>79</v>
      </c>
      <c r="F2620" s="2" t="s">
        <v>157</v>
      </c>
      <c r="G2620" s="3">
        <v>44619</v>
      </c>
      <c r="H2620" s="3">
        <v>44641</v>
      </c>
      <c r="I2620" s="2">
        <v>22</v>
      </c>
      <c r="J2620" s="2" t="s">
        <v>140</v>
      </c>
      <c r="K2620" s="2" t="s">
        <v>141</v>
      </c>
      <c r="L2620" s="2" t="s">
        <v>142</v>
      </c>
      <c r="M2620" s="2" t="s">
        <v>143</v>
      </c>
      <c r="N2620" s="2" t="s">
        <v>118</v>
      </c>
      <c r="O2620" s="2" t="s">
        <v>300</v>
      </c>
      <c r="P2620" s="2">
        <v>311</v>
      </c>
      <c r="Q2620" s="2" t="s">
        <v>103</v>
      </c>
      <c r="R2620" s="2" t="s">
        <v>40</v>
      </c>
      <c r="S2620" s="2">
        <v>44182</v>
      </c>
      <c r="T2620" s="2">
        <v>23290</v>
      </c>
      <c r="U2620" s="2">
        <v>20892</v>
      </c>
      <c r="V2620" s="2">
        <v>32888</v>
      </c>
      <c r="W2620" s="2">
        <v>2834</v>
      </c>
      <c r="X2620" s="2">
        <v>6669</v>
      </c>
      <c r="Y2620" s="2" t="s">
        <v>41</v>
      </c>
      <c r="Z2620" s="2">
        <v>58</v>
      </c>
      <c r="AA2620" s="2">
        <v>4.7</v>
      </c>
      <c r="AB2620" s="2" t="s">
        <v>42</v>
      </c>
    </row>
    <row r="2621" spans="1:28" x14ac:dyDescent="0.25">
      <c r="A2621" s="4" t="s">
        <v>3430</v>
      </c>
      <c r="B2621" s="4" t="s">
        <v>925</v>
      </c>
      <c r="C2621" s="4">
        <v>60</v>
      </c>
      <c r="D2621" s="4" t="s">
        <v>30</v>
      </c>
      <c r="E2621" s="4" t="s">
        <v>56</v>
      </c>
      <c r="F2621" s="4" t="s">
        <v>150</v>
      </c>
      <c r="G2621" s="5">
        <v>45437</v>
      </c>
      <c r="H2621" s="5">
        <v>45458</v>
      </c>
      <c r="I2621" s="4">
        <v>21</v>
      </c>
      <c r="J2621" s="4" t="s">
        <v>33</v>
      </c>
      <c r="K2621" s="4" t="s">
        <v>99</v>
      </c>
      <c r="L2621" s="4" t="s">
        <v>100</v>
      </c>
      <c r="M2621" s="4" t="s">
        <v>143</v>
      </c>
      <c r="N2621" s="4" t="s">
        <v>37</v>
      </c>
      <c r="O2621" s="4" t="s">
        <v>548</v>
      </c>
      <c r="P2621" s="4">
        <v>155</v>
      </c>
      <c r="Q2621" s="4" t="s">
        <v>39</v>
      </c>
      <c r="R2621" s="4" t="s">
        <v>51</v>
      </c>
      <c r="S2621" s="4">
        <v>165573</v>
      </c>
      <c r="T2621" s="4">
        <v>97443</v>
      </c>
      <c r="U2621" s="4">
        <v>68130</v>
      </c>
      <c r="V2621" s="4">
        <v>134082</v>
      </c>
      <c r="W2621" s="4">
        <v>13024</v>
      </c>
      <c r="X2621" s="4">
        <v>13494</v>
      </c>
      <c r="Y2621" s="4" t="s">
        <v>91</v>
      </c>
      <c r="Z2621" s="4">
        <v>45</v>
      </c>
      <c r="AA2621" s="4">
        <v>4.0999999999999996</v>
      </c>
      <c r="AB2621" s="4" t="s">
        <v>52</v>
      </c>
    </row>
    <row r="2622" spans="1:28" x14ac:dyDescent="0.25">
      <c r="A2622" s="2" t="s">
        <v>3431</v>
      </c>
      <c r="B2622" s="2" t="s">
        <v>98</v>
      </c>
      <c r="C2622" s="2">
        <v>8</v>
      </c>
      <c r="D2622" s="2" t="s">
        <v>55</v>
      </c>
      <c r="E2622" s="2" t="s">
        <v>45</v>
      </c>
      <c r="F2622" s="2" t="s">
        <v>72</v>
      </c>
      <c r="G2622" s="3">
        <v>44928</v>
      </c>
      <c r="H2622" s="3">
        <v>44935</v>
      </c>
      <c r="I2622" s="2">
        <v>7</v>
      </c>
      <c r="J2622" s="2" t="s">
        <v>33</v>
      </c>
      <c r="K2622" s="2" t="s">
        <v>197</v>
      </c>
      <c r="L2622" s="2" t="s">
        <v>198</v>
      </c>
      <c r="M2622" s="2" t="s">
        <v>95</v>
      </c>
      <c r="N2622" s="2" t="s">
        <v>62</v>
      </c>
      <c r="O2622" s="2" t="s">
        <v>178</v>
      </c>
      <c r="P2622" s="2">
        <v>212</v>
      </c>
      <c r="Q2622" s="2" t="s">
        <v>39</v>
      </c>
      <c r="R2622" s="2" t="s">
        <v>136</v>
      </c>
      <c r="S2622" s="2">
        <v>55272</v>
      </c>
      <c r="T2622" s="2">
        <v>0</v>
      </c>
      <c r="U2622" s="2">
        <v>55272</v>
      </c>
      <c r="V2622" s="2">
        <v>36160</v>
      </c>
      <c r="W2622" s="2">
        <v>11485</v>
      </c>
      <c r="X2622" s="2">
        <v>2990</v>
      </c>
      <c r="Y2622" s="2" t="s">
        <v>41</v>
      </c>
      <c r="Z2622" s="2">
        <v>42</v>
      </c>
      <c r="AA2622" s="2">
        <v>2.9</v>
      </c>
      <c r="AB2622" s="2" t="s">
        <v>137</v>
      </c>
    </row>
    <row r="2623" spans="1:28" x14ac:dyDescent="0.25">
      <c r="A2623" s="4" t="s">
        <v>3432</v>
      </c>
      <c r="B2623" s="4" t="s">
        <v>1269</v>
      </c>
      <c r="C2623" s="4">
        <v>40</v>
      </c>
      <c r="D2623" s="4" t="s">
        <v>30</v>
      </c>
      <c r="E2623" s="4" t="s">
        <v>122</v>
      </c>
      <c r="F2623" s="4" t="s">
        <v>80</v>
      </c>
      <c r="G2623" s="5">
        <v>44650</v>
      </c>
      <c r="H2623" s="5">
        <v>44667</v>
      </c>
      <c r="I2623" s="4">
        <v>17</v>
      </c>
      <c r="J2623" s="4" t="s">
        <v>58</v>
      </c>
      <c r="K2623" s="4" t="s">
        <v>59</v>
      </c>
      <c r="L2623" s="4" t="s">
        <v>60</v>
      </c>
      <c r="M2623" s="4" t="s">
        <v>95</v>
      </c>
      <c r="N2623" s="4" t="s">
        <v>62</v>
      </c>
      <c r="O2623" s="4" t="s">
        <v>373</v>
      </c>
      <c r="P2623" s="4">
        <v>469</v>
      </c>
      <c r="Q2623" s="4" t="s">
        <v>50</v>
      </c>
      <c r="R2623" s="4" t="s">
        <v>40</v>
      </c>
      <c r="S2623" s="4">
        <v>53479</v>
      </c>
      <c r="T2623" s="4">
        <v>24772</v>
      </c>
      <c r="U2623" s="4">
        <v>28707</v>
      </c>
      <c r="V2623" s="4">
        <v>18027</v>
      </c>
      <c r="W2623" s="4">
        <v>25893</v>
      </c>
      <c r="X2623" s="4">
        <v>5133</v>
      </c>
      <c r="Y2623" s="4" t="s">
        <v>91</v>
      </c>
      <c r="Z2623" s="4">
        <v>73</v>
      </c>
      <c r="AA2623" s="4">
        <v>4.5</v>
      </c>
      <c r="AB2623" s="4" t="s">
        <v>42</v>
      </c>
    </row>
    <row r="2624" spans="1:28" x14ac:dyDescent="0.25">
      <c r="A2624" s="2" t="s">
        <v>3433</v>
      </c>
      <c r="B2624" s="2" t="s">
        <v>699</v>
      </c>
      <c r="C2624" s="2">
        <v>47</v>
      </c>
      <c r="D2624" s="2" t="s">
        <v>55</v>
      </c>
      <c r="E2624" s="2" t="s">
        <v>67</v>
      </c>
      <c r="F2624" s="2" t="s">
        <v>32</v>
      </c>
      <c r="G2624" s="3">
        <v>44891</v>
      </c>
      <c r="H2624" s="3">
        <v>44897</v>
      </c>
      <c r="I2624" s="2">
        <v>6</v>
      </c>
      <c r="J2624" s="2" t="s">
        <v>202</v>
      </c>
      <c r="K2624" s="2" t="s">
        <v>225</v>
      </c>
      <c r="L2624" s="2" t="s">
        <v>226</v>
      </c>
      <c r="M2624" s="2" t="s">
        <v>134</v>
      </c>
      <c r="N2624" s="2" t="s">
        <v>62</v>
      </c>
      <c r="O2624" s="2" t="s">
        <v>595</v>
      </c>
      <c r="P2624" s="2">
        <v>348</v>
      </c>
      <c r="Q2624" s="2" t="s">
        <v>39</v>
      </c>
      <c r="R2624" s="2" t="s">
        <v>136</v>
      </c>
      <c r="S2624" s="2">
        <v>175396</v>
      </c>
      <c r="T2624" s="2">
        <v>0</v>
      </c>
      <c r="U2624" s="2">
        <v>175396</v>
      </c>
      <c r="V2624" s="2">
        <v>149703</v>
      </c>
      <c r="W2624" s="2">
        <v>22368</v>
      </c>
      <c r="X2624" s="2">
        <v>1392</v>
      </c>
      <c r="Y2624" s="2" t="s">
        <v>41</v>
      </c>
      <c r="Z2624" s="2">
        <v>44</v>
      </c>
      <c r="AA2624" s="2">
        <v>2.2000000000000002</v>
      </c>
      <c r="AB2624" s="2" t="s">
        <v>137</v>
      </c>
    </row>
    <row r="2625" spans="1:28" x14ac:dyDescent="0.25">
      <c r="A2625" s="4" t="s">
        <v>3434</v>
      </c>
      <c r="B2625" s="4" t="s">
        <v>224</v>
      </c>
      <c r="C2625" s="4">
        <v>6</v>
      </c>
      <c r="D2625" s="4" t="s">
        <v>55</v>
      </c>
      <c r="E2625" s="4" t="s">
        <v>154</v>
      </c>
      <c r="F2625" s="4" t="s">
        <v>32</v>
      </c>
      <c r="G2625" s="5">
        <v>45001</v>
      </c>
      <c r="H2625" s="5">
        <v>45012</v>
      </c>
      <c r="I2625" s="4">
        <v>11</v>
      </c>
      <c r="J2625" s="4" t="s">
        <v>33</v>
      </c>
      <c r="K2625" s="4" t="s">
        <v>99</v>
      </c>
      <c r="L2625" s="4" t="s">
        <v>100</v>
      </c>
      <c r="M2625" s="4" t="s">
        <v>61</v>
      </c>
      <c r="N2625" s="4" t="s">
        <v>118</v>
      </c>
      <c r="O2625" s="4" t="s">
        <v>184</v>
      </c>
      <c r="P2625" s="4">
        <v>90</v>
      </c>
      <c r="Q2625" s="4" t="s">
        <v>103</v>
      </c>
      <c r="R2625" s="4" t="s">
        <v>136</v>
      </c>
      <c r="S2625" s="4">
        <v>69299</v>
      </c>
      <c r="T2625" s="4">
        <v>0</v>
      </c>
      <c r="U2625" s="4">
        <v>69299</v>
      </c>
      <c r="V2625" s="4">
        <v>26674</v>
      </c>
      <c r="W2625" s="4">
        <v>25301</v>
      </c>
      <c r="X2625" s="4">
        <v>13793</v>
      </c>
      <c r="Y2625" s="4" t="s">
        <v>41</v>
      </c>
      <c r="Z2625" s="4">
        <v>43</v>
      </c>
      <c r="AA2625" s="4">
        <v>4.7</v>
      </c>
      <c r="AB2625" s="4" t="s">
        <v>42</v>
      </c>
    </row>
    <row r="2626" spans="1:28" x14ac:dyDescent="0.25">
      <c r="A2626" s="2" t="s">
        <v>3435</v>
      </c>
      <c r="B2626" s="2" t="s">
        <v>675</v>
      </c>
      <c r="C2626" s="2">
        <v>69</v>
      </c>
      <c r="D2626" s="2" t="s">
        <v>30</v>
      </c>
      <c r="E2626" s="2" t="s">
        <v>122</v>
      </c>
      <c r="F2626" s="2" t="s">
        <v>46</v>
      </c>
      <c r="G2626" s="3">
        <v>44758</v>
      </c>
      <c r="H2626" s="3">
        <v>44771</v>
      </c>
      <c r="I2626" s="2">
        <v>13</v>
      </c>
      <c r="J2626" s="2" t="s">
        <v>33</v>
      </c>
      <c r="K2626" s="2" t="s">
        <v>34</v>
      </c>
      <c r="L2626" s="2" t="s">
        <v>35</v>
      </c>
      <c r="M2626" s="2" t="s">
        <v>61</v>
      </c>
      <c r="N2626" s="2" t="s">
        <v>118</v>
      </c>
      <c r="O2626" s="2" t="s">
        <v>543</v>
      </c>
      <c r="P2626" s="2">
        <v>415</v>
      </c>
      <c r="Q2626" s="2" t="s">
        <v>50</v>
      </c>
      <c r="R2626" s="2" t="s">
        <v>51</v>
      </c>
      <c r="S2626" s="2">
        <v>76319</v>
      </c>
      <c r="T2626" s="2">
        <v>43631</v>
      </c>
      <c r="U2626" s="2">
        <v>32688</v>
      </c>
      <c r="V2626" s="2">
        <v>34439</v>
      </c>
      <c r="W2626" s="2">
        <v>24434</v>
      </c>
      <c r="X2626" s="2">
        <v>12826</v>
      </c>
      <c r="Y2626" s="2" t="s">
        <v>41</v>
      </c>
      <c r="Z2626" s="2">
        <v>92</v>
      </c>
      <c r="AA2626" s="2">
        <v>3</v>
      </c>
      <c r="AB2626" s="2" t="s">
        <v>52</v>
      </c>
    </row>
    <row r="2627" spans="1:28" x14ac:dyDescent="0.25">
      <c r="A2627" s="4" t="s">
        <v>3436</v>
      </c>
      <c r="B2627" s="4" t="s">
        <v>881</v>
      </c>
      <c r="C2627" s="4">
        <v>58</v>
      </c>
      <c r="D2627" s="4" t="s">
        <v>30</v>
      </c>
      <c r="E2627" s="4" t="s">
        <v>31</v>
      </c>
      <c r="F2627" s="4" t="s">
        <v>32</v>
      </c>
      <c r="G2627" s="5">
        <v>45034</v>
      </c>
      <c r="H2627" s="5">
        <v>45036</v>
      </c>
      <c r="I2627" s="4">
        <v>2</v>
      </c>
      <c r="J2627" s="4" t="s">
        <v>140</v>
      </c>
      <c r="K2627" s="4" t="s">
        <v>167</v>
      </c>
      <c r="L2627" s="4" t="s">
        <v>142</v>
      </c>
      <c r="M2627" s="4" t="s">
        <v>61</v>
      </c>
      <c r="N2627" s="4" t="s">
        <v>62</v>
      </c>
      <c r="O2627" s="4" t="s">
        <v>434</v>
      </c>
      <c r="P2627" s="4">
        <v>399</v>
      </c>
      <c r="Q2627" s="4" t="s">
        <v>69</v>
      </c>
      <c r="R2627" s="4" t="s">
        <v>51</v>
      </c>
      <c r="S2627" s="4">
        <v>64878</v>
      </c>
      <c r="T2627" s="4">
        <v>45133</v>
      </c>
      <c r="U2627" s="4">
        <v>19745</v>
      </c>
      <c r="V2627" s="4">
        <v>36009</v>
      </c>
      <c r="W2627" s="4">
        <v>12807</v>
      </c>
      <c r="X2627" s="4">
        <v>11356</v>
      </c>
      <c r="Y2627" s="4" t="s">
        <v>41</v>
      </c>
      <c r="Z2627" s="4">
        <v>40</v>
      </c>
      <c r="AA2627" s="4">
        <v>4.5999999999999996</v>
      </c>
      <c r="AB2627" s="4" t="s">
        <v>137</v>
      </c>
    </row>
    <row r="2628" spans="1:28" x14ac:dyDescent="0.25">
      <c r="A2628" s="2" t="s">
        <v>3437</v>
      </c>
      <c r="B2628" s="2" t="s">
        <v>496</v>
      </c>
      <c r="C2628" s="2">
        <v>24</v>
      </c>
      <c r="D2628" s="2" t="s">
        <v>30</v>
      </c>
      <c r="E2628" s="2" t="s">
        <v>122</v>
      </c>
      <c r="F2628" s="2" t="s">
        <v>72</v>
      </c>
      <c r="G2628" s="3">
        <v>45127</v>
      </c>
      <c r="H2628" s="3">
        <v>45147</v>
      </c>
      <c r="I2628" s="2">
        <v>20</v>
      </c>
      <c r="J2628" s="2" t="s">
        <v>202</v>
      </c>
      <c r="K2628" s="2" t="s">
        <v>203</v>
      </c>
      <c r="L2628" s="2" t="s">
        <v>204</v>
      </c>
      <c r="M2628" s="2" t="s">
        <v>134</v>
      </c>
      <c r="N2628" s="2" t="s">
        <v>109</v>
      </c>
      <c r="O2628" s="2" t="s">
        <v>256</v>
      </c>
      <c r="P2628" s="2">
        <v>122</v>
      </c>
      <c r="Q2628" s="2" t="s">
        <v>39</v>
      </c>
      <c r="R2628" s="2" t="s">
        <v>90</v>
      </c>
      <c r="S2628" s="2">
        <v>95216</v>
      </c>
      <c r="T2628" s="2">
        <v>77045</v>
      </c>
      <c r="U2628" s="2">
        <v>18171</v>
      </c>
      <c r="V2628" s="2">
        <v>51181</v>
      </c>
      <c r="W2628" s="2">
        <v>27684</v>
      </c>
      <c r="X2628" s="2">
        <v>14175</v>
      </c>
      <c r="Y2628" s="2" t="s">
        <v>41</v>
      </c>
      <c r="Z2628" s="2">
        <v>95</v>
      </c>
      <c r="AA2628" s="2">
        <v>4.5999999999999996</v>
      </c>
      <c r="AB2628" s="2" t="s">
        <v>52</v>
      </c>
    </row>
    <row r="2629" spans="1:28" x14ac:dyDescent="0.25">
      <c r="A2629" s="4" t="s">
        <v>3438</v>
      </c>
      <c r="B2629" s="4" t="s">
        <v>1383</v>
      </c>
      <c r="C2629" s="4">
        <v>48</v>
      </c>
      <c r="D2629" s="4" t="s">
        <v>55</v>
      </c>
      <c r="E2629" s="4" t="s">
        <v>154</v>
      </c>
      <c r="F2629" s="4" t="s">
        <v>129</v>
      </c>
      <c r="G2629" s="5">
        <v>44581</v>
      </c>
      <c r="H2629" s="5">
        <v>44602</v>
      </c>
      <c r="I2629" s="4">
        <v>21</v>
      </c>
      <c r="J2629" s="4" t="s">
        <v>33</v>
      </c>
      <c r="K2629" s="4" t="s">
        <v>99</v>
      </c>
      <c r="L2629" s="4" t="s">
        <v>100</v>
      </c>
      <c r="M2629" s="4" t="s">
        <v>95</v>
      </c>
      <c r="N2629" s="4" t="s">
        <v>109</v>
      </c>
      <c r="O2629" s="4" t="s">
        <v>492</v>
      </c>
      <c r="P2629" s="4">
        <v>387</v>
      </c>
      <c r="Q2629" s="4" t="s">
        <v>103</v>
      </c>
      <c r="R2629" s="4" t="s">
        <v>51</v>
      </c>
      <c r="S2629" s="4">
        <v>74603</v>
      </c>
      <c r="T2629" s="4">
        <v>31303</v>
      </c>
      <c r="U2629" s="4">
        <v>43300</v>
      </c>
      <c r="V2629" s="4">
        <v>45102</v>
      </c>
      <c r="W2629" s="4">
        <v>15742</v>
      </c>
      <c r="X2629" s="4">
        <v>10232</v>
      </c>
      <c r="Y2629" s="4" t="s">
        <v>41</v>
      </c>
      <c r="Z2629" s="4">
        <v>89</v>
      </c>
      <c r="AA2629" s="4">
        <v>4.2</v>
      </c>
      <c r="AB2629" s="4" t="s">
        <v>137</v>
      </c>
    </row>
    <row r="2630" spans="1:28" x14ac:dyDescent="0.25">
      <c r="A2630" s="2" t="s">
        <v>3439</v>
      </c>
      <c r="B2630" s="2" t="s">
        <v>913</v>
      </c>
      <c r="C2630" s="2">
        <v>74</v>
      </c>
      <c r="D2630" s="2" t="s">
        <v>55</v>
      </c>
      <c r="E2630" s="2" t="s">
        <v>45</v>
      </c>
      <c r="F2630" s="2" t="s">
        <v>72</v>
      </c>
      <c r="G2630" s="3">
        <v>44765</v>
      </c>
      <c r="H2630" s="3">
        <v>44774</v>
      </c>
      <c r="I2630" s="2">
        <v>9</v>
      </c>
      <c r="J2630" s="2" t="s">
        <v>33</v>
      </c>
      <c r="K2630" s="2" t="s">
        <v>81</v>
      </c>
      <c r="L2630" s="2" t="s">
        <v>82</v>
      </c>
      <c r="M2630" s="2" t="s">
        <v>143</v>
      </c>
      <c r="N2630" s="2" t="s">
        <v>62</v>
      </c>
      <c r="O2630" s="2" t="s">
        <v>161</v>
      </c>
      <c r="P2630" s="2">
        <v>21</v>
      </c>
      <c r="Q2630" s="2" t="s">
        <v>103</v>
      </c>
      <c r="R2630" s="2" t="s">
        <v>51</v>
      </c>
      <c r="S2630" s="2">
        <v>151807</v>
      </c>
      <c r="T2630" s="2">
        <v>60975</v>
      </c>
      <c r="U2630" s="2">
        <v>90832</v>
      </c>
      <c r="V2630" s="2">
        <v>137761</v>
      </c>
      <c r="W2630" s="2">
        <v>8399</v>
      </c>
      <c r="X2630" s="2">
        <v>4998</v>
      </c>
      <c r="Y2630" s="2" t="s">
        <v>41</v>
      </c>
      <c r="Z2630" s="2">
        <v>90</v>
      </c>
      <c r="AA2630" s="2">
        <v>2.2000000000000002</v>
      </c>
      <c r="AB2630" s="2" t="s">
        <v>137</v>
      </c>
    </row>
    <row r="2631" spans="1:28" x14ac:dyDescent="0.25">
      <c r="A2631" s="4" t="s">
        <v>3440</v>
      </c>
      <c r="B2631" s="4" t="s">
        <v>670</v>
      </c>
      <c r="C2631" s="4">
        <v>17</v>
      </c>
      <c r="D2631" s="4" t="s">
        <v>55</v>
      </c>
      <c r="E2631" s="4" t="s">
        <v>31</v>
      </c>
      <c r="F2631" s="4" t="s">
        <v>157</v>
      </c>
      <c r="G2631" s="5">
        <v>45465</v>
      </c>
      <c r="H2631" s="5">
        <v>45491</v>
      </c>
      <c r="I2631" s="4">
        <v>26</v>
      </c>
      <c r="J2631" s="4" t="s">
        <v>73</v>
      </c>
      <c r="K2631" s="4" t="s">
        <v>74</v>
      </c>
      <c r="L2631" s="4" t="s">
        <v>73</v>
      </c>
      <c r="M2631" s="4" t="s">
        <v>101</v>
      </c>
      <c r="N2631" s="4" t="s">
        <v>37</v>
      </c>
      <c r="O2631" s="4" t="s">
        <v>678</v>
      </c>
      <c r="P2631" s="4">
        <v>49</v>
      </c>
      <c r="Q2631" s="4" t="s">
        <v>50</v>
      </c>
      <c r="R2631" s="4" t="s">
        <v>136</v>
      </c>
      <c r="S2631" s="4">
        <v>100839</v>
      </c>
      <c r="T2631" s="4">
        <v>0</v>
      </c>
      <c r="U2631" s="4">
        <v>100839</v>
      </c>
      <c r="V2631" s="4">
        <v>63078</v>
      </c>
      <c r="W2631" s="4">
        <v>22316</v>
      </c>
      <c r="X2631" s="4">
        <v>12971</v>
      </c>
      <c r="Y2631" s="4" t="s">
        <v>41</v>
      </c>
      <c r="Z2631" s="4">
        <v>90</v>
      </c>
      <c r="AA2631" s="4">
        <v>3.4</v>
      </c>
      <c r="AB2631" s="4" t="s">
        <v>52</v>
      </c>
    </row>
    <row r="2632" spans="1:28" x14ac:dyDescent="0.25">
      <c r="A2632" s="2" t="s">
        <v>3441</v>
      </c>
      <c r="B2632" s="2" t="s">
        <v>1091</v>
      </c>
      <c r="C2632" s="2">
        <v>68</v>
      </c>
      <c r="D2632" s="2" t="s">
        <v>30</v>
      </c>
      <c r="E2632" s="2" t="s">
        <v>154</v>
      </c>
      <c r="F2632" s="2" t="s">
        <v>94</v>
      </c>
      <c r="G2632" s="3">
        <v>45331</v>
      </c>
      <c r="H2632" s="3">
        <v>45335</v>
      </c>
      <c r="I2632" s="2">
        <v>4</v>
      </c>
      <c r="J2632" s="2" t="s">
        <v>123</v>
      </c>
      <c r="K2632" s="2" t="s">
        <v>124</v>
      </c>
      <c r="L2632" s="2" t="s">
        <v>125</v>
      </c>
      <c r="M2632" s="2" t="s">
        <v>134</v>
      </c>
      <c r="N2632" s="2" t="s">
        <v>62</v>
      </c>
      <c r="O2632" s="2" t="s">
        <v>38</v>
      </c>
      <c r="P2632" s="2">
        <v>69</v>
      </c>
      <c r="Q2632" s="2" t="s">
        <v>50</v>
      </c>
      <c r="R2632" s="2" t="s">
        <v>51</v>
      </c>
      <c r="S2632" s="2">
        <v>91398</v>
      </c>
      <c r="T2632" s="2">
        <v>60046</v>
      </c>
      <c r="U2632" s="2">
        <v>31352</v>
      </c>
      <c r="V2632" s="2">
        <v>56726</v>
      </c>
      <c r="W2632" s="2">
        <v>17187</v>
      </c>
      <c r="X2632" s="2">
        <v>14248</v>
      </c>
      <c r="Y2632" s="2" t="s">
        <v>91</v>
      </c>
      <c r="Z2632" s="2">
        <v>54</v>
      </c>
      <c r="AA2632" s="2">
        <v>3</v>
      </c>
      <c r="AB2632" s="2" t="s">
        <v>104</v>
      </c>
    </row>
    <row r="2633" spans="1:28" x14ac:dyDescent="0.25">
      <c r="A2633" s="4" t="s">
        <v>3442</v>
      </c>
      <c r="B2633" s="4" t="s">
        <v>646</v>
      </c>
      <c r="C2633" s="4">
        <v>76</v>
      </c>
      <c r="D2633" s="4" t="s">
        <v>30</v>
      </c>
      <c r="E2633" s="4" t="s">
        <v>79</v>
      </c>
      <c r="F2633" s="4" t="s">
        <v>57</v>
      </c>
      <c r="G2633" s="5">
        <v>45648</v>
      </c>
      <c r="H2633" s="5">
        <v>45657</v>
      </c>
      <c r="I2633" s="4">
        <v>9</v>
      </c>
      <c r="J2633" s="4" t="s">
        <v>33</v>
      </c>
      <c r="K2633" s="4" t="s">
        <v>174</v>
      </c>
      <c r="L2633" s="4" t="s">
        <v>48</v>
      </c>
      <c r="M2633" s="4" t="s">
        <v>83</v>
      </c>
      <c r="N2633" s="4" t="s">
        <v>118</v>
      </c>
      <c r="O2633" s="4" t="s">
        <v>647</v>
      </c>
      <c r="P2633" s="4">
        <v>178</v>
      </c>
      <c r="Q2633" s="4" t="s">
        <v>69</v>
      </c>
      <c r="R2633" s="4" t="s">
        <v>51</v>
      </c>
      <c r="S2633" s="4">
        <v>55131</v>
      </c>
      <c r="T2633" s="4">
        <v>35360</v>
      </c>
      <c r="U2633" s="4">
        <v>19771</v>
      </c>
      <c r="V2633" s="4">
        <v>14971</v>
      </c>
      <c r="W2633" s="4">
        <v>24185</v>
      </c>
      <c r="X2633" s="4">
        <v>14164</v>
      </c>
      <c r="Y2633" s="4" t="s">
        <v>41</v>
      </c>
      <c r="Z2633" s="4">
        <v>47</v>
      </c>
      <c r="AA2633" s="4">
        <v>3.9</v>
      </c>
      <c r="AB2633" s="4" t="s">
        <v>42</v>
      </c>
    </row>
    <row r="2634" spans="1:28" x14ac:dyDescent="0.25">
      <c r="A2634" s="2" t="s">
        <v>3443</v>
      </c>
      <c r="B2634" s="2" t="s">
        <v>1243</v>
      </c>
      <c r="C2634" s="2">
        <v>70</v>
      </c>
      <c r="D2634" s="2" t="s">
        <v>30</v>
      </c>
      <c r="E2634" s="2" t="s">
        <v>56</v>
      </c>
      <c r="F2634" s="2" t="s">
        <v>114</v>
      </c>
      <c r="G2634" s="3">
        <v>45038</v>
      </c>
      <c r="H2634" s="3">
        <v>45067</v>
      </c>
      <c r="I2634" s="2">
        <v>29</v>
      </c>
      <c r="J2634" s="2" t="s">
        <v>140</v>
      </c>
      <c r="K2634" s="2" t="s">
        <v>167</v>
      </c>
      <c r="L2634" s="2" t="s">
        <v>142</v>
      </c>
      <c r="M2634" s="2" t="s">
        <v>83</v>
      </c>
      <c r="N2634" s="2" t="s">
        <v>37</v>
      </c>
      <c r="O2634" s="2" t="s">
        <v>147</v>
      </c>
      <c r="P2634" s="2">
        <v>249</v>
      </c>
      <c r="Q2634" s="2" t="s">
        <v>103</v>
      </c>
      <c r="R2634" s="2" t="s">
        <v>51</v>
      </c>
      <c r="S2634" s="2">
        <v>91574</v>
      </c>
      <c r="T2634" s="2">
        <v>36787</v>
      </c>
      <c r="U2634" s="2">
        <v>54787</v>
      </c>
      <c r="V2634" s="2">
        <v>57096</v>
      </c>
      <c r="W2634" s="2">
        <v>21239</v>
      </c>
      <c r="X2634" s="2">
        <v>11505</v>
      </c>
      <c r="Y2634" s="2" t="s">
        <v>41</v>
      </c>
      <c r="Z2634" s="2">
        <v>45</v>
      </c>
      <c r="AA2634" s="2">
        <v>4.5</v>
      </c>
      <c r="AB2634" s="2" t="s">
        <v>52</v>
      </c>
    </row>
    <row r="2635" spans="1:28" x14ac:dyDescent="0.25">
      <c r="A2635" s="4" t="s">
        <v>3444</v>
      </c>
      <c r="B2635" s="4" t="s">
        <v>856</v>
      </c>
      <c r="C2635" s="4">
        <v>5</v>
      </c>
      <c r="D2635" s="4" t="s">
        <v>30</v>
      </c>
      <c r="E2635" s="4" t="s">
        <v>45</v>
      </c>
      <c r="F2635" s="4" t="s">
        <v>32</v>
      </c>
      <c r="G2635" s="5">
        <v>45035</v>
      </c>
      <c r="H2635" s="5">
        <v>45036</v>
      </c>
      <c r="I2635" s="4">
        <v>1</v>
      </c>
      <c r="J2635" s="4" t="s">
        <v>58</v>
      </c>
      <c r="K2635" s="4" t="s">
        <v>59</v>
      </c>
      <c r="L2635" s="4" t="s">
        <v>60</v>
      </c>
      <c r="M2635" s="4" t="s">
        <v>134</v>
      </c>
      <c r="N2635" s="4" t="s">
        <v>118</v>
      </c>
      <c r="O2635" s="4" t="s">
        <v>205</v>
      </c>
      <c r="P2635" s="4">
        <v>186</v>
      </c>
      <c r="Q2635" s="4" t="s">
        <v>39</v>
      </c>
      <c r="R2635" s="4" t="s">
        <v>111</v>
      </c>
      <c r="S2635" s="4">
        <v>164991</v>
      </c>
      <c r="T2635" s="4">
        <v>109908</v>
      </c>
      <c r="U2635" s="4">
        <v>55083</v>
      </c>
      <c r="V2635" s="4">
        <v>140397</v>
      </c>
      <c r="W2635" s="4">
        <v>16415</v>
      </c>
      <c r="X2635" s="4">
        <v>5295</v>
      </c>
      <c r="Y2635" s="4" t="s">
        <v>41</v>
      </c>
      <c r="Z2635" s="4">
        <v>98</v>
      </c>
      <c r="AA2635" s="4">
        <v>4.9000000000000004</v>
      </c>
      <c r="AB2635" s="4" t="s">
        <v>104</v>
      </c>
    </row>
    <row r="2636" spans="1:28" x14ac:dyDescent="0.25">
      <c r="A2636" s="2" t="s">
        <v>3445</v>
      </c>
      <c r="B2636" s="2" t="s">
        <v>44</v>
      </c>
      <c r="C2636" s="2">
        <v>23</v>
      </c>
      <c r="D2636" s="2" t="s">
        <v>55</v>
      </c>
      <c r="E2636" s="2" t="s">
        <v>31</v>
      </c>
      <c r="F2636" s="2" t="s">
        <v>57</v>
      </c>
      <c r="G2636" s="3">
        <v>44665</v>
      </c>
      <c r="H2636" s="3">
        <v>44683</v>
      </c>
      <c r="I2636" s="2">
        <v>18</v>
      </c>
      <c r="J2636" s="2" t="s">
        <v>33</v>
      </c>
      <c r="K2636" s="2" t="s">
        <v>34</v>
      </c>
      <c r="L2636" s="2" t="s">
        <v>35</v>
      </c>
      <c r="M2636" s="2" t="s">
        <v>61</v>
      </c>
      <c r="N2636" s="2" t="s">
        <v>62</v>
      </c>
      <c r="O2636" s="2" t="s">
        <v>580</v>
      </c>
      <c r="P2636" s="2">
        <v>330</v>
      </c>
      <c r="Q2636" s="2" t="s">
        <v>50</v>
      </c>
      <c r="R2636" s="2" t="s">
        <v>90</v>
      </c>
      <c r="S2636" s="2">
        <v>157103</v>
      </c>
      <c r="T2636" s="2">
        <v>119599</v>
      </c>
      <c r="U2636" s="2">
        <v>37504</v>
      </c>
      <c r="V2636" s="2">
        <v>133863</v>
      </c>
      <c r="W2636" s="2">
        <v>12283</v>
      </c>
      <c r="X2636" s="2">
        <v>6622</v>
      </c>
      <c r="Y2636" s="2" t="s">
        <v>41</v>
      </c>
      <c r="Z2636" s="2">
        <v>44</v>
      </c>
      <c r="AA2636" s="2">
        <v>4.5999999999999996</v>
      </c>
      <c r="AB2636" s="2" t="s">
        <v>64</v>
      </c>
    </row>
    <row r="2637" spans="1:28" x14ac:dyDescent="0.25">
      <c r="A2637" s="4" t="s">
        <v>3446</v>
      </c>
      <c r="B2637" s="4" t="s">
        <v>93</v>
      </c>
      <c r="C2637" s="4">
        <v>44</v>
      </c>
      <c r="D2637" s="4" t="s">
        <v>30</v>
      </c>
      <c r="E2637" s="4" t="s">
        <v>31</v>
      </c>
      <c r="F2637" s="4" t="s">
        <v>57</v>
      </c>
      <c r="G2637" s="5">
        <v>45245</v>
      </c>
      <c r="H2637" s="5">
        <v>45252</v>
      </c>
      <c r="I2637" s="4">
        <v>7</v>
      </c>
      <c r="J2637" s="4" t="s">
        <v>58</v>
      </c>
      <c r="K2637" s="4" t="s">
        <v>59</v>
      </c>
      <c r="L2637" s="4" t="s">
        <v>60</v>
      </c>
      <c r="M2637" s="4" t="s">
        <v>83</v>
      </c>
      <c r="N2637" s="4" t="s">
        <v>118</v>
      </c>
      <c r="O2637" s="4" t="s">
        <v>497</v>
      </c>
      <c r="P2637" s="4">
        <v>406</v>
      </c>
      <c r="Q2637" s="4" t="s">
        <v>39</v>
      </c>
      <c r="R2637" s="4" t="s">
        <v>40</v>
      </c>
      <c r="S2637" s="4">
        <v>77222</v>
      </c>
      <c r="T2637" s="4">
        <v>43823</v>
      </c>
      <c r="U2637" s="4">
        <v>33399</v>
      </c>
      <c r="V2637" s="4">
        <v>43138</v>
      </c>
      <c r="W2637" s="4">
        <v>18309</v>
      </c>
      <c r="X2637" s="4">
        <v>10907</v>
      </c>
      <c r="Y2637" s="4" t="s">
        <v>41</v>
      </c>
      <c r="Z2637" s="4">
        <v>45</v>
      </c>
      <c r="AA2637" s="4">
        <v>2.7</v>
      </c>
      <c r="AB2637" s="4" t="s">
        <v>137</v>
      </c>
    </row>
    <row r="2638" spans="1:28" x14ac:dyDescent="0.25">
      <c r="A2638" s="2" t="s">
        <v>3447</v>
      </c>
      <c r="B2638" s="2" t="s">
        <v>229</v>
      </c>
      <c r="C2638" s="2">
        <v>79</v>
      </c>
      <c r="D2638" s="2" t="s">
        <v>30</v>
      </c>
      <c r="E2638" s="2" t="s">
        <v>122</v>
      </c>
      <c r="F2638" s="2" t="s">
        <v>150</v>
      </c>
      <c r="G2638" s="3">
        <v>45024</v>
      </c>
      <c r="H2638" s="3">
        <v>45050</v>
      </c>
      <c r="I2638" s="2">
        <v>26</v>
      </c>
      <c r="J2638" s="2" t="s">
        <v>140</v>
      </c>
      <c r="K2638" s="2" t="s">
        <v>141</v>
      </c>
      <c r="L2638" s="2" t="s">
        <v>142</v>
      </c>
      <c r="M2638" s="2" t="s">
        <v>36</v>
      </c>
      <c r="N2638" s="2" t="s">
        <v>118</v>
      </c>
      <c r="O2638" s="2" t="s">
        <v>164</v>
      </c>
      <c r="P2638" s="2">
        <v>179</v>
      </c>
      <c r="Q2638" s="2" t="s">
        <v>50</v>
      </c>
      <c r="R2638" s="2" t="s">
        <v>136</v>
      </c>
      <c r="S2638" s="2">
        <v>70418</v>
      </c>
      <c r="T2638" s="2">
        <v>0</v>
      </c>
      <c r="U2638" s="2">
        <v>70418</v>
      </c>
      <c r="V2638" s="2">
        <v>42354</v>
      </c>
      <c r="W2638" s="2">
        <v>18499</v>
      </c>
      <c r="X2638" s="2">
        <v>5504</v>
      </c>
      <c r="Y2638" s="2" t="s">
        <v>41</v>
      </c>
      <c r="Z2638" s="2">
        <v>92</v>
      </c>
      <c r="AA2638" s="2">
        <v>3.2</v>
      </c>
      <c r="AB2638" s="2" t="s">
        <v>42</v>
      </c>
    </row>
    <row r="2639" spans="1:28" x14ac:dyDescent="0.25">
      <c r="A2639" s="4" t="s">
        <v>3448</v>
      </c>
      <c r="B2639" s="4" t="s">
        <v>849</v>
      </c>
      <c r="C2639" s="4">
        <v>11</v>
      </c>
      <c r="D2639" s="4" t="s">
        <v>55</v>
      </c>
      <c r="E2639" s="4" t="s">
        <v>154</v>
      </c>
      <c r="F2639" s="4" t="s">
        <v>32</v>
      </c>
      <c r="G2639" s="5">
        <v>45637</v>
      </c>
      <c r="H2639" s="5">
        <v>45645</v>
      </c>
      <c r="I2639" s="4">
        <v>8</v>
      </c>
      <c r="J2639" s="4" t="s">
        <v>140</v>
      </c>
      <c r="K2639" s="4" t="s">
        <v>141</v>
      </c>
      <c r="L2639" s="4" t="s">
        <v>142</v>
      </c>
      <c r="M2639" s="4" t="s">
        <v>83</v>
      </c>
      <c r="N2639" s="4" t="s">
        <v>62</v>
      </c>
      <c r="O2639" s="4" t="s">
        <v>211</v>
      </c>
      <c r="P2639" s="4">
        <v>134</v>
      </c>
      <c r="Q2639" s="4" t="s">
        <v>39</v>
      </c>
      <c r="R2639" s="4" t="s">
        <v>40</v>
      </c>
      <c r="S2639" s="4">
        <v>159797</v>
      </c>
      <c r="T2639" s="4">
        <v>71588</v>
      </c>
      <c r="U2639" s="4">
        <v>88209</v>
      </c>
      <c r="V2639" s="4">
        <v>130020</v>
      </c>
      <c r="W2639" s="4">
        <v>23753</v>
      </c>
      <c r="X2639" s="4">
        <v>5292</v>
      </c>
      <c r="Y2639" s="4" t="s">
        <v>41</v>
      </c>
      <c r="Z2639" s="4">
        <v>75</v>
      </c>
      <c r="AA2639" s="4">
        <v>3</v>
      </c>
      <c r="AB2639" s="4" t="s">
        <v>64</v>
      </c>
    </row>
    <row r="2640" spans="1:28" x14ac:dyDescent="0.25">
      <c r="A2640" s="2" t="s">
        <v>3449</v>
      </c>
      <c r="B2640" s="2" t="s">
        <v>367</v>
      </c>
      <c r="C2640" s="2">
        <v>76</v>
      </c>
      <c r="D2640" s="2" t="s">
        <v>55</v>
      </c>
      <c r="E2640" s="2" t="s">
        <v>154</v>
      </c>
      <c r="F2640" s="2" t="s">
        <v>32</v>
      </c>
      <c r="G2640" s="3">
        <v>45069</v>
      </c>
      <c r="H2640" s="3">
        <v>45073</v>
      </c>
      <c r="I2640" s="2">
        <v>4</v>
      </c>
      <c r="J2640" s="2" t="s">
        <v>123</v>
      </c>
      <c r="K2640" s="2" t="s">
        <v>251</v>
      </c>
      <c r="L2640" s="2" t="s">
        <v>125</v>
      </c>
      <c r="M2640" s="2" t="s">
        <v>36</v>
      </c>
      <c r="N2640" s="2" t="s">
        <v>118</v>
      </c>
      <c r="O2640" s="2" t="s">
        <v>84</v>
      </c>
      <c r="P2640" s="2">
        <v>374</v>
      </c>
      <c r="Q2640" s="2" t="s">
        <v>69</v>
      </c>
      <c r="R2640" s="2" t="s">
        <v>136</v>
      </c>
      <c r="S2640" s="2">
        <v>47739</v>
      </c>
      <c r="T2640" s="2">
        <v>0</v>
      </c>
      <c r="U2640" s="2">
        <v>47739</v>
      </c>
      <c r="V2640" s="2">
        <v>29356</v>
      </c>
      <c r="W2640" s="2">
        <v>9295</v>
      </c>
      <c r="X2640" s="2">
        <v>4360</v>
      </c>
      <c r="Y2640" s="2" t="s">
        <v>41</v>
      </c>
      <c r="Z2640" s="2">
        <v>51</v>
      </c>
      <c r="AA2640" s="2">
        <v>3.4</v>
      </c>
      <c r="AB2640" s="2" t="s">
        <v>137</v>
      </c>
    </row>
    <row r="2641" spans="1:28" x14ac:dyDescent="0.25">
      <c r="A2641" s="4" t="s">
        <v>3450</v>
      </c>
      <c r="B2641" s="4" t="s">
        <v>334</v>
      </c>
      <c r="C2641" s="4">
        <v>79</v>
      </c>
      <c r="D2641" s="4" t="s">
        <v>55</v>
      </c>
      <c r="E2641" s="4" t="s">
        <v>79</v>
      </c>
      <c r="F2641" s="4" t="s">
        <v>46</v>
      </c>
      <c r="G2641" s="5">
        <v>45580</v>
      </c>
      <c r="H2641" s="5">
        <v>45583</v>
      </c>
      <c r="I2641" s="4">
        <v>3</v>
      </c>
      <c r="J2641" s="4" t="s">
        <v>33</v>
      </c>
      <c r="K2641" s="4" t="s">
        <v>99</v>
      </c>
      <c r="L2641" s="4" t="s">
        <v>100</v>
      </c>
      <c r="M2641" s="4" t="s">
        <v>61</v>
      </c>
      <c r="N2641" s="4" t="s">
        <v>109</v>
      </c>
      <c r="O2641" s="4" t="s">
        <v>246</v>
      </c>
      <c r="P2641" s="4">
        <v>209</v>
      </c>
      <c r="Q2641" s="4" t="s">
        <v>39</v>
      </c>
      <c r="R2641" s="4" t="s">
        <v>90</v>
      </c>
      <c r="S2641" s="4">
        <v>98580</v>
      </c>
      <c r="T2641" s="4">
        <v>65554</v>
      </c>
      <c r="U2641" s="4">
        <v>33026</v>
      </c>
      <c r="V2641" s="4">
        <v>79717</v>
      </c>
      <c r="W2641" s="4">
        <v>14405</v>
      </c>
      <c r="X2641" s="4">
        <v>2055</v>
      </c>
      <c r="Y2641" s="4" t="s">
        <v>41</v>
      </c>
      <c r="Z2641" s="4">
        <v>52</v>
      </c>
      <c r="AA2641" s="4">
        <v>4.4000000000000004</v>
      </c>
      <c r="AB2641" s="4" t="s">
        <v>64</v>
      </c>
    </row>
    <row r="2642" spans="1:28" x14ac:dyDescent="0.25">
      <c r="A2642" s="2" t="s">
        <v>3451</v>
      </c>
      <c r="B2642" s="2" t="s">
        <v>1050</v>
      </c>
      <c r="C2642" s="2">
        <v>26</v>
      </c>
      <c r="D2642" s="2" t="s">
        <v>30</v>
      </c>
      <c r="E2642" s="2" t="s">
        <v>45</v>
      </c>
      <c r="F2642" s="2" t="s">
        <v>80</v>
      </c>
      <c r="G2642" s="3">
        <v>45362</v>
      </c>
      <c r="H2642" s="3">
        <v>45369</v>
      </c>
      <c r="I2642" s="2">
        <v>7</v>
      </c>
      <c r="J2642" s="2" t="s">
        <v>58</v>
      </c>
      <c r="K2642" s="2" t="s">
        <v>59</v>
      </c>
      <c r="L2642" s="2" t="s">
        <v>60</v>
      </c>
      <c r="M2642" s="2" t="s">
        <v>36</v>
      </c>
      <c r="N2642" s="2" t="s">
        <v>118</v>
      </c>
      <c r="O2642" s="2" t="s">
        <v>49</v>
      </c>
      <c r="P2642" s="2">
        <v>238</v>
      </c>
      <c r="Q2642" s="2" t="s">
        <v>103</v>
      </c>
      <c r="R2642" s="2" t="s">
        <v>90</v>
      </c>
      <c r="S2642" s="2">
        <v>55734</v>
      </c>
      <c r="T2642" s="2">
        <v>42880</v>
      </c>
      <c r="U2642" s="2">
        <v>12854</v>
      </c>
      <c r="V2642" s="2">
        <v>19815</v>
      </c>
      <c r="W2642" s="2">
        <v>25483</v>
      </c>
      <c r="X2642" s="2">
        <v>7874</v>
      </c>
      <c r="Y2642" s="2" t="s">
        <v>91</v>
      </c>
      <c r="Z2642" s="2">
        <v>82</v>
      </c>
      <c r="AA2642" s="2">
        <v>3.9</v>
      </c>
      <c r="AB2642" s="2" t="s">
        <v>64</v>
      </c>
    </row>
    <row r="2643" spans="1:28" x14ac:dyDescent="0.25">
      <c r="A2643" s="4" t="s">
        <v>3452</v>
      </c>
      <c r="B2643" s="4" t="s">
        <v>1087</v>
      </c>
      <c r="C2643" s="4">
        <v>58</v>
      </c>
      <c r="D2643" s="4" t="s">
        <v>30</v>
      </c>
      <c r="E2643" s="4" t="s">
        <v>154</v>
      </c>
      <c r="F2643" s="4" t="s">
        <v>94</v>
      </c>
      <c r="G2643" s="5">
        <v>45310</v>
      </c>
      <c r="H2643" s="5">
        <v>45333</v>
      </c>
      <c r="I2643" s="4">
        <v>23</v>
      </c>
      <c r="J2643" s="4" t="s">
        <v>33</v>
      </c>
      <c r="K2643" s="4" t="s">
        <v>34</v>
      </c>
      <c r="L2643" s="4" t="s">
        <v>35</v>
      </c>
      <c r="M2643" s="4" t="s">
        <v>36</v>
      </c>
      <c r="N2643" s="4" t="s">
        <v>62</v>
      </c>
      <c r="O2643" s="4" t="s">
        <v>217</v>
      </c>
      <c r="P2643" s="4">
        <v>393</v>
      </c>
      <c r="Q2643" s="4" t="s">
        <v>103</v>
      </c>
      <c r="R2643" s="4" t="s">
        <v>136</v>
      </c>
      <c r="S2643" s="4">
        <v>121347</v>
      </c>
      <c r="T2643" s="4">
        <v>0</v>
      </c>
      <c r="U2643" s="4">
        <v>121347</v>
      </c>
      <c r="V2643" s="4">
        <v>88127</v>
      </c>
      <c r="W2643" s="4">
        <v>22551</v>
      </c>
      <c r="X2643" s="4">
        <v>7915</v>
      </c>
      <c r="Y2643" s="4" t="s">
        <v>41</v>
      </c>
      <c r="Z2643" s="4">
        <v>62</v>
      </c>
      <c r="AA2643" s="4">
        <v>4.5999999999999996</v>
      </c>
      <c r="AB2643" s="4" t="s">
        <v>42</v>
      </c>
    </row>
    <row r="2644" spans="1:28" x14ac:dyDescent="0.25">
      <c r="A2644" s="2" t="s">
        <v>3453</v>
      </c>
      <c r="B2644" s="2" t="s">
        <v>2425</v>
      </c>
      <c r="C2644" s="2">
        <v>24</v>
      </c>
      <c r="D2644" s="2" t="s">
        <v>30</v>
      </c>
      <c r="E2644" s="2" t="s">
        <v>122</v>
      </c>
      <c r="F2644" s="2" t="s">
        <v>150</v>
      </c>
      <c r="G2644" s="3">
        <v>45441</v>
      </c>
      <c r="H2644" s="3">
        <v>45469</v>
      </c>
      <c r="I2644" s="2">
        <v>28</v>
      </c>
      <c r="J2644" s="2" t="s">
        <v>115</v>
      </c>
      <c r="K2644" s="2" t="s">
        <v>160</v>
      </c>
      <c r="L2644" s="2" t="s">
        <v>117</v>
      </c>
      <c r="M2644" s="2" t="s">
        <v>83</v>
      </c>
      <c r="N2644" s="2" t="s">
        <v>109</v>
      </c>
      <c r="O2644" s="2" t="s">
        <v>63</v>
      </c>
      <c r="P2644" s="2">
        <v>434</v>
      </c>
      <c r="Q2644" s="2" t="s">
        <v>39</v>
      </c>
      <c r="R2644" s="2" t="s">
        <v>136</v>
      </c>
      <c r="S2644" s="2">
        <v>87003</v>
      </c>
      <c r="T2644" s="2">
        <v>0</v>
      </c>
      <c r="U2644" s="2">
        <v>87003</v>
      </c>
      <c r="V2644" s="2">
        <v>65450</v>
      </c>
      <c r="W2644" s="2">
        <v>17235</v>
      </c>
      <c r="X2644" s="2">
        <v>2338</v>
      </c>
      <c r="Y2644" s="2" t="s">
        <v>91</v>
      </c>
      <c r="Z2644" s="2">
        <v>65</v>
      </c>
      <c r="AA2644" s="2">
        <v>2.7</v>
      </c>
      <c r="AB2644" s="2" t="s">
        <v>137</v>
      </c>
    </row>
    <row r="2645" spans="1:28" x14ac:dyDescent="0.25">
      <c r="A2645" s="4" t="s">
        <v>3454</v>
      </c>
      <c r="B2645" s="4" t="s">
        <v>680</v>
      </c>
      <c r="C2645" s="4">
        <v>82</v>
      </c>
      <c r="D2645" s="4" t="s">
        <v>30</v>
      </c>
      <c r="E2645" s="4" t="s">
        <v>31</v>
      </c>
      <c r="F2645" s="4" t="s">
        <v>57</v>
      </c>
      <c r="G2645" s="5">
        <v>45088</v>
      </c>
      <c r="H2645" s="5">
        <v>45094</v>
      </c>
      <c r="I2645" s="4">
        <v>6</v>
      </c>
      <c r="J2645" s="4" t="s">
        <v>33</v>
      </c>
      <c r="K2645" s="4" t="s">
        <v>99</v>
      </c>
      <c r="L2645" s="4" t="s">
        <v>100</v>
      </c>
      <c r="M2645" s="4" t="s">
        <v>61</v>
      </c>
      <c r="N2645" s="4" t="s">
        <v>109</v>
      </c>
      <c r="O2645" s="4" t="s">
        <v>365</v>
      </c>
      <c r="P2645" s="4">
        <v>26</v>
      </c>
      <c r="Q2645" s="4" t="s">
        <v>39</v>
      </c>
      <c r="R2645" s="4" t="s">
        <v>111</v>
      </c>
      <c r="S2645" s="4">
        <v>132958</v>
      </c>
      <c r="T2645" s="4">
        <v>90997</v>
      </c>
      <c r="U2645" s="4">
        <v>41961</v>
      </c>
      <c r="V2645" s="4">
        <v>99103</v>
      </c>
      <c r="W2645" s="4">
        <v>23544</v>
      </c>
      <c r="X2645" s="4">
        <v>5739</v>
      </c>
      <c r="Y2645" s="4" t="s">
        <v>41</v>
      </c>
      <c r="Z2645" s="4">
        <v>58</v>
      </c>
      <c r="AA2645" s="4">
        <v>3.8</v>
      </c>
      <c r="AB2645" s="4" t="s">
        <v>137</v>
      </c>
    </row>
    <row r="2646" spans="1:28" x14ac:dyDescent="0.25">
      <c r="A2646" s="2" t="s">
        <v>3455</v>
      </c>
      <c r="B2646" s="2" t="s">
        <v>714</v>
      </c>
      <c r="C2646" s="2">
        <v>34</v>
      </c>
      <c r="D2646" s="2" t="s">
        <v>30</v>
      </c>
      <c r="E2646" s="2" t="s">
        <v>154</v>
      </c>
      <c r="F2646" s="2" t="s">
        <v>157</v>
      </c>
      <c r="G2646" s="3">
        <v>45381</v>
      </c>
      <c r="H2646" s="3">
        <v>45382</v>
      </c>
      <c r="I2646" s="2">
        <v>1</v>
      </c>
      <c r="J2646" s="2" t="s">
        <v>202</v>
      </c>
      <c r="K2646" s="2" t="s">
        <v>225</v>
      </c>
      <c r="L2646" s="2" t="s">
        <v>226</v>
      </c>
      <c r="M2646" s="2" t="s">
        <v>134</v>
      </c>
      <c r="N2646" s="2" t="s">
        <v>62</v>
      </c>
      <c r="O2646" s="2" t="s">
        <v>340</v>
      </c>
      <c r="P2646" s="2">
        <v>304</v>
      </c>
      <c r="Q2646" s="2" t="s">
        <v>103</v>
      </c>
      <c r="R2646" s="2" t="s">
        <v>136</v>
      </c>
      <c r="S2646" s="2">
        <v>33366</v>
      </c>
      <c r="T2646" s="2">
        <v>0</v>
      </c>
      <c r="U2646" s="2">
        <v>33366</v>
      </c>
      <c r="V2646" s="2">
        <v>5990</v>
      </c>
      <c r="W2646" s="2">
        <v>21239</v>
      </c>
      <c r="X2646" s="2">
        <v>3970</v>
      </c>
      <c r="Y2646" s="2" t="s">
        <v>41</v>
      </c>
      <c r="Z2646" s="2">
        <v>100</v>
      </c>
      <c r="AA2646" s="2">
        <v>3.8</v>
      </c>
      <c r="AB2646" s="2" t="s">
        <v>137</v>
      </c>
    </row>
    <row r="2647" spans="1:28" x14ac:dyDescent="0.25">
      <c r="A2647" s="4" t="s">
        <v>3456</v>
      </c>
      <c r="B2647" s="4" t="s">
        <v>482</v>
      </c>
      <c r="C2647" s="4">
        <v>81</v>
      </c>
      <c r="D2647" s="4" t="s">
        <v>55</v>
      </c>
      <c r="E2647" s="4" t="s">
        <v>45</v>
      </c>
      <c r="F2647" s="4" t="s">
        <v>32</v>
      </c>
      <c r="G2647" s="5">
        <v>45250</v>
      </c>
      <c r="H2647" s="5">
        <v>45278</v>
      </c>
      <c r="I2647" s="4">
        <v>28</v>
      </c>
      <c r="J2647" s="4" t="s">
        <v>115</v>
      </c>
      <c r="K2647" s="4" t="s">
        <v>116</v>
      </c>
      <c r="L2647" s="4" t="s">
        <v>117</v>
      </c>
      <c r="M2647" s="4" t="s">
        <v>36</v>
      </c>
      <c r="N2647" s="4" t="s">
        <v>118</v>
      </c>
      <c r="O2647" s="4" t="s">
        <v>455</v>
      </c>
      <c r="P2647" s="4">
        <v>361</v>
      </c>
      <c r="Q2647" s="4" t="s">
        <v>103</v>
      </c>
      <c r="R2647" s="4" t="s">
        <v>40</v>
      </c>
      <c r="S2647" s="4">
        <v>144849</v>
      </c>
      <c r="T2647" s="4">
        <v>99430</v>
      </c>
      <c r="U2647" s="4">
        <v>45419</v>
      </c>
      <c r="V2647" s="4">
        <v>113442</v>
      </c>
      <c r="W2647" s="4">
        <v>15895</v>
      </c>
      <c r="X2647" s="4">
        <v>14348</v>
      </c>
      <c r="Y2647" s="4" t="s">
        <v>41</v>
      </c>
      <c r="Z2647" s="4">
        <v>92</v>
      </c>
      <c r="AA2647" s="4">
        <v>3.9</v>
      </c>
      <c r="AB2647" s="4" t="s">
        <v>64</v>
      </c>
    </row>
    <row r="2648" spans="1:28" x14ac:dyDescent="0.25">
      <c r="A2648" s="2" t="s">
        <v>3457</v>
      </c>
      <c r="B2648" s="2" t="s">
        <v>442</v>
      </c>
      <c r="C2648" s="2">
        <v>66</v>
      </c>
      <c r="D2648" s="2" t="s">
        <v>55</v>
      </c>
      <c r="E2648" s="2" t="s">
        <v>56</v>
      </c>
      <c r="F2648" s="2" t="s">
        <v>32</v>
      </c>
      <c r="G2648" s="3">
        <v>45444</v>
      </c>
      <c r="H2648" s="3">
        <v>45447</v>
      </c>
      <c r="I2648" s="2">
        <v>3</v>
      </c>
      <c r="J2648" s="2" t="s">
        <v>33</v>
      </c>
      <c r="K2648" s="2" t="s">
        <v>278</v>
      </c>
      <c r="L2648" s="2" t="s">
        <v>279</v>
      </c>
      <c r="M2648" s="2" t="s">
        <v>108</v>
      </c>
      <c r="N2648" s="2" t="s">
        <v>37</v>
      </c>
      <c r="O2648" s="2" t="s">
        <v>256</v>
      </c>
      <c r="P2648" s="2">
        <v>96</v>
      </c>
      <c r="Q2648" s="2" t="s">
        <v>39</v>
      </c>
      <c r="R2648" s="2" t="s">
        <v>90</v>
      </c>
      <c r="S2648" s="2">
        <v>164504</v>
      </c>
      <c r="T2648" s="2">
        <v>147461</v>
      </c>
      <c r="U2648" s="2">
        <v>17043</v>
      </c>
      <c r="V2648" s="2">
        <v>124954</v>
      </c>
      <c r="W2648" s="2">
        <v>22274</v>
      </c>
      <c r="X2648" s="2">
        <v>13108</v>
      </c>
      <c r="Y2648" s="2" t="s">
        <v>41</v>
      </c>
      <c r="Z2648" s="2">
        <v>91</v>
      </c>
      <c r="AA2648" s="2">
        <v>2.2000000000000002</v>
      </c>
      <c r="AB2648" s="2" t="s">
        <v>52</v>
      </c>
    </row>
    <row r="2649" spans="1:28" x14ac:dyDescent="0.25">
      <c r="A2649" s="4" t="s">
        <v>3458</v>
      </c>
      <c r="B2649" s="4" t="s">
        <v>511</v>
      </c>
      <c r="C2649" s="4">
        <v>27</v>
      </c>
      <c r="D2649" s="4" t="s">
        <v>55</v>
      </c>
      <c r="E2649" s="4" t="s">
        <v>79</v>
      </c>
      <c r="F2649" s="4" t="s">
        <v>80</v>
      </c>
      <c r="G2649" s="5">
        <v>45023</v>
      </c>
      <c r="H2649" s="5">
        <v>45052</v>
      </c>
      <c r="I2649" s="4">
        <v>29</v>
      </c>
      <c r="J2649" s="4" t="s">
        <v>73</v>
      </c>
      <c r="K2649" s="4" t="s">
        <v>74</v>
      </c>
      <c r="L2649" s="4" t="s">
        <v>73</v>
      </c>
      <c r="M2649" s="4" t="s">
        <v>108</v>
      </c>
      <c r="N2649" s="4" t="s">
        <v>37</v>
      </c>
      <c r="O2649" s="4" t="s">
        <v>520</v>
      </c>
      <c r="P2649" s="4">
        <v>357</v>
      </c>
      <c r="Q2649" s="4" t="s">
        <v>103</v>
      </c>
      <c r="R2649" s="4" t="s">
        <v>40</v>
      </c>
      <c r="S2649" s="4">
        <v>145404</v>
      </c>
      <c r="T2649" s="4">
        <v>68835</v>
      </c>
      <c r="U2649" s="4">
        <v>76569</v>
      </c>
      <c r="V2649" s="4">
        <v>125636</v>
      </c>
      <c r="W2649" s="4">
        <v>14067</v>
      </c>
      <c r="X2649" s="4">
        <v>2963</v>
      </c>
      <c r="Y2649" s="4" t="s">
        <v>41</v>
      </c>
      <c r="Z2649" s="4">
        <v>97</v>
      </c>
      <c r="AA2649" s="4">
        <v>2.2000000000000002</v>
      </c>
      <c r="AB2649" s="4" t="s">
        <v>137</v>
      </c>
    </row>
    <row r="2650" spans="1:28" x14ac:dyDescent="0.25">
      <c r="A2650" s="2" t="s">
        <v>3459</v>
      </c>
      <c r="B2650" s="2" t="s">
        <v>1329</v>
      </c>
      <c r="C2650" s="2">
        <v>9</v>
      </c>
      <c r="D2650" s="2" t="s">
        <v>30</v>
      </c>
      <c r="E2650" s="2" t="s">
        <v>154</v>
      </c>
      <c r="F2650" s="2" t="s">
        <v>32</v>
      </c>
      <c r="G2650" s="3">
        <v>45004</v>
      </c>
      <c r="H2650" s="3">
        <v>45025</v>
      </c>
      <c r="I2650" s="2">
        <v>21</v>
      </c>
      <c r="J2650" s="2" t="s">
        <v>33</v>
      </c>
      <c r="K2650" s="2" t="s">
        <v>99</v>
      </c>
      <c r="L2650" s="2" t="s">
        <v>100</v>
      </c>
      <c r="M2650" s="2" t="s">
        <v>36</v>
      </c>
      <c r="N2650" s="2" t="s">
        <v>37</v>
      </c>
      <c r="O2650" s="2" t="s">
        <v>96</v>
      </c>
      <c r="P2650" s="2">
        <v>387</v>
      </c>
      <c r="Q2650" s="2" t="s">
        <v>39</v>
      </c>
      <c r="R2650" s="2" t="s">
        <v>136</v>
      </c>
      <c r="S2650" s="2">
        <v>135718</v>
      </c>
      <c r="T2650" s="2">
        <v>0</v>
      </c>
      <c r="U2650" s="2">
        <v>135718</v>
      </c>
      <c r="V2650" s="2">
        <v>114769</v>
      </c>
      <c r="W2650" s="2">
        <v>8241</v>
      </c>
      <c r="X2650" s="2">
        <v>10692</v>
      </c>
      <c r="Y2650" s="2" t="s">
        <v>91</v>
      </c>
      <c r="Z2650" s="2">
        <v>72</v>
      </c>
      <c r="AA2650" s="2">
        <v>4.8</v>
      </c>
      <c r="AB2650" s="2" t="s">
        <v>42</v>
      </c>
    </row>
    <row r="2651" spans="1:28" x14ac:dyDescent="0.25">
      <c r="A2651" s="4" t="s">
        <v>3460</v>
      </c>
      <c r="B2651" s="4" t="s">
        <v>1785</v>
      </c>
      <c r="C2651" s="4">
        <v>54</v>
      </c>
      <c r="D2651" s="4" t="s">
        <v>55</v>
      </c>
      <c r="E2651" s="4" t="s">
        <v>67</v>
      </c>
      <c r="F2651" s="4" t="s">
        <v>72</v>
      </c>
      <c r="G2651" s="5">
        <v>45639</v>
      </c>
      <c r="H2651" s="5">
        <v>45655</v>
      </c>
      <c r="I2651" s="4">
        <v>16</v>
      </c>
      <c r="J2651" s="4" t="s">
        <v>33</v>
      </c>
      <c r="K2651" s="4" t="s">
        <v>107</v>
      </c>
      <c r="L2651" s="4" t="s">
        <v>48</v>
      </c>
      <c r="M2651" s="4" t="s">
        <v>95</v>
      </c>
      <c r="N2651" s="4" t="s">
        <v>62</v>
      </c>
      <c r="O2651" s="4" t="s">
        <v>300</v>
      </c>
      <c r="P2651" s="4">
        <v>433</v>
      </c>
      <c r="Q2651" s="4" t="s">
        <v>103</v>
      </c>
      <c r="R2651" s="4" t="s">
        <v>40</v>
      </c>
      <c r="S2651" s="4">
        <v>111349</v>
      </c>
      <c r="T2651" s="4">
        <v>62021</v>
      </c>
      <c r="U2651" s="4">
        <v>49328</v>
      </c>
      <c r="V2651" s="4">
        <v>83350</v>
      </c>
      <c r="W2651" s="4">
        <v>10833</v>
      </c>
      <c r="X2651" s="4">
        <v>13292</v>
      </c>
      <c r="Y2651" s="4" t="s">
        <v>41</v>
      </c>
      <c r="Z2651" s="4">
        <v>40</v>
      </c>
      <c r="AA2651" s="4">
        <v>2.1</v>
      </c>
      <c r="AB2651" s="4" t="s">
        <v>52</v>
      </c>
    </row>
    <row r="2652" spans="1:28" x14ac:dyDescent="0.25">
      <c r="A2652" s="2" t="s">
        <v>3461</v>
      </c>
      <c r="B2652" s="2" t="s">
        <v>433</v>
      </c>
      <c r="C2652" s="2">
        <v>38</v>
      </c>
      <c r="D2652" s="2" t="s">
        <v>30</v>
      </c>
      <c r="E2652" s="2" t="s">
        <v>154</v>
      </c>
      <c r="F2652" s="2" t="s">
        <v>72</v>
      </c>
      <c r="G2652" s="3">
        <v>45041</v>
      </c>
      <c r="H2652" s="3">
        <v>45069</v>
      </c>
      <c r="I2652" s="2">
        <v>28</v>
      </c>
      <c r="J2652" s="2" t="s">
        <v>115</v>
      </c>
      <c r="K2652" s="2" t="s">
        <v>116</v>
      </c>
      <c r="L2652" s="2" t="s">
        <v>117</v>
      </c>
      <c r="M2652" s="2" t="s">
        <v>108</v>
      </c>
      <c r="N2652" s="2" t="s">
        <v>37</v>
      </c>
      <c r="O2652" s="2" t="s">
        <v>530</v>
      </c>
      <c r="P2652" s="2">
        <v>484</v>
      </c>
      <c r="Q2652" s="2" t="s">
        <v>69</v>
      </c>
      <c r="R2652" s="2" t="s">
        <v>51</v>
      </c>
      <c r="S2652" s="2">
        <v>157906</v>
      </c>
      <c r="T2652" s="2">
        <v>90141</v>
      </c>
      <c r="U2652" s="2">
        <v>67765</v>
      </c>
      <c r="V2652" s="2">
        <v>121626</v>
      </c>
      <c r="W2652" s="2">
        <v>19790</v>
      </c>
      <c r="X2652" s="2">
        <v>14903</v>
      </c>
      <c r="Y2652" s="2" t="s">
        <v>41</v>
      </c>
      <c r="Z2652" s="2">
        <v>96</v>
      </c>
      <c r="AA2652" s="2">
        <v>3.1</v>
      </c>
      <c r="AB2652" s="2" t="s">
        <v>137</v>
      </c>
    </row>
    <row r="2653" spans="1:28" x14ac:dyDescent="0.25">
      <c r="A2653" s="4" t="s">
        <v>3462</v>
      </c>
      <c r="B2653" s="4" t="s">
        <v>224</v>
      </c>
      <c r="C2653" s="4">
        <v>62</v>
      </c>
      <c r="D2653" s="4" t="s">
        <v>30</v>
      </c>
      <c r="E2653" s="4" t="s">
        <v>31</v>
      </c>
      <c r="F2653" s="4" t="s">
        <v>72</v>
      </c>
      <c r="G2653" s="5">
        <v>45330</v>
      </c>
      <c r="H2653" s="5">
        <v>45343</v>
      </c>
      <c r="I2653" s="4">
        <v>13</v>
      </c>
      <c r="J2653" s="4" t="s">
        <v>73</v>
      </c>
      <c r="K2653" s="4" t="s">
        <v>74</v>
      </c>
      <c r="L2653" s="4" t="s">
        <v>73</v>
      </c>
      <c r="M2653" s="4" t="s">
        <v>143</v>
      </c>
      <c r="N2653" s="4" t="s">
        <v>37</v>
      </c>
      <c r="O2653" s="4" t="s">
        <v>126</v>
      </c>
      <c r="P2653" s="4">
        <v>6</v>
      </c>
      <c r="Q2653" s="4" t="s">
        <v>69</v>
      </c>
      <c r="R2653" s="4" t="s">
        <v>111</v>
      </c>
      <c r="S2653" s="4">
        <v>116035</v>
      </c>
      <c r="T2653" s="4">
        <v>69936</v>
      </c>
      <c r="U2653" s="4">
        <v>46099</v>
      </c>
      <c r="V2653" s="4">
        <v>99698</v>
      </c>
      <c r="W2653" s="4">
        <v>13051</v>
      </c>
      <c r="X2653" s="4">
        <v>683</v>
      </c>
      <c r="Y2653" s="4" t="s">
        <v>41</v>
      </c>
      <c r="Z2653" s="4">
        <v>47</v>
      </c>
      <c r="AA2653" s="4">
        <v>4.0999999999999996</v>
      </c>
      <c r="AB2653" s="4" t="s">
        <v>42</v>
      </c>
    </row>
    <row r="2654" spans="1:28" x14ac:dyDescent="0.25">
      <c r="A2654" s="2" t="s">
        <v>3463</v>
      </c>
      <c r="B2654" s="2" t="s">
        <v>635</v>
      </c>
      <c r="C2654" s="2">
        <v>78</v>
      </c>
      <c r="D2654" s="2" t="s">
        <v>55</v>
      </c>
      <c r="E2654" s="2" t="s">
        <v>56</v>
      </c>
      <c r="F2654" s="2" t="s">
        <v>157</v>
      </c>
      <c r="G2654" s="3">
        <v>45502</v>
      </c>
      <c r="H2654" s="3">
        <v>45513</v>
      </c>
      <c r="I2654" s="2">
        <v>11</v>
      </c>
      <c r="J2654" s="2" t="s">
        <v>140</v>
      </c>
      <c r="K2654" s="2" t="s">
        <v>141</v>
      </c>
      <c r="L2654" s="2" t="s">
        <v>142</v>
      </c>
      <c r="M2654" s="2" t="s">
        <v>143</v>
      </c>
      <c r="N2654" s="2" t="s">
        <v>62</v>
      </c>
      <c r="O2654" s="2" t="s">
        <v>234</v>
      </c>
      <c r="P2654" s="2">
        <v>7</v>
      </c>
      <c r="Q2654" s="2" t="s">
        <v>103</v>
      </c>
      <c r="R2654" s="2" t="s">
        <v>111</v>
      </c>
      <c r="S2654" s="2">
        <v>178829</v>
      </c>
      <c r="T2654" s="2">
        <v>143806</v>
      </c>
      <c r="U2654" s="2">
        <v>35023</v>
      </c>
      <c r="V2654" s="2">
        <v>136735</v>
      </c>
      <c r="W2654" s="2">
        <v>24800</v>
      </c>
      <c r="X2654" s="2">
        <v>12395</v>
      </c>
      <c r="Y2654" s="2" t="s">
        <v>91</v>
      </c>
      <c r="Z2654" s="2">
        <v>73</v>
      </c>
      <c r="AA2654" s="2">
        <v>2.5</v>
      </c>
      <c r="AB2654" s="2" t="s">
        <v>137</v>
      </c>
    </row>
    <row r="2655" spans="1:28" x14ac:dyDescent="0.25">
      <c r="A2655" s="4" t="s">
        <v>3464</v>
      </c>
      <c r="B2655" s="4" t="s">
        <v>3465</v>
      </c>
      <c r="C2655" s="4">
        <v>58</v>
      </c>
      <c r="D2655" s="4" t="s">
        <v>30</v>
      </c>
      <c r="E2655" s="4" t="s">
        <v>79</v>
      </c>
      <c r="F2655" s="4" t="s">
        <v>57</v>
      </c>
      <c r="G2655" s="5">
        <v>44912</v>
      </c>
      <c r="H2655" s="5">
        <v>44930</v>
      </c>
      <c r="I2655" s="4">
        <v>18</v>
      </c>
      <c r="J2655" s="4" t="s">
        <v>123</v>
      </c>
      <c r="K2655" s="4" t="s">
        <v>251</v>
      </c>
      <c r="L2655" s="4" t="s">
        <v>125</v>
      </c>
      <c r="M2655" s="4" t="s">
        <v>75</v>
      </c>
      <c r="N2655" s="4" t="s">
        <v>62</v>
      </c>
      <c r="O2655" s="4" t="s">
        <v>560</v>
      </c>
      <c r="P2655" s="4">
        <v>464</v>
      </c>
      <c r="Q2655" s="4" t="s">
        <v>39</v>
      </c>
      <c r="R2655" s="4" t="s">
        <v>136</v>
      </c>
      <c r="S2655" s="4">
        <v>121577</v>
      </c>
      <c r="T2655" s="4">
        <v>0</v>
      </c>
      <c r="U2655" s="4">
        <v>121577</v>
      </c>
      <c r="V2655" s="4">
        <v>82118</v>
      </c>
      <c r="W2655" s="4">
        <v>28556</v>
      </c>
      <c r="X2655" s="4">
        <v>6855</v>
      </c>
      <c r="Y2655" s="4" t="s">
        <v>91</v>
      </c>
      <c r="Z2655" s="4">
        <v>84</v>
      </c>
      <c r="AA2655" s="4">
        <v>3.2</v>
      </c>
      <c r="AB2655" s="4" t="s">
        <v>104</v>
      </c>
    </row>
    <row r="2656" spans="1:28" x14ac:dyDescent="0.25">
      <c r="A2656" s="2" t="s">
        <v>3466</v>
      </c>
      <c r="B2656" s="2" t="s">
        <v>213</v>
      </c>
      <c r="C2656" s="2">
        <v>76</v>
      </c>
      <c r="D2656" s="2" t="s">
        <v>30</v>
      </c>
      <c r="E2656" s="2" t="s">
        <v>67</v>
      </c>
      <c r="F2656" s="2" t="s">
        <v>114</v>
      </c>
      <c r="G2656" s="3">
        <v>44937</v>
      </c>
      <c r="H2656" s="3">
        <v>44965</v>
      </c>
      <c r="I2656" s="2">
        <v>28</v>
      </c>
      <c r="J2656" s="2" t="s">
        <v>115</v>
      </c>
      <c r="K2656" s="2" t="s">
        <v>116</v>
      </c>
      <c r="L2656" s="2" t="s">
        <v>117</v>
      </c>
      <c r="M2656" s="2" t="s">
        <v>83</v>
      </c>
      <c r="N2656" s="2" t="s">
        <v>62</v>
      </c>
      <c r="O2656" s="2" t="s">
        <v>543</v>
      </c>
      <c r="P2656" s="2">
        <v>279</v>
      </c>
      <c r="Q2656" s="2" t="s">
        <v>39</v>
      </c>
      <c r="R2656" s="2" t="s">
        <v>40</v>
      </c>
      <c r="S2656" s="2">
        <v>74812</v>
      </c>
      <c r="T2656" s="2">
        <v>35874</v>
      </c>
      <c r="U2656" s="2">
        <v>38938</v>
      </c>
      <c r="V2656" s="2">
        <v>51023</v>
      </c>
      <c r="W2656" s="2">
        <v>7478</v>
      </c>
      <c r="X2656" s="2">
        <v>11535</v>
      </c>
      <c r="Y2656" s="2" t="s">
        <v>41</v>
      </c>
      <c r="Z2656" s="2">
        <v>85</v>
      </c>
      <c r="AA2656" s="2">
        <v>2.4</v>
      </c>
      <c r="AB2656" s="2" t="s">
        <v>137</v>
      </c>
    </row>
    <row r="2657" spans="1:28" x14ac:dyDescent="0.25">
      <c r="A2657" s="4" t="s">
        <v>3467</v>
      </c>
      <c r="B2657" s="4" t="s">
        <v>559</v>
      </c>
      <c r="C2657" s="4">
        <v>14</v>
      </c>
      <c r="D2657" s="4" t="s">
        <v>30</v>
      </c>
      <c r="E2657" s="4" t="s">
        <v>67</v>
      </c>
      <c r="F2657" s="4" t="s">
        <v>46</v>
      </c>
      <c r="G2657" s="5">
        <v>45310</v>
      </c>
      <c r="H2657" s="5">
        <v>45325</v>
      </c>
      <c r="I2657" s="4">
        <v>15</v>
      </c>
      <c r="J2657" s="4" t="s">
        <v>33</v>
      </c>
      <c r="K2657" s="4" t="s">
        <v>107</v>
      </c>
      <c r="L2657" s="4" t="s">
        <v>48</v>
      </c>
      <c r="M2657" s="4" t="s">
        <v>143</v>
      </c>
      <c r="N2657" s="4" t="s">
        <v>37</v>
      </c>
      <c r="O2657" s="4" t="s">
        <v>627</v>
      </c>
      <c r="P2657" s="4">
        <v>291</v>
      </c>
      <c r="Q2657" s="4" t="s">
        <v>50</v>
      </c>
      <c r="R2657" s="4" t="s">
        <v>90</v>
      </c>
      <c r="S2657" s="4">
        <v>142125</v>
      </c>
      <c r="T2657" s="4">
        <v>98065</v>
      </c>
      <c r="U2657" s="4">
        <v>44060</v>
      </c>
      <c r="V2657" s="4">
        <v>124803</v>
      </c>
      <c r="W2657" s="4">
        <v>1846</v>
      </c>
      <c r="X2657" s="4">
        <v>12339</v>
      </c>
      <c r="Y2657" s="4" t="s">
        <v>41</v>
      </c>
      <c r="Z2657" s="4">
        <v>88</v>
      </c>
      <c r="AA2657" s="4">
        <v>3.9</v>
      </c>
      <c r="AB2657" s="4" t="s">
        <v>137</v>
      </c>
    </row>
    <row r="2658" spans="1:28" x14ac:dyDescent="0.25">
      <c r="A2658" s="2" t="s">
        <v>3468</v>
      </c>
      <c r="B2658" s="2" t="s">
        <v>177</v>
      </c>
      <c r="C2658" s="2">
        <v>46</v>
      </c>
      <c r="D2658" s="2" t="s">
        <v>55</v>
      </c>
      <c r="E2658" s="2" t="s">
        <v>67</v>
      </c>
      <c r="F2658" s="2" t="s">
        <v>150</v>
      </c>
      <c r="G2658" s="3">
        <v>45076</v>
      </c>
      <c r="H2658" s="3">
        <v>45105</v>
      </c>
      <c r="I2658" s="2">
        <v>29</v>
      </c>
      <c r="J2658" s="2" t="s">
        <v>33</v>
      </c>
      <c r="K2658" s="2" t="s">
        <v>174</v>
      </c>
      <c r="L2658" s="2" t="s">
        <v>48</v>
      </c>
      <c r="M2658" s="2" t="s">
        <v>75</v>
      </c>
      <c r="N2658" s="2" t="s">
        <v>62</v>
      </c>
      <c r="O2658" s="2" t="s">
        <v>171</v>
      </c>
      <c r="P2658" s="2">
        <v>277</v>
      </c>
      <c r="Q2658" s="2" t="s">
        <v>69</v>
      </c>
      <c r="R2658" s="2" t="s">
        <v>111</v>
      </c>
      <c r="S2658" s="2">
        <v>109369</v>
      </c>
      <c r="T2658" s="2">
        <v>89447</v>
      </c>
      <c r="U2658" s="2">
        <v>19922</v>
      </c>
      <c r="V2658" s="2">
        <v>65896</v>
      </c>
      <c r="W2658" s="2">
        <v>29825</v>
      </c>
      <c r="X2658" s="2">
        <v>12211</v>
      </c>
      <c r="Y2658" s="2" t="s">
        <v>91</v>
      </c>
      <c r="Z2658" s="2">
        <v>99</v>
      </c>
      <c r="AA2658" s="2">
        <v>2.2000000000000002</v>
      </c>
      <c r="AB2658" s="2" t="s">
        <v>137</v>
      </c>
    </row>
    <row r="2659" spans="1:28" x14ac:dyDescent="0.25">
      <c r="A2659" s="4" t="s">
        <v>3469</v>
      </c>
      <c r="B2659" s="4" t="s">
        <v>121</v>
      </c>
      <c r="C2659" s="4">
        <v>65</v>
      </c>
      <c r="D2659" s="4" t="s">
        <v>30</v>
      </c>
      <c r="E2659" s="4" t="s">
        <v>67</v>
      </c>
      <c r="F2659" s="4" t="s">
        <v>57</v>
      </c>
      <c r="G2659" s="5">
        <v>44669</v>
      </c>
      <c r="H2659" s="5">
        <v>44675</v>
      </c>
      <c r="I2659" s="4">
        <v>6</v>
      </c>
      <c r="J2659" s="4" t="s">
        <v>123</v>
      </c>
      <c r="K2659" s="4" t="s">
        <v>124</v>
      </c>
      <c r="L2659" s="4" t="s">
        <v>125</v>
      </c>
      <c r="M2659" s="4" t="s">
        <v>130</v>
      </c>
      <c r="N2659" s="4" t="s">
        <v>109</v>
      </c>
      <c r="O2659" s="4" t="s">
        <v>63</v>
      </c>
      <c r="P2659" s="4">
        <v>396</v>
      </c>
      <c r="Q2659" s="4" t="s">
        <v>39</v>
      </c>
      <c r="R2659" s="4" t="s">
        <v>40</v>
      </c>
      <c r="S2659" s="4">
        <v>150852</v>
      </c>
      <c r="T2659" s="4">
        <v>75893</v>
      </c>
      <c r="U2659" s="4">
        <v>74959</v>
      </c>
      <c r="V2659" s="4">
        <v>139119</v>
      </c>
      <c r="W2659" s="4">
        <v>6464</v>
      </c>
      <c r="X2659" s="4">
        <v>2736</v>
      </c>
      <c r="Y2659" s="4" t="s">
        <v>41</v>
      </c>
      <c r="Z2659" s="4">
        <v>41</v>
      </c>
      <c r="AA2659" s="4">
        <v>3.8</v>
      </c>
      <c r="AB2659" s="4" t="s">
        <v>104</v>
      </c>
    </row>
    <row r="2660" spans="1:28" x14ac:dyDescent="0.25">
      <c r="A2660" s="2" t="s">
        <v>3470</v>
      </c>
      <c r="B2660" s="2" t="s">
        <v>1463</v>
      </c>
      <c r="C2660" s="2">
        <v>48</v>
      </c>
      <c r="D2660" s="2" t="s">
        <v>30</v>
      </c>
      <c r="E2660" s="2" t="s">
        <v>154</v>
      </c>
      <c r="F2660" s="2" t="s">
        <v>157</v>
      </c>
      <c r="G2660" s="3">
        <v>44864</v>
      </c>
      <c r="H2660" s="3">
        <v>44888</v>
      </c>
      <c r="I2660" s="2">
        <v>24</v>
      </c>
      <c r="J2660" s="2" t="s">
        <v>123</v>
      </c>
      <c r="K2660" s="2" t="s">
        <v>251</v>
      </c>
      <c r="L2660" s="2" t="s">
        <v>125</v>
      </c>
      <c r="M2660" s="2" t="s">
        <v>95</v>
      </c>
      <c r="N2660" s="2" t="s">
        <v>118</v>
      </c>
      <c r="O2660" s="2" t="s">
        <v>321</v>
      </c>
      <c r="P2660" s="2">
        <v>130</v>
      </c>
      <c r="Q2660" s="2" t="s">
        <v>69</v>
      </c>
      <c r="R2660" s="2" t="s">
        <v>90</v>
      </c>
      <c r="S2660" s="2">
        <v>91440</v>
      </c>
      <c r="T2660" s="2">
        <v>64007</v>
      </c>
      <c r="U2660" s="2">
        <v>27433</v>
      </c>
      <c r="V2660" s="2">
        <v>54596</v>
      </c>
      <c r="W2660" s="2">
        <v>19651</v>
      </c>
      <c r="X2660" s="2">
        <v>13394</v>
      </c>
      <c r="Y2660" s="2" t="s">
        <v>41</v>
      </c>
      <c r="Z2660" s="2">
        <v>61</v>
      </c>
      <c r="AA2660" s="2">
        <v>4.0999999999999996</v>
      </c>
      <c r="AB2660" s="2" t="s">
        <v>104</v>
      </c>
    </row>
    <row r="2661" spans="1:28" x14ac:dyDescent="0.25">
      <c r="A2661" s="4" t="s">
        <v>3471</v>
      </c>
      <c r="B2661" s="4" t="s">
        <v>1543</v>
      </c>
      <c r="C2661" s="4">
        <v>45</v>
      </c>
      <c r="D2661" s="4" t="s">
        <v>30</v>
      </c>
      <c r="E2661" s="4" t="s">
        <v>31</v>
      </c>
      <c r="F2661" s="4" t="s">
        <v>114</v>
      </c>
      <c r="G2661" s="5">
        <v>45182</v>
      </c>
      <c r="H2661" s="5">
        <v>45210</v>
      </c>
      <c r="I2661" s="4">
        <v>28</v>
      </c>
      <c r="J2661" s="4" t="s">
        <v>33</v>
      </c>
      <c r="K2661" s="4" t="s">
        <v>233</v>
      </c>
      <c r="L2661" s="4" t="s">
        <v>35</v>
      </c>
      <c r="M2661" s="4" t="s">
        <v>130</v>
      </c>
      <c r="N2661" s="4" t="s">
        <v>109</v>
      </c>
      <c r="O2661" s="4" t="s">
        <v>175</v>
      </c>
      <c r="P2661" s="4">
        <v>262</v>
      </c>
      <c r="Q2661" s="4" t="s">
        <v>103</v>
      </c>
      <c r="R2661" s="4" t="s">
        <v>136</v>
      </c>
      <c r="S2661" s="4">
        <v>143265</v>
      </c>
      <c r="T2661" s="4">
        <v>0</v>
      </c>
      <c r="U2661" s="4">
        <v>143265</v>
      </c>
      <c r="V2661" s="4">
        <v>133724</v>
      </c>
      <c r="W2661" s="4">
        <v>6000</v>
      </c>
      <c r="X2661" s="4">
        <v>1472</v>
      </c>
      <c r="Y2661" s="4" t="s">
        <v>41</v>
      </c>
      <c r="Z2661" s="4">
        <v>46</v>
      </c>
      <c r="AA2661" s="4">
        <v>2.9</v>
      </c>
      <c r="AB2661" s="4" t="s">
        <v>64</v>
      </c>
    </row>
    <row r="2662" spans="1:28" x14ac:dyDescent="0.25">
      <c r="A2662" s="2" t="s">
        <v>3472</v>
      </c>
      <c r="B2662" s="2" t="s">
        <v>2813</v>
      </c>
      <c r="C2662" s="2">
        <v>56</v>
      </c>
      <c r="D2662" s="2" t="s">
        <v>55</v>
      </c>
      <c r="E2662" s="2" t="s">
        <v>79</v>
      </c>
      <c r="F2662" s="2" t="s">
        <v>32</v>
      </c>
      <c r="G2662" s="3">
        <v>44925</v>
      </c>
      <c r="H2662" s="3">
        <v>44942</v>
      </c>
      <c r="I2662" s="2">
        <v>17</v>
      </c>
      <c r="J2662" s="2" t="s">
        <v>202</v>
      </c>
      <c r="K2662" s="2" t="s">
        <v>225</v>
      </c>
      <c r="L2662" s="2" t="s">
        <v>226</v>
      </c>
      <c r="M2662" s="2" t="s">
        <v>75</v>
      </c>
      <c r="N2662" s="2" t="s">
        <v>118</v>
      </c>
      <c r="O2662" s="2" t="s">
        <v>373</v>
      </c>
      <c r="P2662" s="2">
        <v>308</v>
      </c>
      <c r="Q2662" s="2" t="s">
        <v>69</v>
      </c>
      <c r="R2662" s="2" t="s">
        <v>111</v>
      </c>
      <c r="S2662" s="2">
        <v>164256</v>
      </c>
      <c r="T2662" s="2">
        <v>109544</v>
      </c>
      <c r="U2662" s="2">
        <v>54712</v>
      </c>
      <c r="V2662" s="2">
        <v>148436</v>
      </c>
      <c r="W2662" s="2">
        <v>4724</v>
      </c>
      <c r="X2662" s="2">
        <v>9543</v>
      </c>
      <c r="Y2662" s="2" t="s">
        <v>41</v>
      </c>
      <c r="Z2662" s="2">
        <v>44</v>
      </c>
      <c r="AA2662" s="2">
        <v>2.2000000000000002</v>
      </c>
      <c r="AB2662" s="2" t="s">
        <v>52</v>
      </c>
    </row>
    <row r="2663" spans="1:28" x14ac:dyDescent="0.25">
      <c r="A2663" s="4" t="s">
        <v>3473</v>
      </c>
      <c r="B2663" s="4" t="s">
        <v>381</v>
      </c>
      <c r="C2663" s="4">
        <v>68</v>
      </c>
      <c r="D2663" s="4" t="s">
        <v>55</v>
      </c>
      <c r="E2663" s="4" t="s">
        <v>56</v>
      </c>
      <c r="F2663" s="4" t="s">
        <v>32</v>
      </c>
      <c r="G2663" s="5">
        <v>45426</v>
      </c>
      <c r="H2663" s="5">
        <v>45435</v>
      </c>
      <c r="I2663" s="4">
        <v>9</v>
      </c>
      <c r="J2663" s="4" t="s">
        <v>33</v>
      </c>
      <c r="K2663" s="4" t="s">
        <v>81</v>
      </c>
      <c r="L2663" s="4" t="s">
        <v>82</v>
      </c>
      <c r="M2663" s="4" t="s">
        <v>101</v>
      </c>
      <c r="N2663" s="4" t="s">
        <v>62</v>
      </c>
      <c r="O2663" s="4" t="s">
        <v>285</v>
      </c>
      <c r="P2663" s="4">
        <v>461</v>
      </c>
      <c r="Q2663" s="4" t="s">
        <v>103</v>
      </c>
      <c r="R2663" s="4" t="s">
        <v>51</v>
      </c>
      <c r="S2663" s="4">
        <v>108973</v>
      </c>
      <c r="T2663" s="4">
        <v>63165</v>
      </c>
      <c r="U2663" s="4">
        <v>45808</v>
      </c>
      <c r="V2663" s="4">
        <v>87343</v>
      </c>
      <c r="W2663" s="4">
        <v>18659</v>
      </c>
      <c r="X2663" s="4">
        <v>920</v>
      </c>
      <c r="Y2663" s="4" t="s">
        <v>91</v>
      </c>
      <c r="Z2663" s="4">
        <v>91</v>
      </c>
      <c r="AA2663" s="4">
        <v>3.4</v>
      </c>
      <c r="AB2663" s="4" t="s">
        <v>137</v>
      </c>
    </row>
    <row r="2664" spans="1:28" x14ac:dyDescent="0.25">
      <c r="A2664" s="2" t="s">
        <v>3474</v>
      </c>
      <c r="B2664" s="2" t="s">
        <v>364</v>
      </c>
      <c r="C2664" s="2">
        <v>48</v>
      </c>
      <c r="D2664" s="2" t="s">
        <v>55</v>
      </c>
      <c r="E2664" s="2" t="s">
        <v>87</v>
      </c>
      <c r="F2664" s="2" t="s">
        <v>80</v>
      </c>
      <c r="G2664" s="3">
        <v>44717</v>
      </c>
      <c r="H2664" s="3">
        <v>44741</v>
      </c>
      <c r="I2664" s="2">
        <v>24</v>
      </c>
      <c r="J2664" s="2" t="s">
        <v>202</v>
      </c>
      <c r="K2664" s="2" t="s">
        <v>225</v>
      </c>
      <c r="L2664" s="2" t="s">
        <v>226</v>
      </c>
      <c r="M2664" s="2" t="s">
        <v>95</v>
      </c>
      <c r="N2664" s="2" t="s">
        <v>109</v>
      </c>
      <c r="O2664" s="2" t="s">
        <v>455</v>
      </c>
      <c r="P2664" s="2">
        <v>429</v>
      </c>
      <c r="Q2664" s="2" t="s">
        <v>103</v>
      </c>
      <c r="R2664" s="2" t="s">
        <v>90</v>
      </c>
      <c r="S2664" s="2">
        <v>101864</v>
      </c>
      <c r="T2664" s="2">
        <v>83486</v>
      </c>
      <c r="U2664" s="2">
        <v>18378</v>
      </c>
      <c r="V2664" s="2">
        <v>65263</v>
      </c>
      <c r="W2664" s="2">
        <v>19624</v>
      </c>
      <c r="X2664" s="2">
        <v>12688</v>
      </c>
      <c r="Y2664" s="2" t="s">
        <v>41</v>
      </c>
      <c r="Z2664" s="2">
        <v>52</v>
      </c>
      <c r="AA2664" s="2">
        <v>2.7</v>
      </c>
      <c r="AB2664" s="2" t="s">
        <v>42</v>
      </c>
    </row>
    <row r="2665" spans="1:28" x14ac:dyDescent="0.25">
      <c r="A2665" s="4" t="s">
        <v>3475</v>
      </c>
      <c r="B2665" s="4" t="s">
        <v>1259</v>
      </c>
      <c r="C2665" s="4">
        <v>37</v>
      </c>
      <c r="D2665" s="4" t="s">
        <v>55</v>
      </c>
      <c r="E2665" s="4" t="s">
        <v>79</v>
      </c>
      <c r="F2665" s="4" t="s">
        <v>32</v>
      </c>
      <c r="G2665" s="5">
        <v>44899</v>
      </c>
      <c r="H2665" s="5">
        <v>44920</v>
      </c>
      <c r="I2665" s="4">
        <v>21</v>
      </c>
      <c r="J2665" s="4" t="s">
        <v>33</v>
      </c>
      <c r="K2665" s="4" t="s">
        <v>81</v>
      </c>
      <c r="L2665" s="4" t="s">
        <v>82</v>
      </c>
      <c r="M2665" s="4" t="s">
        <v>134</v>
      </c>
      <c r="N2665" s="4" t="s">
        <v>118</v>
      </c>
      <c r="O2665" s="4" t="s">
        <v>76</v>
      </c>
      <c r="P2665" s="4">
        <v>422</v>
      </c>
      <c r="Q2665" s="4" t="s">
        <v>50</v>
      </c>
      <c r="R2665" s="4" t="s">
        <v>40</v>
      </c>
      <c r="S2665" s="4">
        <v>89903</v>
      </c>
      <c r="T2665" s="4">
        <v>36866</v>
      </c>
      <c r="U2665" s="4">
        <v>53037</v>
      </c>
      <c r="V2665" s="4">
        <v>58803</v>
      </c>
      <c r="W2665" s="4">
        <v>27675</v>
      </c>
      <c r="X2665" s="4">
        <v>2811</v>
      </c>
      <c r="Y2665" s="4" t="s">
        <v>41</v>
      </c>
      <c r="Z2665" s="4">
        <v>95</v>
      </c>
      <c r="AA2665" s="4">
        <v>4</v>
      </c>
      <c r="AB2665" s="4" t="s">
        <v>137</v>
      </c>
    </row>
    <row r="2666" spans="1:28" x14ac:dyDescent="0.25">
      <c r="A2666" s="2" t="s">
        <v>3476</v>
      </c>
      <c r="B2666" s="2" t="s">
        <v>388</v>
      </c>
      <c r="C2666" s="2">
        <v>53</v>
      </c>
      <c r="D2666" s="2" t="s">
        <v>55</v>
      </c>
      <c r="E2666" s="2" t="s">
        <v>31</v>
      </c>
      <c r="F2666" s="2" t="s">
        <v>32</v>
      </c>
      <c r="G2666" s="3">
        <v>45093</v>
      </c>
      <c r="H2666" s="3">
        <v>45111</v>
      </c>
      <c r="I2666" s="2">
        <v>18</v>
      </c>
      <c r="J2666" s="2" t="s">
        <v>33</v>
      </c>
      <c r="K2666" s="2" t="s">
        <v>174</v>
      </c>
      <c r="L2666" s="2" t="s">
        <v>48</v>
      </c>
      <c r="M2666" s="2" t="s">
        <v>36</v>
      </c>
      <c r="N2666" s="2" t="s">
        <v>109</v>
      </c>
      <c r="O2666" s="2" t="s">
        <v>455</v>
      </c>
      <c r="P2666" s="2">
        <v>460</v>
      </c>
      <c r="Q2666" s="2" t="s">
        <v>69</v>
      </c>
      <c r="R2666" s="2" t="s">
        <v>90</v>
      </c>
      <c r="S2666" s="2">
        <v>108868</v>
      </c>
      <c r="T2666" s="2">
        <v>78280</v>
      </c>
      <c r="U2666" s="2">
        <v>30588</v>
      </c>
      <c r="V2666" s="2">
        <v>79639</v>
      </c>
      <c r="W2666" s="2">
        <v>15351</v>
      </c>
      <c r="X2666" s="2">
        <v>11063</v>
      </c>
      <c r="Y2666" s="2" t="s">
        <v>41</v>
      </c>
      <c r="Z2666" s="2">
        <v>97</v>
      </c>
      <c r="AA2666" s="2">
        <v>3.5</v>
      </c>
      <c r="AB2666" s="2" t="s">
        <v>64</v>
      </c>
    </row>
    <row r="2667" spans="1:28" x14ac:dyDescent="0.25">
      <c r="A2667" s="4" t="s">
        <v>3477</v>
      </c>
      <c r="B2667" s="4" t="s">
        <v>641</v>
      </c>
      <c r="C2667" s="4">
        <v>15</v>
      </c>
      <c r="D2667" s="4" t="s">
        <v>30</v>
      </c>
      <c r="E2667" s="4" t="s">
        <v>56</v>
      </c>
      <c r="F2667" s="4" t="s">
        <v>80</v>
      </c>
      <c r="G2667" s="5">
        <v>45421</v>
      </c>
      <c r="H2667" s="5">
        <v>45424</v>
      </c>
      <c r="I2667" s="4">
        <v>3</v>
      </c>
      <c r="J2667" s="4" t="s">
        <v>33</v>
      </c>
      <c r="K2667" s="4" t="s">
        <v>107</v>
      </c>
      <c r="L2667" s="4" t="s">
        <v>48</v>
      </c>
      <c r="M2667" s="4" t="s">
        <v>36</v>
      </c>
      <c r="N2667" s="4" t="s">
        <v>109</v>
      </c>
      <c r="O2667" s="4" t="s">
        <v>543</v>
      </c>
      <c r="P2667" s="4">
        <v>77</v>
      </c>
      <c r="Q2667" s="4" t="s">
        <v>69</v>
      </c>
      <c r="R2667" s="4" t="s">
        <v>51</v>
      </c>
      <c r="S2667" s="4">
        <v>150457</v>
      </c>
      <c r="T2667" s="4">
        <v>104472</v>
      </c>
      <c r="U2667" s="4">
        <v>45985</v>
      </c>
      <c r="V2667" s="4">
        <v>125110</v>
      </c>
      <c r="W2667" s="4">
        <v>19757</v>
      </c>
      <c r="X2667" s="4">
        <v>3020</v>
      </c>
      <c r="Y2667" s="4" t="s">
        <v>41</v>
      </c>
      <c r="Z2667" s="4">
        <v>84</v>
      </c>
      <c r="AA2667" s="4">
        <v>3.2</v>
      </c>
      <c r="AB2667" s="4" t="s">
        <v>104</v>
      </c>
    </row>
    <row r="2668" spans="1:28" x14ac:dyDescent="0.25">
      <c r="A2668" s="2" t="s">
        <v>3478</v>
      </c>
      <c r="B2668" s="2" t="s">
        <v>475</v>
      </c>
      <c r="C2668" s="2">
        <v>11</v>
      </c>
      <c r="D2668" s="2" t="s">
        <v>55</v>
      </c>
      <c r="E2668" s="2" t="s">
        <v>45</v>
      </c>
      <c r="F2668" s="2" t="s">
        <v>32</v>
      </c>
      <c r="G2668" s="3">
        <v>44638</v>
      </c>
      <c r="H2668" s="3">
        <v>44640</v>
      </c>
      <c r="I2668" s="2">
        <v>2</v>
      </c>
      <c r="J2668" s="2" t="s">
        <v>33</v>
      </c>
      <c r="K2668" s="2" t="s">
        <v>47</v>
      </c>
      <c r="L2668" s="2" t="s">
        <v>48</v>
      </c>
      <c r="M2668" s="2" t="s">
        <v>75</v>
      </c>
      <c r="N2668" s="2" t="s">
        <v>118</v>
      </c>
      <c r="O2668" s="2" t="s">
        <v>178</v>
      </c>
      <c r="P2668" s="2">
        <v>80</v>
      </c>
      <c r="Q2668" s="2" t="s">
        <v>103</v>
      </c>
      <c r="R2668" s="2" t="s">
        <v>40</v>
      </c>
      <c r="S2668" s="2">
        <v>90296</v>
      </c>
      <c r="T2668" s="2">
        <v>58061</v>
      </c>
      <c r="U2668" s="2">
        <v>32235</v>
      </c>
      <c r="V2668" s="2">
        <v>76046</v>
      </c>
      <c r="W2668" s="2">
        <v>2827</v>
      </c>
      <c r="X2668" s="2">
        <v>6906</v>
      </c>
      <c r="Y2668" s="2" t="s">
        <v>41</v>
      </c>
      <c r="Z2668" s="2">
        <v>54</v>
      </c>
      <c r="AA2668" s="2">
        <v>5</v>
      </c>
      <c r="AB2668" s="2" t="s">
        <v>64</v>
      </c>
    </row>
    <row r="2669" spans="1:28" x14ac:dyDescent="0.25">
      <c r="A2669" s="4" t="s">
        <v>3479</v>
      </c>
      <c r="B2669" s="4" t="s">
        <v>2481</v>
      </c>
      <c r="C2669" s="4">
        <v>5</v>
      </c>
      <c r="D2669" s="4" t="s">
        <v>55</v>
      </c>
      <c r="E2669" s="4" t="s">
        <v>45</v>
      </c>
      <c r="F2669" s="4" t="s">
        <v>57</v>
      </c>
      <c r="G2669" s="5">
        <v>44831</v>
      </c>
      <c r="H2669" s="5">
        <v>44836</v>
      </c>
      <c r="I2669" s="4">
        <v>5</v>
      </c>
      <c r="J2669" s="4" t="s">
        <v>33</v>
      </c>
      <c r="K2669" s="4" t="s">
        <v>233</v>
      </c>
      <c r="L2669" s="4" t="s">
        <v>35</v>
      </c>
      <c r="M2669" s="4" t="s">
        <v>61</v>
      </c>
      <c r="N2669" s="4" t="s">
        <v>62</v>
      </c>
      <c r="O2669" s="4" t="s">
        <v>147</v>
      </c>
      <c r="P2669" s="4">
        <v>75</v>
      </c>
      <c r="Q2669" s="4" t="s">
        <v>69</v>
      </c>
      <c r="R2669" s="4" t="s">
        <v>40</v>
      </c>
      <c r="S2669" s="4">
        <v>97878</v>
      </c>
      <c r="T2669" s="4">
        <v>46581</v>
      </c>
      <c r="U2669" s="4">
        <v>51297</v>
      </c>
      <c r="V2669" s="4">
        <v>59231</v>
      </c>
      <c r="W2669" s="4">
        <v>29785</v>
      </c>
      <c r="X2669" s="4">
        <v>8112</v>
      </c>
      <c r="Y2669" s="4" t="s">
        <v>41</v>
      </c>
      <c r="Z2669" s="4">
        <v>84</v>
      </c>
      <c r="AA2669" s="4">
        <v>2.1</v>
      </c>
      <c r="AB2669" s="4" t="s">
        <v>42</v>
      </c>
    </row>
    <row r="2670" spans="1:28" x14ac:dyDescent="0.25">
      <c r="A2670" s="2" t="s">
        <v>3480</v>
      </c>
      <c r="B2670" s="2" t="s">
        <v>706</v>
      </c>
      <c r="C2670" s="2">
        <v>68</v>
      </c>
      <c r="D2670" s="2" t="s">
        <v>55</v>
      </c>
      <c r="E2670" s="2" t="s">
        <v>79</v>
      </c>
      <c r="F2670" s="2" t="s">
        <v>32</v>
      </c>
      <c r="G2670" s="3">
        <v>44633</v>
      </c>
      <c r="H2670" s="3">
        <v>44647</v>
      </c>
      <c r="I2670" s="2">
        <v>14</v>
      </c>
      <c r="J2670" s="2" t="s">
        <v>140</v>
      </c>
      <c r="K2670" s="2" t="s">
        <v>141</v>
      </c>
      <c r="L2670" s="2" t="s">
        <v>142</v>
      </c>
      <c r="M2670" s="2" t="s">
        <v>83</v>
      </c>
      <c r="N2670" s="2" t="s">
        <v>109</v>
      </c>
      <c r="O2670" s="2" t="s">
        <v>399</v>
      </c>
      <c r="P2670" s="2">
        <v>64</v>
      </c>
      <c r="Q2670" s="2" t="s">
        <v>39</v>
      </c>
      <c r="R2670" s="2" t="s">
        <v>51</v>
      </c>
      <c r="S2670" s="2">
        <v>136376</v>
      </c>
      <c r="T2670" s="2">
        <v>82123</v>
      </c>
      <c r="U2670" s="2">
        <v>54253</v>
      </c>
      <c r="V2670" s="2">
        <v>101770</v>
      </c>
      <c r="W2670" s="2">
        <v>28075</v>
      </c>
      <c r="X2670" s="2">
        <v>2414</v>
      </c>
      <c r="Y2670" s="2" t="s">
        <v>41</v>
      </c>
      <c r="Z2670" s="2">
        <v>74</v>
      </c>
      <c r="AA2670" s="2">
        <v>4.2</v>
      </c>
      <c r="AB2670" s="2" t="s">
        <v>52</v>
      </c>
    </row>
    <row r="2671" spans="1:28" x14ac:dyDescent="0.25">
      <c r="A2671" s="4" t="s">
        <v>3481</v>
      </c>
      <c r="B2671" s="4" t="s">
        <v>479</v>
      </c>
      <c r="C2671" s="4">
        <v>68</v>
      </c>
      <c r="D2671" s="4" t="s">
        <v>55</v>
      </c>
      <c r="E2671" s="4" t="s">
        <v>56</v>
      </c>
      <c r="F2671" s="4" t="s">
        <v>114</v>
      </c>
      <c r="G2671" s="5">
        <v>44643</v>
      </c>
      <c r="H2671" s="5">
        <v>44664</v>
      </c>
      <c r="I2671" s="4">
        <v>21</v>
      </c>
      <c r="J2671" s="4" t="s">
        <v>140</v>
      </c>
      <c r="K2671" s="4" t="s">
        <v>141</v>
      </c>
      <c r="L2671" s="4" t="s">
        <v>142</v>
      </c>
      <c r="M2671" s="4" t="s">
        <v>75</v>
      </c>
      <c r="N2671" s="4" t="s">
        <v>37</v>
      </c>
      <c r="O2671" s="4" t="s">
        <v>168</v>
      </c>
      <c r="P2671" s="4">
        <v>274</v>
      </c>
      <c r="Q2671" s="4" t="s">
        <v>103</v>
      </c>
      <c r="R2671" s="4" t="s">
        <v>111</v>
      </c>
      <c r="S2671" s="4">
        <v>132546</v>
      </c>
      <c r="T2671" s="4">
        <v>84828</v>
      </c>
      <c r="U2671" s="4">
        <v>47718</v>
      </c>
      <c r="V2671" s="4">
        <v>99786</v>
      </c>
      <c r="W2671" s="4">
        <v>24555</v>
      </c>
      <c r="X2671" s="4">
        <v>6922</v>
      </c>
      <c r="Y2671" s="4" t="s">
        <v>41</v>
      </c>
      <c r="Z2671" s="4">
        <v>99</v>
      </c>
      <c r="AA2671" s="4">
        <v>3.2</v>
      </c>
      <c r="AB2671" s="4" t="s">
        <v>52</v>
      </c>
    </row>
    <row r="2672" spans="1:28" x14ac:dyDescent="0.25">
      <c r="A2672" s="2" t="s">
        <v>3482</v>
      </c>
      <c r="B2672" s="2" t="s">
        <v>427</v>
      </c>
      <c r="C2672" s="2">
        <v>25</v>
      </c>
      <c r="D2672" s="2" t="s">
        <v>55</v>
      </c>
      <c r="E2672" s="2" t="s">
        <v>56</v>
      </c>
      <c r="F2672" s="2" t="s">
        <v>57</v>
      </c>
      <c r="G2672" s="3">
        <v>45240</v>
      </c>
      <c r="H2672" s="3">
        <v>45247</v>
      </c>
      <c r="I2672" s="2">
        <v>7</v>
      </c>
      <c r="J2672" s="2" t="s">
        <v>202</v>
      </c>
      <c r="K2672" s="2" t="s">
        <v>203</v>
      </c>
      <c r="L2672" s="2" t="s">
        <v>204</v>
      </c>
      <c r="M2672" s="2" t="s">
        <v>36</v>
      </c>
      <c r="N2672" s="2" t="s">
        <v>118</v>
      </c>
      <c r="O2672" s="2" t="s">
        <v>171</v>
      </c>
      <c r="P2672" s="2">
        <v>242</v>
      </c>
      <c r="Q2672" s="2" t="s">
        <v>50</v>
      </c>
      <c r="R2672" s="2" t="s">
        <v>51</v>
      </c>
      <c r="S2672" s="2">
        <v>151456</v>
      </c>
      <c r="T2672" s="2">
        <v>72767</v>
      </c>
      <c r="U2672" s="2">
        <v>78689</v>
      </c>
      <c r="V2672" s="2">
        <v>121295</v>
      </c>
      <c r="W2672" s="2">
        <v>25720</v>
      </c>
      <c r="X2672" s="2">
        <v>2213</v>
      </c>
      <c r="Y2672" s="2" t="s">
        <v>91</v>
      </c>
      <c r="Z2672" s="2">
        <v>100</v>
      </c>
      <c r="AA2672" s="2">
        <v>4.5</v>
      </c>
      <c r="AB2672" s="2" t="s">
        <v>42</v>
      </c>
    </row>
    <row r="2673" spans="1:28" x14ac:dyDescent="0.25">
      <c r="A2673" s="4" t="s">
        <v>3483</v>
      </c>
      <c r="B2673" s="4" t="s">
        <v>1243</v>
      </c>
      <c r="C2673" s="4">
        <v>71</v>
      </c>
      <c r="D2673" s="4" t="s">
        <v>55</v>
      </c>
      <c r="E2673" s="4" t="s">
        <v>122</v>
      </c>
      <c r="F2673" s="4" t="s">
        <v>46</v>
      </c>
      <c r="G2673" s="5">
        <v>44907</v>
      </c>
      <c r="H2673" s="5">
        <v>44935</v>
      </c>
      <c r="I2673" s="4">
        <v>28</v>
      </c>
      <c r="J2673" s="4" t="s">
        <v>115</v>
      </c>
      <c r="K2673" s="4" t="s">
        <v>160</v>
      </c>
      <c r="L2673" s="4" t="s">
        <v>117</v>
      </c>
      <c r="M2673" s="4" t="s">
        <v>95</v>
      </c>
      <c r="N2673" s="4" t="s">
        <v>109</v>
      </c>
      <c r="O2673" s="4" t="s">
        <v>110</v>
      </c>
      <c r="P2673" s="4">
        <v>318</v>
      </c>
      <c r="Q2673" s="4" t="s">
        <v>103</v>
      </c>
      <c r="R2673" s="4" t="s">
        <v>136</v>
      </c>
      <c r="S2673" s="4">
        <v>116444</v>
      </c>
      <c r="T2673" s="4">
        <v>0</v>
      </c>
      <c r="U2673" s="4">
        <v>116444</v>
      </c>
      <c r="V2673" s="4">
        <v>98767</v>
      </c>
      <c r="W2673" s="4">
        <v>10502</v>
      </c>
      <c r="X2673" s="4">
        <v>6323</v>
      </c>
      <c r="Y2673" s="4" t="s">
        <v>41</v>
      </c>
      <c r="Z2673" s="4">
        <v>60</v>
      </c>
      <c r="AA2673" s="4">
        <v>3</v>
      </c>
      <c r="AB2673" s="4" t="s">
        <v>42</v>
      </c>
    </row>
    <row r="2674" spans="1:28" x14ac:dyDescent="0.25">
      <c r="A2674" s="2" t="s">
        <v>3484</v>
      </c>
      <c r="B2674" s="2" t="s">
        <v>1007</v>
      </c>
      <c r="C2674" s="2">
        <v>81</v>
      </c>
      <c r="D2674" s="2" t="s">
        <v>55</v>
      </c>
      <c r="E2674" s="2" t="s">
        <v>67</v>
      </c>
      <c r="F2674" s="2" t="s">
        <v>72</v>
      </c>
      <c r="G2674" s="3">
        <v>44665</v>
      </c>
      <c r="H2674" s="3">
        <v>44675</v>
      </c>
      <c r="I2674" s="2">
        <v>10</v>
      </c>
      <c r="J2674" s="2" t="s">
        <v>73</v>
      </c>
      <c r="K2674" s="2" t="s">
        <v>74</v>
      </c>
      <c r="L2674" s="2" t="s">
        <v>73</v>
      </c>
      <c r="M2674" s="2" t="s">
        <v>75</v>
      </c>
      <c r="N2674" s="2" t="s">
        <v>37</v>
      </c>
      <c r="O2674" s="2" t="s">
        <v>553</v>
      </c>
      <c r="P2674" s="2">
        <v>277</v>
      </c>
      <c r="Q2674" s="2" t="s">
        <v>50</v>
      </c>
      <c r="R2674" s="2" t="s">
        <v>51</v>
      </c>
      <c r="S2674" s="2">
        <v>185463</v>
      </c>
      <c r="T2674" s="2">
        <v>121192</v>
      </c>
      <c r="U2674" s="2">
        <v>64271</v>
      </c>
      <c r="V2674" s="2">
        <v>147794</v>
      </c>
      <c r="W2674" s="2">
        <v>29387</v>
      </c>
      <c r="X2674" s="2">
        <v>5489</v>
      </c>
      <c r="Y2674" s="2" t="s">
        <v>41</v>
      </c>
      <c r="Z2674" s="2">
        <v>49</v>
      </c>
      <c r="AA2674" s="2">
        <v>4.4000000000000004</v>
      </c>
      <c r="AB2674" s="2" t="s">
        <v>42</v>
      </c>
    </row>
    <row r="2675" spans="1:28" x14ac:dyDescent="0.25">
      <c r="A2675" s="4" t="s">
        <v>3485</v>
      </c>
      <c r="B2675" s="4" t="s">
        <v>724</v>
      </c>
      <c r="C2675" s="4">
        <v>78</v>
      </c>
      <c r="D2675" s="4" t="s">
        <v>30</v>
      </c>
      <c r="E2675" s="4" t="s">
        <v>79</v>
      </c>
      <c r="F2675" s="4" t="s">
        <v>57</v>
      </c>
      <c r="G2675" s="5">
        <v>45269</v>
      </c>
      <c r="H2675" s="5">
        <v>45291</v>
      </c>
      <c r="I2675" s="4">
        <v>22</v>
      </c>
      <c r="J2675" s="4" t="s">
        <v>140</v>
      </c>
      <c r="K2675" s="4" t="s">
        <v>141</v>
      </c>
      <c r="L2675" s="4" t="s">
        <v>142</v>
      </c>
      <c r="M2675" s="4" t="s">
        <v>101</v>
      </c>
      <c r="N2675" s="4" t="s">
        <v>62</v>
      </c>
      <c r="O2675" s="4" t="s">
        <v>548</v>
      </c>
      <c r="P2675" s="4">
        <v>408</v>
      </c>
      <c r="Q2675" s="4" t="s">
        <v>103</v>
      </c>
      <c r="R2675" s="4" t="s">
        <v>111</v>
      </c>
      <c r="S2675" s="4">
        <v>149308</v>
      </c>
      <c r="T2675" s="4">
        <v>132389</v>
      </c>
      <c r="U2675" s="4">
        <v>16919</v>
      </c>
      <c r="V2675" s="4">
        <v>135749</v>
      </c>
      <c r="W2675" s="4">
        <v>7356</v>
      </c>
      <c r="X2675" s="4">
        <v>1336</v>
      </c>
      <c r="Y2675" s="4" t="s">
        <v>41</v>
      </c>
      <c r="Z2675" s="4">
        <v>45</v>
      </c>
      <c r="AA2675" s="4">
        <v>3</v>
      </c>
      <c r="AB2675" s="4" t="s">
        <v>104</v>
      </c>
    </row>
    <row r="2676" spans="1:28" x14ac:dyDescent="0.25">
      <c r="A2676" s="2" t="s">
        <v>3486</v>
      </c>
      <c r="B2676" s="2" t="s">
        <v>586</v>
      </c>
      <c r="C2676" s="2">
        <v>33</v>
      </c>
      <c r="D2676" s="2" t="s">
        <v>55</v>
      </c>
      <c r="E2676" s="2" t="s">
        <v>31</v>
      </c>
      <c r="F2676" s="2" t="s">
        <v>114</v>
      </c>
      <c r="G2676" s="3">
        <v>45514</v>
      </c>
      <c r="H2676" s="3">
        <v>45529</v>
      </c>
      <c r="I2676" s="2">
        <v>15</v>
      </c>
      <c r="J2676" s="2" t="s">
        <v>33</v>
      </c>
      <c r="K2676" s="2" t="s">
        <v>197</v>
      </c>
      <c r="L2676" s="2" t="s">
        <v>198</v>
      </c>
      <c r="M2676" s="2" t="s">
        <v>143</v>
      </c>
      <c r="N2676" s="2" t="s">
        <v>37</v>
      </c>
      <c r="O2676" s="2" t="s">
        <v>147</v>
      </c>
      <c r="P2676" s="2">
        <v>181</v>
      </c>
      <c r="Q2676" s="2" t="s">
        <v>39</v>
      </c>
      <c r="R2676" s="2" t="s">
        <v>51</v>
      </c>
      <c r="S2676" s="2">
        <v>103679</v>
      </c>
      <c r="T2676" s="2">
        <v>70604</v>
      </c>
      <c r="U2676" s="2">
        <v>33075</v>
      </c>
      <c r="V2676" s="2">
        <v>85630</v>
      </c>
      <c r="W2676" s="2">
        <v>4313</v>
      </c>
      <c r="X2676" s="2">
        <v>12055</v>
      </c>
      <c r="Y2676" s="2" t="s">
        <v>41</v>
      </c>
      <c r="Z2676" s="2">
        <v>77</v>
      </c>
      <c r="AA2676" s="2">
        <v>3.9</v>
      </c>
      <c r="AB2676" s="2" t="s">
        <v>64</v>
      </c>
    </row>
    <row r="2677" spans="1:28" x14ac:dyDescent="0.25">
      <c r="A2677" s="4" t="s">
        <v>3487</v>
      </c>
      <c r="B2677" s="4" t="s">
        <v>398</v>
      </c>
      <c r="C2677" s="4">
        <v>33</v>
      </c>
      <c r="D2677" s="4" t="s">
        <v>55</v>
      </c>
      <c r="E2677" s="4" t="s">
        <v>154</v>
      </c>
      <c r="F2677" s="4" t="s">
        <v>80</v>
      </c>
      <c r="G2677" s="5">
        <v>45627</v>
      </c>
      <c r="H2677" s="5">
        <v>45652</v>
      </c>
      <c r="I2677" s="4">
        <v>25</v>
      </c>
      <c r="J2677" s="4" t="s">
        <v>33</v>
      </c>
      <c r="K2677" s="4" t="s">
        <v>99</v>
      </c>
      <c r="L2677" s="4" t="s">
        <v>100</v>
      </c>
      <c r="M2677" s="4" t="s">
        <v>134</v>
      </c>
      <c r="N2677" s="4" t="s">
        <v>62</v>
      </c>
      <c r="O2677" s="4" t="s">
        <v>438</v>
      </c>
      <c r="P2677" s="4">
        <v>217</v>
      </c>
      <c r="Q2677" s="4" t="s">
        <v>39</v>
      </c>
      <c r="R2677" s="4" t="s">
        <v>111</v>
      </c>
      <c r="S2677" s="4">
        <v>88011</v>
      </c>
      <c r="T2677" s="4">
        <v>56204</v>
      </c>
      <c r="U2677" s="4">
        <v>31807</v>
      </c>
      <c r="V2677" s="4">
        <v>77159</v>
      </c>
      <c r="W2677" s="4">
        <v>6810</v>
      </c>
      <c r="X2677" s="4">
        <v>2746</v>
      </c>
      <c r="Y2677" s="4" t="s">
        <v>41</v>
      </c>
      <c r="Z2677" s="4">
        <v>45</v>
      </c>
      <c r="AA2677" s="4">
        <v>4.2</v>
      </c>
      <c r="AB2677" s="4" t="s">
        <v>52</v>
      </c>
    </row>
    <row r="2678" spans="1:28" x14ac:dyDescent="0.25">
      <c r="A2678" s="2" t="s">
        <v>3488</v>
      </c>
      <c r="B2678" s="2" t="s">
        <v>491</v>
      </c>
      <c r="C2678" s="2">
        <v>44</v>
      </c>
      <c r="D2678" s="2" t="s">
        <v>30</v>
      </c>
      <c r="E2678" s="2" t="s">
        <v>122</v>
      </c>
      <c r="F2678" s="2" t="s">
        <v>129</v>
      </c>
      <c r="G2678" s="3">
        <v>45173</v>
      </c>
      <c r="H2678" s="3">
        <v>45198</v>
      </c>
      <c r="I2678" s="2">
        <v>25</v>
      </c>
      <c r="J2678" s="2" t="s">
        <v>33</v>
      </c>
      <c r="K2678" s="2" t="s">
        <v>81</v>
      </c>
      <c r="L2678" s="2" t="s">
        <v>82</v>
      </c>
      <c r="M2678" s="2" t="s">
        <v>130</v>
      </c>
      <c r="N2678" s="2" t="s">
        <v>62</v>
      </c>
      <c r="O2678" s="2" t="s">
        <v>285</v>
      </c>
      <c r="P2678" s="2">
        <v>48</v>
      </c>
      <c r="Q2678" s="2" t="s">
        <v>69</v>
      </c>
      <c r="R2678" s="2" t="s">
        <v>111</v>
      </c>
      <c r="S2678" s="2">
        <v>53767</v>
      </c>
      <c r="T2678" s="2">
        <v>43202</v>
      </c>
      <c r="U2678" s="2">
        <v>10565</v>
      </c>
      <c r="V2678" s="2">
        <v>31814</v>
      </c>
      <c r="W2678" s="2">
        <v>9087</v>
      </c>
      <c r="X2678" s="2">
        <v>8397</v>
      </c>
      <c r="Y2678" s="2" t="s">
        <v>41</v>
      </c>
      <c r="Z2678" s="2">
        <v>71</v>
      </c>
      <c r="AA2678" s="2">
        <v>2.7</v>
      </c>
      <c r="AB2678" s="2" t="s">
        <v>42</v>
      </c>
    </row>
    <row r="2679" spans="1:28" x14ac:dyDescent="0.25">
      <c r="A2679" s="4" t="s">
        <v>3489</v>
      </c>
      <c r="B2679" s="4" t="s">
        <v>1410</v>
      </c>
      <c r="C2679" s="4">
        <v>17</v>
      </c>
      <c r="D2679" s="4" t="s">
        <v>30</v>
      </c>
      <c r="E2679" s="4" t="s">
        <v>67</v>
      </c>
      <c r="F2679" s="4" t="s">
        <v>57</v>
      </c>
      <c r="G2679" s="5">
        <v>45477</v>
      </c>
      <c r="H2679" s="5">
        <v>45484</v>
      </c>
      <c r="I2679" s="4">
        <v>7</v>
      </c>
      <c r="J2679" s="4" t="s">
        <v>33</v>
      </c>
      <c r="K2679" s="4" t="s">
        <v>174</v>
      </c>
      <c r="L2679" s="4" t="s">
        <v>48</v>
      </c>
      <c r="M2679" s="4" t="s">
        <v>130</v>
      </c>
      <c r="N2679" s="4" t="s">
        <v>118</v>
      </c>
      <c r="O2679" s="4" t="s">
        <v>1038</v>
      </c>
      <c r="P2679" s="4">
        <v>326</v>
      </c>
      <c r="Q2679" s="4" t="s">
        <v>39</v>
      </c>
      <c r="R2679" s="4" t="s">
        <v>136</v>
      </c>
      <c r="S2679" s="4">
        <v>23804</v>
      </c>
      <c r="T2679" s="4">
        <v>0</v>
      </c>
      <c r="U2679" s="4">
        <v>23804</v>
      </c>
      <c r="V2679" s="4">
        <v>7369</v>
      </c>
      <c r="W2679" s="4">
        <v>10298</v>
      </c>
      <c r="X2679" s="4">
        <v>5470</v>
      </c>
      <c r="Y2679" s="4" t="s">
        <v>91</v>
      </c>
      <c r="Z2679" s="4">
        <v>44</v>
      </c>
      <c r="AA2679" s="4">
        <v>3.3</v>
      </c>
      <c r="AB2679" s="4" t="s">
        <v>52</v>
      </c>
    </row>
    <row r="2680" spans="1:28" x14ac:dyDescent="0.25">
      <c r="A2680" s="2" t="s">
        <v>3490</v>
      </c>
      <c r="B2680" s="2" t="s">
        <v>756</v>
      </c>
      <c r="C2680" s="2">
        <v>44</v>
      </c>
      <c r="D2680" s="2" t="s">
        <v>55</v>
      </c>
      <c r="E2680" s="2" t="s">
        <v>67</v>
      </c>
      <c r="F2680" s="2" t="s">
        <v>157</v>
      </c>
      <c r="G2680" s="3">
        <v>45122</v>
      </c>
      <c r="H2680" s="3">
        <v>45133</v>
      </c>
      <c r="I2680" s="2">
        <v>11</v>
      </c>
      <c r="J2680" s="2" t="s">
        <v>58</v>
      </c>
      <c r="K2680" s="2" t="s">
        <v>88</v>
      </c>
      <c r="L2680" s="2" t="s">
        <v>60</v>
      </c>
      <c r="M2680" s="2" t="s">
        <v>36</v>
      </c>
      <c r="N2680" s="2" t="s">
        <v>109</v>
      </c>
      <c r="O2680" s="2" t="s">
        <v>464</v>
      </c>
      <c r="P2680" s="2">
        <v>129</v>
      </c>
      <c r="Q2680" s="2" t="s">
        <v>39</v>
      </c>
      <c r="R2680" s="2" t="s">
        <v>90</v>
      </c>
      <c r="S2680" s="2">
        <v>77647</v>
      </c>
      <c r="T2680" s="2">
        <v>66895</v>
      </c>
      <c r="U2680" s="2">
        <v>10752</v>
      </c>
      <c r="V2680" s="2">
        <v>46802</v>
      </c>
      <c r="W2680" s="2">
        <v>18330</v>
      </c>
      <c r="X2680" s="2">
        <v>7623</v>
      </c>
      <c r="Y2680" s="2" t="s">
        <v>41</v>
      </c>
      <c r="Z2680" s="2">
        <v>68</v>
      </c>
      <c r="AA2680" s="2">
        <v>3</v>
      </c>
      <c r="AB2680" s="2" t="s">
        <v>52</v>
      </c>
    </row>
    <row r="2681" spans="1:28" x14ac:dyDescent="0.25">
      <c r="A2681" s="4" t="s">
        <v>3491</v>
      </c>
      <c r="B2681" s="4" t="s">
        <v>255</v>
      </c>
      <c r="C2681" s="4">
        <v>69</v>
      </c>
      <c r="D2681" s="4" t="s">
        <v>55</v>
      </c>
      <c r="E2681" s="4" t="s">
        <v>67</v>
      </c>
      <c r="F2681" s="4" t="s">
        <v>32</v>
      </c>
      <c r="G2681" s="5">
        <v>44984</v>
      </c>
      <c r="H2681" s="5">
        <v>45009</v>
      </c>
      <c r="I2681" s="4">
        <v>25</v>
      </c>
      <c r="J2681" s="4" t="s">
        <v>140</v>
      </c>
      <c r="K2681" s="4" t="s">
        <v>141</v>
      </c>
      <c r="L2681" s="4" t="s">
        <v>142</v>
      </c>
      <c r="M2681" s="4" t="s">
        <v>101</v>
      </c>
      <c r="N2681" s="4" t="s">
        <v>118</v>
      </c>
      <c r="O2681" s="4" t="s">
        <v>205</v>
      </c>
      <c r="P2681" s="4">
        <v>209</v>
      </c>
      <c r="Q2681" s="4" t="s">
        <v>50</v>
      </c>
      <c r="R2681" s="4" t="s">
        <v>40</v>
      </c>
      <c r="S2681" s="4">
        <v>67903</v>
      </c>
      <c r="T2681" s="4">
        <v>41172</v>
      </c>
      <c r="U2681" s="4">
        <v>26731</v>
      </c>
      <c r="V2681" s="4">
        <v>27385</v>
      </c>
      <c r="W2681" s="4">
        <v>29965</v>
      </c>
      <c r="X2681" s="4">
        <v>10040</v>
      </c>
      <c r="Y2681" s="4" t="s">
        <v>41</v>
      </c>
      <c r="Z2681" s="4">
        <v>92</v>
      </c>
      <c r="AA2681" s="4">
        <v>2.1</v>
      </c>
      <c r="AB2681" s="4" t="s">
        <v>52</v>
      </c>
    </row>
    <row r="2682" spans="1:28" x14ac:dyDescent="0.25">
      <c r="A2682" s="2" t="s">
        <v>3492</v>
      </c>
      <c r="B2682" s="2" t="s">
        <v>752</v>
      </c>
      <c r="C2682" s="2">
        <v>70</v>
      </c>
      <c r="D2682" s="2" t="s">
        <v>30</v>
      </c>
      <c r="E2682" s="2" t="s">
        <v>122</v>
      </c>
      <c r="F2682" s="2" t="s">
        <v>129</v>
      </c>
      <c r="G2682" s="3">
        <v>45537</v>
      </c>
      <c r="H2682" s="3">
        <v>45560</v>
      </c>
      <c r="I2682" s="2">
        <v>23</v>
      </c>
      <c r="J2682" s="2" t="s">
        <v>73</v>
      </c>
      <c r="K2682" s="2" t="s">
        <v>74</v>
      </c>
      <c r="L2682" s="2" t="s">
        <v>73</v>
      </c>
      <c r="M2682" s="2" t="s">
        <v>143</v>
      </c>
      <c r="N2682" s="2" t="s">
        <v>118</v>
      </c>
      <c r="O2682" s="2" t="s">
        <v>448</v>
      </c>
      <c r="P2682" s="2">
        <v>276</v>
      </c>
      <c r="Q2682" s="2" t="s">
        <v>39</v>
      </c>
      <c r="R2682" s="2" t="s">
        <v>90</v>
      </c>
      <c r="S2682" s="2">
        <v>125517</v>
      </c>
      <c r="T2682" s="2">
        <v>85861</v>
      </c>
      <c r="U2682" s="2">
        <v>39656</v>
      </c>
      <c r="V2682" s="2">
        <v>84908</v>
      </c>
      <c r="W2682" s="2">
        <v>23604</v>
      </c>
      <c r="X2682" s="2">
        <v>13326</v>
      </c>
      <c r="Y2682" s="2" t="s">
        <v>41</v>
      </c>
      <c r="Z2682" s="2">
        <v>41</v>
      </c>
      <c r="AA2682" s="2">
        <v>3.5</v>
      </c>
      <c r="AB2682" s="2" t="s">
        <v>42</v>
      </c>
    </row>
    <row r="2683" spans="1:28" x14ac:dyDescent="0.25">
      <c r="A2683" s="4" t="s">
        <v>3493</v>
      </c>
      <c r="B2683" s="4" t="s">
        <v>982</v>
      </c>
      <c r="C2683" s="4">
        <v>35</v>
      </c>
      <c r="D2683" s="4" t="s">
        <v>55</v>
      </c>
      <c r="E2683" s="4" t="s">
        <v>79</v>
      </c>
      <c r="F2683" s="4" t="s">
        <v>32</v>
      </c>
      <c r="G2683" s="5">
        <v>45403</v>
      </c>
      <c r="H2683" s="5">
        <v>45430</v>
      </c>
      <c r="I2683" s="4">
        <v>27</v>
      </c>
      <c r="J2683" s="4" t="s">
        <v>33</v>
      </c>
      <c r="K2683" s="4" t="s">
        <v>278</v>
      </c>
      <c r="L2683" s="4" t="s">
        <v>279</v>
      </c>
      <c r="M2683" s="4" t="s">
        <v>134</v>
      </c>
      <c r="N2683" s="4" t="s">
        <v>37</v>
      </c>
      <c r="O2683" s="4" t="s">
        <v>256</v>
      </c>
      <c r="P2683" s="4">
        <v>486</v>
      </c>
      <c r="Q2683" s="4" t="s">
        <v>39</v>
      </c>
      <c r="R2683" s="4" t="s">
        <v>40</v>
      </c>
      <c r="S2683" s="4">
        <v>146675</v>
      </c>
      <c r="T2683" s="4">
        <v>85267</v>
      </c>
      <c r="U2683" s="4">
        <v>61408</v>
      </c>
      <c r="V2683" s="4">
        <v>133994</v>
      </c>
      <c r="W2683" s="4">
        <v>6143</v>
      </c>
      <c r="X2683" s="4">
        <v>4689</v>
      </c>
      <c r="Y2683" s="4" t="s">
        <v>41</v>
      </c>
      <c r="Z2683" s="4">
        <v>55</v>
      </c>
      <c r="AA2683" s="4">
        <v>2.7</v>
      </c>
      <c r="AB2683" s="4" t="s">
        <v>52</v>
      </c>
    </row>
    <row r="2684" spans="1:28" x14ac:dyDescent="0.25">
      <c r="A2684" s="2" t="s">
        <v>3494</v>
      </c>
      <c r="B2684" s="2" t="s">
        <v>525</v>
      </c>
      <c r="C2684" s="2">
        <v>14</v>
      </c>
      <c r="D2684" s="2" t="s">
        <v>30</v>
      </c>
      <c r="E2684" s="2" t="s">
        <v>79</v>
      </c>
      <c r="F2684" s="2" t="s">
        <v>114</v>
      </c>
      <c r="G2684" s="3">
        <v>44603</v>
      </c>
      <c r="H2684" s="3">
        <v>44615</v>
      </c>
      <c r="I2684" s="2">
        <v>12</v>
      </c>
      <c r="J2684" s="2" t="s">
        <v>115</v>
      </c>
      <c r="K2684" s="2" t="s">
        <v>116</v>
      </c>
      <c r="L2684" s="2" t="s">
        <v>117</v>
      </c>
      <c r="M2684" s="2" t="s">
        <v>143</v>
      </c>
      <c r="N2684" s="2" t="s">
        <v>37</v>
      </c>
      <c r="O2684" s="2" t="s">
        <v>399</v>
      </c>
      <c r="P2684" s="2">
        <v>14</v>
      </c>
      <c r="Q2684" s="2" t="s">
        <v>50</v>
      </c>
      <c r="R2684" s="2" t="s">
        <v>111</v>
      </c>
      <c r="S2684" s="2">
        <v>132773</v>
      </c>
      <c r="T2684" s="2">
        <v>94894</v>
      </c>
      <c r="U2684" s="2">
        <v>37879</v>
      </c>
      <c r="V2684" s="2">
        <v>98984</v>
      </c>
      <c r="W2684" s="2">
        <v>22832</v>
      </c>
      <c r="X2684" s="2">
        <v>9082</v>
      </c>
      <c r="Y2684" s="2" t="s">
        <v>41</v>
      </c>
      <c r="Z2684" s="2">
        <v>96</v>
      </c>
      <c r="AA2684" s="2">
        <v>3.3</v>
      </c>
      <c r="AB2684" s="2" t="s">
        <v>42</v>
      </c>
    </row>
    <row r="2685" spans="1:28" x14ac:dyDescent="0.25">
      <c r="A2685" s="4" t="s">
        <v>3495</v>
      </c>
      <c r="B2685" s="4" t="s">
        <v>2523</v>
      </c>
      <c r="C2685" s="4">
        <v>40</v>
      </c>
      <c r="D2685" s="4" t="s">
        <v>55</v>
      </c>
      <c r="E2685" s="4" t="s">
        <v>56</v>
      </c>
      <c r="F2685" s="4" t="s">
        <v>129</v>
      </c>
      <c r="G2685" s="5">
        <v>45256</v>
      </c>
      <c r="H2685" s="5">
        <v>45274</v>
      </c>
      <c r="I2685" s="4">
        <v>18</v>
      </c>
      <c r="J2685" s="4" t="s">
        <v>33</v>
      </c>
      <c r="K2685" s="4" t="s">
        <v>197</v>
      </c>
      <c r="L2685" s="4" t="s">
        <v>198</v>
      </c>
      <c r="M2685" s="4" t="s">
        <v>95</v>
      </c>
      <c r="N2685" s="4" t="s">
        <v>37</v>
      </c>
      <c r="O2685" s="4" t="s">
        <v>509</v>
      </c>
      <c r="P2685" s="4">
        <v>307</v>
      </c>
      <c r="Q2685" s="4" t="s">
        <v>103</v>
      </c>
      <c r="R2685" s="4" t="s">
        <v>136</v>
      </c>
      <c r="S2685" s="4">
        <v>149117</v>
      </c>
      <c r="T2685" s="4">
        <v>0</v>
      </c>
      <c r="U2685" s="4">
        <v>149117</v>
      </c>
      <c r="V2685" s="4">
        <v>129603</v>
      </c>
      <c r="W2685" s="4">
        <v>15281</v>
      </c>
      <c r="X2685" s="4">
        <v>1278</v>
      </c>
      <c r="Y2685" s="4" t="s">
        <v>41</v>
      </c>
      <c r="Z2685" s="4">
        <v>43</v>
      </c>
      <c r="AA2685" s="4">
        <v>2.9</v>
      </c>
      <c r="AB2685" s="4" t="s">
        <v>52</v>
      </c>
    </row>
    <row r="2686" spans="1:28" x14ac:dyDescent="0.25">
      <c r="A2686" s="2" t="s">
        <v>3496</v>
      </c>
      <c r="B2686" s="2" t="s">
        <v>183</v>
      </c>
      <c r="C2686" s="2">
        <v>23</v>
      </c>
      <c r="D2686" s="2" t="s">
        <v>30</v>
      </c>
      <c r="E2686" s="2" t="s">
        <v>45</v>
      </c>
      <c r="F2686" s="2" t="s">
        <v>114</v>
      </c>
      <c r="G2686" s="3">
        <v>44879</v>
      </c>
      <c r="H2686" s="3">
        <v>44893</v>
      </c>
      <c r="I2686" s="2">
        <v>14</v>
      </c>
      <c r="J2686" s="2" t="s">
        <v>202</v>
      </c>
      <c r="K2686" s="2" t="s">
        <v>203</v>
      </c>
      <c r="L2686" s="2" t="s">
        <v>204</v>
      </c>
      <c r="M2686" s="2" t="s">
        <v>130</v>
      </c>
      <c r="N2686" s="2" t="s">
        <v>118</v>
      </c>
      <c r="O2686" s="2" t="s">
        <v>63</v>
      </c>
      <c r="P2686" s="2">
        <v>127</v>
      </c>
      <c r="Q2686" s="2" t="s">
        <v>69</v>
      </c>
      <c r="R2686" s="2" t="s">
        <v>90</v>
      </c>
      <c r="S2686" s="2">
        <v>136046</v>
      </c>
      <c r="T2686" s="2">
        <v>118351</v>
      </c>
      <c r="U2686" s="2">
        <v>17695</v>
      </c>
      <c r="V2686" s="2">
        <v>119998</v>
      </c>
      <c r="W2686" s="2">
        <v>6249</v>
      </c>
      <c r="X2686" s="2">
        <v>5506</v>
      </c>
      <c r="Y2686" s="2" t="s">
        <v>41</v>
      </c>
      <c r="Z2686" s="2">
        <v>84</v>
      </c>
      <c r="AA2686" s="2">
        <v>2</v>
      </c>
      <c r="AB2686" s="2" t="s">
        <v>52</v>
      </c>
    </row>
    <row r="2687" spans="1:28" x14ac:dyDescent="0.25">
      <c r="A2687" s="4" t="s">
        <v>3497</v>
      </c>
      <c r="B2687" s="4" t="s">
        <v>657</v>
      </c>
      <c r="C2687" s="4">
        <v>14</v>
      </c>
      <c r="D2687" s="4" t="s">
        <v>55</v>
      </c>
      <c r="E2687" s="4" t="s">
        <v>87</v>
      </c>
      <c r="F2687" s="4" t="s">
        <v>94</v>
      </c>
      <c r="G2687" s="5">
        <v>44991</v>
      </c>
      <c r="H2687" s="5">
        <v>45006</v>
      </c>
      <c r="I2687" s="4">
        <v>15</v>
      </c>
      <c r="J2687" s="4" t="s">
        <v>58</v>
      </c>
      <c r="K2687" s="4" t="s">
        <v>59</v>
      </c>
      <c r="L2687" s="4" t="s">
        <v>60</v>
      </c>
      <c r="M2687" s="4" t="s">
        <v>108</v>
      </c>
      <c r="N2687" s="4" t="s">
        <v>37</v>
      </c>
      <c r="O2687" s="4" t="s">
        <v>382</v>
      </c>
      <c r="P2687" s="4">
        <v>253</v>
      </c>
      <c r="Q2687" s="4" t="s">
        <v>103</v>
      </c>
      <c r="R2687" s="4" t="s">
        <v>111</v>
      </c>
      <c r="S2687" s="4">
        <v>79698</v>
      </c>
      <c r="T2687" s="4">
        <v>69207</v>
      </c>
      <c r="U2687" s="4">
        <v>10491</v>
      </c>
      <c r="V2687" s="4">
        <v>53611</v>
      </c>
      <c r="W2687" s="4">
        <v>10998</v>
      </c>
      <c r="X2687" s="4">
        <v>13146</v>
      </c>
      <c r="Y2687" s="4" t="s">
        <v>41</v>
      </c>
      <c r="Z2687" s="4">
        <v>72</v>
      </c>
      <c r="AA2687" s="4">
        <v>2.9</v>
      </c>
      <c r="AB2687" s="4" t="s">
        <v>104</v>
      </c>
    </row>
    <row r="2688" spans="1:28" x14ac:dyDescent="0.25">
      <c r="A2688" s="2" t="s">
        <v>3498</v>
      </c>
      <c r="B2688" s="2" t="s">
        <v>697</v>
      </c>
      <c r="C2688" s="2">
        <v>67</v>
      </c>
      <c r="D2688" s="2" t="s">
        <v>30</v>
      </c>
      <c r="E2688" s="2" t="s">
        <v>56</v>
      </c>
      <c r="F2688" s="2" t="s">
        <v>129</v>
      </c>
      <c r="G2688" s="3">
        <v>45595</v>
      </c>
      <c r="H2688" s="3">
        <v>45600</v>
      </c>
      <c r="I2688" s="2">
        <v>5</v>
      </c>
      <c r="J2688" s="2" t="s">
        <v>33</v>
      </c>
      <c r="K2688" s="2" t="s">
        <v>81</v>
      </c>
      <c r="L2688" s="2" t="s">
        <v>82</v>
      </c>
      <c r="M2688" s="2" t="s">
        <v>143</v>
      </c>
      <c r="N2688" s="2" t="s">
        <v>118</v>
      </c>
      <c r="O2688" s="2" t="s">
        <v>131</v>
      </c>
      <c r="P2688" s="2">
        <v>444</v>
      </c>
      <c r="Q2688" s="2" t="s">
        <v>103</v>
      </c>
      <c r="R2688" s="2" t="s">
        <v>111</v>
      </c>
      <c r="S2688" s="2">
        <v>121460</v>
      </c>
      <c r="T2688" s="2">
        <v>75545</v>
      </c>
      <c r="U2688" s="2">
        <v>45915</v>
      </c>
      <c r="V2688" s="2">
        <v>80122</v>
      </c>
      <c r="W2688" s="2">
        <v>22584</v>
      </c>
      <c r="X2688" s="2">
        <v>14117</v>
      </c>
      <c r="Y2688" s="2" t="s">
        <v>41</v>
      </c>
      <c r="Z2688" s="2">
        <v>94</v>
      </c>
      <c r="AA2688" s="2">
        <v>2.1</v>
      </c>
      <c r="AB2688" s="2" t="s">
        <v>42</v>
      </c>
    </row>
    <row r="2689" spans="1:28" x14ac:dyDescent="0.25">
      <c r="A2689" s="4" t="s">
        <v>3499</v>
      </c>
      <c r="B2689" s="4" t="s">
        <v>545</v>
      </c>
      <c r="C2689" s="4">
        <v>63</v>
      </c>
      <c r="D2689" s="4" t="s">
        <v>30</v>
      </c>
      <c r="E2689" s="4" t="s">
        <v>67</v>
      </c>
      <c r="F2689" s="4" t="s">
        <v>157</v>
      </c>
      <c r="G2689" s="5">
        <v>44583</v>
      </c>
      <c r="H2689" s="5">
        <v>44593</v>
      </c>
      <c r="I2689" s="4">
        <v>10</v>
      </c>
      <c r="J2689" s="4" t="s">
        <v>33</v>
      </c>
      <c r="K2689" s="4" t="s">
        <v>197</v>
      </c>
      <c r="L2689" s="4" t="s">
        <v>198</v>
      </c>
      <c r="M2689" s="4" t="s">
        <v>108</v>
      </c>
      <c r="N2689" s="4" t="s">
        <v>37</v>
      </c>
      <c r="O2689" s="4" t="s">
        <v>678</v>
      </c>
      <c r="P2689" s="4">
        <v>166</v>
      </c>
      <c r="Q2689" s="4" t="s">
        <v>103</v>
      </c>
      <c r="R2689" s="4" t="s">
        <v>51</v>
      </c>
      <c r="S2689" s="4">
        <v>95244</v>
      </c>
      <c r="T2689" s="4">
        <v>48910</v>
      </c>
      <c r="U2689" s="4">
        <v>46334</v>
      </c>
      <c r="V2689" s="4">
        <v>74762</v>
      </c>
      <c r="W2689" s="4">
        <v>18060</v>
      </c>
      <c r="X2689" s="4">
        <v>1675</v>
      </c>
      <c r="Y2689" s="4" t="s">
        <v>41</v>
      </c>
      <c r="Z2689" s="4">
        <v>69</v>
      </c>
      <c r="AA2689" s="4">
        <v>2.2000000000000002</v>
      </c>
      <c r="AB2689" s="4" t="s">
        <v>137</v>
      </c>
    </row>
    <row r="2690" spans="1:28" x14ac:dyDescent="0.25">
      <c r="A2690" s="2" t="s">
        <v>3500</v>
      </c>
      <c r="B2690" s="2" t="s">
        <v>437</v>
      </c>
      <c r="C2690" s="2">
        <v>83</v>
      </c>
      <c r="D2690" s="2" t="s">
        <v>55</v>
      </c>
      <c r="E2690" s="2" t="s">
        <v>67</v>
      </c>
      <c r="F2690" s="2" t="s">
        <v>80</v>
      </c>
      <c r="G2690" s="3">
        <v>44704</v>
      </c>
      <c r="H2690" s="3">
        <v>44734</v>
      </c>
      <c r="I2690" s="2">
        <v>30</v>
      </c>
      <c r="J2690" s="2" t="s">
        <v>123</v>
      </c>
      <c r="K2690" s="2" t="s">
        <v>124</v>
      </c>
      <c r="L2690" s="2" t="s">
        <v>125</v>
      </c>
      <c r="M2690" s="2" t="s">
        <v>95</v>
      </c>
      <c r="N2690" s="2" t="s">
        <v>118</v>
      </c>
      <c r="O2690" s="2" t="s">
        <v>49</v>
      </c>
      <c r="P2690" s="2">
        <v>406</v>
      </c>
      <c r="Q2690" s="2" t="s">
        <v>39</v>
      </c>
      <c r="R2690" s="2" t="s">
        <v>51</v>
      </c>
      <c r="S2690" s="2">
        <v>49824</v>
      </c>
      <c r="T2690" s="2">
        <v>26224</v>
      </c>
      <c r="U2690" s="2">
        <v>23600</v>
      </c>
      <c r="V2690" s="2">
        <v>11903</v>
      </c>
      <c r="W2690" s="2">
        <v>24895</v>
      </c>
      <c r="X2690" s="2">
        <v>8421</v>
      </c>
      <c r="Y2690" s="2" t="s">
        <v>41</v>
      </c>
      <c r="Z2690" s="2">
        <v>69</v>
      </c>
      <c r="AA2690" s="2">
        <v>4.3</v>
      </c>
      <c r="AB2690" s="2" t="s">
        <v>104</v>
      </c>
    </row>
    <row r="2691" spans="1:28" x14ac:dyDescent="0.25">
      <c r="A2691" s="4" t="s">
        <v>3501</v>
      </c>
      <c r="B2691" s="4" t="s">
        <v>567</v>
      </c>
      <c r="C2691" s="4">
        <v>79</v>
      </c>
      <c r="D2691" s="4" t="s">
        <v>30</v>
      </c>
      <c r="E2691" s="4" t="s">
        <v>154</v>
      </c>
      <c r="F2691" s="4" t="s">
        <v>57</v>
      </c>
      <c r="G2691" s="5">
        <v>44871</v>
      </c>
      <c r="H2691" s="5">
        <v>44893</v>
      </c>
      <c r="I2691" s="4">
        <v>22</v>
      </c>
      <c r="J2691" s="4" t="s">
        <v>73</v>
      </c>
      <c r="K2691" s="4" t="s">
        <v>74</v>
      </c>
      <c r="L2691" s="4" t="s">
        <v>73</v>
      </c>
      <c r="M2691" s="4" t="s">
        <v>108</v>
      </c>
      <c r="N2691" s="4" t="s">
        <v>109</v>
      </c>
      <c r="O2691" s="4" t="s">
        <v>373</v>
      </c>
      <c r="P2691" s="4">
        <v>205</v>
      </c>
      <c r="Q2691" s="4" t="s">
        <v>50</v>
      </c>
      <c r="R2691" s="4" t="s">
        <v>40</v>
      </c>
      <c r="S2691" s="4">
        <v>49922</v>
      </c>
      <c r="T2691" s="4">
        <v>28057</v>
      </c>
      <c r="U2691" s="4">
        <v>21865</v>
      </c>
      <c r="V2691" s="4">
        <v>23915</v>
      </c>
      <c r="W2691" s="4">
        <v>7829</v>
      </c>
      <c r="X2691" s="4">
        <v>13810</v>
      </c>
      <c r="Y2691" s="4" t="s">
        <v>41</v>
      </c>
      <c r="Z2691" s="4">
        <v>64</v>
      </c>
      <c r="AA2691" s="4">
        <v>4.0999999999999996</v>
      </c>
      <c r="AB2691" s="4" t="s">
        <v>64</v>
      </c>
    </row>
    <row r="2692" spans="1:28" x14ac:dyDescent="0.25">
      <c r="A2692" s="2" t="s">
        <v>3502</v>
      </c>
      <c r="B2692" s="2" t="s">
        <v>1675</v>
      </c>
      <c r="C2692" s="2">
        <v>33</v>
      </c>
      <c r="D2692" s="2" t="s">
        <v>30</v>
      </c>
      <c r="E2692" s="2" t="s">
        <v>56</v>
      </c>
      <c r="F2692" s="2" t="s">
        <v>129</v>
      </c>
      <c r="G2692" s="3">
        <v>44601</v>
      </c>
      <c r="H2692" s="3">
        <v>44611</v>
      </c>
      <c r="I2692" s="2">
        <v>10</v>
      </c>
      <c r="J2692" s="2" t="s">
        <v>58</v>
      </c>
      <c r="K2692" s="2" t="s">
        <v>88</v>
      </c>
      <c r="L2692" s="2" t="s">
        <v>60</v>
      </c>
      <c r="M2692" s="2" t="s">
        <v>101</v>
      </c>
      <c r="N2692" s="2" t="s">
        <v>37</v>
      </c>
      <c r="O2692" s="2" t="s">
        <v>266</v>
      </c>
      <c r="P2692" s="2">
        <v>182</v>
      </c>
      <c r="Q2692" s="2" t="s">
        <v>50</v>
      </c>
      <c r="R2692" s="2" t="s">
        <v>40</v>
      </c>
      <c r="S2692" s="2">
        <v>124290</v>
      </c>
      <c r="T2692" s="2">
        <v>62377</v>
      </c>
      <c r="U2692" s="2">
        <v>61913</v>
      </c>
      <c r="V2692" s="2">
        <v>81053</v>
      </c>
      <c r="W2692" s="2">
        <v>27771</v>
      </c>
      <c r="X2692" s="2">
        <v>14573</v>
      </c>
      <c r="Y2692" s="2" t="s">
        <v>91</v>
      </c>
      <c r="Z2692" s="2">
        <v>57</v>
      </c>
      <c r="AA2692" s="2">
        <v>4.5</v>
      </c>
      <c r="AB2692" s="2" t="s">
        <v>104</v>
      </c>
    </row>
    <row r="2693" spans="1:28" x14ac:dyDescent="0.25">
      <c r="A2693" s="4" t="s">
        <v>3503</v>
      </c>
      <c r="B2693" s="4" t="s">
        <v>1011</v>
      </c>
      <c r="C2693" s="4">
        <v>56</v>
      </c>
      <c r="D2693" s="4" t="s">
        <v>30</v>
      </c>
      <c r="E2693" s="4" t="s">
        <v>67</v>
      </c>
      <c r="F2693" s="4" t="s">
        <v>57</v>
      </c>
      <c r="G2693" s="5">
        <v>45326</v>
      </c>
      <c r="H2693" s="5">
        <v>45344</v>
      </c>
      <c r="I2693" s="4">
        <v>18</v>
      </c>
      <c r="J2693" s="4" t="s">
        <v>202</v>
      </c>
      <c r="K2693" s="4" t="s">
        <v>225</v>
      </c>
      <c r="L2693" s="4" t="s">
        <v>226</v>
      </c>
      <c r="M2693" s="4" t="s">
        <v>101</v>
      </c>
      <c r="N2693" s="4" t="s">
        <v>118</v>
      </c>
      <c r="O2693" s="4" t="s">
        <v>147</v>
      </c>
      <c r="P2693" s="4">
        <v>329</v>
      </c>
      <c r="Q2693" s="4" t="s">
        <v>50</v>
      </c>
      <c r="R2693" s="4" t="s">
        <v>40</v>
      </c>
      <c r="S2693" s="4">
        <v>151718</v>
      </c>
      <c r="T2693" s="4">
        <v>89180</v>
      </c>
      <c r="U2693" s="4">
        <v>62538</v>
      </c>
      <c r="V2693" s="4">
        <v>137094</v>
      </c>
      <c r="W2693" s="4">
        <v>3792</v>
      </c>
      <c r="X2693" s="4">
        <v>6019</v>
      </c>
      <c r="Y2693" s="4" t="s">
        <v>41</v>
      </c>
      <c r="Z2693" s="4">
        <v>49</v>
      </c>
      <c r="AA2693" s="4">
        <v>4.8</v>
      </c>
      <c r="AB2693" s="4" t="s">
        <v>137</v>
      </c>
    </row>
    <row r="2694" spans="1:28" x14ac:dyDescent="0.25">
      <c r="A2694" s="2" t="s">
        <v>3504</v>
      </c>
      <c r="B2694" s="2" t="s">
        <v>1763</v>
      </c>
      <c r="C2694" s="2">
        <v>19</v>
      </c>
      <c r="D2694" s="2" t="s">
        <v>55</v>
      </c>
      <c r="E2694" s="2" t="s">
        <v>67</v>
      </c>
      <c r="F2694" s="2" t="s">
        <v>94</v>
      </c>
      <c r="G2694" s="3">
        <v>45361</v>
      </c>
      <c r="H2694" s="3">
        <v>45374</v>
      </c>
      <c r="I2694" s="2">
        <v>13</v>
      </c>
      <c r="J2694" s="2" t="s">
        <v>33</v>
      </c>
      <c r="K2694" s="2" t="s">
        <v>197</v>
      </c>
      <c r="L2694" s="2" t="s">
        <v>198</v>
      </c>
      <c r="M2694" s="2" t="s">
        <v>75</v>
      </c>
      <c r="N2694" s="2" t="s">
        <v>109</v>
      </c>
      <c r="O2694" s="2" t="s">
        <v>205</v>
      </c>
      <c r="P2694" s="2">
        <v>132</v>
      </c>
      <c r="Q2694" s="2" t="s">
        <v>103</v>
      </c>
      <c r="R2694" s="2" t="s">
        <v>136</v>
      </c>
      <c r="S2694" s="2">
        <v>160630</v>
      </c>
      <c r="T2694" s="2">
        <v>0</v>
      </c>
      <c r="U2694" s="2">
        <v>160630</v>
      </c>
      <c r="V2694" s="2">
        <v>118901</v>
      </c>
      <c r="W2694" s="2">
        <v>29189</v>
      </c>
      <c r="X2694" s="2">
        <v>11266</v>
      </c>
      <c r="Y2694" s="2" t="s">
        <v>41</v>
      </c>
      <c r="Z2694" s="2">
        <v>70</v>
      </c>
      <c r="AA2694" s="2">
        <v>3.7</v>
      </c>
      <c r="AB2694" s="2" t="s">
        <v>52</v>
      </c>
    </row>
    <row r="2695" spans="1:28" x14ac:dyDescent="0.25">
      <c r="A2695" s="4" t="s">
        <v>3505</v>
      </c>
      <c r="B2695" s="4" t="s">
        <v>78</v>
      </c>
      <c r="C2695" s="4">
        <v>29</v>
      </c>
      <c r="D2695" s="4" t="s">
        <v>30</v>
      </c>
      <c r="E2695" s="4" t="s">
        <v>56</v>
      </c>
      <c r="F2695" s="4" t="s">
        <v>157</v>
      </c>
      <c r="G2695" s="5">
        <v>45209</v>
      </c>
      <c r="H2695" s="5">
        <v>45217</v>
      </c>
      <c r="I2695" s="4">
        <v>8</v>
      </c>
      <c r="J2695" s="4" t="s">
        <v>33</v>
      </c>
      <c r="K2695" s="4" t="s">
        <v>99</v>
      </c>
      <c r="L2695" s="4" t="s">
        <v>100</v>
      </c>
      <c r="M2695" s="4" t="s">
        <v>61</v>
      </c>
      <c r="N2695" s="4" t="s">
        <v>37</v>
      </c>
      <c r="O2695" s="4" t="s">
        <v>63</v>
      </c>
      <c r="P2695" s="4">
        <v>146</v>
      </c>
      <c r="Q2695" s="4" t="s">
        <v>39</v>
      </c>
      <c r="R2695" s="4" t="s">
        <v>136</v>
      </c>
      <c r="S2695" s="4">
        <v>158703</v>
      </c>
      <c r="T2695" s="4">
        <v>0</v>
      </c>
      <c r="U2695" s="4">
        <v>158703</v>
      </c>
      <c r="V2695" s="4">
        <v>127244</v>
      </c>
      <c r="W2695" s="4">
        <v>23967</v>
      </c>
      <c r="X2695" s="4">
        <v>5119</v>
      </c>
      <c r="Y2695" s="4" t="s">
        <v>91</v>
      </c>
      <c r="Z2695" s="4">
        <v>58</v>
      </c>
      <c r="AA2695" s="4">
        <v>3.9</v>
      </c>
      <c r="AB2695" s="4" t="s">
        <v>137</v>
      </c>
    </row>
    <row r="2696" spans="1:28" x14ac:dyDescent="0.25">
      <c r="A2696" s="2" t="s">
        <v>3506</v>
      </c>
      <c r="B2696" s="2" t="s">
        <v>597</v>
      </c>
      <c r="C2696" s="2">
        <v>39</v>
      </c>
      <c r="D2696" s="2" t="s">
        <v>30</v>
      </c>
      <c r="E2696" s="2" t="s">
        <v>67</v>
      </c>
      <c r="F2696" s="2" t="s">
        <v>114</v>
      </c>
      <c r="G2696" s="3">
        <v>44694</v>
      </c>
      <c r="H2696" s="3">
        <v>44698</v>
      </c>
      <c r="I2696" s="2">
        <v>4</v>
      </c>
      <c r="J2696" s="2" t="s">
        <v>33</v>
      </c>
      <c r="K2696" s="2" t="s">
        <v>47</v>
      </c>
      <c r="L2696" s="2" t="s">
        <v>48</v>
      </c>
      <c r="M2696" s="2" t="s">
        <v>108</v>
      </c>
      <c r="N2696" s="2" t="s">
        <v>62</v>
      </c>
      <c r="O2696" s="2" t="s">
        <v>368</v>
      </c>
      <c r="P2696" s="2">
        <v>306</v>
      </c>
      <c r="Q2696" s="2" t="s">
        <v>103</v>
      </c>
      <c r="R2696" s="2" t="s">
        <v>136</v>
      </c>
      <c r="S2696" s="2">
        <v>45585</v>
      </c>
      <c r="T2696" s="2">
        <v>0</v>
      </c>
      <c r="U2696" s="2">
        <v>45585</v>
      </c>
      <c r="V2696" s="2">
        <v>20082</v>
      </c>
      <c r="W2696" s="2">
        <v>13126</v>
      </c>
      <c r="X2696" s="2">
        <v>7688</v>
      </c>
      <c r="Y2696" s="2" t="s">
        <v>41</v>
      </c>
      <c r="Z2696" s="2">
        <v>67</v>
      </c>
      <c r="AA2696" s="2">
        <v>3.3</v>
      </c>
      <c r="AB2696" s="2" t="s">
        <v>104</v>
      </c>
    </row>
    <row r="2697" spans="1:28" x14ac:dyDescent="0.25">
      <c r="A2697" s="4" t="s">
        <v>3507</v>
      </c>
      <c r="B2697" s="4" t="s">
        <v>370</v>
      </c>
      <c r="C2697" s="4">
        <v>25</v>
      </c>
      <c r="D2697" s="4" t="s">
        <v>30</v>
      </c>
      <c r="E2697" s="4" t="s">
        <v>56</v>
      </c>
      <c r="F2697" s="4" t="s">
        <v>46</v>
      </c>
      <c r="G2697" s="5">
        <v>45526</v>
      </c>
      <c r="H2697" s="5">
        <v>45534</v>
      </c>
      <c r="I2697" s="4">
        <v>8</v>
      </c>
      <c r="J2697" s="4" t="s">
        <v>123</v>
      </c>
      <c r="K2697" s="4" t="s">
        <v>251</v>
      </c>
      <c r="L2697" s="4" t="s">
        <v>125</v>
      </c>
      <c r="M2697" s="4" t="s">
        <v>134</v>
      </c>
      <c r="N2697" s="4" t="s">
        <v>62</v>
      </c>
      <c r="O2697" s="4" t="s">
        <v>331</v>
      </c>
      <c r="P2697" s="4">
        <v>307</v>
      </c>
      <c r="Q2697" s="4" t="s">
        <v>103</v>
      </c>
      <c r="R2697" s="4" t="s">
        <v>40</v>
      </c>
      <c r="S2697" s="4">
        <v>144831</v>
      </c>
      <c r="T2697" s="4">
        <v>93725</v>
      </c>
      <c r="U2697" s="4">
        <v>51106</v>
      </c>
      <c r="V2697" s="4">
        <v>135081</v>
      </c>
      <c r="W2697" s="4">
        <v>7629</v>
      </c>
      <c r="X2697" s="4">
        <v>705</v>
      </c>
      <c r="Y2697" s="4" t="s">
        <v>41</v>
      </c>
      <c r="Z2697" s="4">
        <v>67</v>
      </c>
      <c r="AA2697" s="4">
        <v>3.9</v>
      </c>
      <c r="AB2697" s="4" t="s">
        <v>42</v>
      </c>
    </row>
    <row r="2698" spans="1:28" x14ac:dyDescent="0.25">
      <c r="A2698" s="2" t="s">
        <v>3508</v>
      </c>
      <c r="B2698" s="2" t="s">
        <v>2329</v>
      </c>
      <c r="C2698" s="2">
        <v>52</v>
      </c>
      <c r="D2698" s="2" t="s">
        <v>55</v>
      </c>
      <c r="E2698" s="2" t="s">
        <v>56</v>
      </c>
      <c r="F2698" s="2" t="s">
        <v>150</v>
      </c>
      <c r="G2698" s="3">
        <v>45160</v>
      </c>
      <c r="H2698" s="3">
        <v>45188</v>
      </c>
      <c r="I2698" s="2">
        <v>28</v>
      </c>
      <c r="J2698" s="2" t="s">
        <v>58</v>
      </c>
      <c r="K2698" s="2" t="s">
        <v>88</v>
      </c>
      <c r="L2698" s="2" t="s">
        <v>60</v>
      </c>
      <c r="M2698" s="2" t="s">
        <v>95</v>
      </c>
      <c r="N2698" s="2" t="s">
        <v>118</v>
      </c>
      <c r="O2698" s="2" t="s">
        <v>266</v>
      </c>
      <c r="P2698" s="2">
        <v>217</v>
      </c>
      <c r="Q2698" s="2" t="s">
        <v>50</v>
      </c>
      <c r="R2698" s="2" t="s">
        <v>136</v>
      </c>
      <c r="S2698" s="2">
        <v>98214</v>
      </c>
      <c r="T2698" s="2">
        <v>0</v>
      </c>
      <c r="U2698" s="2">
        <v>98214</v>
      </c>
      <c r="V2698" s="2">
        <v>64333</v>
      </c>
      <c r="W2698" s="2">
        <v>23564</v>
      </c>
      <c r="X2698" s="2">
        <v>9633</v>
      </c>
      <c r="Y2698" s="2" t="s">
        <v>41</v>
      </c>
      <c r="Z2698" s="2">
        <v>96</v>
      </c>
      <c r="AA2698" s="2">
        <v>3.6</v>
      </c>
      <c r="AB2698" s="2" t="s">
        <v>104</v>
      </c>
    </row>
    <row r="2699" spans="1:28" x14ac:dyDescent="0.25">
      <c r="A2699" s="4" t="s">
        <v>3509</v>
      </c>
      <c r="B2699" s="4" t="s">
        <v>532</v>
      </c>
      <c r="C2699" s="4">
        <v>52</v>
      </c>
      <c r="D2699" s="4" t="s">
        <v>30</v>
      </c>
      <c r="E2699" s="4" t="s">
        <v>45</v>
      </c>
      <c r="F2699" s="4" t="s">
        <v>80</v>
      </c>
      <c r="G2699" s="5">
        <v>45492</v>
      </c>
      <c r="H2699" s="5">
        <v>45499</v>
      </c>
      <c r="I2699" s="4">
        <v>7</v>
      </c>
      <c r="J2699" s="4" t="s">
        <v>33</v>
      </c>
      <c r="K2699" s="4" t="s">
        <v>99</v>
      </c>
      <c r="L2699" s="4" t="s">
        <v>100</v>
      </c>
      <c r="M2699" s="4" t="s">
        <v>95</v>
      </c>
      <c r="N2699" s="4" t="s">
        <v>37</v>
      </c>
      <c r="O2699" s="4" t="s">
        <v>234</v>
      </c>
      <c r="P2699" s="4">
        <v>481</v>
      </c>
      <c r="Q2699" s="4" t="s">
        <v>103</v>
      </c>
      <c r="R2699" s="4" t="s">
        <v>40</v>
      </c>
      <c r="S2699" s="4">
        <v>157526</v>
      </c>
      <c r="T2699" s="4">
        <v>66974</v>
      </c>
      <c r="U2699" s="4">
        <v>90552</v>
      </c>
      <c r="V2699" s="4">
        <v>143783</v>
      </c>
      <c r="W2699" s="4">
        <v>3635</v>
      </c>
      <c r="X2699" s="4">
        <v>6132</v>
      </c>
      <c r="Y2699" s="4" t="s">
        <v>41</v>
      </c>
      <c r="Z2699" s="4">
        <v>48</v>
      </c>
      <c r="AA2699" s="4">
        <v>5</v>
      </c>
      <c r="AB2699" s="4" t="s">
        <v>64</v>
      </c>
    </row>
    <row r="2700" spans="1:28" x14ac:dyDescent="0.25">
      <c r="A2700" s="2" t="s">
        <v>3510</v>
      </c>
      <c r="B2700" s="2" t="s">
        <v>1360</v>
      </c>
      <c r="C2700" s="2">
        <v>66</v>
      </c>
      <c r="D2700" s="2" t="s">
        <v>30</v>
      </c>
      <c r="E2700" s="2" t="s">
        <v>31</v>
      </c>
      <c r="F2700" s="2" t="s">
        <v>72</v>
      </c>
      <c r="G2700" s="3">
        <v>44746</v>
      </c>
      <c r="H2700" s="3">
        <v>44759</v>
      </c>
      <c r="I2700" s="2">
        <v>13</v>
      </c>
      <c r="J2700" s="2" t="s">
        <v>33</v>
      </c>
      <c r="K2700" s="2" t="s">
        <v>233</v>
      </c>
      <c r="L2700" s="2" t="s">
        <v>35</v>
      </c>
      <c r="M2700" s="2" t="s">
        <v>101</v>
      </c>
      <c r="N2700" s="2" t="s">
        <v>37</v>
      </c>
      <c r="O2700" s="2" t="s">
        <v>89</v>
      </c>
      <c r="P2700" s="2">
        <v>231</v>
      </c>
      <c r="Q2700" s="2" t="s">
        <v>103</v>
      </c>
      <c r="R2700" s="2" t="s">
        <v>51</v>
      </c>
      <c r="S2700" s="2">
        <v>165380</v>
      </c>
      <c r="T2700" s="2">
        <v>84334</v>
      </c>
      <c r="U2700" s="2">
        <v>81046</v>
      </c>
      <c r="V2700" s="2">
        <v>126589</v>
      </c>
      <c r="W2700" s="2">
        <v>23275</v>
      </c>
      <c r="X2700" s="2">
        <v>11876</v>
      </c>
      <c r="Y2700" s="2" t="s">
        <v>41</v>
      </c>
      <c r="Z2700" s="2">
        <v>58</v>
      </c>
      <c r="AA2700" s="2">
        <v>5</v>
      </c>
      <c r="AB2700" s="2" t="s">
        <v>137</v>
      </c>
    </row>
    <row r="2701" spans="1:28" x14ac:dyDescent="0.25">
      <c r="A2701" s="4" t="s">
        <v>3511</v>
      </c>
      <c r="B2701" s="4" t="s">
        <v>1085</v>
      </c>
      <c r="C2701" s="4">
        <v>15</v>
      </c>
      <c r="D2701" s="4" t="s">
        <v>30</v>
      </c>
      <c r="E2701" s="4" t="s">
        <v>45</v>
      </c>
      <c r="F2701" s="4" t="s">
        <v>32</v>
      </c>
      <c r="G2701" s="5">
        <v>45107</v>
      </c>
      <c r="H2701" s="5">
        <v>45109</v>
      </c>
      <c r="I2701" s="4">
        <v>2</v>
      </c>
      <c r="J2701" s="4" t="s">
        <v>33</v>
      </c>
      <c r="K2701" s="4" t="s">
        <v>278</v>
      </c>
      <c r="L2701" s="4" t="s">
        <v>279</v>
      </c>
      <c r="M2701" s="4" t="s">
        <v>36</v>
      </c>
      <c r="N2701" s="4" t="s">
        <v>37</v>
      </c>
      <c r="O2701" s="4" t="s">
        <v>282</v>
      </c>
      <c r="P2701" s="4">
        <v>45</v>
      </c>
      <c r="Q2701" s="4" t="s">
        <v>103</v>
      </c>
      <c r="R2701" s="4" t="s">
        <v>136</v>
      </c>
      <c r="S2701" s="4">
        <v>139813</v>
      </c>
      <c r="T2701" s="4">
        <v>0</v>
      </c>
      <c r="U2701" s="4">
        <v>139813</v>
      </c>
      <c r="V2701" s="4">
        <v>114883</v>
      </c>
      <c r="W2701" s="4">
        <v>8148</v>
      </c>
      <c r="X2701" s="4">
        <v>13963</v>
      </c>
      <c r="Y2701" s="4" t="s">
        <v>41</v>
      </c>
      <c r="Z2701" s="4">
        <v>43</v>
      </c>
      <c r="AA2701" s="4">
        <v>3.2</v>
      </c>
      <c r="AB2701" s="4" t="s">
        <v>64</v>
      </c>
    </row>
    <row r="2702" spans="1:28" x14ac:dyDescent="0.25">
      <c r="A2702" s="2" t="s">
        <v>3512</v>
      </c>
      <c r="B2702" s="2" t="s">
        <v>1018</v>
      </c>
      <c r="C2702" s="2">
        <v>80</v>
      </c>
      <c r="D2702" s="2" t="s">
        <v>55</v>
      </c>
      <c r="E2702" s="2" t="s">
        <v>67</v>
      </c>
      <c r="F2702" s="2" t="s">
        <v>129</v>
      </c>
      <c r="G2702" s="3">
        <v>45449</v>
      </c>
      <c r="H2702" s="3">
        <v>45469</v>
      </c>
      <c r="I2702" s="2">
        <v>20</v>
      </c>
      <c r="J2702" s="2" t="s">
        <v>33</v>
      </c>
      <c r="K2702" s="2" t="s">
        <v>81</v>
      </c>
      <c r="L2702" s="2" t="s">
        <v>82</v>
      </c>
      <c r="M2702" s="2" t="s">
        <v>108</v>
      </c>
      <c r="N2702" s="2" t="s">
        <v>37</v>
      </c>
      <c r="O2702" s="2" t="s">
        <v>331</v>
      </c>
      <c r="P2702" s="2">
        <v>404</v>
      </c>
      <c r="Q2702" s="2" t="s">
        <v>39</v>
      </c>
      <c r="R2702" s="2" t="s">
        <v>40</v>
      </c>
      <c r="S2702" s="2">
        <v>94167</v>
      </c>
      <c r="T2702" s="2">
        <v>48382</v>
      </c>
      <c r="U2702" s="2">
        <v>45785</v>
      </c>
      <c r="V2702" s="2">
        <v>50901</v>
      </c>
      <c r="W2702" s="2">
        <v>27530</v>
      </c>
      <c r="X2702" s="2">
        <v>13780</v>
      </c>
      <c r="Y2702" s="2" t="s">
        <v>41</v>
      </c>
      <c r="Z2702" s="2">
        <v>71</v>
      </c>
      <c r="AA2702" s="2">
        <v>2.6</v>
      </c>
      <c r="AB2702" s="2" t="s">
        <v>42</v>
      </c>
    </row>
    <row r="2703" spans="1:28" x14ac:dyDescent="0.25">
      <c r="A2703" s="4" t="s">
        <v>3513</v>
      </c>
      <c r="B2703" s="4" t="s">
        <v>576</v>
      </c>
      <c r="C2703" s="4">
        <v>27</v>
      </c>
      <c r="D2703" s="4" t="s">
        <v>30</v>
      </c>
      <c r="E2703" s="4" t="s">
        <v>31</v>
      </c>
      <c r="F2703" s="4" t="s">
        <v>114</v>
      </c>
      <c r="G2703" s="5">
        <v>45586</v>
      </c>
      <c r="H2703" s="5">
        <v>45589</v>
      </c>
      <c r="I2703" s="4">
        <v>3</v>
      </c>
      <c r="J2703" s="4" t="s">
        <v>140</v>
      </c>
      <c r="K2703" s="4" t="s">
        <v>141</v>
      </c>
      <c r="L2703" s="4" t="s">
        <v>142</v>
      </c>
      <c r="M2703" s="4" t="s">
        <v>130</v>
      </c>
      <c r="N2703" s="4" t="s">
        <v>37</v>
      </c>
      <c r="O2703" s="4" t="s">
        <v>681</v>
      </c>
      <c r="P2703" s="4">
        <v>353</v>
      </c>
      <c r="Q2703" s="4" t="s">
        <v>103</v>
      </c>
      <c r="R2703" s="4" t="s">
        <v>40</v>
      </c>
      <c r="S2703" s="4">
        <v>137689</v>
      </c>
      <c r="T2703" s="4">
        <v>94940</v>
      </c>
      <c r="U2703" s="4">
        <v>42749</v>
      </c>
      <c r="V2703" s="4">
        <v>115651</v>
      </c>
      <c r="W2703" s="4">
        <v>16029</v>
      </c>
      <c r="X2703" s="4">
        <v>2475</v>
      </c>
      <c r="Y2703" s="4" t="s">
        <v>41</v>
      </c>
      <c r="Z2703" s="4">
        <v>80</v>
      </c>
      <c r="AA2703" s="4">
        <v>2.9</v>
      </c>
      <c r="AB2703" s="4" t="s">
        <v>137</v>
      </c>
    </row>
    <row r="2704" spans="1:28" x14ac:dyDescent="0.25">
      <c r="A2704" s="2" t="s">
        <v>3514</v>
      </c>
      <c r="B2704" s="2" t="s">
        <v>454</v>
      </c>
      <c r="C2704" s="2">
        <v>14</v>
      </c>
      <c r="D2704" s="2" t="s">
        <v>55</v>
      </c>
      <c r="E2704" s="2" t="s">
        <v>31</v>
      </c>
      <c r="F2704" s="2" t="s">
        <v>72</v>
      </c>
      <c r="G2704" s="3">
        <v>45085</v>
      </c>
      <c r="H2704" s="3">
        <v>45107</v>
      </c>
      <c r="I2704" s="2">
        <v>22</v>
      </c>
      <c r="J2704" s="2" t="s">
        <v>58</v>
      </c>
      <c r="K2704" s="2" t="s">
        <v>88</v>
      </c>
      <c r="L2704" s="2" t="s">
        <v>60</v>
      </c>
      <c r="M2704" s="2" t="s">
        <v>36</v>
      </c>
      <c r="N2704" s="2" t="s">
        <v>37</v>
      </c>
      <c r="O2704" s="2" t="s">
        <v>538</v>
      </c>
      <c r="P2704" s="2">
        <v>14</v>
      </c>
      <c r="Q2704" s="2" t="s">
        <v>103</v>
      </c>
      <c r="R2704" s="2" t="s">
        <v>90</v>
      </c>
      <c r="S2704" s="2">
        <v>103997</v>
      </c>
      <c r="T2704" s="2">
        <v>82363</v>
      </c>
      <c r="U2704" s="2">
        <v>21634</v>
      </c>
      <c r="V2704" s="2">
        <v>97063</v>
      </c>
      <c r="W2704" s="2">
        <v>2381</v>
      </c>
      <c r="X2704" s="2">
        <v>518</v>
      </c>
      <c r="Y2704" s="2" t="s">
        <v>41</v>
      </c>
      <c r="Z2704" s="2">
        <v>62</v>
      </c>
      <c r="AA2704" s="2">
        <v>4.7</v>
      </c>
      <c r="AB2704" s="2" t="s">
        <v>42</v>
      </c>
    </row>
    <row r="2705" spans="1:28" x14ac:dyDescent="0.25">
      <c r="A2705" s="4" t="s">
        <v>3515</v>
      </c>
      <c r="B2705" s="4" t="s">
        <v>1818</v>
      </c>
      <c r="C2705" s="4">
        <v>11</v>
      </c>
      <c r="D2705" s="4" t="s">
        <v>55</v>
      </c>
      <c r="E2705" s="4" t="s">
        <v>79</v>
      </c>
      <c r="F2705" s="4" t="s">
        <v>80</v>
      </c>
      <c r="G2705" s="5">
        <v>45328</v>
      </c>
      <c r="H2705" s="5">
        <v>45344</v>
      </c>
      <c r="I2705" s="4">
        <v>16</v>
      </c>
      <c r="J2705" s="4" t="s">
        <v>202</v>
      </c>
      <c r="K2705" s="4" t="s">
        <v>225</v>
      </c>
      <c r="L2705" s="4" t="s">
        <v>226</v>
      </c>
      <c r="M2705" s="4" t="s">
        <v>75</v>
      </c>
      <c r="N2705" s="4" t="s">
        <v>118</v>
      </c>
      <c r="O2705" s="4" t="s">
        <v>147</v>
      </c>
      <c r="P2705" s="4">
        <v>77</v>
      </c>
      <c r="Q2705" s="4" t="s">
        <v>39</v>
      </c>
      <c r="R2705" s="4" t="s">
        <v>40</v>
      </c>
      <c r="S2705" s="4">
        <v>37056</v>
      </c>
      <c r="T2705" s="4">
        <v>25126</v>
      </c>
      <c r="U2705" s="4">
        <v>11930</v>
      </c>
      <c r="V2705" s="4">
        <v>18697</v>
      </c>
      <c r="W2705" s="4">
        <v>1604</v>
      </c>
      <c r="X2705" s="4">
        <v>13103</v>
      </c>
      <c r="Y2705" s="4" t="s">
        <v>41</v>
      </c>
      <c r="Z2705" s="4">
        <v>83</v>
      </c>
      <c r="AA2705" s="4">
        <v>3.9</v>
      </c>
      <c r="AB2705" s="4" t="s">
        <v>137</v>
      </c>
    </row>
    <row r="2706" spans="1:28" x14ac:dyDescent="0.25">
      <c r="A2706" s="2" t="s">
        <v>3516</v>
      </c>
      <c r="B2706" s="2" t="s">
        <v>1002</v>
      </c>
      <c r="C2706" s="2">
        <v>44</v>
      </c>
      <c r="D2706" s="2" t="s">
        <v>55</v>
      </c>
      <c r="E2706" s="2" t="s">
        <v>79</v>
      </c>
      <c r="F2706" s="2" t="s">
        <v>46</v>
      </c>
      <c r="G2706" s="3">
        <v>44839</v>
      </c>
      <c r="H2706" s="3">
        <v>44860</v>
      </c>
      <c r="I2706" s="2">
        <v>21</v>
      </c>
      <c r="J2706" s="2" t="s">
        <v>33</v>
      </c>
      <c r="K2706" s="2" t="s">
        <v>197</v>
      </c>
      <c r="L2706" s="2" t="s">
        <v>198</v>
      </c>
      <c r="M2706" s="2" t="s">
        <v>75</v>
      </c>
      <c r="N2706" s="2" t="s">
        <v>62</v>
      </c>
      <c r="O2706" s="2" t="s">
        <v>168</v>
      </c>
      <c r="P2706" s="2">
        <v>485</v>
      </c>
      <c r="Q2706" s="2" t="s">
        <v>39</v>
      </c>
      <c r="R2706" s="2" t="s">
        <v>90</v>
      </c>
      <c r="S2706" s="2">
        <v>143102</v>
      </c>
      <c r="T2706" s="2">
        <v>122265</v>
      </c>
      <c r="U2706" s="2">
        <v>20837</v>
      </c>
      <c r="V2706" s="2">
        <v>104238</v>
      </c>
      <c r="W2706" s="2">
        <v>25035</v>
      </c>
      <c r="X2706" s="2">
        <v>9502</v>
      </c>
      <c r="Y2706" s="2" t="s">
        <v>41</v>
      </c>
      <c r="Z2706" s="2">
        <v>99</v>
      </c>
      <c r="AA2706" s="2">
        <v>3.5</v>
      </c>
      <c r="AB2706" s="2" t="s">
        <v>52</v>
      </c>
    </row>
    <row r="2707" spans="1:28" x14ac:dyDescent="0.25">
      <c r="A2707" s="4" t="s">
        <v>3517</v>
      </c>
      <c r="B2707" s="4" t="s">
        <v>1348</v>
      </c>
      <c r="C2707" s="4">
        <v>58</v>
      </c>
      <c r="D2707" s="4" t="s">
        <v>30</v>
      </c>
      <c r="E2707" s="4" t="s">
        <v>122</v>
      </c>
      <c r="F2707" s="4" t="s">
        <v>94</v>
      </c>
      <c r="G2707" s="5">
        <v>44809</v>
      </c>
      <c r="H2707" s="5">
        <v>44835</v>
      </c>
      <c r="I2707" s="4">
        <v>26</v>
      </c>
      <c r="J2707" s="4" t="s">
        <v>33</v>
      </c>
      <c r="K2707" s="4" t="s">
        <v>174</v>
      </c>
      <c r="L2707" s="4" t="s">
        <v>48</v>
      </c>
      <c r="M2707" s="4" t="s">
        <v>108</v>
      </c>
      <c r="N2707" s="4" t="s">
        <v>109</v>
      </c>
      <c r="O2707" s="4" t="s">
        <v>580</v>
      </c>
      <c r="P2707" s="4">
        <v>490</v>
      </c>
      <c r="Q2707" s="4" t="s">
        <v>103</v>
      </c>
      <c r="R2707" s="4" t="s">
        <v>111</v>
      </c>
      <c r="S2707" s="4">
        <v>44489</v>
      </c>
      <c r="T2707" s="4">
        <v>30233</v>
      </c>
      <c r="U2707" s="4">
        <v>14256</v>
      </c>
      <c r="V2707" s="4">
        <v>33492</v>
      </c>
      <c r="W2707" s="4">
        <v>5811</v>
      </c>
      <c r="X2707" s="4">
        <v>4353</v>
      </c>
      <c r="Y2707" s="4" t="s">
        <v>41</v>
      </c>
      <c r="Z2707" s="4">
        <v>72</v>
      </c>
      <c r="AA2707" s="4">
        <v>2.7</v>
      </c>
      <c r="AB2707" s="4" t="s">
        <v>137</v>
      </c>
    </row>
    <row r="2708" spans="1:28" x14ac:dyDescent="0.25">
      <c r="A2708" s="2" t="s">
        <v>3518</v>
      </c>
      <c r="B2708" s="2" t="s">
        <v>463</v>
      </c>
      <c r="C2708" s="2">
        <v>82</v>
      </c>
      <c r="D2708" s="2" t="s">
        <v>55</v>
      </c>
      <c r="E2708" s="2" t="s">
        <v>56</v>
      </c>
      <c r="F2708" s="2" t="s">
        <v>114</v>
      </c>
      <c r="G2708" s="3">
        <v>45412</v>
      </c>
      <c r="H2708" s="3">
        <v>45424</v>
      </c>
      <c r="I2708" s="2">
        <v>12</v>
      </c>
      <c r="J2708" s="2" t="s">
        <v>33</v>
      </c>
      <c r="K2708" s="2" t="s">
        <v>99</v>
      </c>
      <c r="L2708" s="2" t="s">
        <v>100</v>
      </c>
      <c r="M2708" s="2" t="s">
        <v>61</v>
      </c>
      <c r="N2708" s="2" t="s">
        <v>37</v>
      </c>
      <c r="O2708" s="2" t="s">
        <v>175</v>
      </c>
      <c r="P2708" s="2">
        <v>86</v>
      </c>
      <c r="Q2708" s="2" t="s">
        <v>39</v>
      </c>
      <c r="R2708" s="2" t="s">
        <v>90</v>
      </c>
      <c r="S2708" s="2">
        <v>176378</v>
      </c>
      <c r="T2708" s="2">
        <v>142065</v>
      </c>
      <c r="U2708" s="2">
        <v>34313</v>
      </c>
      <c r="V2708" s="2">
        <v>147389</v>
      </c>
      <c r="W2708" s="2">
        <v>13325</v>
      </c>
      <c r="X2708" s="2">
        <v>14649</v>
      </c>
      <c r="Y2708" s="2" t="s">
        <v>91</v>
      </c>
      <c r="Z2708" s="2">
        <v>55</v>
      </c>
      <c r="AA2708" s="2">
        <v>4.5999999999999996</v>
      </c>
      <c r="AB2708" s="2" t="s">
        <v>52</v>
      </c>
    </row>
    <row r="2709" spans="1:28" x14ac:dyDescent="0.25">
      <c r="A2709" s="4" t="s">
        <v>3519</v>
      </c>
      <c r="B2709" s="4" t="s">
        <v>2211</v>
      </c>
      <c r="C2709" s="4">
        <v>53</v>
      </c>
      <c r="D2709" s="4" t="s">
        <v>55</v>
      </c>
      <c r="E2709" s="4" t="s">
        <v>79</v>
      </c>
      <c r="F2709" s="4" t="s">
        <v>150</v>
      </c>
      <c r="G2709" s="5">
        <v>44959</v>
      </c>
      <c r="H2709" s="5">
        <v>44988</v>
      </c>
      <c r="I2709" s="4">
        <v>29</v>
      </c>
      <c r="J2709" s="4" t="s">
        <v>58</v>
      </c>
      <c r="K2709" s="4" t="s">
        <v>59</v>
      </c>
      <c r="L2709" s="4" t="s">
        <v>60</v>
      </c>
      <c r="M2709" s="4" t="s">
        <v>75</v>
      </c>
      <c r="N2709" s="4" t="s">
        <v>62</v>
      </c>
      <c r="O2709" s="4" t="s">
        <v>538</v>
      </c>
      <c r="P2709" s="4">
        <v>4</v>
      </c>
      <c r="Q2709" s="4" t="s">
        <v>39</v>
      </c>
      <c r="R2709" s="4" t="s">
        <v>136</v>
      </c>
      <c r="S2709" s="4">
        <v>137356</v>
      </c>
      <c r="T2709" s="4">
        <v>0</v>
      </c>
      <c r="U2709" s="4">
        <v>137356</v>
      </c>
      <c r="V2709" s="4">
        <v>121371</v>
      </c>
      <c r="W2709" s="4">
        <v>10895</v>
      </c>
      <c r="X2709" s="4">
        <v>753</v>
      </c>
      <c r="Y2709" s="4" t="s">
        <v>41</v>
      </c>
      <c r="Z2709" s="4">
        <v>94</v>
      </c>
      <c r="AA2709" s="4">
        <v>2.9</v>
      </c>
      <c r="AB2709" s="4" t="s">
        <v>64</v>
      </c>
    </row>
    <row r="2710" spans="1:28" x14ac:dyDescent="0.25">
      <c r="A2710" s="2" t="s">
        <v>3520</v>
      </c>
      <c r="B2710" s="2" t="s">
        <v>2222</v>
      </c>
      <c r="C2710" s="2">
        <v>41</v>
      </c>
      <c r="D2710" s="2" t="s">
        <v>55</v>
      </c>
      <c r="E2710" s="2" t="s">
        <v>87</v>
      </c>
      <c r="F2710" s="2" t="s">
        <v>80</v>
      </c>
      <c r="G2710" s="3">
        <v>45333</v>
      </c>
      <c r="H2710" s="3">
        <v>45347</v>
      </c>
      <c r="I2710" s="2">
        <v>14</v>
      </c>
      <c r="J2710" s="2" t="s">
        <v>115</v>
      </c>
      <c r="K2710" s="2" t="s">
        <v>116</v>
      </c>
      <c r="L2710" s="2" t="s">
        <v>117</v>
      </c>
      <c r="M2710" s="2" t="s">
        <v>101</v>
      </c>
      <c r="N2710" s="2" t="s">
        <v>37</v>
      </c>
      <c r="O2710" s="2" t="s">
        <v>509</v>
      </c>
      <c r="P2710" s="2">
        <v>114</v>
      </c>
      <c r="Q2710" s="2" t="s">
        <v>39</v>
      </c>
      <c r="R2710" s="2" t="s">
        <v>40</v>
      </c>
      <c r="S2710" s="2">
        <v>80870</v>
      </c>
      <c r="T2710" s="2">
        <v>35127</v>
      </c>
      <c r="U2710" s="2">
        <v>45743</v>
      </c>
      <c r="V2710" s="2">
        <v>52336</v>
      </c>
      <c r="W2710" s="2">
        <v>21334</v>
      </c>
      <c r="X2710" s="2">
        <v>6619</v>
      </c>
      <c r="Y2710" s="2" t="s">
        <v>41</v>
      </c>
      <c r="Z2710" s="2">
        <v>94</v>
      </c>
      <c r="AA2710" s="2">
        <v>3.8</v>
      </c>
      <c r="AB2710" s="2" t="s">
        <v>137</v>
      </c>
    </row>
    <row r="2711" spans="1:28" x14ac:dyDescent="0.25">
      <c r="A2711" s="4" t="s">
        <v>3521</v>
      </c>
      <c r="B2711" s="4" t="s">
        <v>98</v>
      </c>
      <c r="C2711" s="4">
        <v>29</v>
      </c>
      <c r="D2711" s="4" t="s">
        <v>55</v>
      </c>
      <c r="E2711" s="4" t="s">
        <v>56</v>
      </c>
      <c r="F2711" s="4" t="s">
        <v>114</v>
      </c>
      <c r="G2711" s="5">
        <v>45257</v>
      </c>
      <c r="H2711" s="5">
        <v>45285</v>
      </c>
      <c r="I2711" s="4">
        <v>28</v>
      </c>
      <c r="J2711" s="4" t="s">
        <v>202</v>
      </c>
      <c r="K2711" s="4" t="s">
        <v>225</v>
      </c>
      <c r="L2711" s="4" t="s">
        <v>226</v>
      </c>
      <c r="M2711" s="4" t="s">
        <v>75</v>
      </c>
      <c r="N2711" s="4" t="s">
        <v>37</v>
      </c>
      <c r="O2711" s="4" t="s">
        <v>571</v>
      </c>
      <c r="P2711" s="4">
        <v>343</v>
      </c>
      <c r="Q2711" s="4" t="s">
        <v>103</v>
      </c>
      <c r="R2711" s="4" t="s">
        <v>90</v>
      </c>
      <c r="S2711" s="4">
        <v>117792</v>
      </c>
      <c r="T2711" s="4">
        <v>92584</v>
      </c>
      <c r="U2711" s="4">
        <v>25208</v>
      </c>
      <c r="V2711" s="4">
        <v>92028</v>
      </c>
      <c r="W2711" s="4">
        <v>22587</v>
      </c>
      <c r="X2711" s="4">
        <v>1740</v>
      </c>
      <c r="Y2711" s="4" t="s">
        <v>41</v>
      </c>
      <c r="Z2711" s="4">
        <v>74</v>
      </c>
      <c r="AA2711" s="4">
        <v>2.6</v>
      </c>
      <c r="AB2711" s="4" t="s">
        <v>104</v>
      </c>
    </row>
    <row r="2712" spans="1:28" x14ac:dyDescent="0.25">
      <c r="A2712" s="2" t="s">
        <v>3522</v>
      </c>
      <c r="B2712" s="2" t="s">
        <v>783</v>
      </c>
      <c r="C2712" s="2">
        <v>39</v>
      </c>
      <c r="D2712" s="2" t="s">
        <v>30</v>
      </c>
      <c r="E2712" s="2" t="s">
        <v>56</v>
      </c>
      <c r="F2712" s="2" t="s">
        <v>114</v>
      </c>
      <c r="G2712" s="3">
        <v>45524</v>
      </c>
      <c r="H2712" s="3">
        <v>45551</v>
      </c>
      <c r="I2712" s="2">
        <v>27</v>
      </c>
      <c r="J2712" s="2" t="s">
        <v>123</v>
      </c>
      <c r="K2712" s="2" t="s">
        <v>124</v>
      </c>
      <c r="L2712" s="2" t="s">
        <v>125</v>
      </c>
      <c r="M2712" s="2" t="s">
        <v>36</v>
      </c>
      <c r="N2712" s="2" t="s">
        <v>109</v>
      </c>
      <c r="O2712" s="2" t="s">
        <v>428</v>
      </c>
      <c r="P2712" s="2">
        <v>67</v>
      </c>
      <c r="Q2712" s="2" t="s">
        <v>69</v>
      </c>
      <c r="R2712" s="2" t="s">
        <v>90</v>
      </c>
      <c r="S2712" s="2">
        <v>125914</v>
      </c>
      <c r="T2712" s="2">
        <v>81595</v>
      </c>
      <c r="U2712" s="2">
        <v>44319</v>
      </c>
      <c r="V2712" s="2">
        <v>100851</v>
      </c>
      <c r="W2712" s="2">
        <v>20192</v>
      </c>
      <c r="X2712" s="2">
        <v>1506</v>
      </c>
      <c r="Y2712" s="2" t="s">
        <v>41</v>
      </c>
      <c r="Z2712" s="2">
        <v>45</v>
      </c>
      <c r="AA2712" s="2">
        <v>4.3</v>
      </c>
      <c r="AB2712" s="2" t="s">
        <v>137</v>
      </c>
    </row>
    <row r="2713" spans="1:28" x14ac:dyDescent="0.25">
      <c r="A2713" s="4" t="s">
        <v>3523</v>
      </c>
      <c r="B2713" s="4" t="s">
        <v>2902</v>
      </c>
      <c r="C2713" s="4">
        <v>49</v>
      </c>
      <c r="D2713" s="4" t="s">
        <v>30</v>
      </c>
      <c r="E2713" s="4" t="s">
        <v>87</v>
      </c>
      <c r="F2713" s="4" t="s">
        <v>129</v>
      </c>
      <c r="G2713" s="5">
        <v>44942</v>
      </c>
      <c r="H2713" s="5">
        <v>44951</v>
      </c>
      <c r="I2713" s="4">
        <v>9</v>
      </c>
      <c r="J2713" s="4" t="s">
        <v>33</v>
      </c>
      <c r="K2713" s="4" t="s">
        <v>34</v>
      </c>
      <c r="L2713" s="4" t="s">
        <v>35</v>
      </c>
      <c r="M2713" s="4" t="s">
        <v>75</v>
      </c>
      <c r="N2713" s="4" t="s">
        <v>37</v>
      </c>
      <c r="O2713" s="4" t="s">
        <v>497</v>
      </c>
      <c r="P2713" s="4">
        <v>359</v>
      </c>
      <c r="Q2713" s="4" t="s">
        <v>39</v>
      </c>
      <c r="R2713" s="4" t="s">
        <v>51</v>
      </c>
      <c r="S2713" s="4">
        <v>94623</v>
      </c>
      <c r="T2713" s="4">
        <v>64512</v>
      </c>
      <c r="U2713" s="4">
        <v>30111</v>
      </c>
      <c r="V2713" s="4">
        <v>86853</v>
      </c>
      <c r="W2713" s="4">
        <v>5091</v>
      </c>
      <c r="X2713" s="4">
        <v>1394</v>
      </c>
      <c r="Y2713" s="4" t="s">
        <v>41</v>
      </c>
      <c r="Z2713" s="4">
        <v>91</v>
      </c>
      <c r="AA2713" s="4">
        <v>4.5999999999999996</v>
      </c>
      <c r="AB2713" s="4" t="s">
        <v>42</v>
      </c>
    </row>
    <row r="2714" spans="1:28" x14ac:dyDescent="0.25">
      <c r="A2714" s="2" t="s">
        <v>3524</v>
      </c>
      <c r="B2714" s="2" t="s">
        <v>470</v>
      </c>
      <c r="C2714" s="2">
        <v>25</v>
      </c>
      <c r="D2714" s="2" t="s">
        <v>55</v>
      </c>
      <c r="E2714" s="2" t="s">
        <v>79</v>
      </c>
      <c r="F2714" s="2" t="s">
        <v>72</v>
      </c>
      <c r="G2714" s="3">
        <v>44926</v>
      </c>
      <c r="H2714" s="3">
        <v>44949</v>
      </c>
      <c r="I2714" s="2">
        <v>23</v>
      </c>
      <c r="J2714" s="2" t="s">
        <v>140</v>
      </c>
      <c r="K2714" s="2" t="s">
        <v>167</v>
      </c>
      <c r="L2714" s="2" t="s">
        <v>142</v>
      </c>
      <c r="M2714" s="2" t="s">
        <v>134</v>
      </c>
      <c r="N2714" s="2" t="s">
        <v>62</v>
      </c>
      <c r="O2714" s="2" t="s">
        <v>171</v>
      </c>
      <c r="P2714" s="2">
        <v>475</v>
      </c>
      <c r="Q2714" s="2" t="s">
        <v>69</v>
      </c>
      <c r="R2714" s="2" t="s">
        <v>136</v>
      </c>
      <c r="S2714" s="2">
        <v>79257</v>
      </c>
      <c r="T2714" s="2">
        <v>0</v>
      </c>
      <c r="U2714" s="2">
        <v>79257</v>
      </c>
      <c r="V2714" s="2">
        <v>51340</v>
      </c>
      <c r="W2714" s="2">
        <v>23722</v>
      </c>
      <c r="X2714" s="2">
        <v>2596</v>
      </c>
      <c r="Y2714" s="2" t="s">
        <v>91</v>
      </c>
      <c r="Z2714" s="2">
        <v>77</v>
      </c>
      <c r="AA2714" s="2">
        <v>3.5</v>
      </c>
      <c r="AB2714" s="2" t="s">
        <v>137</v>
      </c>
    </row>
    <row r="2715" spans="1:28" x14ac:dyDescent="0.25">
      <c r="A2715" s="4" t="s">
        <v>3525</v>
      </c>
      <c r="B2715" s="4" t="s">
        <v>769</v>
      </c>
      <c r="C2715" s="4">
        <v>74</v>
      </c>
      <c r="D2715" s="4" t="s">
        <v>30</v>
      </c>
      <c r="E2715" s="4" t="s">
        <v>56</v>
      </c>
      <c r="F2715" s="4" t="s">
        <v>94</v>
      </c>
      <c r="G2715" s="5">
        <v>44947</v>
      </c>
      <c r="H2715" s="5">
        <v>44971</v>
      </c>
      <c r="I2715" s="4">
        <v>24</v>
      </c>
      <c r="J2715" s="4" t="s">
        <v>33</v>
      </c>
      <c r="K2715" s="4" t="s">
        <v>99</v>
      </c>
      <c r="L2715" s="4" t="s">
        <v>100</v>
      </c>
      <c r="M2715" s="4" t="s">
        <v>95</v>
      </c>
      <c r="N2715" s="4" t="s">
        <v>118</v>
      </c>
      <c r="O2715" s="4" t="s">
        <v>520</v>
      </c>
      <c r="P2715" s="4">
        <v>151</v>
      </c>
      <c r="Q2715" s="4" t="s">
        <v>39</v>
      </c>
      <c r="R2715" s="4" t="s">
        <v>40</v>
      </c>
      <c r="S2715" s="4">
        <v>58382</v>
      </c>
      <c r="T2715" s="4">
        <v>26338</v>
      </c>
      <c r="U2715" s="4">
        <v>32044</v>
      </c>
      <c r="V2715" s="4">
        <v>24495</v>
      </c>
      <c r="W2715" s="4">
        <v>27061</v>
      </c>
      <c r="X2715" s="4">
        <v>2373</v>
      </c>
      <c r="Y2715" s="4" t="s">
        <v>41</v>
      </c>
      <c r="Z2715" s="4">
        <v>87</v>
      </c>
      <c r="AA2715" s="4">
        <v>2.2000000000000002</v>
      </c>
      <c r="AB2715" s="4" t="s">
        <v>52</v>
      </c>
    </row>
    <row r="2716" spans="1:28" x14ac:dyDescent="0.25">
      <c r="A2716" s="2" t="s">
        <v>3526</v>
      </c>
      <c r="B2716" s="2" t="s">
        <v>612</v>
      </c>
      <c r="C2716" s="2">
        <v>27</v>
      </c>
      <c r="D2716" s="2" t="s">
        <v>55</v>
      </c>
      <c r="E2716" s="2" t="s">
        <v>122</v>
      </c>
      <c r="F2716" s="2" t="s">
        <v>94</v>
      </c>
      <c r="G2716" s="3">
        <v>45409</v>
      </c>
      <c r="H2716" s="3">
        <v>45413</v>
      </c>
      <c r="I2716" s="2">
        <v>4</v>
      </c>
      <c r="J2716" s="2" t="s">
        <v>33</v>
      </c>
      <c r="K2716" s="2" t="s">
        <v>107</v>
      </c>
      <c r="L2716" s="2" t="s">
        <v>48</v>
      </c>
      <c r="M2716" s="2" t="s">
        <v>130</v>
      </c>
      <c r="N2716" s="2" t="s">
        <v>37</v>
      </c>
      <c r="O2716" s="2" t="s">
        <v>199</v>
      </c>
      <c r="P2716" s="2">
        <v>175</v>
      </c>
      <c r="Q2716" s="2" t="s">
        <v>39</v>
      </c>
      <c r="R2716" s="2" t="s">
        <v>51</v>
      </c>
      <c r="S2716" s="2">
        <v>117683</v>
      </c>
      <c r="T2716" s="2">
        <v>52353</v>
      </c>
      <c r="U2716" s="2">
        <v>65330</v>
      </c>
      <c r="V2716" s="2">
        <v>85458</v>
      </c>
      <c r="W2716" s="2">
        <v>15494</v>
      </c>
      <c r="X2716" s="2">
        <v>14624</v>
      </c>
      <c r="Y2716" s="2" t="s">
        <v>41</v>
      </c>
      <c r="Z2716" s="2">
        <v>97</v>
      </c>
      <c r="AA2716" s="2">
        <v>2.2000000000000002</v>
      </c>
      <c r="AB2716" s="2" t="s">
        <v>52</v>
      </c>
    </row>
    <row r="2717" spans="1:28" x14ac:dyDescent="0.25">
      <c r="A2717" s="4" t="s">
        <v>3527</v>
      </c>
      <c r="B2717" s="4" t="s">
        <v>1485</v>
      </c>
      <c r="C2717" s="4">
        <v>33</v>
      </c>
      <c r="D2717" s="4" t="s">
        <v>30</v>
      </c>
      <c r="E2717" s="4" t="s">
        <v>45</v>
      </c>
      <c r="F2717" s="4" t="s">
        <v>72</v>
      </c>
      <c r="G2717" s="5">
        <v>45328</v>
      </c>
      <c r="H2717" s="5">
        <v>45347</v>
      </c>
      <c r="I2717" s="4">
        <v>19</v>
      </c>
      <c r="J2717" s="4" t="s">
        <v>123</v>
      </c>
      <c r="K2717" s="4" t="s">
        <v>124</v>
      </c>
      <c r="L2717" s="4" t="s">
        <v>125</v>
      </c>
      <c r="M2717" s="4" t="s">
        <v>83</v>
      </c>
      <c r="N2717" s="4" t="s">
        <v>62</v>
      </c>
      <c r="O2717" s="4" t="s">
        <v>591</v>
      </c>
      <c r="P2717" s="4">
        <v>405</v>
      </c>
      <c r="Q2717" s="4" t="s">
        <v>103</v>
      </c>
      <c r="R2717" s="4" t="s">
        <v>51</v>
      </c>
      <c r="S2717" s="4">
        <v>70070</v>
      </c>
      <c r="T2717" s="4">
        <v>42919</v>
      </c>
      <c r="U2717" s="4">
        <v>27151</v>
      </c>
      <c r="V2717" s="4">
        <v>46191</v>
      </c>
      <c r="W2717" s="4">
        <v>20705</v>
      </c>
      <c r="X2717" s="4">
        <v>530</v>
      </c>
      <c r="Y2717" s="4" t="s">
        <v>41</v>
      </c>
      <c r="Z2717" s="4">
        <v>100</v>
      </c>
      <c r="AA2717" s="4">
        <v>4.2</v>
      </c>
      <c r="AB2717" s="4" t="s">
        <v>42</v>
      </c>
    </row>
    <row r="2718" spans="1:28" x14ac:dyDescent="0.25">
      <c r="A2718" s="2" t="s">
        <v>3528</v>
      </c>
      <c r="B2718" s="2" t="s">
        <v>1845</v>
      </c>
      <c r="C2718" s="2">
        <v>13</v>
      </c>
      <c r="D2718" s="2" t="s">
        <v>30</v>
      </c>
      <c r="E2718" s="2" t="s">
        <v>154</v>
      </c>
      <c r="F2718" s="2" t="s">
        <v>157</v>
      </c>
      <c r="G2718" s="3">
        <v>45028</v>
      </c>
      <c r="H2718" s="3">
        <v>45044</v>
      </c>
      <c r="I2718" s="2">
        <v>16</v>
      </c>
      <c r="J2718" s="2" t="s">
        <v>33</v>
      </c>
      <c r="K2718" s="2" t="s">
        <v>197</v>
      </c>
      <c r="L2718" s="2" t="s">
        <v>198</v>
      </c>
      <c r="M2718" s="2" t="s">
        <v>108</v>
      </c>
      <c r="N2718" s="2" t="s">
        <v>62</v>
      </c>
      <c r="O2718" s="2" t="s">
        <v>448</v>
      </c>
      <c r="P2718" s="2">
        <v>48</v>
      </c>
      <c r="Q2718" s="2" t="s">
        <v>103</v>
      </c>
      <c r="R2718" s="2" t="s">
        <v>111</v>
      </c>
      <c r="S2718" s="2">
        <v>89789</v>
      </c>
      <c r="T2718" s="2">
        <v>57943</v>
      </c>
      <c r="U2718" s="2">
        <v>31846</v>
      </c>
      <c r="V2718" s="2">
        <v>52419</v>
      </c>
      <c r="W2718" s="2">
        <v>27781</v>
      </c>
      <c r="X2718" s="2">
        <v>8651</v>
      </c>
      <c r="Y2718" s="2" t="s">
        <v>41</v>
      </c>
      <c r="Z2718" s="2">
        <v>45</v>
      </c>
      <c r="AA2718" s="2">
        <v>2.1</v>
      </c>
      <c r="AB2718" s="2" t="s">
        <v>64</v>
      </c>
    </row>
    <row r="2719" spans="1:28" x14ac:dyDescent="0.25">
      <c r="A2719" s="4" t="s">
        <v>3529</v>
      </c>
      <c r="B2719" s="4" t="s">
        <v>1228</v>
      </c>
      <c r="C2719" s="4">
        <v>17</v>
      </c>
      <c r="D2719" s="4" t="s">
        <v>55</v>
      </c>
      <c r="E2719" s="4" t="s">
        <v>31</v>
      </c>
      <c r="F2719" s="4" t="s">
        <v>57</v>
      </c>
      <c r="G2719" s="5">
        <v>44984</v>
      </c>
      <c r="H2719" s="5">
        <v>45011</v>
      </c>
      <c r="I2719" s="4">
        <v>27</v>
      </c>
      <c r="J2719" s="4" t="s">
        <v>123</v>
      </c>
      <c r="K2719" s="4" t="s">
        <v>124</v>
      </c>
      <c r="L2719" s="4" t="s">
        <v>125</v>
      </c>
      <c r="M2719" s="4" t="s">
        <v>101</v>
      </c>
      <c r="N2719" s="4" t="s">
        <v>62</v>
      </c>
      <c r="O2719" s="4" t="s">
        <v>543</v>
      </c>
      <c r="P2719" s="4">
        <v>327</v>
      </c>
      <c r="Q2719" s="4" t="s">
        <v>69</v>
      </c>
      <c r="R2719" s="4" t="s">
        <v>51</v>
      </c>
      <c r="S2719" s="4">
        <v>102213</v>
      </c>
      <c r="T2719" s="4">
        <v>66743</v>
      </c>
      <c r="U2719" s="4">
        <v>35470</v>
      </c>
      <c r="V2719" s="4">
        <v>67331</v>
      </c>
      <c r="W2719" s="4">
        <v>18560</v>
      </c>
      <c r="X2719" s="4">
        <v>13732</v>
      </c>
      <c r="Y2719" s="4" t="s">
        <v>41</v>
      </c>
      <c r="Z2719" s="4">
        <v>91</v>
      </c>
      <c r="AA2719" s="4">
        <v>4.5</v>
      </c>
      <c r="AB2719" s="4" t="s">
        <v>104</v>
      </c>
    </row>
    <row r="2720" spans="1:28" x14ac:dyDescent="0.25">
      <c r="A2720" s="2" t="s">
        <v>3530</v>
      </c>
      <c r="B2720" s="2" t="s">
        <v>529</v>
      </c>
      <c r="C2720" s="2">
        <v>71</v>
      </c>
      <c r="D2720" s="2" t="s">
        <v>55</v>
      </c>
      <c r="E2720" s="2" t="s">
        <v>31</v>
      </c>
      <c r="F2720" s="2" t="s">
        <v>57</v>
      </c>
      <c r="G2720" s="3">
        <v>45548</v>
      </c>
      <c r="H2720" s="3">
        <v>45575</v>
      </c>
      <c r="I2720" s="2">
        <v>27</v>
      </c>
      <c r="J2720" s="2" t="s">
        <v>73</v>
      </c>
      <c r="K2720" s="2" t="s">
        <v>74</v>
      </c>
      <c r="L2720" s="2" t="s">
        <v>73</v>
      </c>
      <c r="M2720" s="2" t="s">
        <v>61</v>
      </c>
      <c r="N2720" s="2" t="s">
        <v>37</v>
      </c>
      <c r="O2720" s="2" t="s">
        <v>530</v>
      </c>
      <c r="P2720" s="2">
        <v>277</v>
      </c>
      <c r="Q2720" s="2" t="s">
        <v>103</v>
      </c>
      <c r="R2720" s="2" t="s">
        <v>40</v>
      </c>
      <c r="S2720" s="2">
        <v>168621</v>
      </c>
      <c r="T2720" s="2">
        <v>78091</v>
      </c>
      <c r="U2720" s="2">
        <v>90530</v>
      </c>
      <c r="V2720" s="2">
        <v>143708</v>
      </c>
      <c r="W2720" s="2">
        <v>15759</v>
      </c>
      <c r="X2720" s="2">
        <v>8058</v>
      </c>
      <c r="Y2720" s="2" t="s">
        <v>41</v>
      </c>
      <c r="Z2720" s="2">
        <v>87</v>
      </c>
      <c r="AA2720" s="2">
        <v>2.1</v>
      </c>
      <c r="AB2720" s="2" t="s">
        <v>64</v>
      </c>
    </row>
    <row r="2721" spans="1:28" x14ac:dyDescent="0.25">
      <c r="A2721" s="4" t="s">
        <v>3531</v>
      </c>
      <c r="B2721" s="4" t="s">
        <v>832</v>
      </c>
      <c r="C2721" s="4">
        <v>69</v>
      </c>
      <c r="D2721" s="4" t="s">
        <v>30</v>
      </c>
      <c r="E2721" s="4" t="s">
        <v>67</v>
      </c>
      <c r="F2721" s="4" t="s">
        <v>94</v>
      </c>
      <c r="G2721" s="5">
        <v>44608</v>
      </c>
      <c r="H2721" s="5">
        <v>44632</v>
      </c>
      <c r="I2721" s="4">
        <v>24</v>
      </c>
      <c r="J2721" s="4" t="s">
        <v>33</v>
      </c>
      <c r="K2721" s="4" t="s">
        <v>278</v>
      </c>
      <c r="L2721" s="4" t="s">
        <v>279</v>
      </c>
      <c r="M2721" s="4" t="s">
        <v>130</v>
      </c>
      <c r="N2721" s="4" t="s">
        <v>37</v>
      </c>
      <c r="O2721" s="4" t="s">
        <v>234</v>
      </c>
      <c r="P2721" s="4">
        <v>219</v>
      </c>
      <c r="Q2721" s="4" t="s">
        <v>50</v>
      </c>
      <c r="R2721" s="4" t="s">
        <v>40</v>
      </c>
      <c r="S2721" s="4">
        <v>164212</v>
      </c>
      <c r="T2721" s="4">
        <v>95554</v>
      </c>
      <c r="U2721" s="4">
        <v>68658</v>
      </c>
      <c r="V2721" s="4">
        <v>125736</v>
      </c>
      <c r="W2721" s="4">
        <v>29711</v>
      </c>
      <c r="X2721" s="4">
        <v>7983</v>
      </c>
      <c r="Y2721" s="4" t="s">
        <v>41</v>
      </c>
      <c r="Z2721" s="4">
        <v>90</v>
      </c>
      <c r="AA2721" s="4">
        <v>3.1</v>
      </c>
      <c r="AB2721" s="4" t="s">
        <v>52</v>
      </c>
    </row>
    <row r="2722" spans="1:28" x14ac:dyDescent="0.25">
      <c r="A2722" s="2" t="s">
        <v>3532</v>
      </c>
      <c r="B2722" s="2" t="s">
        <v>1179</v>
      </c>
      <c r="C2722" s="2">
        <v>84</v>
      </c>
      <c r="D2722" s="2" t="s">
        <v>55</v>
      </c>
      <c r="E2722" s="2" t="s">
        <v>31</v>
      </c>
      <c r="F2722" s="2" t="s">
        <v>94</v>
      </c>
      <c r="G2722" s="3">
        <v>45222</v>
      </c>
      <c r="H2722" s="3">
        <v>45250</v>
      </c>
      <c r="I2722" s="2">
        <v>28</v>
      </c>
      <c r="J2722" s="2" t="s">
        <v>58</v>
      </c>
      <c r="K2722" s="2" t="s">
        <v>59</v>
      </c>
      <c r="L2722" s="2" t="s">
        <v>60</v>
      </c>
      <c r="M2722" s="2" t="s">
        <v>61</v>
      </c>
      <c r="N2722" s="2" t="s">
        <v>62</v>
      </c>
      <c r="O2722" s="2" t="s">
        <v>119</v>
      </c>
      <c r="P2722" s="2">
        <v>129</v>
      </c>
      <c r="Q2722" s="2" t="s">
        <v>50</v>
      </c>
      <c r="R2722" s="2" t="s">
        <v>90</v>
      </c>
      <c r="S2722" s="2">
        <v>115300</v>
      </c>
      <c r="T2722" s="2">
        <v>92393</v>
      </c>
      <c r="U2722" s="2">
        <v>22907</v>
      </c>
      <c r="V2722" s="2">
        <v>99015</v>
      </c>
      <c r="W2722" s="2">
        <v>9282</v>
      </c>
      <c r="X2722" s="2">
        <v>5107</v>
      </c>
      <c r="Y2722" s="2" t="s">
        <v>41</v>
      </c>
      <c r="Z2722" s="2">
        <v>56</v>
      </c>
      <c r="AA2722" s="2">
        <v>2.1</v>
      </c>
      <c r="AB2722" s="2" t="s">
        <v>52</v>
      </c>
    </row>
    <row r="2723" spans="1:28" x14ac:dyDescent="0.25">
      <c r="A2723" s="4" t="s">
        <v>3533</v>
      </c>
      <c r="B2723" s="4" t="s">
        <v>1350</v>
      </c>
      <c r="C2723" s="4">
        <v>69</v>
      </c>
      <c r="D2723" s="4" t="s">
        <v>30</v>
      </c>
      <c r="E2723" s="4" t="s">
        <v>45</v>
      </c>
      <c r="F2723" s="4" t="s">
        <v>157</v>
      </c>
      <c r="G2723" s="5">
        <v>44581</v>
      </c>
      <c r="H2723" s="5">
        <v>44598</v>
      </c>
      <c r="I2723" s="4">
        <v>17</v>
      </c>
      <c r="J2723" s="4" t="s">
        <v>202</v>
      </c>
      <c r="K2723" s="4" t="s">
        <v>225</v>
      </c>
      <c r="L2723" s="4" t="s">
        <v>226</v>
      </c>
      <c r="M2723" s="4" t="s">
        <v>143</v>
      </c>
      <c r="N2723" s="4" t="s">
        <v>62</v>
      </c>
      <c r="O2723" s="4" t="s">
        <v>227</v>
      </c>
      <c r="P2723" s="4">
        <v>1</v>
      </c>
      <c r="Q2723" s="4" t="s">
        <v>103</v>
      </c>
      <c r="R2723" s="4" t="s">
        <v>136</v>
      </c>
      <c r="S2723" s="4">
        <v>162654</v>
      </c>
      <c r="T2723" s="4">
        <v>0</v>
      </c>
      <c r="U2723" s="4">
        <v>162654</v>
      </c>
      <c r="V2723" s="4">
        <v>145359</v>
      </c>
      <c r="W2723" s="4">
        <v>11652</v>
      </c>
      <c r="X2723" s="4">
        <v>4487</v>
      </c>
      <c r="Y2723" s="4" t="s">
        <v>41</v>
      </c>
      <c r="Z2723" s="4">
        <v>93</v>
      </c>
      <c r="AA2723" s="4">
        <v>3.9</v>
      </c>
      <c r="AB2723" s="4" t="s">
        <v>42</v>
      </c>
    </row>
    <row r="2724" spans="1:28" x14ac:dyDescent="0.25">
      <c r="A2724" s="2" t="s">
        <v>3534</v>
      </c>
      <c r="B2724" s="2" t="s">
        <v>625</v>
      </c>
      <c r="C2724" s="2">
        <v>55</v>
      </c>
      <c r="D2724" s="2" t="s">
        <v>55</v>
      </c>
      <c r="E2724" s="2" t="s">
        <v>87</v>
      </c>
      <c r="F2724" s="2" t="s">
        <v>129</v>
      </c>
      <c r="G2724" s="3">
        <v>45255</v>
      </c>
      <c r="H2724" s="3">
        <v>45264</v>
      </c>
      <c r="I2724" s="2">
        <v>9</v>
      </c>
      <c r="J2724" s="2" t="s">
        <v>33</v>
      </c>
      <c r="K2724" s="2" t="s">
        <v>174</v>
      </c>
      <c r="L2724" s="2" t="s">
        <v>48</v>
      </c>
      <c r="M2724" s="2" t="s">
        <v>83</v>
      </c>
      <c r="N2724" s="2" t="s">
        <v>118</v>
      </c>
      <c r="O2724" s="2" t="s">
        <v>266</v>
      </c>
      <c r="P2724" s="2">
        <v>389</v>
      </c>
      <c r="Q2724" s="2" t="s">
        <v>69</v>
      </c>
      <c r="R2724" s="2" t="s">
        <v>111</v>
      </c>
      <c r="S2724" s="2">
        <v>145292</v>
      </c>
      <c r="T2724" s="2">
        <v>95451</v>
      </c>
      <c r="U2724" s="2">
        <v>49841</v>
      </c>
      <c r="V2724" s="2">
        <v>118999</v>
      </c>
      <c r="W2724" s="2">
        <v>18593</v>
      </c>
      <c r="X2724" s="2">
        <v>4181</v>
      </c>
      <c r="Y2724" s="2" t="s">
        <v>41</v>
      </c>
      <c r="Z2724" s="2">
        <v>73</v>
      </c>
      <c r="AA2724" s="2">
        <v>2.2000000000000002</v>
      </c>
      <c r="AB2724" s="2" t="s">
        <v>104</v>
      </c>
    </row>
    <row r="2725" spans="1:28" x14ac:dyDescent="0.25">
      <c r="A2725" s="4" t="s">
        <v>3535</v>
      </c>
      <c r="B2725" s="4" t="s">
        <v>923</v>
      </c>
      <c r="C2725" s="4">
        <v>59</v>
      </c>
      <c r="D2725" s="4" t="s">
        <v>55</v>
      </c>
      <c r="E2725" s="4" t="s">
        <v>56</v>
      </c>
      <c r="F2725" s="4" t="s">
        <v>72</v>
      </c>
      <c r="G2725" s="5">
        <v>45627</v>
      </c>
      <c r="H2725" s="5">
        <v>45646</v>
      </c>
      <c r="I2725" s="4">
        <v>19</v>
      </c>
      <c r="J2725" s="4" t="s">
        <v>33</v>
      </c>
      <c r="K2725" s="4" t="s">
        <v>174</v>
      </c>
      <c r="L2725" s="4" t="s">
        <v>48</v>
      </c>
      <c r="M2725" s="4" t="s">
        <v>134</v>
      </c>
      <c r="N2725" s="4" t="s">
        <v>37</v>
      </c>
      <c r="O2725" s="4" t="s">
        <v>382</v>
      </c>
      <c r="P2725" s="4">
        <v>47</v>
      </c>
      <c r="Q2725" s="4" t="s">
        <v>103</v>
      </c>
      <c r="R2725" s="4" t="s">
        <v>51</v>
      </c>
      <c r="S2725" s="4">
        <v>73828</v>
      </c>
      <c r="T2725" s="4">
        <v>44545</v>
      </c>
      <c r="U2725" s="4">
        <v>29283</v>
      </c>
      <c r="V2725" s="4">
        <v>28294</v>
      </c>
      <c r="W2725" s="4">
        <v>27427</v>
      </c>
      <c r="X2725" s="4">
        <v>14782</v>
      </c>
      <c r="Y2725" s="4" t="s">
        <v>91</v>
      </c>
      <c r="Z2725" s="4">
        <v>58</v>
      </c>
      <c r="AA2725" s="4">
        <v>3.8</v>
      </c>
      <c r="AB2725" s="4" t="s">
        <v>42</v>
      </c>
    </row>
    <row r="2726" spans="1:28" x14ac:dyDescent="0.25">
      <c r="A2726" s="2" t="s">
        <v>3536</v>
      </c>
      <c r="B2726" s="2" t="s">
        <v>1198</v>
      </c>
      <c r="C2726" s="2">
        <v>11</v>
      </c>
      <c r="D2726" s="2" t="s">
        <v>30</v>
      </c>
      <c r="E2726" s="2" t="s">
        <v>79</v>
      </c>
      <c r="F2726" s="2" t="s">
        <v>80</v>
      </c>
      <c r="G2726" s="3">
        <v>44799</v>
      </c>
      <c r="H2726" s="3">
        <v>44819</v>
      </c>
      <c r="I2726" s="2">
        <v>20</v>
      </c>
      <c r="J2726" s="2" t="s">
        <v>115</v>
      </c>
      <c r="K2726" s="2" t="s">
        <v>116</v>
      </c>
      <c r="L2726" s="2" t="s">
        <v>117</v>
      </c>
      <c r="M2726" s="2" t="s">
        <v>101</v>
      </c>
      <c r="N2726" s="2" t="s">
        <v>109</v>
      </c>
      <c r="O2726" s="2" t="s">
        <v>151</v>
      </c>
      <c r="P2726" s="2">
        <v>195</v>
      </c>
      <c r="Q2726" s="2" t="s">
        <v>103</v>
      </c>
      <c r="R2726" s="2" t="s">
        <v>90</v>
      </c>
      <c r="S2726" s="2">
        <v>24408</v>
      </c>
      <c r="T2726" s="2">
        <v>20369</v>
      </c>
      <c r="U2726" s="2">
        <v>4039</v>
      </c>
      <c r="V2726" s="2">
        <v>8584</v>
      </c>
      <c r="W2726" s="2">
        <v>4755</v>
      </c>
      <c r="X2726" s="2">
        <v>8344</v>
      </c>
      <c r="Y2726" s="2" t="s">
        <v>41</v>
      </c>
      <c r="Z2726" s="2">
        <v>95</v>
      </c>
      <c r="AA2726" s="2">
        <v>5</v>
      </c>
      <c r="AB2726" s="2" t="s">
        <v>64</v>
      </c>
    </row>
    <row r="2727" spans="1:28" x14ac:dyDescent="0.25">
      <c r="A2727" s="4" t="s">
        <v>3537</v>
      </c>
      <c r="B2727" s="4" t="s">
        <v>466</v>
      </c>
      <c r="C2727" s="4">
        <v>39</v>
      </c>
      <c r="D2727" s="4" t="s">
        <v>30</v>
      </c>
      <c r="E2727" s="4" t="s">
        <v>87</v>
      </c>
      <c r="F2727" s="4" t="s">
        <v>157</v>
      </c>
      <c r="G2727" s="5">
        <v>45008</v>
      </c>
      <c r="H2727" s="5">
        <v>45010</v>
      </c>
      <c r="I2727" s="4">
        <v>2</v>
      </c>
      <c r="J2727" s="4" t="s">
        <v>115</v>
      </c>
      <c r="K2727" s="4" t="s">
        <v>116</v>
      </c>
      <c r="L2727" s="4" t="s">
        <v>117</v>
      </c>
      <c r="M2727" s="4" t="s">
        <v>83</v>
      </c>
      <c r="N2727" s="4" t="s">
        <v>109</v>
      </c>
      <c r="O2727" s="4" t="s">
        <v>464</v>
      </c>
      <c r="P2727" s="4">
        <v>395</v>
      </c>
      <c r="Q2727" s="4" t="s">
        <v>103</v>
      </c>
      <c r="R2727" s="4" t="s">
        <v>136</v>
      </c>
      <c r="S2727" s="4">
        <v>79051</v>
      </c>
      <c r="T2727" s="4">
        <v>0</v>
      </c>
      <c r="U2727" s="4">
        <v>79051</v>
      </c>
      <c r="V2727" s="4">
        <v>55495</v>
      </c>
      <c r="W2727" s="4">
        <v>12147</v>
      </c>
      <c r="X2727" s="4">
        <v>9240</v>
      </c>
      <c r="Y2727" s="4" t="s">
        <v>41</v>
      </c>
      <c r="Z2727" s="4">
        <v>57</v>
      </c>
      <c r="AA2727" s="4">
        <v>4.9000000000000004</v>
      </c>
      <c r="AB2727" s="4" t="s">
        <v>52</v>
      </c>
    </row>
    <row r="2728" spans="1:28" x14ac:dyDescent="0.25">
      <c r="A2728" s="2" t="s">
        <v>3538</v>
      </c>
      <c r="B2728" s="2" t="s">
        <v>323</v>
      </c>
      <c r="C2728" s="2">
        <v>51</v>
      </c>
      <c r="D2728" s="2" t="s">
        <v>55</v>
      </c>
      <c r="E2728" s="2" t="s">
        <v>31</v>
      </c>
      <c r="F2728" s="2" t="s">
        <v>32</v>
      </c>
      <c r="G2728" s="3">
        <v>45025</v>
      </c>
      <c r="H2728" s="3">
        <v>45028</v>
      </c>
      <c r="I2728" s="2">
        <v>3</v>
      </c>
      <c r="J2728" s="2" t="s">
        <v>33</v>
      </c>
      <c r="K2728" s="2" t="s">
        <v>81</v>
      </c>
      <c r="L2728" s="2" t="s">
        <v>82</v>
      </c>
      <c r="M2728" s="2" t="s">
        <v>95</v>
      </c>
      <c r="N2728" s="2" t="s">
        <v>118</v>
      </c>
      <c r="O2728" s="2" t="s">
        <v>678</v>
      </c>
      <c r="P2728" s="2">
        <v>126</v>
      </c>
      <c r="Q2728" s="2" t="s">
        <v>39</v>
      </c>
      <c r="R2728" s="2" t="s">
        <v>136</v>
      </c>
      <c r="S2728" s="2">
        <v>140912</v>
      </c>
      <c r="T2728" s="2">
        <v>0</v>
      </c>
      <c r="U2728" s="2">
        <v>140912</v>
      </c>
      <c r="V2728" s="2">
        <v>113867</v>
      </c>
      <c r="W2728" s="2">
        <v>19578</v>
      </c>
      <c r="X2728" s="2">
        <v>4094</v>
      </c>
      <c r="Y2728" s="2" t="s">
        <v>41</v>
      </c>
      <c r="Z2728" s="2">
        <v>66</v>
      </c>
      <c r="AA2728" s="2">
        <v>3.9</v>
      </c>
      <c r="AB2728" s="2" t="s">
        <v>42</v>
      </c>
    </row>
    <row r="2729" spans="1:28" x14ac:dyDescent="0.25">
      <c r="A2729" s="4" t="s">
        <v>3539</v>
      </c>
      <c r="B2729" s="4" t="s">
        <v>741</v>
      </c>
      <c r="C2729" s="4">
        <v>68</v>
      </c>
      <c r="D2729" s="4" t="s">
        <v>30</v>
      </c>
      <c r="E2729" s="4" t="s">
        <v>87</v>
      </c>
      <c r="F2729" s="4" t="s">
        <v>129</v>
      </c>
      <c r="G2729" s="5">
        <v>44671</v>
      </c>
      <c r="H2729" s="5">
        <v>44681</v>
      </c>
      <c r="I2729" s="4">
        <v>10</v>
      </c>
      <c r="J2729" s="4" t="s">
        <v>73</v>
      </c>
      <c r="K2729" s="4" t="s">
        <v>74</v>
      </c>
      <c r="L2729" s="4" t="s">
        <v>73</v>
      </c>
      <c r="M2729" s="4" t="s">
        <v>83</v>
      </c>
      <c r="N2729" s="4" t="s">
        <v>62</v>
      </c>
      <c r="O2729" s="4" t="s">
        <v>553</v>
      </c>
      <c r="P2729" s="4">
        <v>281</v>
      </c>
      <c r="Q2729" s="4" t="s">
        <v>50</v>
      </c>
      <c r="R2729" s="4" t="s">
        <v>40</v>
      </c>
      <c r="S2729" s="4">
        <v>161608</v>
      </c>
      <c r="T2729" s="4">
        <v>99762</v>
      </c>
      <c r="U2729" s="4">
        <v>61846</v>
      </c>
      <c r="V2729" s="4">
        <v>126995</v>
      </c>
      <c r="W2729" s="4">
        <v>28714</v>
      </c>
      <c r="X2729" s="4">
        <v>2320</v>
      </c>
      <c r="Y2729" s="4" t="s">
        <v>41</v>
      </c>
      <c r="Z2729" s="4">
        <v>66</v>
      </c>
      <c r="AA2729" s="4">
        <v>2.8</v>
      </c>
      <c r="AB2729" s="4" t="s">
        <v>52</v>
      </c>
    </row>
    <row r="2730" spans="1:28" x14ac:dyDescent="0.25">
      <c r="A2730" s="2" t="s">
        <v>3540</v>
      </c>
      <c r="B2730" s="2" t="s">
        <v>826</v>
      </c>
      <c r="C2730" s="2">
        <v>81</v>
      </c>
      <c r="D2730" s="2" t="s">
        <v>55</v>
      </c>
      <c r="E2730" s="2" t="s">
        <v>79</v>
      </c>
      <c r="F2730" s="2" t="s">
        <v>57</v>
      </c>
      <c r="G2730" s="3">
        <v>44978</v>
      </c>
      <c r="H2730" s="3">
        <v>44987</v>
      </c>
      <c r="I2730" s="2">
        <v>9</v>
      </c>
      <c r="J2730" s="2" t="s">
        <v>33</v>
      </c>
      <c r="K2730" s="2" t="s">
        <v>174</v>
      </c>
      <c r="L2730" s="2" t="s">
        <v>48</v>
      </c>
      <c r="M2730" s="2" t="s">
        <v>101</v>
      </c>
      <c r="N2730" s="2" t="s">
        <v>37</v>
      </c>
      <c r="O2730" s="2" t="s">
        <v>399</v>
      </c>
      <c r="P2730" s="2">
        <v>356</v>
      </c>
      <c r="Q2730" s="2" t="s">
        <v>50</v>
      </c>
      <c r="R2730" s="2" t="s">
        <v>136</v>
      </c>
      <c r="S2730" s="2">
        <v>31487</v>
      </c>
      <c r="T2730" s="2">
        <v>0</v>
      </c>
      <c r="U2730" s="2">
        <v>31487</v>
      </c>
      <c r="V2730" s="2">
        <v>5116</v>
      </c>
      <c r="W2730" s="2">
        <v>14691</v>
      </c>
      <c r="X2730" s="2">
        <v>6939</v>
      </c>
      <c r="Y2730" s="2" t="s">
        <v>41</v>
      </c>
      <c r="Z2730" s="2">
        <v>77</v>
      </c>
      <c r="AA2730" s="2">
        <v>4.2</v>
      </c>
      <c r="AB2730" s="2" t="s">
        <v>64</v>
      </c>
    </row>
    <row r="2731" spans="1:28" x14ac:dyDescent="0.25">
      <c r="A2731" s="4" t="s">
        <v>3541</v>
      </c>
      <c r="B2731" s="4" t="s">
        <v>1818</v>
      </c>
      <c r="C2731" s="4">
        <v>25</v>
      </c>
      <c r="D2731" s="4" t="s">
        <v>55</v>
      </c>
      <c r="E2731" s="4" t="s">
        <v>67</v>
      </c>
      <c r="F2731" s="4" t="s">
        <v>72</v>
      </c>
      <c r="G2731" s="5">
        <v>45037</v>
      </c>
      <c r="H2731" s="5">
        <v>45038</v>
      </c>
      <c r="I2731" s="4">
        <v>1</v>
      </c>
      <c r="J2731" s="4" t="s">
        <v>33</v>
      </c>
      <c r="K2731" s="4" t="s">
        <v>99</v>
      </c>
      <c r="L2731" s="4" t="s">
        <v>100</v>
      </c>
      <c r="M2731" s="4" t="s">
        <v>36</v>
      </c>
      <c r="N2731" s="4" t="s">
        <v>62</v>
      </c>
      <c r="O2731" s="4" t="s">
        <v>96</v>
      </c>
      <c r="P2731" s="4">
        <v>90</v>
      </c>
      <c r="Q2731" s="4" t="s">
        <v>69</v>
      </c>
      <c r="R2731" s="4" t="s">
        <v>40</v>
      </c>
      <c r="S2731" s="4">
        <v>176540</v>
      </c>
      <c r="T2731" s="4">
        <v>119353</v>
      </c>
      <c r="U2731" s="4">
        <v>57187</v>
      </c>
      <c r="V2731" s="4">
        <v>147484</v>
      </c>
      <c r="W2731" s="4">
        <v>24819</v>
      </c>
      <c r="X2731" s="4">
        <v>3598</v>
      </c>
      <c r="Y2731" s="4" t="s">
        <v>91</v>
      </c>
      <c r="Z2731" s="4">
        <v>41</v>
      </c>
      <c r="AA2731" s="4">
        <v>4.4000000000000004</v>
      </c>
      <c r="AB2731" s="4" t="s">
        <v>137</v>
      </c>
    </row>
    <row r="2732" spans="1:28" x14ac:dyDescent="0.25">
      <c r="A2732" s="2" t="s">
        <v>3542</v>
      </c>
      <c r="B2732" s="2" t="s">
        <v>1410</v>
      </c>
      <c r="C2732" s="2">
        <v>62</v>
      </c>
      <c r="D2732" s="2" t="s">
        <v>55</v>
      </c>
      <c r="E2732" s="2" t="s">
        <v>31</v>
      </c>
      <c r="F2732" s="2" t="s">
        <v>94</v>
      </c>
      <c r="G2732" s="3">
        <v>45440</v>
      </c>
      <c r="H2732" s="3">
        <v>45462</v>
      </c>
      <c r="I2732" s="2">
        <v>22</v>
      </c>
      <c r="J2732" s="2" t="s">
        <v>33</v>
      </c>
      <c r="K2732" s="2" t="s">
        <v>34</v>
      </c>
      <c r="L2732" s="2" t="s">
        <v>35</v>
      </c>
      <c r="M2732" s="2" t="s">
        <v>130</v>
      </c>
      <c r="N2732" s="2" t="s">
        <v>62</v>
      </c>
      <c r="O2732" s="2" t="s">
        <v>144</v>
      </c>
      <c r="P2732" s="2">
        <v>36</v>
      </c>
      <c r="Q2732" s="2" t="s">
        <v>69</v>
      </c>
      <c r="R2732" s="2" t="s">
        <v>40</v>
      </c>
      <c r="S2732" s="2">
        <v>147143</v>
      </c>
      <c r="T2732" s="2">
        <v>89327</v>
      </c>
      <c r="U2732" s="2">
        <v>57816</v>
      </c>
      <c r="V2732" s="2">
        <v>118033</v>
      </c>
      <c r="W2732" s="2">
        <v>23190</v>
      </c>
      <c r="X2732" s="2">
        <v>4935</v>
      </c>
      <c r="Y2732" s="2" t="s">
        <v>41</v>
      </c>
      <c r="Z2732" s="2">
        <v>100</v>
      </c>
      <c r="AA2732" s="2">
        <v>3.6</v>
      </c>
      <c r="AB2732" s="2" t="s">
        <v>52</v>
      </c>
    </row>
    <row r="2733" spans="1:28" x14ac:dyDescent="0.25">
      <c r="A2733" s="4" t="s">
        <v>3543</v>
      </c>
      <c r="B2733" s="4" t="s">
        <v>1104</v>
      </c>
      <c r="C2733" s="4">
        <v>70</v>
      </c>
      <c r="D2733" s="4" t="s">
        <v>30</v>
      </c>
      <c r="E2733" s="4" t="s">
        <v>122</v>
      </c>
      <c r="F2733" s="4" t="s">
        <v>46</v>
      </c>
      <c r="G2733" s="5">
        <v>45573</v>
      </c>
      <c r="H2733" s="5">
        <v>45603</v>
      </c>
      <c r="I2733" s="4">
        <v>30</v>
      </c>
      <c r="J2733" s="4" t="s">
        <v>33</v>
      </c>
      <c r="K2733" s="4" t="s">
        <v>174</v>
      </c>
      <c r="L2733" s="4" t="s">
        <v>48</v>
      </c>
      <c r="M2733" s="4" t="s">
        <v>95</v>
      </c>
      <c r="N2733" s="4" t="s">
        <v>62</v>
      </c>
      <c r="O2733" s="4" t="s">
        <v>365</v>
      </c>
      <c r="P2733" s="4">
        <v>263</v>
      </c>
      <c r="Q2733" s="4" t="s">
        <v>50</v>
      </c>
      <c r="R2733" s="4" t="s">
        <v>51</v>
      </c>
      <c r="S2733" s="4">
        <v>160153</v>
      </c>
      <c r="T2733" s="4">
        <v>82694</v>
      </c>
      <c r="U2733" s="4">
        <v>77459</v>
      </c>
      <c r="V2733" s="4">
        <v>125581</v>
      </c>
      <c r="W2733" s="4">
        <v>28244</v>
      </c>
      <c r="X2733" s="4">
        <v>5305</v>
      </c>
      <c r="Y2733" s="4" t="s">
        <v>41</v>
      </c>
      <c r="Z2733" s="4">
        <v>73</v>
      </c>
      <c r="AA2733" s="4">
        <v>2.9</v>
      </c>
      <c r="AB2733" s="4" t="s">
        <v>137</v>
      </c>
    </row>
    <row r="2734" spans="1:28" x14ac:dyDescent="0.25">
      <c r="A2734" s="2" t="s">
        <v>3544</v>
      </c>
      <c r="B2734" s="2" t="s">
        <v>832</v>
      </c>
      <c r="C2734" s="2">
        <v>34</v>
      </c>
      <c r="D2734" s="2" t="s">
        <v>30</v>
      </c>
      <c r="E2734" s="2" t="s">
        <v>67</v>
      </c>
      <c r="F2734" s="2" t="s">
        <v>57</v>
      </c>
      <c r="G2734" s="3">
        <v>44938</v>
      </c>
      <c r="H2734" s="3">
        <v>44946</v>
      </c>
      <c r="I2734" s="2">
        <v>8</v>
      </c>
      <c r="J2734" s="2" t="s">
        <v>33</v>
      </c>
      <c r="K2734" s="2" t="s">
        <v>47</v>
      </c>
      <c r="L2734" s="2" t="s">
        <v>48</v>
      </c>
      <c r="M2734" s="2" t="s">
        <v>36</v>
      </c>
      <c r="N2734" s="2" t="s">
        <v>37</v>
      </c>
      <c r="O2734" s="2" t="s">
        <v>147</v>
      </c>
      <c r="P2734" s="2">
        <v>456</v>
      </c>
      <c r="Q2734" s="2" t="s">
        <v>69</v>
      </c>
      <c r="R2734" s="2" t="s">
        <v>90</v>
      </c>
      <c r="S2734" s="2">
        <v>80184</v>
      </c>
      <c r="T2734" s="2">
        <v>54073</v>
      </c>
      <c r="U2734" s="2">
        <v>26111</v>
      </c>
      <c r="V2734" s="2">
        <v>50697</v>
      </c>
      <c r="W2734" s="2">
        <v>18516</v>
      </c>
      <c r="X2734" s="2">
        <v>9903</v>
      </c>
      <c r="Y2734" s="2" t="s">
        <v>41</v>
      </c>
      <c r="Z2734" s="2">
        <v>60</v>
      </c>
      <c r="AA2734" s="2">
        <v>2.2000000000000002</v>
      </c>
      <c r="AB2734" s="2" t="s">
        <v>64</v>
      </c>
    </row>
    <row r="2735" spans="1:28" x14ac:dyDescent="0.25">
      <c r="A2735" s="4" t="s">
        <v>3545</v>
      </c>
      <c r="B2735" s="4" t="s">
        <v>444</v>
      </c>
      <c r="C2735" s="4">
        <v>83</v>
      </c>
      <c r="D2735" s="4" t="s">
        <v>55</v>
      </c>
      <c r="E2735" s="4" t="s">
        <v>45</v>
      </c>
      <c r="F2735" s="4" t="s">
        <v>94</v>
      </c>
      <c r="G2735" s="5">
        <v>44741</v>
      </c>
      <c r="H2735" s="5">
        <v>44750</v>
      </c>
      <c r="I2735" s="4">
        <v>9</v>
      </c>
      <c r="J2735" s="4" t="s">
        <v>33</v>
      </c>
      <c r="K2735" s="4" t="s">
        <v>107</v>
      </c>
      <c r="L2735" s="4" t="s">
        <v>48</v>
      </c>
      <c r="M2735" s="4" t="s">
        <v>108</v>
      </c>
      <c r="N2735" s="4" t="s">
        <v>62</v>
      </c>
      <c r="O2735" s="4" t="s">
        <v>68</v>
      </c>
      <c r="P2735" s="4">
        <v>72</v>
      </c>
      <c r="Q2735" s="4" t="s">
        <v>39</v>
      </c>
      <c r="R2735" s="4" t="s">
        <v>40</v>
      </c>
      <c r="S2735" s="4">
        <v>43529</v>
      </c>
      <c r="T2735" s="4">
        <v>24942</v>
      </c>
      <c r="U2735" s="4">
        <v>18587</v>
      </c>
      <c r="V2735" s="4">
        <v>14228</v>
      </c>
      <c r="W2735" s="4">
        <v>20357</v>
      </c>
      <c r="X2735" s="4">
        <v>4687</v>
      </c>
      <c r="Y2735" s="4" t="s">
        <v>41</v>
      </c>
      <c r="Z2735" s="4">
        <v>68</v>
      </c>
      <c r="AA2735" s="4">
        <v>3.2</v>
      </c>
      <c r="AB2735" s="4" t="s">
        <v>42</v>
      </c>
    </row>
    <row r="2736" spans="1:28" x14ac:dyDescent="0.25">
      <c r="A2736" s="2" t="s">
        <v>3546</v>
      </c>
      <c r="B2736" s="2" t="s">
        <v>1007</v>
      </c>
      <c r="C2736" s="2">
        <v>39</v>
      </c>
      <c r="D2736" s="2" t="s">
        <v>55</v>
      </c>
      <c r="E2736" s="2" t="s">
        <v>79</v>
      </c>
      <c r="F2736" s="2" t="s">
        <v>114</v>
      </c>
      <c r="G2736" s="3">
        <v>45122</v>
      </c>
      <c r="H2736" s="3">
        <v>45133</v>
      </c>
      <c r="I2736" s="2">
        <v>11</v>
      </c>
      <c r="J2736" s="2" t="s">
        <v>202</v>
      </c>
      <c r="K2736" s="2" t="s">
        <v>225</v>
      </c>
      <c r="L2736" s="2" t="s">
        <v>226</v>
      </c>
      <c r="M2736" s="2" t="s">
        <v>101</v>
      </c>
      <c r="N2736" s="2" t="s">
        <v>118</v>
      </c>
      <c r="O2736" s="2" t="s">
        <v>538</v>
      </c>
      <c r="P2736" s="2">
        <v>430</v>
      </c>
      <c r="Q2736" s="2" t="s">
        <v>39</v>
      </c>
      <c r="R2736" s="2" t="s">
        <v>111</v>
      </c>
      <c r="S2736" s="2">
        <v>73277</v>
      </c>
      <c r="T2736" s="2">
        <v>44886</v>
      </c>
      <c r="U2736" s="2">
        <v>28391</v>
      </c>
      <c r="V2736" s="2">
        <v>59463</v>
      </c>
      <c r="W2736" s="2">
        <v>9136</v>
      </c>
      <c r="X2736" s="2">
        <v>4098</v>
      </c>
      <c r="Y2736" s="2" t="s">
        <v>41</v>
      </c>
      <c r="Z2736" s="2">
        <v>57</v>
      </c>
      <c r="AA2736" s="2">
        <v>3.4</v>
      </c>
      <c r="AB2736" s="2" t="s">
        <v>137</v>
      </c>
    </row>
    <row r="2737" spans="1:28" x14ac:dyDescent="0.25">
      <c r="A2737" s="4" t="s">
        <v>3547</v>
      </c>
      <c r="B2737" s="4" t="s">
        <v>1257</v>
      </c>
      <c r="C2737" s="4">
        <v>24</v>
      </c>
      <c r="D2737" s="4" t="s">
        <v>55</v>
      </c>
      <c r="E2737" s="4" t="s">
        <v>79</v>
      </c>
      <c r="F2737" s="4" t="s">
        <v>129</v>
      </c>
      <c r="G2737" s="5">
        <v>45311</v>
      </c>
      <c r="H2737" s="5">
        <v>45319</v>
      </c>
      <c r="I2737" s="4">
        <v>8</v>
      </c>
      <c r="J2737" s="4" t="s">
        <v>33</v>
      </c>
      <c r="K2737" s="4" t="s">
        <v>197</v>
      </c>
      <c r="L2737" s="4" t="s">
        <v>198</v>
      </c>
      <c r="M2737" s="4" t="s">
        <v>143</v>
      </c>
      <c r="N2737" s="4" t="s">
        <v>62</v>
      </c>
      <c r="O2737" s="4" t="s">
        <v>326</v>
      </c>
      <c r="P2737" s="4">
        <v>7</v>
      </c>
      <c r="Q2737" s="4" t="s">
        <v>69</v>
      </c>
      <c r="R2737" s="4" t="s">
        <v>90</v>
      </c>
      <c r="S2737" s="4">
        <v>47435</v>
      </c>
      <c r="T2737" s="4">
        <v>30371</v>
      </c>
      <c r="U2737" s="4">
        <v>17064</v>
      </c>
      <c r="V2737" s="4">
        <v>28532</v>
      </c>
      <c r="W2737" s="4">
        <v>5458</v>
      </c>
      <c r="X2737" s="4">
        <v>10128</v>
      </c>
      <c r="Y2737" s="4" t="s">
        <v>41</v>
      </c>
      <c r="Z2737" s="4">
        <v>86</v>
      </c>
      <c r="AA2737" s="4">
        <v>3.5</v>
      </c>
      <c r="AB2737" s="4" t="s">
        <v>42</v>
      </c>
    </row>
    <row r="2738" spans="1:28" x14ac:dyDescent="0.25">
      <c r="A2738" s="2" t="s">
        <v>3548</v>
      </c>
      <c r="B2738" s="2" t="s">
        <v>727</v>
      </c>
      <c r="C2738" s="2">
        <v>17</v>
      </c>
      <c r="D2738" s="2" t="s">
        <v>30</v>
      </c>
      <c r="E2738" s="2" t="s">
        <v>67</v>
      </c>
      <c r="F2738" s="2" t="s">
        <v>80</v>
      </c>
      <c r="G2738" s="3">
        <v>45414</v>
      </c>
      <c r="H2738" s="3">
        <v>45441</v>
      </c>
      <c r="I2738" s="2">
        <v>27</v>
      </c>
      <c r="J2738" s="2" t="s">
        <v>33</v>
      </c>
      <c r="K2738" s="2" t="s">
        <v>81</v>
      </c>
      <c r="L2738" s="2" t="s">
        <v>82</v>
      </c>
      <c r="M2738" s="2" t="s">
        <v>83</v>
      </c>
      <c r="N2738" s="2" t="s">
        <v>62</v>
      </c>
      <c r="O2738" s="2" t="s">
        <v>373</v>
      </c>
      <c r="P2738" s="2">
        <v>324</v>
      </c>
      <c r="Q2738" s="2" t="s">
        <v>50</v>
      </c>
      <c r="R2738" s="2" t="s">
        <v>40</v>
      </c>
      <c r="S2738" s="2">
        <v>154144</v>
      </c>
      <c r="T2738" s="2">
        <v>94207</v>
      </c>
      <c r="U2738" s="2">
        <v>59937</v>
      </c>
      <c r="V2738" s="2">
        <v>129474</v>
      </c>
      <c r="W2738" s="2">
        <v>7394</v>
      </c>
      <c r="X2738" s="2">
        <v>13041</v>
      </c>
      <c r="Y2738" s="2" t="s">
        <v>91</v>
      </c>
      <c r="Z2738" s="2">
        <v>55</v>
      </c>
      <c r="AA2738" s="2">
        <v>3.1</v>
      </c>
      <c r="AB2738" s="2" t="s">
        <v>64</v>
      </c>
    </row>
    <row r="2739" spans="1:28" x14ac:dyDescent="0.25">
      <c r="A2739" s="4" t="s">
        <v>3549</v>
      </c>
      <c r="B2739" s="4" t="s">
        <v>302</v>
      </c>
      <c r="C2739" s="4">
        <v>49</v>
      </c>
      <c r="D2739" s="4" t="s">
        <v>30</v>
      </c>
      <c r="E2739" s="4" t="s">
        <v>67</v>
      </c>
      <c r="F2739" s="4" t="s">
        <v>129</v>
      </c>
      <c r="G2739" s="5">
        <v>44820</v>
      </c>
      <c r="H2739" s="5">
        <v>44825</v>
      </c>
      <c r="I2739" s="4">
        <v>5</v>
      </c>
      <c r="J2739" s="4" t="s">
        <v>33</v>
      </c>
      <c r="K2739" s="4" t="s">
        <v>99</v>
      </c>
      <c r="L2739" s="4" t="s">
        <v>100</v>
      </c>
      <c r="M2739" s="4" t="s">
        <v>83</v>
      </c>
      <c r="N2739" s="4" t="s">
        <v>37</v>
      </c>
      <c r="O2739" s="4" t="s">
        <v>368</v>
      </c>
      <c r="P2739" s="4">
        <v>29</v>
      </c>
      <c r="Q2739" s="4" t="s">
        <v>103</v>
      </c>
      <c r="R2739" s="4" t="s">
        <v>136</v>
      </c>
      <c r="S2739" s="4">
        <v>28996</v>
      </c>
      <c r="T2739" s="4">
        <v>0</v>
      </c>
      <c r="U2739" s="4">
        <v>28996</v>
      </c>
      <c r="V2739" s="4">
        <v>5381</v>
      </c>
      <c r="W2739" s="4">
        <v>19859</v>
      </c>
      <c r="X2739" s="4">
        <v>1994</v>
      </c>
      <c r="Y2739" s="4" t="s">
        <v>41</v>
      </c>
      <c r="Z2739" s="4">
        <v>78</v>
      </c>
      <c r="AA2739" s="4">
        <v>2.7</v>
      </c>
      <c r="AB2739" s="4" t="s">
        <v>42</v>
      </c>
    </row>
    <row r="2740" spans="1:28" x14ac:dyDescent="0.25">
      <c r="A2740" s="2" t="s">
        <v>3550</v>
      </c>
      <c r="B2740" s="2" t="s">
        <v>815</v>
      </c>
      <c r="C2740" s="2">
        <v>17</v>
      </c>
      <c r="D2740" s="2" t="s">
        <v>30</v>
      </c>
      <c r="E2740" s="2" t="s">
        <v>56</v>
      </c>
      <c r="F2740" s="2" t="s">
        <v>94</v>
      </c>
      <c r="G2740" s="3">
        <v>45321</v>
      </c>
      <c r="H2740" s="3">
        <v>45341</v>
      </c>
      <c r="I2740" s="2">
        <v>20</v>
      </c>
      <c r="J2740" s="2" t="s">
        <v>58</v>
      </c>
      <c r="K2740" s="2" t="s">
        <v>59</v>
      </c>
      <c r="L2740" s="2" t="s">
        <v>60</v>
      </c>
      <c r="M2740" s="2" t="s">
        <v>130</v>
      </c>
      <c r="N2740" s="2" t="s">
        <v>118</v>
      </c>
      <c r="O2740" s="2" t="s">
        <v>295</v>
      </c>
      <c r="P2740" s="2">
        <v>412</v>
      </c>
      <c r="Q2740" s="2" t="s">
        <v>103</v>
      </c>
      <c r="R2740" s="2" t="s">
        <v>136</v>
      </c>
      <c r="S2740" s="2">
        <v>132310</v>
      </c>
      <c r="T2740" s="2">
        <v>0</v>
      </c>
      <c r="U2740" s="2">
        <v>132310</v>
      </c>
      <c r="V2740" s="2">
        <v>118962</v>
      </c>
      <c r="W2740" s="2">
        <v>1255</v>
      </c>
      <c r="X2740" s="2">
        <v>9545</v>
      </c>
      <c r="Y2740" s="2" t="s">
        <v>41</v>
      </c>
      <c r="Z2740" s="2">
        <v>63</v>
      </c>
      <c r="AA2740" s="2">
        <v>2.8</v>
      </c>
      <c r="AB2740" s="2" t="s">
        <v>52</v>
      </c>
    </row>
    <row r="2741" spans="1:28" x14ac:dyDescent="0.25">
      <c r="A2741" s="4" t="s">
        <v>3551</v>
      </c>
      <c r="B2741" s="4" t="s">
        <v>1166</v>
      </c>
      <c r="C2741" s="4">
        <v>53</v>
      </c>
      <c r="D2741" s="4" t="s">
        <v>30</v>
      </c>
      <c r="E2741" s="4" t="s">
        <v>87</v>
      </c>
      <c r="F2741" s="4" t="s">
        <v>80</v>
      </c>
      <c r="G2741" s="5">
        <v>45316</v>
      </c>
      <c r="H2741" s="5">
        <v>45330</v>
      </c>
      <c r="I2741" s="4">
        <v>14</v>
      </c>
      <c r="J2741" s="4" t="s">
        <v>202</v>
      </c>
      <c r="K2741" s="4" t="s">
        <v>203</v>
      </c>
      <c r="L2741" s="4" t="s">
        <v>204</v>
      </c>
      <c r="M2741" s="4" t="s">
        <v>61</v>
      </c>
      <c r="N2741" s="4" t="s">
        <v>118</v>
      </c>
      <c r="O2741" s="4" t="s">
        <v>38</v>
      </c>
      <c r="P2741" s="4">
        <v>42</v>
      </c>
      <c r="Q2741" s="4" t="s">
        <v>50</v>
      </c>
      <c r="R2741" s="4" t="s">
        <v>40</v>
      </c>
      <c r="S2741" s="4">
        <v>76758</v>
      </c>
      <c r="T2741" s="4">
        <v>31287</v>
      </c>
      <c r="U2741" s="4">
        <v>45471</v>
      </c>
      <c r="V2741" s="4">
        <v>51856</v>
      </c>
      <c r="W2741" s="4">
        <v>21066</v>
      </c>
      <c r="X2741" s="4">
        <v>930</v>
      </c>
      <c r="Y2741" s="4" t="s">
        <v>91</v>
      </c>
      <c r="Z2741" s="4">
        <v>41</v>
      </c>
      <c r="AA2741" s="4">
        <v>3.4</v>
      </c>
      <c r="AB2741" s="4" t="s">
        <v>64</v>
      </c>
    </row>
    <row r="2742" spans="1:28" x14ac:dyDescent="0.25">
      <c r="A2742" s="2" t="s">
        <v>3552</v>
      </c>
      <c r="B2742" s="2" t="s">
        <v>3165</v>
      </c>
      <c r="C2742" s="2">
        <v>26</v>
      </c>
      <c r="D2742" s="2" t="s">
        <v>55</v>
      </c>
      <c r="E2742" s="2" t="s">
        <v>56</v>
      </c>
      <c r="F2742" s="2" t="s">
        <v>129</v>
      </c>
      <c r="G2742" s="3">
        <v>44785</v>
      </c>
      <c r="H2742" s="3">
        <v>44800</v>
      </c>
      <c r="I2742" s="2">
        <v>15</v>
      </c>
      <c r="J2742" s="2" t="s">
        <v>140</v>
      </c>
      <c r="K2742" s="2" t="s">
        <v>141</v>
      </c>
      <c r="L2742" s="2" t="s">
        <v>142</v>
      </c>
      <c r="M2742" s="2" t="s">
        <v>130</v>
      </c>
      <c r="N2742" s="2" t="s">
        <v>118</v>
      </c>
      <c r="O2742" s="2" t="s">
        <v>168</v>
      </c>
      <c r="P2742" s="2">
        <v>90</v>
      </c>
      <c r="Q2742" s="2" t="s">
        <v>39</v>
      </c>
      <c r="R2742" s="2" t="s">
        <v>90</v>
      </c>
      <c r="S2742" s="2">
        <v>152803</v>
      </c>
      <c r="T2742" s="2">
        <v>122543</v>
      </c>
      <c r="U2742" s="2">
        <v>30260</v>
      </c>
      <c r="V2742" s="2">
        <v>140740</v>
      </c>
      <c r="W2742" s="2">
        <v>5503</v>
      </c>
      <c r="X2742" s="2">
        <v>5367</v>
      </c>
      <c r="Y2742" s="2" t="s">
        <v>41</v>
      </c>
      <c r="Z2742" s="2">
        <v>63</v>
      </c>
      <c r="AA2742" s="2">
        <v>3.4</v>
      </c>
      <c r="AB2742" s="2" t="s">
        <v>42</v>
      </c>
    </row>
    <row r="2743" spans="1:28" x14ac:dyDescent="0.25">
      <c r="A2743" s="4" t="s">
        <v>3553</v>
      </c>
      <c r="B2743" s="4" t="s">
        <v>473</v>
      </c>
      <c r="C2743" s="4">
        <v>41</v>
      </c>
      <c r="D2743" s="4" t="s">
        <v>55</v>
      </c>
      <c r="E2743" s="4" t="s">
        <v>31</v>
      </c>
      <c r="F2743" s="4" t="s">
        <v>150</v>
      </c>
      <c r="G2743" s="5">
        <v>44867</v>
      </c>
      <c r="H2743" s="5">
        <v>44874</v>
      </c>
      <c r="I2743" s="4">
        <v>7</v>
      </c>
      <c r="J2743" s="4" t="s">
        <v>33</v>
      </c>
      <c r="K2743" s="4" t="s">
        <v>197</v>
      </c>
      <c r="L2743" s="4" t="s">
        <v>198</v>
      </c>
      <c r="M2743" s="4" t="s">
        <v>61</v>
      </c>
      <c r="N2743" s="4" t="s">
        <v>118</v>
      </c>
      <c r="O2743" s="4" t="s">
        <v>227</v>
      </c>
      <c r="P2743" s="4">
        <v>327</v>
      </c>
      <c r="Q2743" s="4" t="s">
        <v>39</v>
      </c>
      <c r="R2743" s="4" t="s">
        <v>111</v>
      </c>
      <c r="S2743" s="4">
        <v>52532</v>
      </c>
      <c r="T2743" s="4">
        <v>35523</v>
      </c>
      <c r="U2743" s="4">
        <v>17009</v>
      </c>
      <c r="V2743" s="4">
        <v>23007</v>
      </c>
      <c r="W2743" s="4">
        <v>17421</v>
      </c>
      <c r="X2743" s="4">
        <v>7784</v>
      </c>
      <c r="Y2743" s="4" t="s">
        <v>41</v>
      </c>
      <c r="Z2743" s="4">
        <v>98</v>
      </c>
      <c r="AA2743" s="4">
        <v>4.5</v>
      </c>
      <c r="AB2743" s="4" t="s">
        <v>52</v>
      </c>
    </row>
    <row r="2744" spans="1:28" x14ac:dyDescent="0.25">
      <c r="A2744" s="2" t="s">
        <v>3554</v>
      </c>
      <c r="B2744" s="2" t="s">
        <v>629</v>
      </c>
      <c r="C2744" s="2">
        <v>25</v>
      </c>
      <c r="D2744" s="2" t="s">
        <v>30</v>
      </c>
      <c r="E2744" s="2" t="s">
        <v>45</v>
      </c>
      <c r="F2744" s="2" t="s">
        <v>32</v>
      </c>
      <c r="G2744" s="3">
        <v>45214</v>
      </c>
      <c r="H2744" s="3">
        <v>45225</v>
      </c>
      <c r="I2744" s="2">
        <v>11</v>
      </c>
      <c r="J2744" s="2" t="s">
        <v>33</v>
      </c>
      <c r="K2744" s="2" t="s">
        <v>233</v>
      </c>
      <c r="L2744" s="2" t="s">
        <v>35</v>
      </c>
      <c r="M2744" s="2" t="s">
        <v>95</v>
      </c>
      <c r="N2744" s="2" t="s">
        <v>62</v>
      </c>
      <c r="O2744" s="2" t="s">
        <v>461</v>
      </c>
      <c r="P2744" s="2">
        <v>54</v>
      </c>
      <c r="Q2744" s="2" t="s">
        <v>50</v>
      </c>
      <c r="R2744" s="2" t="s">
        <v>40</v>
      </c>
      <c r="S2744" s="2">
        <v>125831</v>
      </c>
      <c r="T2744" s="2">
        <v>71004</v>
      </c>
      <c r="U2744" s="2">
        <v>54827</v>
      </c>
      <c r="V2744" s="2">
        <v>115363</v>
      </c>
      <c r="W2744" s="2">
        <v>2770</v>
      </c>
      <c r="X2744" s="2">
        <v>5233</v>
      </c>
      <c r="Y2744" s="2" t="s">
        <v>91</v>
      </c>
      <c r="Z2744" s="2">
        <v>58</v>
      </c>
      <c r="AA2744" s="2">
        <v>2.7</v>
      </c>
      <c r="AB2744" s="2" t="s">
        <v>42</v>
      </c>
    </row>
    <row r="2745" spans="1:28" x14ac:dyDescent="0.25">
      <c r="A2745" s="4" t="s">
        <v>3555</v>
      </c>
      <c r="B2745" s="4" t="s">
        <v>758</v>
      </c>
      <c r="C2745" s="4">
        <v>76</v>
      </c>
      <c r="D2745" s="4" t="s">
        <v>30</v>
      </c>
      <c r="E2745" s="4" t="s">
        <v>122</v>
      </c>
      <c r="F2745" s="4" t="s">
        <v>114</v>
      </c>
      <c r="G2745" s="5">
        <v>45100</v>
      </c>
      <c r="H2745" s="5">
        <v>45121</v>
      </c>
      <c r="I2745" s="4">
        <v>21</v>
      </c>
      <c r="J2745" s="4" t="s">
        <v>33</v>
      </c>
      <c r="K2745" s="4" t="s">
        <v>34</v>
      </c>
      <c r="L2745" s="4" t="s">
        <v>35</v>
      </c>
      <c r="M2745" s="4" t="s">
        <v>134</v>
      </c>
      <c r="N2745" s="4" t="s">
        <v>109</v>
      </c>
      <c r="O2745" s="4" t="s">
        <v>497</v>
      </c>
      <c r="P2745" s="4">
        <v>291</v>
      </c>
      <c r="Q2745" s="4" t="s">
        <v>103</v>
      </c>
      <c r="R2745" s="4" t="s">
        <v>51</v>
      </c>
      <c r="S2745" s="4">
        <v>82361</v>
      </c>
      <c r="T2745" s="4">
        <v>41147</v>
      </c>
      <c r="U2745" s="4">
        <v>41214</v>
      </c>
      <c r="V2745" s="4">
        <v>55359</v>
      </c>
      <c r="W2745" s="4">
        <v>9133</v>
      </c>
      <c r="X2745" s="4">
        <v>13299</v>
      </c>
      <c r="Y2745" s="4" t="s">
        <v>41</v>
      </c>
      <c r="Z2745" s="4">
        <v>83</v>
      </c>
      <c r="AA2745" s="4">
        <v>2.1</v>
      </c>
      <c r="AB2745" s="4" t="s">
        <v>52</v>
      </c>
    </row>
    <row r="2746" spans="1:28" x14ac:dyDescent="0.25">
      <c r="A2746" s="2" t="s">
        <v>3556</v>
      </c>
      <c r="B2746" s="2" t="s">
        <v>263</v>
      </c>
      <c r="C2746" s="2">
        <v>72</v>
      </c>
      <c r="D2746" s="2" t="s">
        <v>55</v>
      </c>
      <c r="E2746" s="2" t="s">
        <v>67</v>
      </c>
      <c r="F2746" s="2" t="s">
        <v>32</v>
      </c>
      <c r="G2746" s="3">
        <v>45257</v>
      </c>
      <c r="H2746" s="3">
        <v>45274</v>
      </c>
      <c r="I2746" s="2">
        <v>17</v>
      </c>
      <c r="J2746" s="2" t="s">
        <v>58</v>
      </c>
      <c r="K2746" s="2" t="s">
        <v>59</v>
      </c>
      <c r="L2746" s="2" t="s">
        <v>60</v>
      </c>
      <c r="M2746" s="2" t="s">
        <v>134</v>
      </c>
      <c r="N2746" s="2" t="s">
        <v>118</v>
      </c>
      <c r="O2746" s="2" t="s">
        <v>300</v>
      </c>
      <c r="P2746" s="2">
        <v>460</v>
      </c>
      <c r="Q2746" s="2" t="s">
        <v>39</v>
      </c>
      <c r="R2746" s="2" t="s">
        <v>51</v>
      </c>
      <c r="S2746" s="2">
        <v>128104</v>
      </c>
      <c r="T2746" s="2">
        <v>53006</v>
      </c>
      <c r="U2746" s="2">
        <v>75098</v>
      </c>
      <c r="V2746" s="2">
        <v>106966</v>
      </c>
      <c r="W2746" s="2">
        <v>12271</v>
      </c>
      <c r="X2746" s="2">
        <v>4414</v>
      </c>
      <c r="Y2746" s="2" t="s">
        <v>41</v>
      </c>
      <c r="Z2746" s="2">
        <v>56</v>
      </c>
      <c r="AA2746" s="2">
        <v>3.4</v>
      </c>
      <c r="AB2746" s="2" t="s">
        <v>42</v>
      </c>
    </row>
    <row r="2747" spans="1:28" x14ac:dyDescent="0.25">
      <c r="A2747" s="4" t="s">
        <v>3557</v>
      </c>
      <c r="B2747" s="4" t="s">
        <v>1009</v>
      </c>
      <c r="C2747" s="4">
        <v>82</v>
      </c>
      <c r="D2747" s="4" t="s">
        <v>30</v>
      </c>
      <c r="E2747" s="4" t="s">
        <v>67</v>
      </c>
      <c r="F2747" s="4" t="s">
        <v>94</v>
      </c>
      <c r="G2747" s="5">
        <v>45044</v>
      </c>
      <c r="H2747" s="5">
        <v>45074</v>
      </c>
      <c r="I2747" s="4">
        <v>30</v>
      </c>
      <c r="J2747" s="4" t="s">
        <v>33</v>
      </c>
      <c r="K2747" s="4" t="s">
        <v>47</v>
      </c>
      <c r="L2747" s="4" t="s">
        <v>48</v>
      </c>
      <c r="M2747" s="4" t="s">
        <v>95</v>
      </c>
      <c r="N2747" s="4" t="s">
        <v>62</v>
      </c>
      <c r="O2747" s="4" t="s">
        <v>358</v>
      </c>
      <c r="P2747" s="4">
        <v>142</v>
      </c>
      <c r="Q2747" s="4" t="s">
        <v>50</v>
      </c>
      <c r="R2747" s="4" t="s">
        <v>90</v>
      </c>
      <c r="S2747" s="4">
        <v>78685</v>
      </c>
      <c r="T2747" s="4">
        <v>53392</v>
      </c>
      <c r="U2747" s="4">
        <v>25293</v>
      </c>
      <c r="V2747" s="4">
        <v>52777</v>
      </c>
      <c r="W2747" s="4">
        <v>16000</v>
      </c>
      <c r="X2747" s="4">
        <v>6437</v>
      </c>
      <c r="Y2747" s="4" t="s">
        <v>41</v>
      </c>
      <c r="Z2747" s="4">
        <v>43</v>
      </c>
      <c r="AA2747" s="4">
        <v>2.4</v>
      </c>
      <c r="AB2747" s="4" t="s">
        <v>52</v>
      </c>
    </row>
    <row r="2748" spans="1:28" x14ac:dyDescent="0.25">
      <c r="A2748" s="2" t="s">
        <v>3558</v>
      </c>
      <c r="B2748" s="2" t="s">
        <v>586</v>
      </c>
      <c r="C2748" s="2">
        <v>48</v>
      </c>
      <c r="D2748" s="2" t="s">
        <v>55</v>
      </c>
      <c r="E2748" s="2" t="s">
        <v>31</v>
      </c>
      <c r="F2748" s="2" t="s">
        <v>32</v>
      </c>
      <c r="G2748" s="3">
        <v>45438</v>
      </c>
      <c r="H2748" s="3">
        <v>45457</v>
      </c>
      <c r="I2748" s="2">
        <v>19</v>
      </c>
      <c r="J2748" s="2" t="s">
        <v>73</v>
      </c>
      <c r="K2748" s="2" t="s">
        <v>74</v>
      </c>
      <c r="L2748" s="2" t="s">
        <v>73</v>
      </c>
      <c r="M2748" s="2" t="s">
        <v>75</v>
      </c>
      <c r="N2748" s="2" t="s">
        <v>109</v>
      </c>
      <c r="O2748" s="2" t="s">
        <v>246</v>
      </c>
      <c r="P2748" s="2">
        <v>80</v>
      </c>
      <c r="Q2748" s="2" t="s">
        <v>69</v>
      </c>
      <c r="R2748" s="2" t="s">
        <v>90</v>
      </c>
      <c r="S2748" s="2">
        <v>31472</v>
      </c>
      <c r="T2748" s="2">
        <v>25987</v>
      </c>
      <c r="U2748" s="2">
        <v>5485</v>
      </c>
      <c r="V2748" s="2">
        <v>12557</v>
      </c>
      <c r="W2748" s="2">
        <v>9808</v>
      </c>
      <c r="X2748" s="2">
        <v>6166</v>
      </c>
      <c r="Y2748" s="2" t="s">
        <v>41</v>
      </c>
      <c r="Z2748" s="2">
        <v>80</v>
      </c>
      <c r="AA2748" s="2">
        <v>3.9</v>
      </c>
      <c r="AB2748" s="2" t="s">
        <v>52</v>
      </c>
    </row>
    <row r="2749" spans="1:28" x14ac:dyDescent="0.25">
      <c r="A2749" s="4" t="s">
        <v>3559</v>
      </c>
      <c r="B2749" s="4" t="s">
        <v>1698</v>
      </c>
      <c r="C2749" s="4">
        <v>55</v>
      </c>
      <c r="D2749" s="4" t="s">
        <v>30</v>
      </c>
      <c r="E2749" s="4" t="s">
        <v>31</v>
      </c>
      <c r="F2749" s="4" t="s">
        <v>46</v>
      </c>
      <c r="G2749" s="5">
        <v>44998</v>
      </c>
      <c r="H2749" s="5">
        <v>44999</v>
      </c>
      <c r="I2749" s="4">
        <v>1</v>
      </c>
      <c r="J2749" s="4" t="s">
        <v>33</v>
      </c>
      <c r="K2749" s="4" t="s">
        <v>233</v>
      </c>
      <c r="L2749" s="4" t="s">
        <v>35</v>
      </c>
      <c r="M2749" s="4" t="s">
        <v>108</v>
      </c>
      <c r="N2749" s="4" t="s">
        <v>37</v>
      </c>
      <c r="O2749" s="4" t="s">
        <v>168</v>
      </c>
      <c r="P2749" s="4">
        <v>309</v>
      </c>
      <c r="Q2749" s="4" t="s">
        <v>69</v>
      </c>
      <c r="R2749" s="4" t="s">
        <v>111</v>
      </c>
      <c r="S2749" s="4">
        <v>137873</v>
      </c>
      <c r="T2749" s="4">
        <v>113432</v>
      </c>
      <c r="U2749" s="4">
        <v>24441</v>
      </c>
      <c r="V2749" s="4">
        <v>103553</v>
      </c>
      <c r="W2749" s="4">
        <v>29376</v>
      </c>
      <c r="X2749" s="4">
        <v>1382</v>
      </c>
      <c r="Y2749" s="4" t="s">
        <v>41</v>
      </c>
      <c r="Z2749" s="4">
        <v>52</v>
      </c>
      <c r="AA2749" s="4">
        <v>4.5</v>
      </c>
      <c r="AB2749" s="4" t="s">
        <v>42</v>
      </c>
    </row>
    <row r="2750" spans="1:28" x14ac:dyDescent="0.25">
      <c r="A2750" s="2" t="s">
        <v>3560</v>
      </c>
      <c r="B2750" s="2" t="s">
        <v>834</v>
      </c>
      <c r="C2750" s="2">
        <v>50</v>
      </c>
      <c r="D2750" s="2" t="s">
        <v>30</v>
      </c>
      <c r="E2750" s="2" t="s">
        <v>79</v>
      </c>
      <c r="F2750" s="2" t="s">
        <v>32</v>
      </c>
      <c r="G2750" s="3">
        <v>45414</v>
      </c>
      <c r="H2750" s="3">
        <v>45420</v>
      </c>
      <c r="I2750" s="2">
        <v>6</v>
      </c>
      <c r="J2750" s="2" t="s">
        <v>73</v>
      </c>
      <c r="K2750" s="2" t="s">
        <v>74</v>
      </c>
      <c r="L2750" s="2" t="s">
        <v>73</v>
      </c>
      <c r="M2750" s="2" t="s">
        <v>36</v>
      </c>
      <c r="N2750" s="2" t="s">
        <v>109</v>
      </c>
      <c r="O2750" s="2" t="s">
        <v>241</v>
      </c>
      <c r="P2750" s="2">
        <v>352</v>
      </c>
      <c r="Q2750" s="2" t="s">
        <v>69</v>
      </c>
      <c r="R2750" s="2" t="s">
        <v>90</v>
      </c>
      <c r="S2750" s="2">
        <v>54957</v>
      </c>
      <c r="T2750" s="2">
        <v>36550</v>
      </c>
      <c r="U2750" s="2">
        <v>18407</v>
      </c>
      <c r="V2750" s="2">
        <v>37600</v>
      </c>
      <c r="W2750" s="2">
        <v>4851</v>
      </c>
      <c r="X2750" s="2">
        <v>11673</v>
      </c>
      <c r="Y2750" s="2" t="s">
        <v>41</v>
      </c>
      <c r="Z2750" s="2">
        <v>52</v>
      </c>
      <c r="AA2750" s="2">
        <v>4.8</v>
      </c>
      <c r="AB2750" s="2" t="s">
        <v>42</v>
      </c>
    </row>
    <row r="2751" spans="1:28" x14ac:dyDescent="0.25">
      <c r="A2751" s="4" t="s">
        <v>3561</v>
      </c>
      <c r="B2751" s="4" t="s">
        <v>1487</v>
      </c>
      <c r="C2751" s="4">
        <v>62</v>
      </c>
      <c r="D2751" s="4" t="s">
        <v>30</v>
      </c>
      <c r="E2751" s="4" t="s">
        <v>56</v>
      </c>
      <c r="F2751" s="4" t="s">
        <v>72</v>
      </c>
      <c r="G2751" s="5">
        <v>45387</v>
      </c>
      <c r="H2751" s="5">
        <v>45405</v>
      </c>
      <c r="I2751" s="4">
        <v>18</v>
      </c>
      <c r="J2751" s="4" t="s">
        <v>33</v>
      </c>
      <c r="K2751" s="4" t="s">
        <v>107</v>
      </c>
      <c r="L2751" s="4" t="s">
        <v>48</v>
      </c>
      <c r="M2751" s="4" t="s">
        <v>108</v>
      </c>
      <c r="N2751" s="4" t="s">
        <v>37</v>
      </c>
      <c r="O2751" s="4" t="s">
        <v>285</v>
      </c>
      <c r="P2751" s="4">
        <v>339</v>
      </c>
      <c r="Q2751" s="4" t="s">
        <v>50</v>
      </c>
      <c r="R2751" s="4" t="s">
        <v>40</v>
      </c>
      <c r="S2751" s="4">
        <v>71069</v>
      </c>
      <c r="T2751" s="4">
        <v>29120</v>
      </c>
      <c r="U2751" s="4">
        <v>41949</v>
      </c>
      <c r="V2751" s="4">
        <v>56444</v>
      </c>
      <c r="W2751" s="4">
        <v>3897</v>
      </c>
      <c r="X2751" s="4">
        <v>7603</v>
      </c>
      <c r="Y2751" s="4" t="s">
        <v>41</v>
      </c>
      <c r="Z2751" s="4">
        <v>54</v>
      </c>
      <c r="AA2751" s="4">
        <v>4.7</v>
      </c>
      <c r="AB2751" s="4" t="s">
        <v>104</v>
      </c>
    </row>
    <row r="2752" spans="1:28" x14ac:dyDescent="0.25">
      <c r="A2752" s="2" t="s">
        <v>3562</v>
      </c>
      <c r="B2752" s="2" t="s">
        <v>800</v>
      </c>
      <c r="C2752" s="2">
        <v>67</v>
      </c>
      <c r="D2752" s="2" t="s">
        <v>55</v>
      </c>
      <c r="E2752" s="2" t="s">
        <v>79</v>
      </c>
      <c r="F2752" s="2" t="s">
        <v>72</v>
      </c>
      <c r="G2752" s="3">
        <v>44653</v>
      </c>
      <c r="H2752" s="3">
        <v>44657</v>
      </c>
      <c r="I2752" s="2">
        <v>4</v>
      </c>
      <c r="J2752" s="2" t="s">
        <v>140</v>
      </c>
      <c r="K2752" s="2" t="s">
        <v>167</v>
      </c>
      <c r="L2752" s="2" t="s">
        <v>142</v>
      </c>
      <c r="M2752" s="2" t="s">
        <v>95</v>
      </c>
      <c r="N2752" s="2" t="s">
        <v>118</v>
      </c>
      <c r="O2752" s="2" t="s">
        <v>89</v>
      </c>
      <c r="P2752" s="2">
        <v>118</v>
      </c>
      <c r="Q2752" s="2" t="s">
        <v>50</v>
      </c>
      <c r="R2752" s="2" t="s">
        <v>111</v>
      </c>
      <c r="S2752" s="2">
        <v>172854</v>
      </c>
      <c r="T2752" s="2">
        <v>128523</v>
      </c>
      <c r="U2752" s="2">
        <v>44331</v>
      </c>
      <c r="V2752" s="2">
        <v>140440</v>
      </c>
      <c r="W2752" s="2">
        <v>20704</v>
      </c>
      <c r="X2752" s="2">
        <v>9038</v>
      </c>
      <c r="Y2752" s="2" t="s">
        <v>41</v>
      </c>
      <c r="Z2752" s="2">
        <v>96</v>
      </c>
      <c r="AA2752" s="2">
        <v>2.8</v>
      </c>
      <c r="AB2752" s="2" t="s">
        <v>42</v>
      </c>
    </row>
    <row r="2753" spans="1:28" x14ac:dyDescent="0.25">
      <c r="A2753" s="4" t="s">
        <v>3563</v>
      </c>
      <c r="B2753" s="4" t="s">
        <v>1818</v>
      </c>
      <c r="C2753" s="4">
        <v>67</v>
      </c>
      <c r="D2753" s="4" t="s">
        <v>55</v>
      </c>
      <c r="E2753" s="4" t="s">
        <v>45</v>
      </c>
      <c r="F2753" s="4" t="s">
        <v>94</v>
      </c>
      <c r="G2753" s="5">
        <v>44587</v>
      </c>
      <c r="H2753" s="5">
        <v>44590</v>
      </c>
      <c r="I2753" s="4">
        <v>3</v>
      </c>
      <c r="J2753" s="4" t="s">
        <v>33</v>
      </c>
      <c r="K2753" s="4" t="s">
        <v>47</v>
      </c>
      <c r="L2753" s="4" t="s">
        <v>48</v>
      </c>
      <c r="M2753" s="4" t="s">
        <v>95</v>
      </c>
      <c r="N2753" s="4" t="s">
        <v>118</v>
      </c>
      <c r="O2753" s="4" t="s">
        <v>1000</v>
      </c>
      <c r="P2753" s="4">
        <v>79</v>
      </c>
      <c r="Q2753" s="4" t="s">
        <v>69</v>
      </c>
      <c r="R2753" s="4" t="s">
        <v>90</v>
      </c>
      <c r="S2753" s="4">
        <v>82180</v>
      </c>
      <c r="T2753" s="4">
        <v>50178</v>
      </c>
      <c r="U2753" s="4">
        <v>32002</v>
      </c>
      <c r="V2753" s="4">
        <v>58600</v>
      </c>
      <c r="W2753" s="4">
        <v>6979</v>
      </c>
      <c r="X2753" s="4">
        <v>14261</v>
      </c>
      <c r="Y2753" s="4" t="s">
        <v>91</v>
      </c>
      <c r="Z2753" s="4">
        <v>98</v>
      </c>
      <c r="AA2753" s="4">
        <v>4.2</v>
      </c>
      <c r="AB2753" s="4" t="s">
        <v>64</v>
      </c>
    </row>
    <row r="2754" spans="1:28" x14ac:dyDescent="0.25">
      <c r="A2754" s="2" t="s">
        <v>3564</v>
      </c>
      <c r="B2754" s="2" t="s">
        <v>1383</v>
      </c>
      <c r="C2754" s="2">
        <v>56</v>
      </c>
      <c r="D2754" s="2" t="s">
        <v>55</v>
      </c>
      <c r="E2754" s="2" t="s">
        <v>56</v>
      </c>
      <c r="F2754" s="2" t="s">
        <v>150</v>
      </c>
      <c r="G2754" s="3">
        <v>45031</v>
      </c>
      <c r="H2754" s="3">
        <v>45048</v>
      </c>
      <c r="I2754" s="2">
        <v>17</v>
      </c>
      <c r="J2754" s="2" t="s">
        <v>58</v>
      </c>
      <c r="K2754" s="2" t="s">
        <v>88</v>
      </c>
      <c r="L2754" s="2" t="s">
        <v>60</v>
      </c>
      <c r="M2754" s="2" t="s">
        <v>95</v>
      </c>
      <c r="N2754" s="2" t="s">
        <v>118</v>
      </c>
      <c r="O2754" s="2" t="s">
        <v>497</v>
      </c>
      <c r="P2754" s="2">
        <v>177</v>
      </c>
      <c r="Q2754" s="2" t="s">
        <v>69</v>
      </c>
      <c r="R2754" s="2" t="s">
        <v>51</v>
      </c>
      <c r="S2754" s="2">
        <v>73515</v>
      </c>
      <c r="T2754" s="2">
        <v>48115</v>
      </c>
      <c r="U2754" s="2">
        <v>25400</v>
      </c>
      <c r="V2754" s="2">
        <v>29111</v>
      </c>
      <c r="W2754" s="2">
        <v>28048</v>
      </c>
      <c r="X2754" s="2">
        <v>12035</v>
      </c>
      <c r="Y2754" s="2" t="s">
        <v>41</v>
      </c>
      <c r="Z2754" s="2">
        <v>99</v>
      </c>
      <c r="AA2754" s="2">
        <v>4.5999999999999996</v>
      </c>
      <c r="AB2754" s="2" t="s">
        <v>52</v>
      </c>
    </row>
    <row r="2755" spans="1:28" x14ac:dyDescent="0.25">
      <c r="A2755" s="4" t="s">
        <v>3565</v>
      </c>
      <c r="B2755" s="4" t="s">
        <v>785</v>
      </c>
      <c r="C2755" s="4">
        <v>58</v>
      </c>
      <c r="D2755" s="4" t="s">
        <v>55</v>
      </c>
      <c r="E2755" s="4" t="s">
        <v>79</v>
      </c>
      <c r="F2755" s="4" t="s">
        <v>46</v>
      </c>
      <c r="G2755" s="5">
        <v>45026</v>
      </c>
      <c r="H2755" s="5">
        <v>45040</v>
      </c>
      <c r="I2755" s="4">
        <v>14</v>
      </c>
      <c r="J2755" s="4" t="s">
        <v>33</v>
      </c>
      <c r="K2755" s="4" t="s">
        <v>174</v>
      </c>
      <c r="L2755" s="4" t="s">
        <v>48</v>
      </c>
      <c r="M2755" s="4" t="s">
        <v>130</v>
      </c>
      <c r="N2755" s="4" t="s">
        <v>118</v>
      </c>
      <c r="O2755" s="4" t="s">
        <v>580</v>
      </c>
      <c r="P2755" s="4">
        <v>9</v>
      </c>
      <c r="Q2755" s="4" t="s">
        <v>69</v>
      </c>
      <c r="R2755" s="4" t="s">
        <v>90</v>
      </c>
      <c r="S2755" s="4">
        <v>92371</v>
      </c>
      <c r="T2755" s="4">
        <v>80184</v>
      </c>
      <c r="U2755" s="4">
        <v>12187</v>
      </c>
      <c r="V2755" s="4">
        <v>51838</v>
      </c>
      <c r="W2755" s="4">
        <v>22110</v>
      </c>
      <c r="X2755" s="4">
        <v>14704</v>
      </c>
      <c r="Y2755" s="4" t="s">
        <v>41</v>
      </c>
      <c r="Z2755" s="4">
        <v>52</v>
      </c>
      <c r="AA2755" s="4">
        <v>4.8</v>
      </c>
      <c r="AB2755" s="4" t="s">
        <v>42</v>
      </c>
    </row>
    <row r="2756" spans="1:28" x14ac:dyDescent="0.25">
      <c r="A2756" s="2" t="s">
        <v>3566</v>
      </c>
      <c r="B2756" s="2" t="s">
        <v>932</v>
      </c>
      <c r="C2756" s="2">
        <v>72</v>
      </c>
      <c r="D2756" s="2" t="s">
        <v>30</v>
      </c>
      <c r="E2756" s="2" t="s">
        <v>67</v>
      </c>
      <c r="F2756" s="2" t="s">
        <v>46</v>
      </c>
      <c r="G2756" s="3">
        <v>44848</v>
      </c>
      <c r="H2756" s="3">
        <v>44860</v>
      </c>
      <c r="I2756" s="2">
        <v>12</v>
      </c>
      <c r="J2756" s="2" t="s">
        <v>140</v>
      </c>
      <c r="K2756" s="2" t="s">
        <v>141</v>
      </c>
      <c r="L2756" s="2" t="s">
        <v>142</v>
      </c>
      <c r="M2756" s="2" t="s">
        <v>95</v>
      </c>
      <c r="N2756" s="2" t="s">
        <v>109</v>
      </c>
      <c r="O2756" s="2" t="s">
        <v>178</v>
      </c>
      <c r="P2756" s="2">
        <v>251</v>
      </c>
      <c r="Q2756" s="2" t="s">
        <v>69</v>
      </c>
      <c r="R2756" s="2" t="s">
        <v>90</v>
      </c>
      <c r="S2756" s="2">
        <v>134921</v>
      </c>
      <c r="T2756" s="2">
        <v>88032</v>
      </c>
      <c r="U2756" s="2">
        <v>46889</v>
      </c>
      <c r="V2756" s="2">
        <v>100090</v>
      </c>
      <c r="W2756" s="2">
        <v>26430</v>
      </c>
      <c r="X2756" s="2">
        <v>4282</v>
      </c>
      <c r="Y2756" s="2" t="s">
        <v>41</v>
      </c>
      <c r="Z2756" s="2">
        <v>62</v>
      </c>
      <c r="AA2756" s="2">
        <v>3.2</v>
      </c>
      <c r="AB2756" s="2" t="s">
        <v>64</v>
      </c>
    </row>
    <row r="2757" spans="1:28" x14ac:dyDescent="0.25">
      <c r="A2757" s="4" t="s">
        <v>3567</v>
      </c>
      <c r="B2757" s="4" t="s">
        <v>473</v>
      </c>
      <c r="C2757" s="4">
        <v>37</v>
      </c>
      <c r="D2757" s="4" t="s">
        <v>55</v>
      </c>
      <c r="E2757" s="4" t="s">
        <v>79</v>
      </c>
      <c r="F2757" s="4" t="s">
        <v>94</v>
      </c>
      <c r="G2757" s="5">
        <v>44713</v>
      </c>
      <c r="H2757" s="5">
        <v>44733</v>
      </c>
      <c r="I2757" s="4">
        <v>20</v>
      </c>
      <c r="J2757" s="4" t="s">
        <v>33</v>
      </c>
      <c r="K2757" s="4" t="s">
        <v>197</v>
      </c>
      <c r="L2757" s="4" t="s">
        <v>198</v>
      </c>
      <c r="M2757" s="4" t="s">
        <v>130</v>
      </c>
      <c r="N2757" s="4" t="s">
        <v>62</v>
      </c>
      <c r="O2757" s="4" t="s">
        <v>181</v>
      </c>
      <c r="P2757" s="4">
        <v>91</v>
      </c>
      <c r="Q2757" s="4" t="s">
        <v>69</v>
      </c>
      <c r="R2757" s="4" t="s">
        <v>90</v>
      </c>
      <c r="S2757" s="4">
        <v>67114</v>
      </c>
      <c r="T2757" s="4">
        <v>56213</v>
      </c>
      <c r="U2757" s="4">
        <v>10901</v>
      </c>
      <c r="V2757" s="4">
        <v>39746</v>
      </c>
      <c r="W2757" s="4">
        <v>15720</v>
      </c>
      <c r="X2757" s="4">
        <v>8072</v>
      </c>
      <c r="Y2757" s="4" t="s">
        <v>41</v>
      </c>
      <c r="Z2757" s="4">
        <v>65</v>
      </c>
      <c r="AA2757" s="4">
        <v>5</v>
      </c>
      <c r="AB2757" s="4" t="s">
        <v>64</v>
      </c>
    </row>
    <row r="2758" spans="1:28" x14ac:dyDescent="0.25">
      <c r="A2758" s="2" t="s">
        <v>3568</v>
      </c>
      <c r="B2758" s="2" t="s">
        <v>1375</v>
      </c>
      <c r="C2758" s="2">
        <v>52</v>
      </c>
      <c r="D2758" s="2" t="s">
        <v>30</v>
      </c>
      <c r="E2758" s="2" t="s">
        <v>87</v>
      </c>
      <c r="F2758" s="2" t="s">
        <v>46</v>
      </c>
      <c r="G2758" s="3">
        <v>45172</v>
      </c>
      <c r="H2758" s="3">
        <v>45176</v>
      </c>
      <c r="I2758" s="2">
        <v>4</v>
      </c>
      <c r="J2758" s="2" t="s">
        <v>33</v>
      </c>
      <c r="K2758" s="2" t="s">
        <v>34</v>
      </c>
      <c r="L2758" s="2" t="s">
        <v>35</v>
      </c>
      <c r="M2758" s="2" t="s">
        <v>75</v>
      </c>
      <c r="N2758" s="2" t="s">
        <v>118</v>
      </c>
      <c r="O2758" s="2" t="s">
        <v>492</v>
      </c>
      <c r="P2758" s="2">
        <v>90</v>
      </c>
      <c r="Q2758" s="2" t="s">
        <v>69</v>
      </c>
      <c r="R2758" s="2" t="s">
        <v>111</v>
      </c>
      <c r="S2758" s="2">
        <v>88891</v>
      </c>
      <c r="T2758" s="2">
        <v>73852</v>
      </c>
      <c r="U2758" s="2">
        <v>15039</v>
      </c>
      <c r="V2758" s="2">
        <v>50984</v>
      </c>
      <c r="W2758" s="2">
        <v>26864</v>
      </c>
      <c r="X2758" s="2">
        <v>8467</v>
      </c>
      <c r="Y2758" s="2" t="s">
        <v>41</v>
      </c>
      <c r="Z2758" s="2">
        <v>49</v>
      </c>
      <c r="AA2758" s="2">
        <v>2.2000000000000002</v>
      </c>
      <c r="AB2758" s="2" t="s">
        <v>42</v>
      </c>
    </row>
    <row r="2759" spans="1:28" x14ac:dyDescent="0.25">
      <c r="A2759" s="4" t="s">
        <v>3569</v>
      </c>
      <c r="B2759" s="4" t="s">
        <v>139</v>
      </c>
      <c r="C2759" s="4">
        <v>41</v>
      </c>
      <c r="D2759" s="4" t="s">
        <v>30</v>
      </c>
      <c r="E2759" s="4" t="s">
        <v>56</v>
      </c>
      <c r="F2759" s="4" t="s">
        <v>32</v>
      </c>
      <c r="G2759" s="5">
        <v>45447</v>
      </c>
      <c r="H2759" s="5">
        <v>45463</v>
      </c>
      <c r="I2759" s="4">
        <v>16</v>
      </c>
      <c r="J2759" s="4" t="s">
        <v>33</v>
      </c>
      <c r="K2759" s="4" t="s">
        <v>34</v>
      </c>
      <c r="L2759" s="4" t="s">
        <v>35</v>
      </c>
      <c r="M2759" s="4" t="s">
        <v>36</v>
      </c>
      <c r="N2759" s="4" t="s">
        <v>37</v>
      </c>
      <c r="O2759" s="4" t="s">
        <v>492</v>
      </c>
      <c r="P2759" s="4">
        <v>389</v>
      </c>
      <c r="Q2759" s="4" t="s">
        <v>69</v>
      </c>
      <c r="R2759" s="4" t="s">
        <v>40</v>
      </c>
      <c r="S2759" s="4">
        <v>144434</v>
      </c>
      <c r="T2759" s="4">
        <v>87578</v>
      </c>
      <c r="U2759" s="4">
        <v>56856</v>
      </c>
      <c r="V2759" s="4">
        <v>105619</v>
      </c>
      <c r="W2759" s="4">
        <v>29607</v>
      </c>
      <c r="X2759" s="4">
        <v>4358</v>
      </c>
      <c r="Y2759" s="4" t="s">
        <v>91</v>
      </c>
      <c r="Z2759" s="4">
        <v>96</v>
      </c>
      <c r="AA2759" s="4">
        <v>3.8</v>
      </c>
      <c r="AB2759" s="4" t="s">
        <v>104</v>
      </c>
    </row>
    <row r="2760" spans="1:28" x14ac:dyDescent="0.25">
      <c r="A2760" s="2" t="s">
        <v>3570</v>
      </c>
      <c r="B2760" s="2" t="s">
        <v>542</v>
      </c>
      <c r="C2760" s="2">
        <v>49</v>
      </c>
      <c r="D2760" s="2" t="s">
        <v>55</v>
      </c>
      <c r="E2760" s="2" t="s">
        <v>87</v>
      </c>
      <c r="F2760" s="2" t="s">
        <v>32</v>
      </c>
      <c r="G2760" s="3">
        <v>44994</v>
      </c>
      <c r="H2760" s="3">
        <v>45001</v>
      </c>
      <c r="I2760" s="2">
        <v>7</v>
      </c>
      <c r="J2760" s="2" t="s">
        <v>33</v>
      </c>
      <c r="K2760" s="2" t="s">
        <v>197</v>
      </c>
      <c r="L2760" s="2" t="s">
        <v>198</v>
      </c>
      <c r="M2760" s="2" t="s">
        <v>75</v>
      </c>
      <c r="N2760" s="2" t="s">
        <v>37</v>
      </c>
      <c r="O2760" s="2" t="s">
        <v>1038</v>
      </c>
      <c r="P2760" s="2">
        <v>438</v>
      </c>
      <c r="Q2760" s="2" t="s">
        <v>39</v>
      </c>
      <c r="R2760" s="2" t="s">
        <v>136</v>
      </c>
      <c r="S2760" s="2">
        <v>82867</v>
      </c>
      <c r="T2760" s="2">
        <v>0</v>
      </c>
      <c r="U2760" s="2">
        <v>82867</v>
      </c>
      <c r="V2760" s="2">
        <v>49547</v>
      </c>
      <c r="W2760" s="2">
        <v>20413</v>
      </c>
      <c r="X2760" s="2">
        <v>9456</v>
      </c>
      <c r="Y2760" s="2" t="s">
        <v>41</v>
      </c>
      <c r="Z2760" s="2">
        <v>71</v>
      </c>
      <c r="AA2760" s="2">
        <v>2.2000000000000002</v>
      </c>
      <c r="AB2760" s="2" t="s">
        <v>42</v>
      </c>
    </row>
    <row r="2761" spans="1:28" x14ac:dyDescent="0.25">
      <c r="A2761" s="4" t="s">
        <v>3571</v>
      </c>
      <c r="B2761" s="4" t="s">
        <v>852</v>
      </c>
      <c r="C2761" s="4">
        <v>40</v>
      </c>
      <c r="D2761" s="4" t="s">
        <v>30</v>
      </c>
      <c r="E2761" s="4" t="s">
        <v>79</v>
      </c>
      <c r="F2761" s="4" t="s">
        <v>114</v>
      </c>
      <c r="G2761" s="5">
        <v>44991</v>
      </c>
      <c r="H2761" s="5">
        <v>45017</v>
      </c>
      <c r="I2761" s="4">
        <v>26</v>
      </c>
      <c r="J2761" s="4" t="s">
        <v>58</v>
      </c>
      <c r="K2761" s="4" t="s">
        <v>59</v>
      </c>
      <c r="L2761" s="4" t="s">
        <v>60</v>
      </c>
      <c r="M2761" s="4" t="s">
        <v>134</v>
      </c>
      <c r="N2761" s="4" t="s">
        <v>37</v>
      </c>
      <c r="O2761" s="4" t="s">
        <v>211</v>
      </c>
      <c r="P2761" s="4">
        <v>222</v>
      </c>
      <c r="Q2761" s="4" t="s">
        <v>50</v>
      </c>
      <c r="R2761" s="4" t="s">
        <v>51</v>
      </c>
      <c r="S2761" s="4">
        <v>49247</v>
      </c>
      <c r="T2761" s="4">
        <v>19912</v>
      </c>
      <c r="U2761" s="4">
        <v>29335</v>
      </c>
      <c r="V2761" s="4">
        <v>36780</v>
      </c>
      <c r="W2761" s="4">
        <v>9172</v>
      </c>
      <c r="X2761" s="4">
        <v>2115</v>
      </c>
      <c r="Y2761" s="4" t="s">
        <v>41</v>
      </c>
      <c r="Z2761" s="4">
        <v>63</v>
      </c>
      <c r="AA2761" s="4">
        <v>2.4</v>
      </c>
      <c r="AB2761" s="4" t="s">
        <v>64</v>
      </c>
    </row>
    <row r="2762" spans="1:28" x14ac:dyDescent="0.25">
      <c r="A2762" s="2" t="s">
        <v>3572</v>
      </c>
      <c r="B2762" s="2" t="s">
        <v>1104</v>
      </c>
      <c r="C2762" s="2">
        <v>85</v>
      </c>
      <c r="D2762" s="2" t="s">
        <v>55</v>
      </c>
      <c r="E2762" s="2" t="s">
        <v>45</v>
      </c>
      <c r="F2762" s="2" t="s">
        <v>72</v>
      </c>
      <c r="G2762" s="3">
        <v>45289</v>
      </c>
      <c r="H2762" s="3">
        <v>45307</v>
      </c>
      <c r="I2762" s="2">
        <v>18</v>
      </c>
      <c r="J2762" s="2" t="s">
        <v>33</v>
      </c>
      <c r="K2762" s="2" t="s">
        <v>99</v>
      </c>
      <c r="L2762" s="2" t="s">
        <v>100</v>
      </c>
      <c r="M2762" s="2" t="s">
        <v>143</v>
      </c>
      <c r="N2762" s="2" t="s">
        <v>109</v>
      </c>
      <c r="O2762" s="2" t="s">
        <v>285</v>
      </c>
      <c r="P2762" s="2">
        <v>270</v>
      </c>
      <c r="Q2762" s="2" t="s">
        <v>103</v>
      </c>
      <c r="R2762" s="2" t="s">
        <v>111</v>
      </c>
      <c r="S2762" s="2">
        <v>44512</v>
      </c>
      <c r="T2762" s="2">
        <v>29808</v>
      </c>
      <c r="U2762" s="2">
        <v>14704</v>
      </c>
      <c r="V2762" s="2">
        <v>13675</v>
      </c>
      <c r="W2762" s="2">
        <v>17653</v>
      </c>
      <c r="X2762" s="2">
        <v>11267</v>
      </c>
      <c r="Y2762" s="2" t="s">
        <v>41</v>
      </c>
      <c r="Z2762" s="2">
        <v>63</v>
      </c>
      <c r="AA2762" s="2">
        <v>2.2999999999999998</v>
      </c>
      <c r="AB2762" s="2" t="s">
        <v>64</v>
      </c>
    </row>
    <row r="2763" spans="1:28" x14ac:dyDescent="0.25">
      <c r="A2763" s="4" t="s">
        <v>3573</v>
      </c>
      <c r="B2763" s="4" t="s">
        <v>1109</v>
      </c>
      <c r="C2763" s="4">
        <v>47</v>
      </c>
      <c r="D2763" s="4" t="s">
        <v>55</v>
      </c>
      <c r="E2763" s="4" t="s">
        <v>154</v>
      </c>
      <c r="F2763" s="4" t="s">
        <v>80</v>
      </c>
      <c r="G2763" s="5">
        <v>45103</v>
      </c>
      <c r="H2763" s="5">
        <v>45122</v>
      </c>
      <c r="I2763" s="4">
        <v>19</v>
      </c>
      <c r="J2763" s="4" t="s">
        <v>58</v>
      </c>
      <c r="K2763" s="4" t="s">
        <v>59</v>
      </c>
      <c r="L2763" s="4" t="s">
        <v>60</v>
      </c>
      <c r="M2763" s="4" t="s">
        <v>83</v>
      </c>
      <c r="N2763" s="4" t="s">
        <v>62</v>
      </c>
      <c r="O2763" s="4" t="s">
        <v>365</v>
      </c>
      <c r="P2763" s="4">
        <v>241</v>
      </c>
      <c r="Q2763" s="4" t="s">
        <v>103</v>
      </c>
      <c r="R2763" s="4" t="s">
        <v>51</v>
      </c>
      <c r="S2763" s="4">
        <v>49879</v>
      </c>
      <c r="T2763" s="4">
        <v>34823</v>
      </c>
      <c r="U2763" s="4">
        <v>15056</v>
      </c>
      <c r="V2763" s="4">
        <v>31927</v>
      </c>
      <c r="W2763" s="4">
        <v>2832</v>
      </c>
      <c r="X2763" s="4">
        <v>13911</v>
      </c>
      <c r="Y2763" s="4" t="s">
        <v>41</v>
      </c>
      <c r="Z2763" s="4">
        <v>93</v>
      </c>
      <c r="AA2763" s="4">
        <v>2.5</v>
      </c>
      <c r="AB2763" s="4" t="s">
        <v>137</v>
      </c>
    </row>
    <row r="2764" spans="1:28" x14ac:dyDescent="0.25">
      <c r="A2764" s="2" t="s">
        <v>3574</v>
      </c>
      <c r="B2764" s="2" t="s">
        <v>1344</v>
      </c>
      <c r="C2764" s="2">
        <v>29</v>
      </c>
      <c r="D2764" s="2" t="s">
        <v>55</v>
      </c>
      <c r="E2764" s="2" t="s">
        <v>56</v>
      </c>
      <c r="F2764" s="2" t="s">
        <v>46</v>
      </c>
      <c r="G2764" s="3">
        <v>44723</v>
      </c>
      <c r="H2764" s="3">
        <v>44732</v>
      </c>
      <c r="I2764" s="2">
        <v>9</v>
      </c>
      <c r="J2764" s="2" t="s">
        <v>123</v>
      </c>
      <c r="K2764" s="2" t="s">
        <v>124</v>
      </c>
      <c r="L2764" s="2" t="s">
        <v>125</v>
      </c>
      <c r="M2764" s="2" t="s">
        <v>83</v>
      </c>
      <c r="N2764" s="2" t="s">
        <v>118</v>
      </c>
      <c r="O2764" s="2" t="s">
        <v>119</v>
      </c>
      <c r="P2764" s="2">
        <v>363</v>
      </c>
      <c r="Q2764" s="2" t="s">
        <v>50</v>
      </c>
      <c r="R2764" s="2" t="s">
        <v>136</v>
      </c>
      <c r="S2764" s="2">
        <v>145009</v>
      </c>
      <c r="T2764" s="2">
        <v>0</v>
      </c>
      <c r="U2764" s="2">
        <v>145009</v>
      </c>
      <c r="V2764" s="2">
        <v>103067</v>
      </c>
      <c r="W2764" s="2">
        <v>29288</v>
      </c>
      <c r="X2764" s="2">
        <v>11151</v>
      </c>
      <c r="Y2764" s="2" t="s">
        <v>41</v>
      </c>
      <c r="Z2764" s="2">
        <v>68</v>
      </c>
      <c r="AA2764" s="2">
        <v>4.3</v>
      </c>
      <c r="AB2764" s="2" t="s">
        <v>64</v>
      </c>
    </row>
    <row r="2765" spans="1:28" x14ac:dyDescent="0.25">
      <c r="A2765" s="4" t="s">
        <v>3575</v>
      </c>
      <c r="B2765" s="4" t="s">
        <v>657</v>
      </c>
      <c r="C2765" s="4">
        <v>5</v>
      </c>
      <c r="D2765" s="4" t="s">
        <v>55</v>
      </c>
      <c r="E2765" s="4" t="s">
        <v>67</v>
      </c>
      <c r="F2765" s="4" t="s">
        <v>80</v>
      </c>
      <c r="G2765" s="5">
        <v>45099</v>
      </c>
      <c r="H2765" s="5">
        <v>45126</v>
      </c>
      <c r="I2765" s="4">
        <v>27</v>
      </c>
      <c r="J2765" s="4" t="s">
        <v>202</v>
      </c>
      <c r="K2765" s="4" t="s">
        <v>225</v>
      </c>
      <c r="L2765" s="4" t="s">
        <v>226</v>
      </c>
      <c r="M2765" s="4" t="s">
        <v>108</v>
      </c>
      <c r="N2765" s="4" t="s">
        <v>118</v>
      </c>
      <c r="O2765" s="4" t="s">
        <v>681</v>
      </c>
      <c r="P2765" s="4">
        <v>47</v>
      </c>
      <c r="Q2765" s="4" t="s">
        <v>50</v>
      </c>
      <c r="R2765" s="4" t="s">
        <v>51</v>
      </c>
      <c r="S2765" s="4">
        <v>49364</v>
      </c>
      <c r="T2765" s="4">
        <v>24718</v>
      </c>
      <c r="U2765" s="4">
        <v>24646</v>
      </c>
      <c r="V2765" s="4">
        <v>24281</v>
      </c>
      <c r="W2765" s="4">
        <v>14785</v>
      </c>
      <c r="X2765" s="4">
        <v>6905</v>
      </c>
      <c r="Y2765" s="4" t="s">
        <v>41</v>
      </c>
      <c r="Z2765" s="4">
        <v>45</v>
      </c>
      <c r="AA2765" s="4">
        <v>4.4000000000000004</v>
      </c>
      <c r="AB2765" s="4" t="s">
        <v>64</v>
      </c>
    </row>
    <row r="2766" spans="1:28" x14ac:dyDescent="0.25">
      <c r="A2766" s="2" t="s">
        <v>3576</v>
      </c>
      <c r="B2766" s="2" t="s">
        <v>240</v>
      </c>
      <c r="C2766" s="2">
        <v>54</v>
      </c>
      <c r="D2766" s="2" t="s">
        <v>30</v>
      </c>
      <c r="E2766" s="2" t="s">
        <v>154</v>
      </c>
      <c r="F2766" s="2" t="s">
        <v>157</v>
      </c>
      <c r="G2766" s="3">
        <v>45005</v>
      </c>
      <c r="H2766" s="3">
        <v>45019</v>
      </c>
      <c r="I2766" s="2">
        <v>14</v>
      </c>
      <c r="J2766" s="2" t="s">
        <v>33</v>
      </c>
      <c r="K2766" s="2" t="s">
        <v>197</v>
      </c>
      <c r="L2766" s="2" t="s">
        <v>198</v>
      </c>
      <c r="M2766" s="2" t="s">
        <v>83</v>
      </c>
      <c r="N2766" s="2" t="s">
        <v>62</v>
      </c>
      <c r="O2766" s="2" t="s">
        <v>110</v>
      </c>
      <c r="P2766" s="2">
        <v>467</v>
      </c>
      <c r="Q2766" s="2" t="s">
        <v>39</v>
      </c>
      <c r="R2766" s="2" t="s">
        <v>40</v>
      </c>
      <c r="S2766" s="2">
        <v>75153</v>
      </c>
      <c r="T2766" s="2">
        <v>37516</v>
      </c>
      <c r="U2766" s="2">
        <v>37637</v>
      </c>
      <c r="V2766" s="2">
        <v>37902</v>
      </c>
      <c r="W2766" s="2">
        <v>20900</v>
      </c>
      <c r="X2766" s="2">
        <v>13525</v>
      </c>
      <c r="Y2766" s="2" t="s">
        <v>41</v>
      </c>
      <c r="Z2766" s="2">
        <v>76</v>
      </c>
      <c r="AA2766" s="2">
        <v>3.2</v>
      </c>
      <c r="AB2766" s="2" t="s">
        <v>52</v>
      </c>
    </row>
    <row r="2767" spans="1:28" x14ac:dyDescent="0.25">
      <c r="A2767" s="4" t="s">
        <v>3577</v>
      </c>
      <c r="B2767" s="4" t="s">
        <v>378</v>
      </c>
      <c r="C2767" s="4">
        <v>41</v>
      </c>
      <c r="D2767" s="4" t="s">
        <v>30</v>
      </c>
      <c r="E2767" s="4" t="s">
        <v>56</v>
      </c>
      <c r="F2767" s="4" t="s">
        <v>94</v>
      </c>
      <c r="G2767" s="5">
        <v>44593</v>
      </c>
      <c r="H2767" s="5">
        <v>44619</v>
      </c>
      <c r="I2767" s="4">
        <v>26</v>
      </c>
      <c r="J2767" s="4" t="s">
        <v>33</v>
      </c>
      <c r="K2767" s="4" t="s">
        <v>47</v>
      </c>
      <c r="L2767" s="4" t="s">
        <v>48</v>
      </c>
      <c r="M2767" s="4" t="s">
        <v>130</v>
      </c>
      <c r="N2767" s="4" t="s">
        <v>62</v>
      </c>
      <c r="O2767" s="4" t="s">
        <v>673</v>
      </c>
      <c r="P2767" s="4">
        <v>372</v>
      </c>
      <c r="Q2767" s="4" t="s">
        <v>39</v>
      </c>
      <c r="R2767" s="4" t="s">
        <v>51</v>
      </c>
      <c r="S2767" s="4">
        <v>45437</v>
      </c>
      <c r="T2767" s="4">
        <v>28661</v>
      </c>
      <c r="U2767" s="4">
        <v>16776</v>
      </c>
      <c r="V2767" s="4">
        <v>8553</v>
      </c>
      <c r="W2767" s="4">
        <v>22782</v>
      </c>
      <c r="X2767" s="4">
        <v>11364</v>
      </c>
      <c r="Y2767" s="4" t="s">
        <v>91</v>
      </c>
      <c r="Z2767" s="4">
        <v>96</v>
      </c>
      <c r="AA2767" s="4">
        <v>3.4</v>
      </c>
      <c r="AB2767" s="4" t="s">
        <v>42</v>
      </c>
    </row>
    <row r="2768" spans="1:28" x14ac:dyDescent="0.25">
      <c r="A2768" s="2" t="s">
        <v>3578</v>
      </c>
      <c r="B2768" s="2" t="s">
        <v>752</v>
      </c>
      <c r="C2768" s="2">
        <v>83</v>
      </c>
      <c r="D2768" s="2" t="s">
        <v>55</v>
      </c>
      <c r="E2768" s="2" t="s">
        <v>87</v>
      </c>
      <c r="F2768" s="2" t="s">
        <v>72</v>
      </c>
      <c r="G2768" s="3">
        <v>45434</v>
      </c>
      <c r="H2768" s="3">
        <v>45445</v>
      </c>
      <c r="I2768" s="2">
        <v>11</v>
      </c>
      <c r="J2768" s="2" t="s">
        <v>33</v>
      </c>
      <c r="K2768" s="2" t="s">
        <v>278</v>
      </c>
      <c r="L2768" s="2" t="s">
        <v>279</v>
      </c>
      <c r="M2768" s="2" t="s">
        <v>61</v>
      </c>
      <c r="N2768" s="2" t="s">
        <v>62</v>
      </c>
      <c r="O2768" s="2" t="s">
        <v>135</v>
      </c>
      <c r="P2768" s="2">
        <v>453</v>
      </c>
      <c r="Q2768" s="2" t="s">
        <v>103</v>
      </c>
      <c r="R2768" s="2" t="s">
        <v>90</v>
      </c>
      <c r="S2768" s="2">
        <v>168387</v>
      </c>
      <c r="T2768" s="2">
        <v>117879</v>
      </c>
      <c r="U2768" s="2">
        <v>50508</v>
      </c>
      <c r="V2768" s="2">
        <v>142204</v>
      </c>
      <c r="W2768" s="2">
        <v>16049</v>
      </c>
      <c r="X2768" s="2">
        <v>9008</v>
      </c>
      <c r="Y2768" s="2" t="s">
        <v>41</v>
      </c>
      <c r="Z2768" s="2">
        <v>84</v>
      </c>
      <c r="AA2768" s="2">
        <v>3.8</v>
      </c>
      <c r="AB2768" s="2" t="s">
        <v>104</v>
      </c>
    </row>
    <row r="2769" spans="1:28" x14ac:dyDescent="0.25">
      <c r="A2769" s="4" t="s">
        <v>3579</v>
      </c>
      <c r="B2769" s="4" t="s">
        <v>794</v>
      </c>
      <c r="C2769" s="4">
        <v>13</v>
      </c>
      <c r="D2769" s="4" t="s">
        <v>30</v>
      </c>
      <c r="E2769" s="4" t="s">
        <v>45</v>
      </c>
      <c r="F2769" s="4" t="s">
        <v>114</v>
      </c>
      <c r="G2769" s="5">
        <v>45528</v>
      </c>
      <c r="H2769" s="5">
        <v>45530</v>
      </c>
      <c r="I2769" s="4">
        <v>2</v>
      </c>
      <c r="J2769" s="4" t="s">
        <v>33</v>
      </c>
      <c r="K2769" s="4" t="s">
        <v>278</v>
      </c>
      <c r="L2769" s="4" t="s">
        <v>279</v>
      </c>
      <c r="M2769" s="4" t="s">
        <v>108</v>
      </c>
      <c r="N2769" s="4" t="s">
        <v>37</v>
      </c>
      <c r="O2769" s="4" t="s">
        <v>681</v>
      </c>
      <c r="P2769" s="4">
        <v>274</v>
      </c>
      <c r="Q2769" s="4" t="s">
        <v>50</v>
      </c>
      <c r="R2769" s="4" t="s">
        <v>90</v>
      </c>
      <c r="S2769" s="4">
        <v>139670</v>
      </c>
      <c r="T2769" s="4">
        <v>92237</v>
      </c>
      <c r="U2769" s="4">
        <v>47433</v>
      </c>
      <c r="V2769" s="4">
        <v>116531</v>
      </c>
      <c r="W2769" s="4">
        <v>19036</v>
      </c>
      <c r="X2769" s="4">
        <v>3414</v>
      </c>
      <c r="Y2769" s="4" t="s">
        <v>41</v>
      </c>
      <c r="Z2769" s="4">
        <v>99</v>
      </c>
      <c r="AA2769" s="4">
        <v>4.5</v>
      </c>
      <c r="AB2769" s="4" t="s">
        <v>64</v>
      </c>
    </row>
    <row r="2770" spans="1:28" x14ac:dyDescent="0.25">
      <c r="A2770" s="2" t="s">
        <v>3580</v>
      </c>
      <c r="B2770" s="2" t="s">
        <v>2845</v>
      </c>
      <c r="C2770" s="2">
        <v>51</v>
      </c>
      <c r="D2770" s="2" t="s">
        <v>30</v>
      </c>
      <c r="E2770" s="2" t="s">
        <v>79</v>
      </c>
      <c r="F2770" s="2" t="s">
        <v>57</v>
      </c>
      <c r="G2770" s="3">
        <v>44697</v>
      </c>
      <c r="H2770" s="3">
        <v>44725</v>
      </c>
      <c r="I2770" s="2">
        <v>28</v>
      </c>
      <c r="J2770" s="2" t="s">
        <v>33</v>
      </c>
      <c r="K2770" s="2" t="s">
        <v>47</v>
      </c>
      <c r="L2770" s="2" t="s">
        <v>48</v>
      </c>
      <c r="M2770" s="2" t="s">
        <v>36</v>
      </c>
      <c r="N2770" s="2" t="s">
        <v>118</v>
      </c>
      <c r="O2770" s="2" t="s">
        <v>184</v>
      </c>
      <c r="P2770" s="2">
        <v>264</v>
      </c>
      <c r="Q2770" s="2" t="s">
        <v>50</v>
      </c>
      <c r="R2770" s="2" t="s">
        <v>90</v>
      </c>
      <c r="S2770" s="2">
        <v>62312</v>
      </c>
      <c r="T2770" s="2">
        <v>38892</v>
      </c>
      <c r="U2770" s="2">
        <v>23420</v>
      </c>
      <c r="V2770" s="2">
        <v>32704</v>
      </c>
      <c r="W2770" s="2">
        <v>18800</v>
      </c>
      <c r="X2770" s="2">
        <v>9562</v>
      </c>
      <c r="Y2770" s="2" t="s">
        <v>41</v>
      </c>
      <c r="Z2770" s="2">
        <v>89</v>
      </c>
      <c r="AA2770" s="2">
        <v>4.5</v>
      </c>
      <c r="AB2770" s="2" t="s">
        <v>42</v>
      </c>
    </row>
    <row r="2771" spans="1:28" x14ac:dyDescent="0.25">
      <c r="A2771" s="4" t="s">
        <v>3581</v>
      </c>
      <c r="B2771" s="4" t="s">
        <v>473</v>
      </c>
      <c r="C2771" s="4">
        <v>39</v>
      </c>
      <c r="D2771" s="4" t="s">
        <v>55</v>
      </c>
      <c r="E2771" s="4" t="s">
        <v>45</v>
      </c>
      <c r="F2771" s="4" t="s">
        <v>157</v>
      </c>
      <c r="G2771" s="5">
        <v>45078</v>
      </c>
      <c r="H2771" s="5">
        <v>45098</v>
      </c>
      <c r="I2771" s="4">
        <v>20</v>
      </c>
      <c r="J2771" s="4" t="s">
        <v>115</v>
      </c>
      <c r="K2771" s="4" t="s">
        <v>116</v>
      </c>
      <c r="L2771" s="4" t="s">
        <v>117</v>
      </c>
      <c r="M2771" s="4" t="s">
        <v>83</v>
      </c>
      <c r="N2771" s="4" t="s">
        <v>118</v>
      </c>
      <c r="O2771" s="4" t="s">
        <v>227</v>
      </c>
      <c r="P2771" s="4">
        <v>357</v>
      </c>
      <c r="Q2771" s="4" t="s">
        <v>103</v>
      </c>
      <c r="R2771" s="4" t="s">
        <v>51</v>
      </c>
      <c r="S2771" s="4">
        <v>101022</v>
      </c>
      <c r="T2771" s="4">
        <v>46228</v>
      </c>
      <c r="U2771" s="4">
        <v>54794</v>
      </c>
      <c r="V2771" s="4">
        <v>87958</v>
      </c>
      <c r="W2771" s="4">
        <v>10516</v>
      </c>
      <c r="X2771" s="4">
        <v>897</v>
      </c>
      <c r="Y2771" s="4" t="s">
        <v>41</v>
      </c>
      <c r="Z2771" s="4">
        <v>52</v>
      </c>
      <c r="AA2771" s="4">
        <v>4.3</v>
      </c>
      <c r="AB2771" s="4" t="s">
        <v>52</v>
      </c>
    </row>
    <row r="2772" spans="1:28" x14ac:dyDescent="0.25">
      <c r="A2772" s="2" t="s">
        <v>3582</v>
      </c>
      <c r="B2772" s="2" t="s">
        <v>785</v>
      </c>
      <c r="C2772" s="2">
        <v>76</v>
      </c>
      <c r="D2772" s="2" t="s">
        <v>55</v>
      </c>
      <c r="E2772" s="2" t="s">
        <v>67</v>
      </c>
      <c r="F2772" s="2" t="s">
        <v>72</v>
      </c>
      <c r="G2772" s="3">
        <v>45266</v>
      </c>
      <c r="H2772" s="3">
        <v>45281</v>
      </c>
      <c r="I2772" s="2">
        <v>15</v>
      </c>
      <c r="J2772" s="2" t="s">
        <v>33</v>
      </c>
      <c r="K2772" s="2" t="s">
        <v>34</v>
      </c>
      <c r="L2772" s="2" t="s">
        <v>35</v>
      </c>
      <c r="M2772" s="2" t="s">
        <v>101</v>
      </c>
      <c r="N2772" s="2" t="s">
        <v>118</v>
      </c>
      <c r="O2772" s="2" t="s">
        <v>373</v>
      </c>
      <c r="P2772" s="2">
        <v>24</v>
      </c>
      <c r="Q2772" s="2" t="s">
        <v>69</v>
      </c>
      <c r="R2772" s="2" t="s">
        <v>111</v>
      </c>
      <c r="S2772" s="2">
        <v>166206</v>
      </c>
      <c r="T2772" s="2">
        <v>130919</v>
      </c>
      <c r="U2772" s="2">
        <v>35287</v>
      </c>
      <c r="V2772" s="2">
        <v>148396</v>
      </c>
      <c r="W2772" s="2">
        <v>10577</v>
      </c>
      <c r="X2772" s="2">
        <v>6195</v>
      </c>
      <c r="Y2772" s="2" t="s">
        <v>41</v>
      </c>
      <c r="Z2772" s="2">
        <v>57</v>
      </c>
      <c r="AA2772" s="2">
        <v>4.7</v>
      </c>
      <c r="AB2772" s="2" t="s">
        <v>104</v>
      </c>
    </row>
    <row r="2773" spans="1:28" x14ac:dyDescent="0.25">
      <c r="A2773" s="4" t="s">
        <v>3583</v>
      </c>
      <c r="B2773" s="4" t="s">
        <v>564</v>
      </c>
      <c r="C2773" s="4">
        <v>71</v>
      </c>
      <c r="D2773" s="4" t="s">
        <v>30</v>
      </c>
      <c r="E2773" s="4" t="s">
        <v>31</v>
      </c>
      <c r="F2773" s="4" t="s">
        <v>57</v>
      </c>
      <c r="G2773" s="5">
        <v>44977</v>
      </c>
      <c r="H2773" s="5">
        <v>44995</v>
      </c>
      <c r="I2773" s="4">
        <v>18</v>
      </c>
      <c r="J2773" s="4" t="s">
        <v>33</v>
      </c>
      <c r="K2773" s="4" t="s">
        <v>34</v>
      </c>
      <c r="L2773" s="4" t="s">
        <v>35</v>
      </c>
      <c r="M2773" s="4" t="s">
        <v>83</v>
      </c>
      <c r="N2773" s="4" t="s">
        <v>37</v>
      </c>
      <c r="O2773" s="4" t="s">
        <v>428</v>
      </c>
      <c r="P2773" s="4">
        <v>2</v>
      </c>
      <c r="Q2773" s="4" t="s">
        <v>103</v>
      </c>
      <c r="R2773" s="4" t="s">
        <v>40</v>
      </c>
      <c r="S2773" s="4">
        <v>133021</v>
      </c>
      <c r="T2773" s="4">
        <v>59219</v>
      </c>
      <c r="U2773" s="4">
        <v>73802</v>
      </c>
      <c r="V2773" s="4">
        <v>115754</v>
      </c>
      <c r="W2773" s="4">
        <v>5725</v>
      </c>
      <c r="X2773" s="4">
        <v>9728</v>
      </c>
      <c r="Y2773" s="4" t="s">
        <v>41</v>
      </c>
      <c r="Z2773" s="4">
        <v>76</v>
      </c>
      <c r="AA2773" s="4">
        <v>4.4000000000000004</v>
      </c>
      <c r="AB2773" s="4" t="s">
        <v>52</v>
      </c>
    </row>
    <row r="2774" spans="1:28" x14ac:dyDescent="0.25">
      <c r="A2774" s="2" t="s">
        <v>3584</v>
      </c>
      <c r="B2774" s="2" t="s">
        <v>721</v>
      </c>
      <c r="C2774" s="2">
        <v>59</v>
      </c>
      <c r="D2774" s="2" t="s">
        <v>55</v>
      </c>
      <c r="E2774" s="2" t="s">
        <v>56</v>
      </c>
      <c r="F2774" s="2" t="s">
        <v>57</v>
      </c>
      <c r="G2774" s="3">
        <v>45298</v>
      </c>
      <c r="H2774" s="3">
        <v>45305</v>
      </c>
      <c r="I2774" s="2">
        <v>7</v>
      </c>
      <c r="J2774" s="2" t="s">
        <v>123</v>
      </c>
      <c r="K2774" s="2" t="s">
        <v>124</v>
      </c>
      <c r="L2774" s="2" t="s">
        <v>125</v>
      </c>
      <c r="M2774" s="2" t="s">
        <v>143</v>
      </c>
      <c r="N2774" s="2" t="s">
        <v>37</v>
      </c>
      <c r="O2774" s="2" t="s">
        <v>548</v>
      </c>
      <c r="P2774" s="2">
        <v>222</v>
      </c>
      <c r="Q2774" s="2" t="s">
        <v>103</v>
      </c>
      <c r="R2774" s="2" t="s">
        <v>111</v>
      </c>
      <c r="S2774" s="2">
        <v>127159</v>
      </c>
      <c r="T2774" s="2">
        <v>90174</v>
      </c>
      <c r="U2774" s="2">
        <v>36985</v>
      </c>
      <c r="V2774" s="2">
        <v>101626</v>
      </c>
      <c r="W2774" s="2">
        <v>9984</v>
      </c>
      <c r="X2774" s="2">
        <v>14927</v>
      </c>
      <c r="Y2774" s="2" t="s">
        <v>41</v>
      </c>
      <c r="Z2774" s="2">
        <v>53</v>
      </c>
      <c r="AA2774" s="2">
        <v>4.9000000000000004</v>
      </c>
      <c r="AB2774" s="2" t="s">
        <v>64</v>
      </c>
    </row>
    <row r="2775" spans="1:28" x14ac:dyDescent="0.25">
      <c r="A2775" s="4" t="s">
        <v>3585</v>
      </c>
      <c r="B2775" s="4" t="s">
        <v>515</v>
      </c>
      <c r="C2775" s="4">
        <v>35</v>
      </c>
      <c r="D2775" s="4" t="s">
        <v>30</v>
      </c>
      <c r="E2775" s="4" t="s">
        <v>79</v>
      </c>
      <c r="F2775" s="4" t="s">
        <v>80</v>
      </c>
      <c r="G2775" s="5">
        <v>44686</v>
      </c>
      <c r="H2775" s="5">
        <v>44703</v>
      </c>
      <c r="I2775" s="4">
        <v>17</v>
      </c>
      <c r="J2775" s="4" t="s">
        <v>202</v>
      </c>
      <c r="K2775" s="4" t="s">
        <v>225</v>
      </c>
      <c r="L2775" s="4" t="s">
        <v>226</v>
      </c>
      <c r="M2775" s="4" t="s">
        <v>130</v>
      </c>
      <c r="N2775" s="4" t="s">
        <v>37</v>
      </c>
      <c r="O2775" s="4" t="s">
        <v>217</v>
      </c>
      <c r="P2775" s="4">
        <v>289</v>
      </c>
      <c r="Q2775" s="4" t="s">
        <v>50</v>
      </c>
      <c r="R2775" s="4" t="s">
        <v>51</v>
      </c>
      <c r="S2775" s="4">
        <v>74939</v>
      </c>
      <c r="T2775" s="4">
        <v>36232</v>
      </c>
      <c r="U2775" s="4">
        <v>38707</v>
      </c>
      <c r="V2775" s="4">
        <v>37248</v>
      </c>
      <c r="W2775" s="4">
        <v>29026</v>
      </c>
      <c r="X2775" s="4">
        <v>7743</v>
      </c>
      <c r="Y2775" s="4" t="s">
        <v>41</v>
      </c>
      <c r="Z2775" s="4">
        <v>66</v>
      </c>
      <c r="AA2775" s="4">
        <v>3.5</v>
      </c>
      <c r="AB2775" s="4" t="s">
        <v>42</v>
      </c>
    </row>
    <row r="2776" spans="1:28" x14ac:dyDescent="0.25">
      <c r="A2776" s="2" t="s">
        <v>3586</v>
      </c>
      <c r="B2776" s="2" t="s">
        <v>1046</v>
      </c>
      <c r="C2776" s="2">
        <v>62</v>
      </c>
      <c r="D2776" s="2" t="s">
        <v>55</v>
      </c>
      <c r="E2776" s="2" t="s">
        <v>56</v>
      </c>
      <c r="F2776" s="2" t="s">
        <v>114</v>
      </c>
      <c r="G2776" s="3">
        <v>44996</v>
      </c>
      <c r="H2776" s="3">
        <v>45011</v>
      </c>
      <c r="I2776" s="2">
        <v>15</v>
      </c>
      <c r="J2776" s="2" t="s">
        <v>33</v>
      </c>
      <c r="K2776" s="2" t="s">
        <v>233</v>
      </c>
      <c r="L2776" s="2" t="s">
        <v>35</v>
      </c>
      <c r="M2776" s="2" t="s">
        <v>130</v>
      </c>
      <c r="N2776" s="2" t="s">
        <v>62</v>
      </c>
      <c r="O2776" s="2" t="s">
        <v>110</v>
      </c>
      <c r="P2776" s="2">
        <v>75</v>
      </c>
      <c r="Q2776" s="2" t="s">
        <v>69</v>
      </c>
      <c r="R2776" s="2" t="s">
        <v>40</v>
      </c>
      <c r="S2776" s="2">
        <v>174225</v>
      </c>
      <c r="T2776" s="2">
        <v>121387</v>
      </c>
      <c r="U2776" s="2">
        <v>52838</v>
      </c>
      <c r="V2776" s="2">
        <v>144106</v>
      </c>
      <c r="W2776" s="2">
        <v>18617</v>
      </c>
      <c r="X2776" s="2">
        <v>9620</v>
      </c>
      <c r="Y2776" s="2" t="s">
        <v>41</v>
      </c>
      <c r="Z2776" s="2">
        <v>76</v>
      </c>
      <c r="AA2776" s="2">
        <v>4.8</v>
      </c>
      <c r="AB2776" s="2" t="s">
        <v>137</v>
      </c>
    </row>
    <row r="2777" spans="1:28" x14ac:dyDescent="0.25">
      <c r="A2777" s="4" t="s">
        <v>3587</v>
      </c>
      <c r="B2777" s="4" t="s">
        <v>336</v>
      </c>
      <c r="C2777" s="4">
        <v>61</v>
      </c>
      <c r="D2777" s="4" t="s">
        <v>30</v>
      </c>
      <c r="E2777" s="4" t="s">
        <v>122</v>
      </c>
      <c r="F2777" s="4" t="s">
        <v>157</v>
      </c>
      <c r="G2777" s="5">
        <v>45209</v>
      </c>
      <c r="H2777" s="5">
        <v>45231</v>
      </c>
      <c r="I2777" s="4">
        <v>22</v>
      </c>
      <c r="J2777" s="4" t="s">
        <v>123</v>
      </c>
      <c r="K2777" s="4" t="s">
        <v>124</v>
      </c>
      <c r="L2777" s="4" t="s">
        <v>125</v>
      </c>
      <c r="M2777" s="4" t="s">
        <v>143</v>
      </c>
      <c r="N2777" s="4" t="s">
        <v>118</v>
      </c>
      <c r="O2777" s="4" t="s">
        <v>543</v>
      </c>
      <c r="P2777" s="4">
        <v>45</v>
      </c>
      <c r="Q2777" s="4" t="s">
        <v>69</v>
      </c>
      <c r="R2777" s="4" t="s">
        <v>40</v>
      </c>
      <c r="S2777" s="4">
        <v>93614</v>
      </c>
      <c r="T2777" s="4">
        <v>38053</v>
      </c>
      <c r="U2777" s="4">
        <v>55561</v>
      </c>
      <c r="V2777" s="4">
        <v>61919</v>
      </c>
      <c r="W2777" s="4">
        <v>27583</v>
      </c>
      <c r="X2777" s="4">
        <v>2837</v>
      </c>
      <c r="Y2777" s="4" t="s">
        <v>41</v>
      </c>
      <c r="Z2777" s="4">
        <v>65</v>
      </c>
      <c r="AA2777" s="4">
        <v>3.4</v>
      </c>
      <c r="AB2777" s="4" t="s">
        <v>52</v>
      </c>
    </row>
    <row r="2778" spans="1:28" x14ac:dyDescent="0.25">
      <c r="A2778" s="2" t="s">
        <v>3588</v>
      </c>
      <c r="B2778" s="2" t="s">
        <v>1687</v>
      </c>
      <c r="C2778" s="2">
        <v>9</v>
      </c>
      <c r="D2778" s="2" t="s">
        <v>55</v>
      </c>
      <c r="E2778" s="2" t="s">
        <v>45</v>
      </c>
      <c r="F2778" s="2" t="s">
        <v>46</v>
      </c>
      <c r="G2778" s="3">
        <v>44863</v>
      </c>
      <c r="H2778" s="3">
        <v>44879</v>
      </c>
      <c r="I2778" s="2">
        <v>16</v>
      </c>
      <c r="J2778" s="2" t="s">
        <v>123</v>
      </c>
      <c r="K2778" s="2" t="s">
        <v>251</v>
      </c>
      <c r="L2778" s="2" t="s">
        <v>125</v>
      </c>
      <c r="M2778" s="2" t="s">
        <v>75</v>
      </c>
      <c r="N2778" s="2" t="s">
        <v>109</v>
      </c>
      <c r="O2778" s="2" t="s">
        <v>135</v>
      </c>
      <c r="P2778" s="2">
        <v>438</v>
      </c>
      <c r="Q2778" s="2" t="s">
        <v>69</v>
      </c>
      <c r="R2778" s="2" t="s">
        <v>51</v>
      </c>
      <c r="S2778" s="2">
        <v>45668</v>
      </c>
      <c r="T2778" s="2">
        <v>20844</v>
      </c>
      <c r="U2778" s="2">
        <v>24824</v>
      </c>
      <c r="V2778" s="2">
        <v>20896</v>
      </c>
      <c r="W2778" s="2">
        <v>8771</v>
      </c>
      <c r="X2778" s="2">
        <v>13220</v>
      </c>
      <c r="Y2778" s="2" t="s">
        <v>41</v>
      </c>
      <c r="Z2778" s="2">
        <v>46</v>
      </c>
      <c r="AA2778" s="2">
        <v>2.9</v>
      </c>
      <c r="AB2778" s="2" t="s">
        <v>42</v>
      </c>
    </row>
    <row r="2779" spans="1:28" x14ac:dyDescent="0.25">
      <c r="A2779" s="4" t="s">
        <v>3589</v>
      </c>
      <c r="B2779" s="4" t="s">
        <v>240</v>
      </c>
      <c r="C2779" s="4">
        <v>32</v>
      </c>
      <c r="D2779" s="4" t="s">
        <v>55</v>
      </c>
      <c r="E2779" s="4" t="s">
        <v>45</v>
      </c>
      <c r="F2779" s="4" t="s">
        <v>46</v>
      </c>
      <c r="G2779" s="5">
        <v>45269</v>
      </c>
      <c r="H2779" s="5">
        <v>45270</v>
      </c>
      <c r="I2779" s="4">
        <v>1</v>
      </c>
      <c r="J2779" s="4" t="s">
        <v>33</v>
      </c>
      <c r="K2779" s="4" t="s">
        <v>99</v>
      </c>
      <c r="L2779" s="4" t="s">
        <v>100</v>
      </c>
      <c r="M2779" s="4" t="s">
        <v>83</v>
      </c>
      <c r="N2779" s="4" t="s">
        <v>118</v>
      </c>
      <c r="O2779" s="4" t="s">
        <v>259</v>
      </c>
      <c r="P2779" s="4">
        <v>415</v>
      </c>
      <c r="Q2779" s="4" t="s">
        <v>103</v>
      </c>
      <c r="R2779" s="4" t="s">
        <v>51</v>
      </c>
      <c r="S2779" s="4">
        <v>127461</v>
      </c>
      <c r="T2779" s="4">
        <v>61697</v>
      </c>
      <c r="U2779" s="4">
        <v>65764</v>
      </c>
      <c r="V2779" s="4">
        <v>101670</v>
      </c>
      <c r="W2779" s="4">
        <v>19165</v>
      </c>
      <c r="X2779" s="4">
        <v>2086</v>
      </c>
      <c r="Y2779" s="4" t="s">
        <v>41</v>
      </c>
      <c r="Z2779" s="4">
        <v>84</v>
      </c>
      <c r="AA2779" s="4">
        <v>4.4000000000000004</v>
      </c>
      <c r="AB2779" s="4" t="s">
        <v>137</v>
      </c>
    </row>
    <row r="2780" spans="1:28" x14ac:dyDescent="0.25">
      <c r="A2780" s="2" t="s">
        <v>3590</v>
      </c>
      <c r="B2780" s="2" t="s">
        <v>1002</v>
      </c>
      <c r="C2780" s="2">
        <v>38</v>
      </c>
      <c r="D2780" s="2" t="s">
        <v>55</v>
      </c>
      <c r="E2780" s="2" t="s">
        <v>154</v>
      </c>
      <c r="F2780" s="2" t="s">
        <v>32</v>
      </c>
      <c r="G2780" s="3">
        <v>44912</v>
      </c>
      <c r="H2780" s="3">
        <v>44938</v>
      </c>
      <c r="I2780" s="2">
        <v>26</v>
      </c>
      <c r="J2780" s="2" t="s">
        <v>33</v>
      </c>
      <c r="K2780" s="2" t="s">
        <v>99</v>
      </c>
      <c r="L2780" s="2" t="s">
        <v>100</v>
      </c>
      <c r="M2780" s="2" t="s">
        <v>134</v>
      </c>
      <c r="N2780" s="2" t="s">
        <v>109</v>
      </c>
      <c r="O2780" s="2" t="s">
        <v>497</v>
      </c>
      <c r="P2780" s="2">
        <v>156</v>
      </c>
      <c r="Q2780" s="2" t="s">
        <v>103</v>
      </c>
      <c r="R2780" s="2" t="s">
        <v>136</v>
      </c>
      <c r="S2780" s="2">
        <v>146500</v>
      </c>
      <c r="T2780" s="2">
        <v>0</v>
      </c>
      <c r="U2780" s="2">
        <v>146500</v>
      </c>
      <c r="V2780" s="2">
        <v>126046</v>
      </c>
      <c r="W2780" s="2">
        <v>4066</v>
      </c>
      <c r="X2780" s="2">
        <v>11912</v>
      </c>
      <c r="Y2780" s="2" t="s">
        <v>41</v>
      </c>
      <c r="Z2780" s="2">
        <v>64</v>
      </c>
      <c r="AA2780" s="2">
        <v>3.1</v>
      </c>
      <c r="AB2780" s="2" t="s">
        <v>42</v>
      </c>
    </row>
    <row r="2781" spans="1:28" x14ac:dyDescent="0.25">
      <c r="A2781" s="4" t="s">
        <v>3591</v>
      </c>
      <c r="B2781" s="4" t="s">
        <v>1976</v>
      </c>
      <c r="C2781" s="4">
        <v>11</v>
      </c>
      <c r="D2781" s="4" t="s">
        <v>30</v>
      </c>
      <c r="E2781" s="4" t="s">
        <v>67</v>
      </c>
      <c r="F2781" s="4" t="s">
        <v>157</v>
      </c>
      <c r="G2781" s="5">
        <v>44869</v>
      </c>
      <c r="H2781" s="5">
        <v>44878</v>
      </c>
      <c r="I2781" s="4">
        <v>9</v>
      </c>
      <c r="J2781" s="4" t="s">
        <v>58</v>
      </c>
      <c r="K2781" s="4" t="s">
        <v>88</v>
      </c>
      <c r="L2781" s="4" t="s">
        <v>60</v>
      </c>
      <c r="M2781" s="4" t="s">
        <v>36</v>
      </c>
      <c r="N2781" s="4" t="s">
        <v>62</v>
      </c>
      <c r="O2781" s="4" t="s">
        <v>368</v>
      </c>
      <c r="P2781" s="4">
        <v>415</v>
      </c>
      <c r="Q2781" s="4" t="s">
        <v>69</v>
      </c>
      <c r="R2781" s="4" t="s">
        <v>40</v>
      </c>
      <c r="S2781" s="4">
        <v>115833</v>
      </c>
      <c r="T2781" s="4">
        <v>75311</v>
      </c>
      <c r="U2781" s="4">
        <v>40522</v>
      </c>
      <c r="V2781" s="4">
        <v>75906</v>
      </c>
      <c r="W2781" s="4">
        <v>24063</v>
      </c>
      <c r="X2781" s="4">
        <v>14425</v>
      </c>
      <c r="Y2781" s="4" t="s">
        <v>91</v>
      </c>
      <c r="Z2781" s="4">
        <v>84</v>
      </c>
      <c r="AA2781" s="4">
        <v>3.2</v>
      </c>
      <c r="AB2781" s="4" t="s">
        <v>137</v>
      </c>
    </row>
    <row r="2782" spans="1:28" x14ac:dyDescent="0.25">
      <c r="A2782" s="2" t="s">
        <v>3592</v>
      </c>
      <c r="B2782" s="2" t="s">
        <v>1812</v>
      </c>
      <c r="C2782" s="2">
        <v>17</v>
      </c>
      <c r="D2782" s="2" t="s">
        <v>55</v>
      </c>
      <c r="E2782" s="2" t="s">
        <v>67</v>
      </c>
      <c r="F2782" s="2" t="s">
        <v>72</v>
      </c>
      <c r="G2782" s="3">
        <v>44895</v>
      </c>
      <c r="H2782" s="3">
        <v>44909</v>
      </c>
      <c r="I2782" s="2">
        <v>14</v>
      </c>
      <c r="J2782" s="2" t="s">
        <v>123</v>
      </c>
      <c r="K2782" s="2" t="s">
        <v>124</v>
      </c>
      <c r="L2782" s="2" t="s">
        <v>125</v>
      </c>
      <c r="M2782" s="2" t="s">
        <v>108</v>
      </c>
      <c r="N2782" s="2" t="s">
        <v>118</v>
      </c>
      <c r="O2782" s="2" t="s">
        <v>591</v>
      </c>
      <c r="P2782" s="2">
        <v>375</v>
      </c>
      <c r="Q2782" s="2" t="s">
        <v>69</v>
      </c>
      <c r="R2782" s="2" t="s">
        <v>40</v>
      </c>
      <c r="S2782" s="2">
        <v>35563</v>
      </c>
      <c r="T2782" s="2">
        <v>22587</v>
      </c>
      <c r="U2782" s="2">
        <v>12976</v>
      </c>
      <c r="V2782" s="2">
        <v>17361</v>
      </c>
      <c r="W2782" s="2">
        <v>13441</v>
      </c>
      <c r="X2782" s="2">
        <v>3693</v>
      </c>
      <c r="Y2782" s="2" t="s">
        <v>91</v>
      </c>
      <c r="Z2782" s="2">
        <v>42</v>
      </c>
      <c r="AA2782" s="2">
        <v>4.8</v>
      </c>
      <c r="AB2782" s="2" t="s">
        <v>64</v>
      </c>
    </row>
    <row r="2783" spans="1:28" x14ac:dyDescent="0.25">
      <c r="A2783" s="4" t="s">
        <v>3593</v>
      </c>
      <c r="B2783" s="4" t="s">
        <v>1275</v>
      </c>
      <c r="C2783" s="4">
        <v>32</v>
      </c>
      <c r="D2783" s="4" t="s">
        <v>55</v>
      </c>
      <c r="E2783" s="4" t="s">
        <v>45</v>
      </c>
      <c r="F2783" s="4" t="s">
        <v>46</v>
      </c>
      <c r="G2783" s="5">
        <v>44570</v>
      </c>
      <c r="H2783" s="5">
        <v>44592</v>
      </c>
      <c r="I2783" s="4">
        <v>22</v>
      </c>
      <c r="J2783" s="4" t="s">
        <v>58</v>
      </c>
      <c r="K2783" s="4" t="s">
        <v>88</v>
      </c>
      <c r="L2783" s="4" t="s">
        <v>60</v>
      </c>
      <c r="M2783" s="4" t="s">
        <v>75</v>
      </c>
      <c r="N2783" s="4" t="s">
        <v>37</v>
      </c>
      <c r="O2783" s="4" t="s">
        <v>455</v>
      </c>
      <c r="P2783" s="4">
        <v>487</v>
      </c>
      <c r="Q2783" s="4" t="s">
        <v>103</v>
      </c>
      <c r="R2783" s="4" t="s">
        <v>90</v>
      </c>
      <c r="S2783" s="4">
        <v>156359</v>
      </c>
      <c r="T2783" s="4">
        <v>130935</v>
      </c>
      <c r="U2783" s="4">
        <v>25424</v>
      </c>
      <c r="V2783" s="4">
        <v>133859</v>
      </c>
      <c r="W2783" s="4">
        <v>6665</v>
      </c>
      <c r="X2783" s="4">
        <v>13066</v>
      </c>
      <c r="Y2783" s="4" t="s">
        <v>41</v>
      </c>
      <c r="Z2783" s="4">
        <v>98</v>
      </c>
      <c r="AA2783" s="4">
        <v>4.3</v>
      </c>
      <c r="AB2783" s="4" t="s">
        <v>137</v>
      </c>
    </row>
    <row r="2784" spans="1:28" x14ac:dyDescent="0.25">
      <c r="A2784" s="2" t="s">
        <v>3594</v>
      </c>
      <c r="B2784" s="2" t="s">
        <v>1440</v>
      </c>
      <c r="C2784" s="2">
        <v>13</v>
      </c>
      <c r="D2784" s="2" t="s">
        <v>30</v>
      </c>
      <c r="E2784" s="2" t="s">
        <v>122</v>
      </c>
      <c r="F2784" s="2" t="s">
        <v>114</v>
      </c>
      <c r="G2784" s="3">
        <v>44659</v>
      </c>
      <c r="H2784" s="3">
        <v>44669</v>
      </c>
      <c r="I2784" s="2">
        <v>10</v>
      </c>
      <c r="J2784" s="2" t="s">
        <v>140</v>
      </c>
      <c r="K2784" s="2" t="s">
        <v>167</v>
      </c>
      <c r="L2784" s="2" t="s">
        <v>142</v>
      </c>
      <c r="M2784" s="2" t="s">
        <v>143</v>
      </c>
      <c r="N2784" s="2" t="s">
        <v>62</v>
      </c>
      <c r="O2784" s="2" t="s">
        <v>102</v>
      </c>
      <c r="P2784" s="2">
        <v>145</v>
      </c>
      <c r="Q2784" s="2" t="s">
        <v>50</v>
      </c>
      <c r="R2784" s="2" t="s">
        <v>136</v>
      </c>
      <c r="S2784" s="2">
        <v>144131</v>
      </c>
      <c r="T2784" s="2">
        <v>0</v>
      </c>
      <c r="U2784" s="2">
        <v>144131</v>
      </c>
      <c r="V2784" s="2">
        <v>129657</v>
      </c>
      <c r="W2784" s="2">
        <v>3401</v>
      </c>
      <c r="X2784" s="2">
        <v>9949</v>
      </c>
      <c r="Y2784" s="2" t="s">
        <v>41</v>
      </c>
      <c r="Z2784" s="2">
        <v>83</v>
      </c>
      <c r="AA2784" s="2">
        <v>3.4</v>
      </c>
      <c r="AB2784" s="2" t="s">
        <v>52</v>
      </c>
    </row>
    <row r="2785" spans="1:28" x14ac:dyDescent="0.25">
      <c r="A2785" s="4" t="s">
        <v>3595</v>
      </c>
      <c r="B2785" s="4" t="s">
        <v>1838</v>
      </c>
      <c r="C2785" s="4">
        <v>85</v>
      </c>
      <c r="D2785" s="4" t="s">
        <v>55</v>
      </c>
      <c r="E2785" s="4" t="s">
        <v>79</v>
      </c>
      <c r="F2785" s="4" t="s">
        <v>129</v>
      </c>
      <c r="G2785" s="5">
        <v>44749</v>
      </c>
      <c r="H2785" s="5">
        <v>44753</v>
      </c>
      <c r="I2785" s="4">
        <v>4</v>
      </c>
      <c r="J2785" s="4" t="s">
        <v>140</v>
      </c>
      <c r="K2785" s="4" t="s">
        <v>167</v>
      </c>
      <c r="L2785" s="4" t="s">
        <v>142</v>
      </c>
      <c r="M2785" s="4" t="s">
        <v>83</v>
      </c>
      <c r="N2785" s="4" t="s">
        <v>62</v>
      </c>
      <c r="O2785" s="4" t="s">
        <v>126</v>
      </c>
      <c r="P2785" s="4">
        <v>340</v>
      </c>
      <c r="Q2785" s="4" t="s">
        <v>103</v>
      </c>
      <c r="R2785" s="4" t="s">
        <v>136</v>
      </c>
      <c r="S2785" s="4">
        <v>78428</v>
      </c>
      <c r="T2785" s="4">
        <v>0</v>
      </c>
      <c r="U2785" s="4">
        <v>78428</v>
      </c>
      <c r="V2785" s="4">
        <v>39570</v>
      </c>
      <c r="W2785" s="4">
        <v>28062</v>
      </c>
      <c r="X2785" s="4">
        <v>10215</v>
      </c>
      <c r="Y2785" s="4" t="s">
        <v>41</v>
      </c>
      <c r="Z2785" s="4">
        <v>52</v>
      </c>
      <c r="AA2785" s="4">
        <v>3.6</v>
      </c>
      <c r="AB2785" s="4" t="s">
        <v>64</v>
      </c>
    </row>
    <row r="2786" spans="1:28" x14ac:dyDescent="0.25">
      <c r="A2786" s="2" t="s">
        <v>3596</v>
      </c>
      <c r="B2786" s="2" t="s">
        <v>588</v>
      </c>
      <c r="C2786" s="2">
        <v>42</v>
      </c>
      <c r="D2786" s="2" t="s">
        <v>55</v>
      </c>
      <c r="E2786" s="2" t="s">
        <v>87</v>
      </c>
      <c r="F2786" s="2" t="s">
        <v>157</v>
      </c>
      <c r="G2786" s="3">
        <v>45012</v>
      </c>
      <c r="H2786" s="3">
        <v>45036</v>
      </c>
      <c r="I2786" s="2">
        <v>24</v>
      </c>
      <c r="J2786" s="2" t="s">
        <v>140</v>
      </c>
      <c r="K2786" s="2" t="s">
        <v>167</v>
      </c>
      <c r="L2786" s="2" t="s">
        <v>142</v>
      </c>
      <c r="M2786" s="2" t="s">
        <v>134</v>
      </c>
      <c r="N2786" s="2" t="s">
        <v>37</v>
      </c>
      <c r="O2786" s="2" t="s">
        <v>184</v>
      </c>
      <c r="P2786" s="2">
        <v>342</v>
      </c>
      <c r="Q2786" s="2" t="s">
        <v>50</v>
      </c>
      <c r="R2786" s="2" t="s">
        <v>51</v>
      </c>
      <c r="S2786" s="2">
        <v>60910</v>
      </c>
      <c r="T2786" s="2">
        <v>30112</v>
      </c>
      <c r="U2786" s="2">
        <v>30798</v>
      </c>
      <c r="V2786" s="2">
        <v>40048</v>
      </c>
      <c r="W2786" s="2">
        <v>5200</v>
      </c>
      <c r="X2786" s="2">
        <v>14115</v>
      </c>
      <c r="Y2786" s="2" t="s">
        <v>41</v>
      </c>
      <c r="Z2786" s="2">
        <v>92</v>
      </c>
      <c r="AA2786" s="2">
        <v>4.3</v>
      </c>
      <c r="AB2786" s="2" t="s">
        <v>137</v>
      </c>
    </row>
    <row r="2787" spans="1:28" x14ac:dyDescent="0.25">
      <c r="A2787" s="4" t="s">
        <v>3597</v>
      </c>
      <c r="B2787" s="4" t="s">
        <v>2557</v>
      </c>
      <c r="C2787" s="4">
        <v>11</v>
      </c>
      <c r="D2787" s="4" t="s">
        <v>55</v>
      </c>
      <c r="E2787" s="4" t="s">
        <v>79</v>
      </c>
      <c r="F2787" s="4" t="s">
        <v>94</v>
      </c>
      <c r="G2787" s="5">
        <v>45299</v>
      </c>
      <c r="H2787" s="5">
        <v>45326</v>
      </c>
      <c r="I2787" s="4">
        <v>27</v>
      </c>
      <c r="J2787" s="4" t="s">
        <v>123</v>
      </c>
      <c r="K2787" s="4" t="s">
        <v>124</v>
      </c>
      <c r="L2787" s="4" t="s">
        <v>125</v>
      </c>
      <c r="M2787" s="4" t="s">
        <v>36</v>
      </c>
      <c r="N2787" s="4" t="s">
        <v>118</v>
      </c>
      <c r="O2787" s="4" t="s">
        <v>168</v>
      </c>
      <c r="P2787" s="4">
        <v>403</v>
      </c>
      <c r="Q2787" s="4" t="s">
        <v>50</v>
      </c>
      <c r="R2787" s="4" t="s">
        <v>111</v>
      </c>
      <c r="S2787" s="4">
        <v>109301</v>
      </c>
      <c r="T2787" s="4">
        <v>85370</v>
      </c>
      <c r="U2787" s="4">
        <v>23931</v>
      </c>
      <c r="V2787" s="4">
        <v>85673</v>
      </c>
      <c r="W2787" s="4">
        <v>14377</v>
      </c>
      <c r="X2787" s="4">
        <v>6964</v>
      </c>
      <c r="Y2787" s="4" t="s">
        <v>91</v>
      </c>
      <c r="Z2787" s="4">
        <v>72</v>
      </c>
      <c r="AA2787" s="4">
        <v>2.1</v>
      </c>
      <c r="AB2787" s="4" t="s">
        <v>104</v>
      </c>
    </row>
    <row r="2788" spans="1:28" x14ac:dyDescent="0.25">
      <c r="A2788" s="2" t="s">
        <v>3598</v>
      </c>
      <c r="B2788" s="2" t="s">
        <v>146</v>
      </c>
      <c r="C2788" s="2">
        <v>54</v>
      </c>
      <c r="D2788" s="2" t="s">
        <v>55</v>
      </c>
      <c r="E2788" s="2" t="s">
        <v>31</v>
      </c>
      <c r="F2788" s="2" t="s">
        <v>80</v>
      </c>
      <c r="G2788" s="3">
        <v>45573</v>
      </c>
      <c r="H2788" s="3">
        <v>45585</v>
      </c>
      <c r="I2788" s="2">
        <v>12</v>
      </c>
      <c r="J2788" s="2" t="s">
        <v>33</v>
      </c>
      <c r="K2788" s="2" t="s">
        <v>278</v>
      </c>
      <c r="L2788" s="2" t="s">
        <v>279</v>
      </c>
      <c r="M2788" s="2" t="s">
        <v>83</v>
      </c>
      <c r="N2788" s="2" t="s">
        <v>118</v>
      </c>
      <c r="O2788" s="2" t="s">
        <v>271</v>
      </c>
      <c r="P2788" s="2">
        <v>162</v>
      </c>
      <c r="Q2788" s="2" t="s">
        <v>103</v>
      </c>
      <c r="R2788" s="2" t="s">
        <v>111</v>
      </c>
      <c r="S2788" s="2">
        <v>121729</v>
      </c>
      <c r="T2788" s="2">
        <v>97137</v>
      </c>
      <c r="U2788" s="2">
        <v>24592</v>
      </c>
      <c r="V2788" s="2">
        <v>98320</v>
      </c>
      <c r="W2788" s="2">
        <v>14715</v>
      </c>
      <c r="X2788" s="2">
        <v>5092</v>
      </c>
      <c r="Y2788" s="2" t="s">
        <v>41</v>
      </c>
      <c r="Z2788" s="2">
        <v>65</v>
      </c>
      <c r="AA2788" s="2">
        <v>4.8</v>
      </c>
      <c r="AB2788" s="2" t="s">
        <v>52</v>
      </c>
    </row>
    <row r="2789" spans="1:28" x14ac:dyDescent="0.25">
      <c r="A2789" s="4" t="s">
        <v>3599</v>
      </c>
      <c r="B2789" s="4" t="s">
        <v>1037</v>
      </c>
      <c r="C2789" s="4">
        <v>33</v>
      </c>
      <c r="D2789" s="4" t="s">
        <v>30</v>
      </c>
      <c r="E2789" s="4" t="s">
        <v>56</v>
      </c>
      <c r="F2789" s="4" t="s">
        <v>114</v>
      </c>
      <c r="G2789" s="5">
        <v>45132</v>
      </c>
      <c r="H2789" s="5">
        <v>45162</v>
      </c>
      <c r="I2789" s="4">
        <v>30</v>
      </c>
      <c r="J2789" s="4" t="s">
        <v>123</v>
      </c>
      <c r="K2789" s="4" t="s">
        <v>251</v>
      </c>
      <c r="L2789" s="4" t="s">
        <v>125</v>
      </c>
      <c r="M2789" s="4" t="s">
        <v>143</v>
      </c>
      <c r="N2789" s="4" t="s">
        <v>118</v>
      </c>
      <c r="O2789" s="4" t="s">
        <v>560</v>
      </c>
      <c r="P2789" s="4">
        <v>57</v>
      </c>
      <c r="Q2789" s="4" t="s">
        <v>103</v>
      </c>
      <c r="R2789" s="4" t="s">
        <v>136</v>
      </c>
      <c r="S2789" s="4">
        <v>118723</v>
      </c>
      <c r="T2789" s="4">
        <v>0</v>
      </c>
      <c r="U2789" s="4">
        <v>118723</v>
      </c>
      <c r="V2789" s="4">
        <v>97574</v>
      </c>
      <c r="W2789" s="4">
        <v>7540</v>
      </c>
      <c r="X2789" s="4">
        <v>11997</v>
      </c>
      <c r="Y2789" s="4" t="s">
        <v>41</v>
      </c>
      <c r="Z2789" s="4">
        <v>58</v>
      </c>
      <c r="AA2789" s="4">
        <v>4.2</v>
      </c>
      <c r="AB2789" s="4" t="s">
        <v>52</v>
      </c>
    </row>
    <row r="2790" spans="1:28" x14ac:dyDescent="0.25">
      <c r="A2790" s="2" t="s">
        <v>3600</v>
      </c>
      <c r="B2790" s="2" t="s">
        <v>1838</v>
      </c>
      <c r="C2790" s="2">
        <v>20</v>
      </c>
      <c r="D2790" s="2" t="s">
        <v>30</v>
      </c>
      <c r="E2790" s="2" t="s">
        <v>67</v>
      </c>
      <c r="F2790" s="2" t="s">
        <v>157</v>
      </c>
      <c r="G2790" s="3">
        <v>44589</v>
      </c>
      <c r="H2790" s="3">
        <v>44590</v>
      </c>
      <c r="I2790" s="2">
        <v>1</v>
      </c>
      <c r="J2790" s="2" t="s">
        <v>58</v>
      </c>
      <c r="K2790" s="2" t="s">
        <v>59</v>
      </c>
      <c r="L2790" s="2" t="s">
        <v>60</v>
      </c>
      <c r="M2790" s="2" t="s">
        <v>75</v>
      </c>
      <c r="N2790" s="2" t="s">
        <v>109</v>
      </c>
      <c r="O2790" s="2" t="s">
        <v>379</v>
      </c>
      <c r="P2790" s="2">
        <v>22</v>
      </c>
      <c r="Q2790" s="2" t="s">
        <v>69</v>
      </c>
      <c r="R2790" s="2" t="s">
        <v>136</v>
      </c>
      <c r="S2790" s="2">
        <v>156030</v>
      </c>
      <c r="T2790" s="2">
        <v>0</v>
      </c>
      <c r="U2790" s="2">
        <v>156030</v>
      </c>
      <c r="V2790" s="2">
        <v>136651</v>
      </c>
      <c r="W2790" s="2">
        <v>4284</v>
      </c>
      <c r="X2790" s="2">
        <v>13023</v>
      </c>
      <c r="Y2790" s="2" t="s">
        <v>41</v>
      </c>
      <c r="Z2790" s="2">
        <v>44</v>
      </c>
      <c r="AA2790" s="2">
        <v>4.3</v>
      </c>
      <c r="AB2790" s="2" t="s">
        <v>137</v>
      </c>
    </row>
    <row r="2791" spans="1:28" x14ac:dyDescent="0.25">
      <c r="A2791" s="4" t="s">
        <v>3601</v>
      </c>
      <c r="B2791" s="4" t="s">
        <v>381</v>
      </c>
      <c r="C2791" s="4">
        <v>46</v>
      </c>
      <c r="D2791" s="4" t="s">
        <v>55</v>
      </c>
      <c r="E2791" s="4" t="s">
        <v>31</v>
      </c>
      <c r="F2791" s="4" t="s">
        <v>150</v>
      </c>
      <c r="G2791" s="5">
        <v>45407</v>
      </c>
      <c r="H2791" s="5">
        <v>45419</v>
      </c>
      <c r="I2791" s="4">
        <v>12</v>
      </c>
      <c r="J2791" s="4" t="s">
        <v>115</v>
      </c>
      <c r="K2791" s="4" t="s">
        <v>160</v>
      </c>
      <c r="L2791" s="4" t="s">
        <v>117</v>
      </c>
      <c r="M2791" s="4" t="s">
        <v>83</v>
      </c>
      <c r="N2791" s="4" t="s">
        <v>62</v>
      </c>
      <c r="O2791" s="4" t="s">
        <v>300</v>
      </c>
      <c r="P2791" s="4">
        <v>235</v>
      </c>
      <c r="Q2791" s="4" t="s">
        <v>39</v>
      </c>
      <c r="R2791" s="4" t="s">
        <v>136</v>
      </c>
      <c r="S2791" s="4">
        <v>40774</v>
      </c>
      <c r="T2791" s="4">
        <v>0</v>
      </c>
      <c r="U2791" s="4">
        <v>40774</v>
      </c>
      <c r="V2791" s="4">
        <v>28917</v>
      </c>
      <c r="W2791" s="4">
        <v>1557</v>
      </c>
      <c r="X2791" s="4">
        <v>9395</v>
      </c>
      <c r="Y2791" s="4" t="s">
        <v>41</v>
      </c>
      <c r="Z2791" s="4">
        <v>42</v>
      </c>
      <c r="AA2791" s="4">
        <v>4.9000000000000004</v>
      </c>
      <c r="AB2791" s="4" t="s">
        <v>42</v>
      </c>
    </row>
    <row r="2792" spans="1:28" x14ac:dyDescent="0.25">
      <c r="A2792" s="2" t="s">
        <v>3602</v>
      </c>
      <c r="B2792" s="2" t="s">
        <v>779</v>
      </c>
      <c r="C2792" s="2">
        <v>32</v>
      </c>
      <c r="D2792" s="2" t="s">
        <v>30</v>
      </c>
      <c r="E2792" s="2" t="s">
        <v>79</v>
      </c>
      <c r="F2792" s="2" t="s">
        <v>80</v>
      </c>
      <c r="G2792" s="3">
        <v>44791</v>
      </c>
      <c r="H2792" s="3">
        <v>44798</v>
      </c>
      <c r="I2792" s="2">
        <v>7</v>
      </c>
      <c r="J2792" s="2" t="s">
        <v>33</v>
      </c>
      <c r="K2792" s="2" t="s">
        <v>81</v>
      </c>
      <c r="L2792" s="2" t="s">
        <v>82</v>
      </c>
      <c r="M2792" s="2" t="s">
        <v>130</v>
      </c>
      <c r="N2792" s="2" t="s">
        <v>109</v>
      </c>
      <c r="O2792" s="2" t="s">
        <v>326</v>
      </c>
      <c r="P2792" s="2">
        <v>90</v>
      </c>
      <c r="Q2792" s="2" t="s">
        <v>39</v>
      </c>
      <c r="R2792" s="2" t="s">
        <v>90</v>
      </c>
      <c r="S2792" s="2">
        <v>118668</v>
      </c>
      <c r="T2792" s="2">
        <v>104774</v>
      </c>
      <c r="U2792" s="2">
        <v>13894</v>
      </c>
      <c r="V2792" s="2">
        <v>92191</v>
      </c>
      <c r="W2792" s="2">
        <v>20192</v>
      </c>
      <c r="X2792" s="2">
        <v>5764</v>
      </c>
      <c r="Y2792" s="2" t="s">
        <v>41</v>
      </c>
      <c r="Z2792" s="2">
        <v>46</v>
      </c>
      <c r="AA2792" s="2">
        <v>2.4</v>
      </c>
      <c r="AB2792" s="2" t="s">
        <v>104</v>
      </c>
    </row>
    <row r="2793" spans="1:28" x14ac:dyDescent="0.25">
      <c r="A2793" s="4" t="s">
        <v>3603</v>
      </c>
      <c r="B2793" s="4" t="s">
        <v>1805</v>
      </c>
      <c r="C2793" s="4">
        <v>78</v>
      </c>
      <c r="D2793" s="4" t="s">
        <v>30</v>
      </c>
      <c r="E2793" s="4" t="s">
        <v>45</v>
      </c>
      <c r="F2793" s="4" t="s">
        <v>72</v>
      </c>
      <c r="G2793" s="5">
        <v>44916</v>
      </c>
      <c r="H2793" s="5">
        <v>44946</v>
      </c>
      <c r="I2793" s="4">
        <v>30</v>
      </c>
      <c r="J2793" s="4" t="s">
        <v>140</v>
      </c>
      <c r="K2793" s="4" t="s">
        <v>167</v>
      </c>
      <c r="L2793" s="4" t="s">
        <v>142</v>
      </c>
      <c r="M2793" s="4" t="s">
        <v>101</v>
      </c>
      <c r="N2793" s="4" t="s">
        <v>37</v>
      </c>
      <c r="O2793" s="4" t="s">
        <v>230</v>
      </c>
      <c r="P2793" s="4">
        <v>201</v>
      </c>
      <c r="Q2793" s="4" t="s">
        <v>50</v>
      </c>
      <c r="R2793" s="4" t="s">
        <v>136</v>
      </c>
      <c r="S2793" s="4">
        <v>89882</v>
      </c>
      <c r="T2793" s="4">
        <v>0</v>
      </c>
      <c r="U2793" s="4">
        <v>89882</v>
      </c>
      <c r="V2793" s="4">
        <v>61811</v>
      </c>
      <c r="W2793" s="4">
        <v>13421</v>
      </c>
      <c r="X2793" s="4">
        <v>13773</v>
      </c>
      <c r="Y2793" s="4" t="s">
        <v>91</v>
      </c>
      <c r="Z2793" s="4">
        <v>45</v>
      </c>
      <c r="AA2793" s="4">
        <v>2.2999999999999998</v>
      </c>
      <c r="AB2793" s="4" t="s">
        <v>137</v>
      </c>
    </row>
    <row r="2794" spans="1:28" x14ac:dyDescent="0.25">
      <c r="A2794" s="2" t="s">
        <v>3604</v>
      </c>
      <c r="B2794" s="2" t="s">
        <v>2178</v>
      </c>
      <c r="C2794" s="2">
        <v>31</v>
      </c>
      <c r="D2794" s="2" t="s">
        <v>55</v>
      </c>
      <c r="E2794" s="2" t="s">
        <v>122</v>
      </c>
      <c r="F2794" s="2" t="s">
        <v>32</v>
      </c>
      <c r="G2794" s="3">
        <v>44871</v>
      </c>
      <c r="H2794" s="3">
        <v>44894</v>
      </c>
      <c r="I2794" s="2">
        <v>23</v>
      </c>
      <c r="J2794" s="2" t="s">
        <v>58</v>
      </c>
      <c r="K2794" s="2" t="s">
        <v>88</v>
      </c>
      <c r="L2794" s="2" t="s">
        <v>60</v>
      </c>
      <c r="M2794" s="2" t="s">
        <v>75</v>
      </c>
      <c r="N2794" s="2" t="s">
        <v>109</v>
      </c>
      <c r="O2794" s="2" t="s">
        <v>376</v>
      </c>
      <c r="P2794" s="2">
        <v>449</v>
      </c>
      <c r="Q2794" s="2" t="s">
        <v>50</v>
      </c>
      <c r="R2794" s="2" t="s">
        <v>136</v>
      </c>
      <c r="S2794" s="2">
        <v>64915</v>
      </c>
      <c r="T2794" s="2">
        <v>0</v>
      </c>
      <c r="U2794" s="2">
        <v>64915</v>
      </c>
      <c r="V2794" s="2">
        <v>36750</v>
      </c>
      <c r="W2794" s="2">
        <v>16392</v>
      </c>
      <c r="X2794" s="2">
        <v>9995</v>
      </c>
      <c r="Y2794" s="2" t="s">
        <v>41</v>
      </c>
      <c r="Z2794" s="2">
        <v>81</v>
      </c>
      <c r="AA2794" s="2">
        <v>3.3</v>
      </c>
      <c r="AB2794" s="2" t="s">
        <v>104</v>
      </c>
    </row>
    <row r="2795" spans="1:28" x14ac:dyDescent="0.25">
      <c r="A2795" s="4" t="s">
        <v>3605</v>
      </c>
      <c r="B2795" s="4" t="s">
        <v>523</v>
      </c>
      <c r="C2795" s="4">
        <v>20</v>
      </c>
      <c r="D2795" s="4" t="s">
        <v>55</v>
      </c>
      <c r="E2795" s="4" t="s">
        <v>56</v>
      </c>
      <c r="F2795" s="4" t="s">
        <v>46</v>
      </c>
      <c r="G2795" s="5">
        <v>45398</v>
      </c>
      <c r="H2795" s="5">
        <v>45416</v>
      </c>
      <c r="I2795" s="4">
        <v>18</v>
      </c>
      <c r="J2795" s="4" t="s">
        <v>33</v>
      </c>
      <c r="K2795" s="4" t="s">
        <v>174</v>
      </c>
      <c r="L2795" s="4" t="s">
        <v>48</v>
      </c>
      <c r="M2795" s="4" t="s">
        <v>108</v>
      </c>
      <c r="N2795" s="4" t="s">
        <v>62</v>
      </c>
      <c r="O2795" s="4" t="s">
        <v>178</v>
      </c>
      <c r="P2795" s="4">
        <v>121</v>
      </c>
      <c r="Q2795" s="4" t="s">
        <v>103</v>
      </c>
      <c r="R2795" s="4" t="s">
        <v>90</v>
      </c>
      <c r="S2795" s="4">
        <v>64206</v>
      </c>
      <c r="T2795" s="4">
        <v>49022</v>
      </c>
      <c r="U2795" s="4">
        <v>15184</v>
      </c>
      <c r="V2795" s="4">
        <v>50352</v>
      </c>
      <c r="W2795" s="4">
        <v>5001</v>
      </c>
      <c r="X2795" s="4">
        <v>6642</v>
      </c>
      <c r="Y2795" s="4" t="s">
        <v>41</v>
      </c>
      <c r="Z2795" s="4">
        <v>56</v>
      </c>
      <c r="AA2795" s="4">
        <v>3.1</v>
      </c>
      <c r="AB2795" s="4" t="s">
        <v>64</v>
      </c>
    </row>
    <row r="2796" spans="1:28" x14ac:dyDescent="0.25">
      <c r="A2796" s="2" t="s">
        <v>3606</v>
      </c>
      <c r="B2796" s="2" t="s">
        <v>1805</v>
      </c>
      <c r="C2796" s="2">
        <v>85</v>
      </c>
      <c r="D2796" s="2" t="s">
        <v>30</v>
      </c>
      <c r="E2796" s="2" t="s">
        <v>87</v>
      </c>
      <c r="F2796" s="2" t="s">
        <v>32</v>
      </c>
      <c r="G2796" s="3">
        <v>44742</v>
      </c>
      <c r="H2796" s="3">
        <v>44749</v>
      </c>
      <c r="I2796" s="2">
        <v>7</v>
      </c>
      <c r="J2796" s="2" t="s">
        <v>33</v>
      </c>
      <c r="K2796" s="2" t="s">
        <v>34</v>
      </c>
      <c r="L2796" s="2" t="s">
        <v>35</v>
      </c>
      <c r="M2796" s="2" t="s">
        <v>36</v>
      </c>
      <c r="N2796" s="2" t="s">
        <v>109</v>
      </c>
      <c r="O2796" s="2" t="s">
        <v>241</v>
      </c>
      <c r="P2796" s="2">
        <v>159</v>
      </c>
      <c r="Q2796" s="2" t="s">
        <v>39</v>
      </c>
      <c r="R2796" s="2" t="s">
        <v>136</v>
      </c>
      <c r="S2796" s="2">
        <v>133964</v>
      </c>
      <c r="T2796" s="2">
        <v>0</v>
      </c>
      <c r="U2796" s="2">
        <v>133964</v>
      </c>
      <c r="V2796" s="2">
        <v>104926</v>
      </c>
      <c r="W2796" s="2">
        <v>13437</v>
      </c>
      <c r="X2796" s="2">
        <v>11921</v>
      </c>
      <c r="Y2796" s="2" t="s">
        <v>91</v>
      </c>
      <c r="Z2796" s="2">
        <v>78</v>
      </c>
      <c r="AA2796" s="2">
        <v>2.2999999999999998</v>
      </c>
      <c r="AB2796" s="2" t="s">
        <v>64</v>
      </c>
    </row>
    <row r="2797" spans="1:28" x14ac:dyDescent="0.25">
      <c r="A2797" s="4" t="s">
        <v>3607</v>
      </c>
      <c r="B2797" s="4" t="s">
        <v>968</v>
      </c>
      <c r="C2797" s="4">
        <v>27</v>
      </c>
      <c r="D2797" s="4" t="s">
        <v>55</v>
      </c>
      <c r="E2797" s="4" t="s">
        <v>45</v>
      </c>
      <c r="F2797" s="4" t="s">
        <v>32</v>
      </c>
      <c r="G2797" s="5">
        <v>45127</v>
      </c>
      <c r="H2797" s="5">
        <v>45155</v>
      </c>
      <c r="I2797" s="4">
        <v>28</v>
      </c>
      <c r="J2797" s="4" t="s">
        <v>140</v>
      </c>
      <c r="K2797" s="4" t="s">
        <v>167</v>
      </c>
      <c r="L2797" s="4" t="s">
        <v>142</v>
      </c>
      <c r="M2797" s="4" t="s">
        <v>108</v>
      </c>
      <c r="N2797" s="4" t="s">
        <v>62</v>
      </c>
      <c r="O2797" s="4" t="s">
        <v>161</v>
      </c>
      <c r="P2797" s="4">
        <v>215</v>
      </c>
      <c r="Q2797" s="4" t="s">
        <v>69</v>
      </c>
      <c r="R2797" s="4" t="s">
        <v>40</v>
      </c>
      <c r="S2797" s="4">
        <v>34726</v>
      </c>
      <c r="T2797" s="4">
        <v>20099</v>
      </c>
      <c r="U2797" s="4">
        <v>14627</v>
      </c>
      <c r="V2797" s="4">
        <v>7452</v>
      </c>
      <c r="W2797" s="4">
        <v>12246</v>
      </c>
      <c r="X2797" s="4">
        <v>12274</v>
      </c>
      <c r="Y2797" s="4" t="s">
        <v>41</v>
      </c>
      <c r="Z2797" s="4">
        <v>99</v>
      </c>
      <c r="AA2797" s="4">
        <v>3.4</v>
      </c>
      <c r="AB2797" s="4" t="s">
        <v>64</v>
      </c>
    </row>
    <row r="2798" spans="1:28" x14ac:dyDescent="0.25">
      <c r="A2798" s="2" t="s">
        <v>3608</v>
      </c>
      <c r="B2798" s="2" t="s">
        <v>1285</v>
      </c>
      <c r="C2798" s="2">
        <v>59</v>
      </c>
      <c r="D2798" s="2" t="s">
        <v>55</v>
      </c>
      <c r="E2798" s="2" t="s">
        <v>122</v>
      </c>
      <c r="F2798" s="2" t="s">
        <v>150</v>
      </c>
      <c r="G2798" s="3">
        <v>45168</v>
      </c>
      <c r="H2798" s="3">
        <v>45185</v>
      </c>
      <c r="I2798" s="2">
        <v>17</v>
      </c>
      <c r="J2798" s="2" t="s">
        <v>33</v>
      </c>
      <c r="K2798" s="2" t="s">
        <v>34</v>
      </c>
      <c r="L2798" s="2" t="s">
        <v>35</v>
      </c>
      <c r="M2798" s="2" t="s">
        <v>61</v>
      </c>
      <c r="N2798" s="2" t="s">
        <v>118</v>
      </c>
      <c r="O2798" s="2" t="s">
        <v>595</v>
      </c>
      <c r="P2798" s="2">
        <v>492</v>
      </c>
      <c r="Q2798" s="2" t="s">
        <v>39</v>
      </c>
      <c r="R2798" s="2" t="s">
        <v>111</v>
      </c>
      <c r="S2798" s="2">
        <v>99136</v>
      </c>
      <c r="T2798" s="2">
        <v>69895</v>
      </c>
      <c r="U2798" s="2">
        <v>29241</v>
      </c>
      <c r="V2798" s="2">
        <v>77173</v>
      </c>
      <c r="W2798" s="2">
        <v>3064</v>
      </c>
      <c r="X2798" s="2">
        <v>14770</v>
      </c>
      <c r="Y2798" s="2" t="s">
        <v>41</v>
      </c>
      <c r="Z2798" s="2">
        <v>83</v>
      </c>
      <c r="AA2798" s="2">
        <v>2</v>
      </c>
      <c r="AB2798" s="2" t="s">
        <v>52</v>
      </c>
    </row>
    <row r="2799" spans="1:28" x14ac:dyDescent="0.25">
      <c r="A2799" s="4" t="s">
        <v>3609</v>
      </c>
      <c r="B2799" s="4" t="s">
        <v>1825</v>
      </c>
      <c r="C2799" s="4">
        <v>73</v>
      </c>
      <c r="D2799" s="4" t="s">
        <v>55</v>
      </c>
      <c r="E2799" s="4" t="s">
        <v>45</v>
      </c>
      <c r="F2799" s="4" t="s">
        <v>80</v>
      </c>
      <c r="G2799" s="5">
        <v>45096</v>
      </c>
      <c r="H2799" s="5">
        <v>45113</v>
      </c>
      <c r="I2799" s="4">
        <v>17</v>
      </c>
      <c r="J2799" s="4" t="s">
        <v>73</v>
      </c>
      <c r="K2799" s="4" t="s">
        <v>74</v>
      </c>
      <c r="L2799" s="4" t="s">
        <v>73</v>
      </c>
      <c r="M2799" s="4" t="s">
        <v>108</v>
      </c>
      <c r="N2799" s="4" t="s">
        <v>37</v>
      </c>
      <c r="O2799" s="4" t="s">
        <v>241</v>
      </c>
      <c r="P2799" s="4">
        <v>102</v>
      </c>
      <c r="Q2799" s="4" t="s">
        <v>50</v>
      </c>
      <c r="R2799" s="4" t="s">
        <v>51</v>
      </c>
      <c r="S2799" s="4">
        <v>157312</v>
      </c>
      <c r="T2799" s="4">
        <v>63139</v>
      </c>
      <c r="U2799" s="4">
        <v>94173</v>
      </c>
      <c r="V2799" s="4">
        <v>132528</v>
      </c>
      <c r="W2799" s="4">
        <v>20981</v>
      </c>
      <c r="X2799" s="4">
        <v>534</v>
      </c>
      <c r="Y2799" s="4" t="s">
        <v>41</v>
      </c>
      <c r="Z2799" s="4">
        <v>42</v>
      </c>
      <c r="AA2799" s="4">
        <v>4.0999999999999996</v>
      </c>
      <c r="AB2799" s="4" t="s">
        <v>42</v>
      </c>
    </row>
    <row r="2800" spans="1:28" x14ac:dyDescent="0.25">
      <c r="A2800" s="2" t="s">
        <v>3610</v>
      </c>
      <c r="B2800" s="2" t="s">
        <v>1344</v>
      </c>
      <c r="C2800" s="2">
        <v>21</v>
      </c>
      <c r="D2800" s="2" t="s">
        <v>30</v>
      </c>
      <c r="E2800" s="2" t="s">
        <v>45</v>
      </c>
      <c r="F2800" s="2" t="s">
        <v>114</v>
      </c>
      <c r="G2800" s="3">
        <v>45070</v>
      </c>
      <c r="H2800" s="3">
        <v>45083</v>
      </c>
      <c r="I2800" s="2">
        <v>13</v>
      </c>
      <c r="J2800" s="2" t="s">
        <v>33</v>
      </c>
      <c r="K2800" s="2" t="s">
        <v>81</v>
      </c>
      <c r="L2800" s="2" t="s">
        <v>82</v>
      </c>
      <c r="M2800" s="2" t="s">
        <v>83</v>
      </c>
      <c r="N2800" s="2" t="s">
        <v>109</v>
      </c>
      <c r="O2800" s="2" t="s">
        <v>199</v>
      </c>
      <c r="P2800" s="2">
        <v>388</v>
      </c>
      <c r="Q2800" s="2" t="s">
        <v>103</v>
      </c>
      <c r="R2800" s="2" t="s">
        <v>40</v>
      </c>
      <c r="S2800" s="2">
        <v>161783</v>
      </c>
      <c r="T2800" s="2">
        <v>91156</v>
      </c>
      <c r="U2800" s="2">
        <v>70627</v>
      </c>
      <c r="V2800" s="2">
        <v>141070</v>
      </c>
      <c r="W2800" s="2">
        <v>13993</v>
      </c>
      <c r="X2800" s="2">
        <v>4547</v>
      </c>
      <c r="Y2800" s="2" t="s">
        <v>41</v>
      </c>
      <c r="Z2800" s="2">
        <v>59</v>
      </c>
      <c r="AA2800" s="2">
        <v>3.5</v>
      </c>
      <c r="AB2800" s="2" t="s">
        <v>104</v>
      </c>
    </row>
    <row r="2801" spans="1:28" x14ac:dyDescent="0.25">
      <c r="A2801" s="4" t="s">
        <v>3611</v>
      </c>
      <c r="B2801" s="4" t="s">
        <v>529</v>
      </c>
      <c r="C2801" s="4">
        <v>28</v>
      </c>
      <c r="D2801" s="4" t="s">
        <v>55</v>
      </c>
      <c r="E2801" s="4" t="s">
        <v>79</v>
      </c>
      <c r="F2801" s="4" t="s">
        <v>32</v>
      </c>
      <c r="G2801" s="5">
        <v>45296</v>
      </c>
      <c r="H2801" s="5">
        <v>45316</v>
      </c>
      <c r="I2801" s="4">
        <v>20</v>
      </c>
      <c r="J2801" s="4" t="s">
        <v>115</v>
      </c>
      <c r="K2801" s="4" t="s">
        <v>160</v>
      </c>
      <c r="L2801" s="4" t="s">
        <v>117</v>
      </c>
      <c r="M2801" s="4" t="s">
        <v>61</v>
      </c>
      <c r="N2801" s="4" t="s">
        <v>118</v>
      </c>
      <c r="O2801" s="4" t="s">
        <v>331</v>
      </c>
      <c r="P2801" s="4">
        <v>88</v>
      </c>
      <c r="Q2801" s="4" t="s">
        <v>39</v>
      </c>
      <c r="R2801" s="4" t="s">
        <v>51</v>
      </c>
      <c r="S2801" s="4">
        <v>160427</v>
      </c>
      <c r="T2801" s="4">
        <v>106731</v>
      </c>
      <c r="U2801" s="4">
        <v>53696</v>
      </c>
      <c r="V2801" s="4">
        <v>139015</v>
      </c>
      <c r="W2801" s="4">
        <v>4945</v>
      </c>
      <c r="X2801" s="4">
        <v>13090</v>
      </c>
      <c r="Y2801" s="4" t="s">
        <v>41</v>
      </c>
      <c r="Z2801" s="4">
        <v>79</v>
      </c>
      <c r="AA2801" s="4">
        <v>4.3</v>
      </c>
      <c r="AB2801" s="4" t="s">
        <v>137</v>
      </c>
    </row>
    <row r="2802" spans="1:28" x14ac:dyDescent="0.25">
      <c r="A2802" s="2" t="s">
        <v>3612</v>
      </c>
      <c r="B2802" s="2" t="s">
        <v>1218</v>
      </c>
      <c r="C2802" s="2">
        <v>11</v>
      </c>
      <c r="D2802" s="2" t="s">
        <v>55</v>
      </c>
      <c r="E2802" s="2" t="s">
        <v>87</v>
      </c>
      <c r="F2802" s="2" t="s">
        <v>46</v>
      </c>
      <c r="G2802" s="3">
        <v>45186</v>
      </c>
      <c r="H2802" s="3">
        <v>45201</v>
      </c>
      <c r="I2802" s="2">
        <v>15</v>
      </c>
      <c r="J2802" s="2" t="s">
        <v>33</v>
      </c>
      <c r="K2802" s="2" t="s">
        <v>107</v>
      </c>
      <c r="L2802" s="2" t="s">
        <v>48</v>
      </c>
      <c r="M2802" s="2" t="s">
        <v>108</v>
      </c>
      <c r="N2802" s="2" t="s">
        <v>118</v>
      </c>
      <c r="O2802" s="2" t="s">
        <v>205</v>
      </c>
      <c r="P2802" s="2">
        <v>106</v>
      </c>
      <c r="Q2802" s="2" t="s">
        <v>39</v>
      </c>
      <c r="R2802" s="2" t="s">
        <v>136</v>
      </c>
      <c r="S2802" s="2">
        <v>158945</v>
      </c>
      <c r="T2802" s="2">
        <v>0</v>
      </c>
      <c r="U2802" s="2">
        <v>158945</v>
      </c>
      <c r="V2802" s="2">
        <v>135957</v>
      </c>
      <c r="W2802" s="2">
        <v>18121</v>
      </c>
      <c r="X2802" s="2">
        <v>3096</v>
      </c>
      <c r="Y2802" s="2" t="s">
        <v>41</v>
      </c>
      <c r="Z2802" s="2">
        <v>87</v>
      </c>
      <c r="AA2802" s="2">
        <v>2.9</v>
      </c>
      <c r="AB2802" s="2" t="s">
        <v>64</v>
      </c>
    </row>
    <row r="2803" spans="1:28" x14ac:dyDescent="0.25">
      <c r="A2803" s="4" t="s">
        <v>3613</v>
      </c>
      <c r="B2803" s="4" t="s">
        <v>593</v>
      </c>
      <c r="C2803" s="4">
        <v>10</v>
      </c>
      <c r="D2803" s="4" t="s">
        <v>30</v>
      </c>
      <c r="E2803" s="4" t="s">
        <v>79</v>
      </c>
      <c r="F2803" s="4" t="s">
        <v>32</v>
      </c>
      <c r="G2803" s="5">
        <v>45069</v>
      </c>
      <c r="H2803" s="5">
        <v>45088</v>
      </c>
      <c r="I2803" s="4">
        <v>19</v>
      </c>
      <c r="J2803" s="4" t="s">
        <v>73</v>
      </c>
      <c r="K2803" s="4" t="s">
        <v>74</v>
      </c>
      <c r="L2803" s="4" t="s">
        <v>73</v>
      </c>
      <c r="M2803" s="4" t="s">
        <v>108</v>
      </c>
      <c r="N2803" s="4" t="s">
        <v>62</v>
      </c>
      <c r="O2803" s="4" t="s">
        <v>175</v>
      </c>
      <c r="P2803" s="4">
        <v>447</v>
      </c>
      <c r="Q2803" s="4" t="s">
        <v>103</v>
      </c>
      <c r="R2803" s="4" t="s">
        <v>40</v>
      </c>
      <c r="S2803" s="4">
        <v>176643</v>
      </c>
      <c r="T2803" s="4">
        <v>103523</v>
      </c>
      <c r="U2803" s="4">
        <v>73120</v>
      </c>
      <c r="V2803" s="4">
        <v>147289</v>
      </c>
      <c r="W2803" s="4">
        <v>24051</v>
      </c>
      <c r="X2803" s="4">
        <v>2918</v>
      </c>
      <c r="Y2803" s="4" t="s">
        <v>41</v>
      </c>
      <c r="Z2803" s="4">
        <v>77</v>
      </c>
      <c r="AA2803" s="4">
        <v>2.9</v>
      </c>
      <c r="AB2803" s="4" t="s">
        <v>42</v>
      </c>
    </row>
    <row r="2804" spans="1:28" x14ac:dyDescent="0.25">
      <c r="A2804" s="2" t="s">
        <v>3614</v>
      </c>
      <c r="B2804" s="2" t="s">
        <v>258</v>
      </c>
      <c r="C2804" s="2">
        <v>40</v>
      </c>
      <c r="D2804" s="2" t="s">
        <v>30</v>
      </c>
      <c r="E2804" s="2" t="s">
        <v>79</v>
      </c>
      <c r="F2804" s="2" t="s">
        <v>80</v>
      </c>
      <c r="G2804" s="3">
        <v>45421</v>
      </c>
      <c r="H2804" s="3">
        <v>45444</v>
      </c>
      <c r="I2804" s="2">
        <v>23</v>
      </c>
      <c r="J2804" s="2" t="s">
        <v>123</v>
      </c>
      <c r="K2804" s="2" t="s">
        <v>251</v>
      </c>
      <c r="L2804" s="2" t="s">
        <v>125</v>
      </c>
      <c r="M2804" s="2" t="s">
        <v>36</v>
      </c>
      <c r="N2804" s="2" t="s">
        <v>37</v>
      </c>
      <c r="O2804" s="2" t="s">
        <v>144</v>
      </c>
      <c r="P2804" s="2">
        <v>185</v>
      </c>
      <c r="Q2804" s="2" t="s">
        <v>39</v>
      </c>
      <c r="R2804" s="2" t="s">
        <v>111</v>
      </c>
      <c r="S2804" s="2">
        <v>108642</v>
      </c>
      <c r="T2804" s="2">
        <v>84940</v>
      </c>
      <c r="U2804" s="2">
        <v>23702</v>
      </c>
      <c r="V2804" s="2">
        <v>86414</v>
      </c>
      <c r="W2804" s="2">
        <v>17915</v>
      </c>
      <c r="X2804" s="2">
        <v>2367</v>
      </c>
      <c r="Y2804" s="2" t="s">
        <v>41</v>
      </c>
      <c r="Z2804" s="2">
        <v>60</v>
      </c>
      <c r="AA2804" s="2">
        <v>4.9000000000000004</v>
      </c>
      <c r="AB2804" s="2" t="s">
        <v>52</v>
      </c>
    </row>
    <row r="2805" spans="1:28" x14ac:dyDescent="0.25">
      <c r="A2805" s="4" t="s">
        <v>3615</v>
      </c>
      <c r="B2805" s="4" t="s">
        <v>2370</v>
      </c>
      <c r="C2805" s="4">
        <v>63</v>
      </c>
      <c r="D2805" s="4" t="s">
        <v>30</v>
      </c>
      <c r="E2805" s="4" t="s">
        <v>56</v>
      </c>
      <c r="F2805" s="4" t="s">
        <v>72</v>
      </c>
      <c r="G2805" s="5">
        <v>45273</v>
      </c>
      <c r="H2805" s="5">
        <v>45293</v>
      </c>
      <c r="I2805" s="4">
        <v>20</v>
      </c>
      <c r="J2805" s="4" t="s">
        <v>202</v>
      </c>
      <c r="K2805" s="4" t="s">
        <v>203</v>
      </c>
      <c r="L2805" s="4" t="s">
        <v>204</v>
      </c>
      <c r="M2805" s="4" t="s">
        <v>101</v>
      </c>
      <c r="N2805" s="4" t="s">
        <v>118</v>
      </c>
      <c r="O2805" s="4" t="s">
        <v>199</v>
      </c>
      <c r="P2805" s="4">
        <v>205</v>
      </c>
      <c r="Q2805" s="4" t="s">
        <v>50</v>
      </c>
      <c r="R2805" s="4" t="s">
        <v>136</v>
      </c>
      <c r="S2805" s="4">
        <v>142612</v>
      </c>
      <c r="T2805" s="4">
        <v>0</v>
      </c>
      <c r="U2805" s="4">
        <v>142612</v>
      </c>
      <c r="V2805" s="4">
        <v>121764</v>
      </c>
      <c r="W2805" s="4">
        <v>16424</v>
      </c>
      <c r="X2805" s="4">
        <v>3134</v>
      </c>
      <c r="Y2805" s="4" t="s">
        <v>91</v>
      </c>
      <c r="Z2805" s="4">
        <v>72</v>
      </c>
      <c r="AA2805" s="4">
        <v>5</v>
      </c>
      <c r="AB2805" s="4" t="s">
        <v>52</v>
      </c>
    </row>
    <row r="2806" spans="1:28" x14ac:dyDescent="0.25">
      <c r="A2806" s="2" t="s">
        <v>3616</v>
      </c>
      <c r="B2806" s="2" t="s">
        <v>384</v>
      </c>
      <c r="C2806" s="2">
        <v>37</v>
      </c>
      <c r="D2806" s="2" t="s">
        <v>30</v>
      </c>
      <c r="E2806" s="2" t="s">
        <v>122</v>
      </c>
      <c r="F2806" s="2" t="s">
        <v>94</v>
      </c>
      <c r="G2806" s="3">
        <v>44924</v>
      </c>
      <c r="H2806" s="3">
        <v>44931</v>
      </c>
      <c r="I2806" s="2">
        <v>7</v>
      </c>
      <c r="J2806" s="2" t="s">
        <v>202</v>
      </c>
      <c r="K2806" s="2" t="s">
        <v>203</v>
      </c>
      <c r="L2806" s="2" t="s">
        <v>204</v>
      </c>
      <c r="M2806" s="2" t="s">
        <v>108</v>
      </c>
      <c r="N2806" s="2" t="s">
        <v>62</v>
      </c>
      <c r="O2806" s="2" t="s">
        <v>591</v>
      </c>
      <c r="P2806" s="2">
        <v>181</v>
      </c>
      <c r="Q2806" s="2" t="s">
        <v>39</v>
      </c>
      <c r="R2806" s="2" t="s">
        <v>51</v>
      </c>
      <c r="S2806" s="2">
        <v>102971</v>
      </c>
      <c r="T2806" s="2">
        <v>70621</v>
      </c>
      <c r="U2806" s="2">
        <v>32350</v>
      </c>
      <c r="V2806" s="2">
        <v>72745</v>
      </c>
      <c r="W2806" s="2">
        <v>23531</v>
      </c>
      <c r="X2806" s="2">
        <v>4798</v>
      </c>
      <c r="Y2806" s="2" t="s">
        <v>41</v>
      </c>
      <c r="Z2806" s="2">
        <v>80</v>
      </c>
      <c r="AA2806" s="2">
        <v>4.4000000000000004</v>
      </c>
      <c r="AB2806" s="2" t="s">
        <v>104</v>
      </c>
    </row>
    <row r="2807" spans="1:28" x14ac:dyDescent="0.25">
      <c r="A2807" s="4" t="s">
        <v>3617</v>
      </c>
      <c r="B2807" s="4" t="s">
        <v>367</v>
      </c>
      <c r="C2807" s="4">
        <v>46</v>
      </c>
      <c r="D2807" s="4" t="s">
        <v>55</v>
      </c>
      <c r="E2807" s="4" t="s">
        <v>154</v>
      </c>
      <c r="F2807" s="4" t="s">
        <v>94</v>
      </c>
      <c r="G2807" s="5">
        <v>45325</v>
      </c>
      <c r="H2807" s="5">
        <v>45329</v>
      </c>
      <c r="I2807" s="4">
        <v>4</v>
      </c>
      <c r="J2807" s="4" t="s">
        <v>123</v>
      </c>
      <c r="K2807" s="4" t="s">
        <v>124</v>
      </c>
      <c r="L2807" s="4" t="s">
        <v>125</v>
      </c>
      <c r="M2807" s="4" t="s">
        <v>83</v>
      </c>
      <c r="N2807" s="4" t="s">
        <v>118</v>
      </c>
      <c r="O2807" s="4" t="s">
        <v>110</v>
      </c>
      <c r="P2807" s="4">
        <v>477</v>
      </c>
      <c r="Q2807" s="4" t="s">
        <v>50</v>
      </c>
      <c r="R2807" s="4" t="s">
        <v>111</v>
      </c>
      <c r="S2807" s="4">
        <v>86518</v>
      </c>
      <c r="T2807" s="4">
        <v>74032</v>
      </c>
      <c r="U2807" s="4">
        <v>12486</v>
      </c>
      <c r="V2807" s="4">
        <v>65072</v>
      </c>
      <c r="W2807" s="4">
        <v>13829</v>
      </c>
      <c r="X2807" s="4">
        <v>6101</v>
      </c>
      <c r="Y2807" s="4" t="s">
        <v>41</v>
      </c>
      <c r="Z2807" s="4">
        <v>89</v>
      </c>
      <c r="AA2807" s="4">
        <v>3.4</v>
      </c>
      <c r="AB2807" s="4" t="s">
        <v>52</v>
      </c>
    </row>
    <row r="2808" spans="1:28" x14ac:dyDescent="0.25">
      <c r="A2808" s="2" t="s">
        <v>3618</v>
      </c>
      <c r="B2808" s="2" t="s">
        <v>1485</v>
      </c>
      <c r="C2808" s="2">
        <v>25</v>
      </c>
      <c r="D2808" s="2" t="s">
        <v>55</v>
      </c>
      <c r="E2808" s="2" t="s">
        <v>87</v>
      </c>
      <c r="F2808" s="2" t="s">
        <v>157</v>
      </c>
      <c r="G2808" s="3">
        <v>44895</v>
      </c>
      <c r="H2808" s="3">
        <v>44907</v>
      </c>
      <c r="I2808" s="2">
        <v>12</v>
      </c>
      <c r="J2808" s="2" t="s">
        <v>123</v>
      </c>
      <c r="K2808" s="2" t="s">
        <v>251</v>
      </c>
      <c r="L2808" s="2" t="s">
        <v>125</v>
      </c>
      <c r="M2808" s="2" t="s">
        <v>75</v>
      </c>
      <c r="N2808" s="2" t="s">
        <v>109</v>
      </c>
      <c r="O2808" s="2" t="s">
        <v>241</v>
      </c>
      <c r="P2808" s="2">
        <v>4</v>
      </c>
      <c r="Q2808" s="2" t="s">
        <v>39</v>
      </c>
      <c r="R2808" s="2" t="s">
        <v>136</v>
      </c>
      <c r="S2808" s="2">
        <v>160524</v>
      </c>
      <c r="T2808" s="2">
        <v>0</v>
      </c>
      <c r="U2808" s="2">
        <v>160524</v>
      </c>
      <c r="V2808" s="2">
        <v>139842</v>
      </c>
      <c r="W2808" s="2">
        <v>4926</v>
      </c>
      <c r="X2808" s="2">
        <v>13288</v>
      </c>
      <c r="Y2808" s="2" t="s">
        <v>41</v>
      </c>
      <c r="Z2808" s="2">
        <v>99</v>
      </c>
      <c r="AA2808" s="2">
        <v>3.9</v>
      </c>
      <c r="AB2808" s="2" t="s">
        <v>137</v>
      </c>
    </row>
    <row r="2809" spans="1:28" x14ac:dyDescent="0.25">
      <c r="A2809" s="4" t="s">
        <v>3619</v>
      </c>
      <c r="B2809" s="4" t="s">
        <v>1166</v>
      </c>
      <c r="C2809" s="4">
        <v>15</v>
      </c>
      <c r="D2809" s="4" t="s">
        <v>30</v>
      </c>
      <c r="E2809" s="4" t="s">
        <v>154</v>
      </c>
      <c r="F2809" s="4" t="s">
        <v>46</v>
      </c>
      <c r="G2809" s="5">
        <v>45328</v>
      </c>
      <c r="H2809" s="5">
        <v>45333</v>
      </c>
      <c r="I2809" s="4">
        <v>5</v>
      </c>
      <c r="J2809" s="4" t="s">
        <v>140</v>
      </c>
      <c r="K2809" s="4" t="s">
        <v>167</v>
      </c>
      <c r="L2809" s="4" t="s">
        <v>142</v>
      </c>
      <c r="M2809" s="4" t="s">
        <v>95</v>
      </c>
      <c r="N2809" s="4" t="s">
        <v>118</v>
      </c>
      <c r="O2809" s="4" t="s">
        <v>295</v>
      </c>
      <c r="P2809" s="4">
        <v>239</v>
      </c>
      <c r="Q2809" s="4" t="s">
        <v>39</v>
      </c>
      <c r="R2809" s="4" t="s">
        <v>40</v>
      </c>
      <c r="S2809" s="4">
        <v>126973</v>
      </c>
      <c r="T2809" s="4">
        <v>81385</v>
      </c>
      <c r="U2809" s="4">
        <v>45588</v>
      </c>
      <c r="V2809" s="4">
        <v>100226</v>
      </c>
      <c r="W2809" s="4">
        <v>20508</v>
      </c>
      <c r="X2809" s="4">
        <v>1538</v>
      </c>
      <c r="Y2809" s="4" t="s">
        <v>41</v>
      </c>
      <c r="Z2809" s="4">
        <v>89</v>
      </c>
      <c r="AA2809" s="4">
        <v>4.8</v>
      </c>
      <c r="AB2809" s="4" t="s">
        <v>64</v>
      </c>
    </row>
    <row r="2810" spans="1:28" x14ac:dyDescent="0.25">
      <c r="A2810" s="2" t="s">
        <v>3620</v>
      </c>
      <c r="B2810" s="2" t="s">
        <v>1360</v>
      </c>
      <c r="C2810" s="2">
        <v>81</v>
      </c>
      <c r="D2810" s="2" t="s">
        <v>55</v>
      </c>
      <c r="E2810" s="2" t="s">
        <v>87</v>
      </c>
      <c r="F2810" s="2" t="s">
        <v>150</v>
      </c>
      <c r="G2810" s="3">
        <v>44630</v>
      </c>
      <c r="H2810" s="3">
        <v>44636</v>
      </c>
      <c r="I2810" s="2">
        <v>6</v>
      </c>
      <c r="J2810" s="2" t="s">
        <v>58</v>
      </c>
      <c r="K2810" s="2" t="s">
        <v>88</v>
      </c>
      <c r="L2810" s="2" t="s">
        <v>60</v>
      </c>
      <c r="M2810" s="2" t="s">
        <v>75</v>
      </c>
      <c r="N2810" s="2" t="s">
        <v>118</v>
      </c>
      <c r="O2810" s="2" t="s">
        <v>434</v>
      </c>
      <c r="P2810" s="2">
        <v>415</v>
      </c>
      <c r="Q2810" s="2" t="s">
        <v>50</v>
      </c>
      <c r="R2810" s="2" t="s">
        <v>136</v>
      </c>
      <c r="S2810" s="2">
        <v>89033</v>
      </c>
      <c r="T2810" s="2">
        <v>0</v>
      </c>
      <c r="U2810" s="2">
        <v>89033</v>
      </c>
      <c r="V2810" s="2">
        <v>79680</v>
      </c>
      <c r="W2810" s="2">
        <v>5458</v>
      </c>
      <c r="X2810" s="2">
        <v>3084</v>
      </c>
      <c r="Y2810" s="2" t="s">
        <v>41</v>
      </c>
      <c r="Z2810" s="2">
        <v>86</v>
      </c>
      <c r="AA2810" s="2">
        <v>4.9000000000000004</v>
      </c>
      <c r="AB2810" s="2" t="s">
        <v>137</v>
      </c>
    </row>
    <row r="2811" spans="1:28" x14ac:dyDescent="0.25">
      <c r="A2811" s="4" t="s">
        <v>3621</v>
      </c>
      <c r="B2811" s="4" t="s">
        <v>452</v>
      </c>
      <c r="C2811" s="4">
        <v>78</v>
      </c>
      <c r="D2811" s="4" t="s">
        <v>55</v>
      </c>
      <c r="E2811" s="4" t="s">
        <v>154</v>
      </c>
      <c r="F2811" s="4" t="s">
        <v>72</v>
      </c>
      <c r="G2811" s="5">
        <v>45594</v>
      </c>
      <c r="H2811" s="5">
        <v>45616</v>
      </c>
      <c r="I2811" s="4">
        <v>22</v>
      </c>
      <c r="J2811" s="4" t="s">
        <v>33</v>
      </c>
      <c r="K2811" s="4" t="s">
        <v>278</v>
      </c>
      <c r="L2811" s="4" t="s">
        <v>279</v>
      </c>
      <c r="M2811" s="4" t="s">
        <v>83</v>
      </c>
      <c r="N2811" s="4" t="s">
        <v>109</v>
      </c>
      <c r="O2811" s="4" t="s">
        <v>627</v>
      </c>
      <c r="P2811" s="4">
        <v>347</v>
      </c>
      <c r="Q2811" s="4" t="s">
        <v>39</v>
      </c>
      <c r="R2811" s="4" t="s">
        <v>111</v>
      </c>
      <c r="S2811" s="4">
        <v>56008</v>
      </c>
      <c r="T2811" s="4">
        <v>46146</v>
      </c>
      <c r="U2811" s="4">
        <v>9862</v>
      </c>
      <c r="V2811" s="4">
        <v>12497</v>
      </c>
      <c r="W2811" s="4">
        <v>28650</v>
      </c>
      <c r="X2811" s="4">
        <v>10852</v>
      </c>
      <c r="Y2811" s="4" t="s">
        <v>91</v>
      </c>
      <c r="Z2811" s="4">
        <v>43</v>
      </c>
      <c r="AA2811" s="4">
        <v>2</v>
      </c>
      <c r="AB2811" s="4" t="s">
        <v>104</v>
      </c>
    </row>
    <row r="2812" spans="1:28" x14ac:dyDescent="0.25">
      <c r="A2812" s="2" t="s">
        <v>3622</v>
      </c>
      <c r="B2812" s="2" t="s">
        <v>444</v>
      </c>
      <c r="C2812" s="2">
        <v>82</v>
      </c>
      <c r="D2812" s="2" t="s">
        <v>30</v>
      </c>
      <c r="E2812" s="2" t="s">
        <v>45</v>
      </c>
      <c r="F2812" s="2" t="s">
        <v>150</v>
      </c>
      <c r="G2812" s="3">
        <v>45442</v>
      </c>
      <c r="H2812" s="3">
        <v>45449</v>
      </c>
      <c r="I2812" s="2">
        <v>7</v>
      </c>
      <c r="J2812" s="2" t="s">
        <v>140</v>
      </c>
      <c r="K2812" s="2" t="s">
        <v>141</v>
      </c>
      <c r="L2812" s="2" t="s">
        <v>142</v>
      </c>
      <c r="M2812" s="2" t="s">
        <v>95</v>
      </c>
      <c r="N2812" s="2" t="s">
        <v>62</v>
      </c>
      <c r="O2812" s="2" t="s">
        <v>171</v>
      </c>
      <c r="P2812" s="2">
        <v>65</v>
      </c>
      <c r="Q2812" s="2" t="s">
        <v>69</v>
      </c>
      <c r="R2812" s="2" t="s">
        <v>136</v>
      </c>
      <c r="S2812" s="2">
        <v>156498</v>
      </c>
      <c r="T2812" s="2">
        <v>0</v>
      </c>
      <c r="U2812" s="2">
        <v>156498</v>
      </c>
      <c r="V2812" s="2">
        <v>115926</v>
      </c>
      <c r="W2812" s="2">
        <v>21817</v>
      </c>
      <c r="X2812" s="2">
        <v>14383</v>
      </c>
      <c r="Y2812" s="2" t="s">
        <v>41</v>
      </c>
      <c r="Z2812" s="2">
        <v>75</v>
      </c>
      <c r="AA2812" s="2">
        <v>4.2</v>
      </c>
      <c r="AB2812" s="2" t="s">
        <v>64</v>
      </c>
    </row>
    <row r="2813" spans="1:28" x14ac:dyDescent="0.25">
      <c r="A2813" s="4" t="s">
        <v>3623</v>
      </c>
      <c r="B2813" s="4" t="s">
        <v>727</v>
      </c>
      <c r="C2813" s="4">
        <v>67</v>
      </c>
      <c r="D2813" s="4" t="s">
        <v>55</v>
      </c>
      <c r="E2813" s="4" t="s">
        <v>31</v>
      </c>
      <c r="F2813" s="4" t="s">
        <v>57</v>
      </c>
      <c r="G2813" s="5">
        <v>44997</v>
      </c>
      <c r="H2813" s="5">
        <v>45011</v>
      </c>
      <c r="I2813" s="4">
        <v>14</v>
      </c>
      <c r="J2813" s="4" t="s">
        <v>115</v>
      </c>
      <c r="K2813" s="4" t="s">
        <v>116</v>
      </c>
      <c r="L2813" s="4" t="s">
        <v>117</v>
      </c>
      <c r="M2813" s="4" t="s">
        <v>75</v>
      </c>
      <c r="N2813" s="4" t="s">
        <v>37</v>
      </c>
      <c r="O2813" s="4" t="s">
        <v>208</v>
      </c>
      <c r="P2813" s="4">
        <v>198</v>
      </c>
      <c r="Q2813" s="4" t="s">
        <v>103</v>
      </c>
      <c r="R2813" s="4" t="s">
        <v>90</v>
      </c>
      <c r="S2813" s="4">
        <v>147914</v>
      </c>
      <c r="T2813" s="4">
        <v>129034</v>
      </c>
      <c r="U2813" s="4">
        <v>18880</v>
      </c>
      <c r="V2813" s="4">
        <v>124637</v>
      </c>
      <c r="W2813" s="4">
        <v>11930</v>
      </c>
      <c r="X2813" s="4">
        <v>8735</v>
      </c>
      <c r="Y2813" s="4" t="s">
        <v>91</v>
      </c>
      <c r="Z2813" s="4">
        <v>54</v>
      </c>
      <c r="AA2813" s="4">
        <v>4.9000000000000004</v>
      </c>
      <c r="AB2813" s="4" t="s">
        <v>104</v>
      </c>
    </row>
    <row r="2814" spans="1:28" x14ac:dyDescent="0.25">
      <c r="A2814" s="2" t="s">
        <v>3624</v>
      </c>
      <c r="B2814" s="2" t="s">
        <v>173</v>
      </c>
      <c r="C2814" s="2">
        <v>57</v>
      </c>
      <c r="D2814" s="2" t="s">
        <v>30</v>
      </c>
      <c r="E2814" s="2" t="s">
        <v>45</v>
      </c>
      <c r="F2814" s="2" t="s">
        <v>129</v>
      </c>
      <c r="G2814" s="3">
        <v>44943</v>
      </c>
      <c r="H2814" s="3">
        <v>44960</v>
      </c>
      <c r="I2814" s="2">
        <v>17</v>
      </c>
      <c r="J2814" s="2" t="s">
        <v>202</v>
      </c>
      <c r="K2814" s="2" t="s">
        <v>225</v>
      </c>
      <c r="L2814" s="2" t="s">
        <v>226</v>
      </c>
      <c r="M2814" s="2" t="s">
        <v>108</v>
      </c>
      <c r="N2814" s="2" t="s">
        <v>62</v>
      </c>
      <c r="O2814" s="2" t="s">
        <v>591</v>
      </c>
      <c r="P2814" s="2">
        <v>237</v>
      </c>
      <c r="Q2814" s="2" t="s">
        <v>50</v>
      </c>
      <c r="R2814" s="2" t="s">
        <v>111</v>
      </c>
      <c r="S2814" s="2">
        <v>28970</v>
      </c>
      <c r="T2814" s="2">
        <v>18163</v>
      </c>
      <c r="U2814" s="2">
        <v>10807</v>
      </c>
      <c r="V2814" s="2">
        <v>20191</v>
      </c>
      <c r="W2814" s="2">
        <v>1342</v>
      </c>
      <c r="X2814" s="2">
        <v>4528</v>
      </c>
      <c r="Y2814" s="2" t="s">
        <v>41</v>
      </c>
      <c r="Z2814" s="2">
        <v>95</v>
      </c>
      <c r="AA2814" s="2">
        <v>3.7</v>
      </c>
      <c r="AB2814" s="2" t="s">
        <v>42</v>
      </c>
    </row>
    <row r="2815" spans="1:28" x14ac:dyDescent="0.25">
      <c r="A2815" s="4" t="s">
        <v>3625</v>
      </c>
      <c r="B2815" s="4" t="s">
        <v>1073</v>
      </c>
      <c r="C2815" s="4">
        <v>62</v>
      </c>
      <c r="D2815" s="4" t="s">
        <v>55</v>
      </c>
      <c r="E2815" s="4" t="s">
        <v>31</v>
      </c>
      <c r="F2815" s="4" t="s">
        <v>80</v>
      </c>
      <c r="G2815" s="5">
        <v>44743</v>
      </c>
      <c r="H2815" s="5">
        <v>44759</v>
      </c>
      <c r="I2815" s="4">
        <v>16</v>
      </c>
      <c r="J2815" s="4" t="s">
        <v>202</v>
      </c>
      <c r="K2815" s="4" t="s">
        <v>203</v>
      </c>
      <c r="L2815" s="4" t="s">
        <v>204</v>
      </c>
      <c r="M2815" s="4" t="s">
        <v>101</v>
      </c>
      <c r="N2815" s="4" t="s">
        <v>118</v>
      </c>
      <c r="O2815" s="4" t="s">
        <v>271</v>
      </c>
      <c r="P2815" s="4">
        <v>133</v>
      </c>
      <c r="Q2815" s="4" t="s">
        <v>50</v>
      </c>
      <c r="R2815" s="4" t="s">
        <v>90</v>
      </c>
      <c r="S2815" s="4">
        <v>40323</v>
      </c>
      <c r="T2815" s="4">
        <v>29362</v>
      </c>
      <c r="U2815" s="4">
        <v>10961</v>
      </c>
      <c r="V2815" s="4">
        <v>10320</v>
      </c>
      <c r="W2815" s="4">
        <v>20786</v>
      </c>
      <c r="X2815" s="4">
        <v>8310</v>
      </c>
      <c r="Y2815" s="4" t="s">
        <v>41</v>
      </c>
      <c r="Z2815" s="4">
        <v>56</v>
      </c>
      <c r="AA2815" s="4">
        <v>2.2000000000000002</v>
      </c>
      <c r="AB2815" s="4" t="s">
        <v>137</v>
      </c>
    </row>
    <row r="2816" spans="1:28" x14ac:dyDescent="0.25">
      <c r="A2816" s="2" t="s">
        <v>3626</v>
      </c>
      <c r="B2816" s="2" t="s">
        <v>529</v>
      </c>
      <c r="C2816" s="2">
        <v>27</v>
      </c>
      <c r="D2816" s="2" t="s">
        <v>30</v>
      </c>
      <c r="E2816" s="2" t="s">
        <v>31</v>
      </c>
      <c r="F2816" s="2" t="s">
        <v>46</v>
      </c>
      <c r="G2816" s="3">
        <v>45418</v>
      </c>
      <c r="H2816" s="3">
        <v>45422</v>
      </c>
      <c r="I2816" s="2">
        <v>4</v>
      </c>
      <c r="J2816" s="2" t="s">
        <v>33</v>
      </c>
      <c r="K2816" s="2" t="s">
        <v>34</v>
      </c>
      <c r="L2816" s="2" t="s">
        <v>35</v>
      </c>
      <c r="M2816" s="2" t="s">
        <v>95</v>
      </c>
      <c r="N2816" s="2" t="s">
        <v>118</v>
      </c>
      <c r="O2816" s="2" t="s">
        <v>181</v>
      </c>
      <c r="P2816" s="2">
        <v>323</v>
      </c>
      <c r="Q2816" s="2" t="s">
        <v>69</v>
      </c>
      <c r="R2816" s="2" t="s">
        <v>40</v>
      </c>
      <c r="S2816" s="2">
        <v>155250</v>
      </c>
      <c r="T2816" s="2">
        <v>64607</v>
      </c>
      <c r="U2816" s="2">
        <v>90643</v>
      </c>
      <c r="V2816" s="2">
        <v>120151</v>
      </c>
      <c r="W2816" s="2">
        <v>19354</v>
      </c>
      <c r="X2816" s="2">
        <v>13734</v>
      </c>
      <c r="Y2816" s="2" t="s">
        <v>41</v>
      </c>
      <c r="Z2816" s="2">
        <v>44</v>
      </c>
      <c r="AA2816" s="2">
        <v>2.2999999999999998</v>
      </c>
      <c r="AB2816" s="2" t="s">
        <v>104</v>
      </c>
    </row>
    <row r="2817" spans="1:28" x14ac:dyDescent="0.25">
      <c r="A2817" s="4" t="s">
        <v>3627</v>
      </c>
      <c r="B2817" s="4" t="s">
        <v>325</v>
      </c>
      <c r="C2817" s="4">
        <v>34</v>
      </c>
      <c r="D2817" s="4" t="s">
        <v>30</v>
      </c>
      <c r="E2817" s="4" t="s">
        <v>31</v>
      </c>
      <c r="F2817" s="4" t="s">
        <v>157</v>
      </c>
      <c r="G2817" s="5">
        <v>44714</v>
      </c>
      <c r="H2817" s="5">
        <v>44739</v>
      </c>
      <c r="I2817" s="4">
        <v>25</v>
      </c>
      <c r="J2817" s="4" t="s">
        <v>33</v>
      </c>
      <c r="K2817" s="4" t="s">
        <v>81</v>
      </c>
      <c r="L2817" s="4" t="s">
        <v>82</v>
      </c>
      <c r="M2817" s="4" t="s">
        <v>95</v>
      </c>
      <c r="N2817" s="4" t="s">
        <v>62</v>
      </c>
      <c r="O2817" s="4" t="s">
        <v>355</v>
      </c>
      <c r="P2817" s="4">
        <v>76</v>
      </c>
      <c r="Q2817" s="4" t="s">
        <v>39</v>
      </c>
      <c r="R2817" s="4" t="s">
        <v>136</v>
      </c>
      <c r="S2817" s="4">
        <v>131851</v>
      </c>
      <c r="T2817" s="4">
        <v>0</v>
      </c>
      <c r="U2817" s="4">
        <v>131851</v>
      </c>
      <c r="V2817" s="4">
        <v>90830</v>
      </c>
      <c r="W2817" s="4">
        <v>26956</v>
      </c>
      <c r="X2817" s="4">
        <v>13117</v>
      </c>
      <c r="Y2817" s="4" t="s">
        <v>41</v>
      </c>
      <c r="Z2817" s="4">
        <v>75</v>
      </c>
      <c r="AA2817" s="4">
        <v>3.7</v>
      </c>
      <c r="AB2817" s="4" t="s">
        <v>104</v>
      </c>
    </row>
    <row r="2818" spans="1:28" x14ac:dyDescent="0.25">
      <c r="A2818" s="2" t="s">
        <v>3628</v>
      </c>
      <c r="B2818" s="2" t="s">
        <v>258</v>
      </c>
      <c r="C2818" s="2">
        <v>14</v>
      </c>
      <c r="D2818" s="2" t="s">
        <v>55</v>
      </c>
      <c r="E2818" s="2" t="s">
        <v>87</v>
      </c>
      <c r="F2818" s="2" t="s">
        <v>114</v>
      </c>
      <c r="G2818" s="3">
        <v>45346</v>
      </c>
      <c r="H2818" s="3">
        <v>45372</v>
      </c>
      <c r="I2818" s="2">
        <v>26</v>
      </c>
      <c r="J2818" s="2" t="s">
        <v>33</v>
      </c>
      <c r="K2818" s="2" t="s">
        <v>107</v>
      </c>
      <c r="L2818" s="2" t="s">
        <v>48</v>
      </c>
      <c r="M2818" s="2" t="s">
        <v>75</v>
      </c>
      <c r="N2818" s="2" t="s">
        <v>62</v>
      </c>
      <c r="O2818" s="2" t="s">
        <v>368</v>
      </c>
      <c r="P2818" s="2">
        <v>220</v>
      </c>
      <c r="Q2818" s="2" t="s">
        <v>69</v>
      </c>
      <c r="R2818" s="2" t="s">
        <v>136</v>
      </c>
      <c r="S2818" s="2">
        <v>55270</v>
      </c>
      <c r="T2818" s="2">
        <v>0</v>
      </c>
      <c r="U2818" s="2">
        <v>55270</v>
      </c>
      <c r="V2818" s="2">
        <v>20705</v>
      </c>
      <c r="W2818" s="2">
        <v>24315</v>
      </c>
      <c r="X2818" s="2">
        <v>7377</v>
      </c>
      <c r="Y2818" s="2" t="s">
        <v>91</v>
      </c>
      <c r="Z2818" s="2">
        <v>46</v>
      </c>
      <c r="AA2818" s="2">
        <v>2.2999999999999998</v>
      </c>
      <c r="AB2818" s="2" t="s">
        <v>64</v>
      </c>
    </row>
    <row r="2819" spans="1:28" x14ac:dyDescent="0.25">
      <c r="A2819" s="4" t="s">
        <v>3629</v>
      </c>
      <c r="B2819" s="4" t="s">
        <v>697</v>
      </c>
      <c r="C2819" s="4">
        <v>40</v>
      </c>
      <c r="D2819" s="4" t="s">
        <v>55</v>
      </c>
      <c r="E2819" s="4" t="s">
        <v>56</v>
      </c>
      <c r="F2819" s="4" t="s">
        <v>46</v>
      </c>
      <c r="G2819" s="5">
        <v>45136</v>
      </c>
      <c r="H2819" s="5">
        <v>45138</v>
      </c>
      <c r="I2819" s="4">
        <v>2</v>
      </c>
      <c r="J2819" s="4" t="s">
        <v>33</v>
      </c>
      <c r="K2819" s="4" t="s">
        <v>107</v>
      </c>
      <c r="L2819" s="4" t="s">
        <v>48</v>
      </c>
      <c r="M2819" s="4" t="s">
        <v>130</v>
      </c>
      <c r="N2819" s="4" t="s">
        <v>118</v>
      </c>
      <c r="O2819" s="4" t="s">
        <v>266</v>
      </c>
      <c r="P2819" s="4">
        <v>290</v>
      </c>
      <c r="Q2819" s="4" t="s">
        <v>39</v>
      </c>
      <c r="R2819" s="4" t="s">
        <v>136</v>
      </c>
      <c r="S2819" s="4">
        <v>78334</v>
      </c>
      <c r="T2819" s="4">
        <v>0</v>
      </c>
      <c r="U2819" s="4">
        <v>78334</v>
      </c>
      <c r="V2819" s="4">
        <v>64014</v>
      </c>
      <c r="W2819" s="4">
        <v>4317</v>
      </c>
      <c r="X2819" s="4">
        <v>7946</v>
      </c>
      <c r="Y2819" s="4" t="s">
        <v>41</v>
      </c>
      <c r="Z2819" s="4">
        <v>95</v>
      </c>
      <c r="AA2819" s="4">
        <v>2.9</v>
      </c>
      <c r="AB2819" s="4" t="s">
        <v>104</v>
      </c>
    </row>
    <row r="2820" spans="1:28" x14ac:dyDescent="0.25">
      <c r="A2820" s="2" t="s">
        <v>3630</v>
      </c>
      <c r="B2820" s="2" t="s">
        <v>2146</v>
      </c>
      <c r="C2820" s="2">
        <v>25</v>
      </c>
      <c r="D2820" s="2" t="s">
        <v>55</v>
      </c>
      <c r="E2820" s="2" t="s">
        <v>79</v>
      </c>
      <c r="F2820" s="2" t="s">
        <v>157</v>
      </c>
      <c r="G2820" s="3">
        <v>44698</v>
      </c>
      <c r="H2820" s="3">
        <v>44706</v>
      </c>
      <c r="I2820" s="2">
        <v>8</v>
      </c>
      <c r="J2820" s="2" t="s">
        <v>140</v>
      </c>
      <c r="K2820" s="2" t="s">
        <v>167</v>
      </c>
      <c r="L2820" s="2" t="s">
        <v>142</v>
      </c>
      <c r="M2820" s="2" t="s">
        <v>134</v>
      </c>
      <c r="N2820" s="2" t="s">
        <v>62</v>
      </c>
      <c r="O2820" s="2" t="s">
        <v>571</v>
      </c>
      <c r="P2820" s="2">
        <v>375</v>
      </c>
      <c r="Q2820" s="2" t="s">
        <v>39</v>
      </c>
      <c r="R2820" s="2" t="s">
        <v>111</v>
      </c>
      <c r="S2820" s="2">
        <v>134842</v>
      </c>
      <c r="T2820" s="2">
        <v>94171</v>
      </c>
      <c r="U2820" s="2">
        <v>40671</v>
      </c>
      <c r="V2820" s="2">
        <v>101971</v>
      </c>
      <c r="W2820" s="2">
        <v>18679</v>
      </c>
      <c r="X2820" s="2">
        <v>11897</v>
      </c>
      <c r="Y2820" s="2" t="s">
        <v>41</v>
      </c>
      <c r="Z2820" s="2">
        <v>70</v>
      </c>
      <c r="AA2820" s="2">
        <v>2.7</v>
      </c>
      <c r="AB2820" s="2" t="s">
        <v>64</v>
      </c>
    </row>
    <row r="2821" spans="1:28" x14ac:dyDescent="0.25">
      <c r="A2821" s="4" t="s">
        <v>3631</v>
      </c>
      <c r="B2821" s="4" t="s">
        <v>771</v>
      </c>
      <c r="C2821" s="4">
        <v>57</v>
      </c>
      <c r="D2821" s="4" t="s">
        <v>30</v>
      </c>
      <c r="E2821" s="4" t="s">
        <v>67</v>
      </c>
      <c r="F2821" s="4" t="s">
        <v>57</v>
      </c>
      <c r="G2821" s="5">
        <v>45400</v>
      </c>
      <c r="H2821" s="5">
        <v>45430</v>
      </c>
      <c r="I2821" s="4">
        <v>30</v>
      </c>
      <c r="J2821" s="4" t="s">
        <v>33</v>
      </c>
      <c r="K2821" s="4" t="s">
        <v>233</v>
      </c>
      <c r="L2821" s="4" t="s">
        <v>35</v>
      </c>
      <c r="M2821" s="4" t="s">
        <v>95</v>
      </c>
      <c r="N2821" s="4" t="s">
        <v>37</v>
      </c>
      <c r="O2821" s="4" t="s">
        <v>492</v>
      </c>
      <c r="P2821" s="4">
        <v>225</v>
      </c>
      <c r="Q2821" s="4" t="s">
        <v>69</v>
      </c>
      <c r="R2821" s="4" t="s">
        <v>51</v>
      </c>
      <c r="S2821" s="4">
        <v>96584</v>
      </c>
      <c r="T2821" s="4">
        <v>52879</v>
      </c>
      <c r="U2821" s="4">
        <v>43705</v>
      </c>
      <c r="V2821" s="4">
        <v>61419</v>
      </c>
      <c r="W2821" s="4">
        <v>29775</v>
      </c>
      <c r="X2821" s="4">
        <v>1820</v>
      </c>
      <c r="Y2821" s="4" t="s">
        <v>41</v>
      </c>
      <c r="Z2821" s="4">
        <v>67</v>
      </c>
      <c r="AA2821" s="4">
        <v>3</v>
      </c>
      <c r="AB2821" s="4" t="s">
        <v>104</v>
      </c>
    </row>
    <row r="2822" spans="1:28" x14ac:dyDescent="0.25">
      <c r="A2822" s="2" t="s">
        <v>3632</v>
      </c>
      <c r="B2822" s="2" t="s">
        <v>564</v>
      </c>
      <c r="C2822" s="2">
        <v>81</v>
      </c>
      <c r="D2822" s="2" t="s">
        <v>30</v>
      </c>
      <c r="E2822" s="2" t="s">
        <v>79</v>
      </c>
      <c r="F2822" s="2" t="s">
        <v>72</v>
      </c>
      <c r="G2822" s="3">
        <v>45084</v>
      </c>
      <c r="H2822" s="3">
        <v>45104</v>
      </c>
      <c r="I2822" s="2">
        <v>20</v>
      </c>
      <c r="J2822" s="2" t="s">
        <v>115</v>
      </c>
      <c r="K2822" s="2" t="s">
        <v>160</v>
      </c>
      <c r="L2822" s="2" t="s">
        <v>117</v>
      </c>
      <c r="M2822" s="2" t="s">
        <v>83</v>
      </c>
      <c r="N2822" s="2" t="s">
        <v>118</v>
      </c>
      <c r="O2822" s="2" t="s">
        <v>416</v>
      </c>
      <c r="P2822" s="2">
        <v>440</v>
      </c>
      <c r="Q2822" s="2" t="s">
        <v>50</v>
      </c>
      <c r="R2822" s="2" t="s">
        <v>136</v>
      </c>
      <c r="S2822" s="2">
        <v>61910</v>
      </c>
      <c r="T2822" s="2">
        <v>0</v>
      </c>
      <c r="U2822" s="2">
        <v>61910</v>
      </c>
      <c r="V2822" s="2">
        <v>21241</v>
      </c>
      <c r="W2822" s="2">
        <v>25089</v>
      </c>
      <c r="X2822" s="2">
        <v>13699</v>
      </c>
      <c r="Y2822" s="2" t="s">
        <v>41</v>
      </c>
      <c r="Z2822" s="2">
        <v>54</v>
      </c>
      <c r="AA2822" s="2">
        <v>2.2000000000000002</v>
      </c>
      <c r="AB2822" s="2" t="s">
        <v>137</v>
      </c>
    </row>
    <row r="2823" spans="1:28" x14ac:dyDescent="0.25">
      <c r="A2823" s="4" t="s">
        <v>3633</v>
      </c>
      <c r="B2823" s="4" t="s">
        <v>183</v>
      </c>
      <c r="C2823" s="4">
        <v>54</v>
      </c>
      <c r="D2823" s="4" t="s">
        <v>30</v>
      </c>
      <c r="E2823" s="4" t="s">
        <v>122</v>
      </c>
      <c r="F2823" s="4" t="s">
        <v>129</v>
      </c>
      <c r="G2823" s="5">
        <v>45426</v>
      </c>
      <c r="H2823" s="5">
        <v>45427</v>
      </c>
      <c r="I2823" s="4">
        <v>1</v>
      </c>
      <c r="J2823" s="4" t="s">
        <v>202</v>
      </c>
      <c r="K2823" s="4" t="s">
        <v>203</v>
      </c>
      <c r="L2823" s="4" t="s">
        <v>204</v>
      </c>
      <c r="M2823" s="4" t="s">
        <v>75</v>
      </c>
      <c r="N2823" s="4" t="s">
        <v>109</v>
      </c>
      <c r="O2823" s="4" t="s">
        <v>352</v>
      </c>
      <c r="P2823" s="4">
        <v>428</v>
      </c>
      <c r="Q2823" s="4" t="s">
        <v>69</v>
      </c>
      <c r="R2823" s="4" t="s">
        <v>90</v>
      </c>
      <c r="S2823" s="4">
        <v>160595</v>
      </c>
      <c r="T2823" s="4">
        <v>130653</v>
      </c>
      <c r="U2823" s="4">
        <v>29942</v>
      </c>
      <c r="V2823" s="4">
        <v>138872</v>
      </c>
      <c r="W2823" s="4">
        <v>3382</v>
      </c>
      <c r="X2823" s="4">
        <v>13362</v>
      </c>
      <c r="Y2823" s="4" t="s">
        <v>41</v>
      </c>
      <c r="Z2823" s="4">
        <v>84</v>
      </c>
      <c r="AA2823" s="4">
        <v>3.9</v>
      </c>
      <c r="AB2823" s="4" t="s">
        <v>64</v>
      </c>
    </row>
    <row r="2824" spans="1:28" x14ac:dyDescent="0.25">
      <c r="A2824" s="2" t="s">
        <v>3634</v>
      </c>
      <c r="B2824" s="2" t="s">
        <v>308</v>
      </c>
      <c r="C2824" s="2">
        <v>12</v>
      </c>
      <c r="D2824" s="2" t="s">
        <v>55</v>
      </c>
      <c r="E2824" s="2" t="s">
        <v>56</v>
      </c>
      <c r="F2824" s="2" t="s">
        <v>57</v>
      </c>
      <c r="G2824" s="3">
        <v>45145</v>
      </c>
      <c r="H2824" s="3">
        <v>45160</v>
      </c>
      <c r="I2824" s="2">
        <v>15</v>
      </c>
      <c r="J2824" s="2" t="s">
        <v>123</v>
      </c>
      <c r="K2824" s="2" t="s">
        <v>251</v>
      </c>
      <c r="L2824" s="2" t="s">
        <v>125</v>
      </c>
      <c r="M2824" s="2" t="s">
        <v>134</v>
      </c>
      <c r="N2824" s="2" t="s">
        <v>118</v>
      </c>
      <c r="O2824" s="2" t="s">
        <v>471</v>
      </c>
      <c r="P2824" s="2">
        <v>162</v>
      </c>
      <c r="Q2824" s="2" t="s">
        <v>39</v>
      </c>
      <c r="R2824" s="2" t="s">
        <v>40</v>
      </c>
      <c r="S2824" s="2">
        <v>120614</v>
      </c>
      <c r="T2824" s="2">
        <v>51480</v>
      </c>
      <c r="U2824" s="2">
        <v>69134</v>
      </c>
      <c r="V2824" s="2">
        <v>96518</v>
      </c>
      <c r="W2824" s="2">
        <v>14301</v>
      </c>
      <c r="X2824" s="2">
        <v>8199</v>
      </c>
      <c r="Y2824" s="2" t="s">
        <v>41</v>
      </c>
      <c r="Z2824" s="2">
        <v>84</v>
      </c>
      <c r="AA2824" s="2">
        <v>2.2000000000000002</v>
      </c>
      <c r="AB2824" s="2" t="s">
        <v>52</v>
      </c>
    </row>
    <row r="2825" spans="1:28" x14ac:dyDescent="0.25">
      <c r="A2825" s="4" t="s">
        <v>3635</v>
      </c>
      <c r="B2825" s="4" t="s">
        <v>1478</v>
      </c>
      <c r="C2825" s="4">
        <v>5</v>
      </c>
      <c r="D2825" s="4" t="s">
        <v>30</v>
      </c>
      <c r="E2825" s="4" t="s">
        <v>45</v>
      </c>
      <c r="F2825" s="4" t="s">
        <v>129</v>
      </c>
      <c r="G2825" s="5">
        <v>45385</v>
      </c>
      <c r="H2825" s="5">
        <v>45397</v>
      </c>
      <c r="I2825" s="4">
        <v>12</v>
      </c>
      <c r="J2825" s="4" t="s">
        <v>202</v>
      </c>
      <c r="K2825" s="4" t="s">
        <v>225</v>
      </c>
      <c r="L2825" s="4" t="s">
        <v>226</v>
      </c>
      <c r="M2825" s="4" t="s">
        <v>36</v>
      </c>
      <c r="N2825" s="4" t="s">
        <v>37</v>
      </c>
      <c r="O2825" s="4" t="s">
        <v>222</v>
      </c>
      <c r="P2825" s="4">
        <v>46</v>
      </c>
      <c r="Q2825" s="4" t="s">
        <v>50</v>
      </c>
      <c r="R2825" s="4" t="s">
        <v>111</v>
      </c>
      <c r="S2825" s="4">
        <v>89021</v>
      </c>
      <c r="T2825" s="4">
        <v>76113</v>
      </c>
      <c r="U2825" s="4">
        <v>12908</v>
      </c>
      <c r="V2825" s="4">
        <v>50252</v>
      </c>
      <c r="W2825" s="4">
        <v>23296</v>
      </c>
      <c r="X2825" s="4">
        <v>14884</v>
      </c>
      <c r="Y2825" s="4" t="s">
        <v>91</v>
      </c>
      <c r="Z2825" s="4">
        <v>72</v>
      </c>
      <c r="AA2825" s="4">
        <v>3.6</v>
      </c>
      <c r="AB2825" s="4" t="s">
        <v>42</v>
      </c>
    </row>
    <row r="2826" spans="1:28" x14ac:dyDescent="0.25">
      <c r="A2826" s="2" t="s">
        <v>3636</v>
      </c>
      <c r="B2826" s="2" t="s">
        <v>790</v>
      </c>
      <c r="C2826" s="2">
        <v>58</v>
      </c>
      <c r="D2826" s="2" t="s">
        <v>30</v>
      </c>
      <c r="E2826" s="2" t="s">
        <v>56</v>
      </c>
      <c r="F2826" s="2" t="s">
        <v>46</v>
      </c>
      <c r="G2826" s="3">
        <v>45053</v>
      </c>
      <c r="H2826" s="3">
        <v>45068</v>
      </c>
      <c r="I2826" s="2">
        <v>15</v>
      </c>
      <c r="J2826" s="2" t="s">
        <v>33</v>
      </c>
      <c r="K2826" s="2" t="s">
        <v>107</v>
      </c>
      <c r="L2826" s="2" t="s">
        <v>48</v>
      </c>
      <c r="M2826" s="2" t="s">
        <v>143</v>
      </c>
      <c r="N2826" s="2" t="s">
        <v>109</v>
      </c>
      <c r="O2826" s="2" t="s">
        <v>673</v>
      </c>
      <c r="P2826" s="2">
        <v>167</v>
      </c>
      <c r="Q2826" s="2" t="s">
        <v>103</v>
      </c>
      <c r="R2826" s="2" t="s">
        <v>51</v>
      </c>
      <c r="S2826" s="2">
        <v>75399</v>
      </c>
      <c r="T2826" s="2">
        <v>42910</v>
      </c>
      <c r="U2826" s="2">
        <v>32489</v>
      </c>
      <c r="V2826" s="2">
        <v>54782</v>
      </c>
      <c r="W2826" s="2">
        <v>3561</v>
      </c>
      <c r="X2826" s="2">
        <v>14271</v>
      </c>
      <c r="Y2826" s="2" t="s">
        <v>41</v>
      </c>
      <c r="Z2826" s="2">
        <v>74</v>
      </c>
      <c r="AA2826" s="2">
        <v>3.7</v>
      </c>
      <c r="AB2826" s="2" t="s">
        <v>104</v>
      </c>
    </row>
    <row r="2827" spans="1:28" x14ac:dyDescent="0.25">
      <c r="A2827" s="4" t="s">
        <v>3637</v>
      </c>
      <c r="B2827" s="4" t="s">
        <v>224</v>
      </c>
      <c r="C2827" s="4">
        <v>30</v>
      </c>
      <c r="D2827" s="4" t="s">
        <v>55</v>
      </c>
      <c r="E2827" s="4" t="s">
        <v>87</v>
      </c>
      <c r="F2827" s="4" t="s">
        <v>114</v>
      </c>
      <c r="G2827" s="5">
        <v>44709</v>
      </c>
      <c r="H2827" s="5">
        <v>44728</v>
      </c>
      <c r="I2827" s="4">
        <v>19</v>
      </c>
      <c r="J2827" s="4" t="s">
        <v>33</v>
      </c>
      <c r="K2827" s="4" t="s">
        <v>233</v>
      </c>
      <c r="L2827" s="4" t="s">
        <v>35</v>
      </c>
      <c r="M2827" s="4" t="s">
        <v>61</v>
      </c>
      <c r="N2827" s="4" t="s">
        <v>37</v>
      </c>
      <c r="O2827" s="4" t="s">
        <v>189</v>
      </c>
      <c r="P2827" s="4">
        <v>127</v>
      </c>
      <c r="Q2827" s="4" t="s">
        <v>69</v>
      </c>
      <c r="R2827" s="4" t="s">
        <v>90</v>
      </c>
      <c r="S2827" s="4">
        <v>40835</v>
      </c>
      <c r="T2827" s="4">
        <v>32958</v>
      </c>
      <c r="U2827" s="4">
        <v>7877</v>
      </c>
      <c r="V2827" s="4">
        <v>7451</v>
      </c>
      <c r="W2827" s="4">
        <v>26986</v>
      </c>
      <c r="X2827" s="4">
        <v>3285</v>
      </c>
      <c r="Y2827" s="4" t="s">
        <v>41</v>
      </c>
      <c r="Z2827" s="4">
        <v>69</v>
      </c>
      <c r="AA2827" s="4">
        <v>5</v>
      </c>
      <c r="AB2827" s="4" t="s">
        <v>52</v>
      </c>
    </row>
    <row r="2828" spans="1:28" x14ac:dyDescent="0.25">
      <c r="A2828" s="2" t="s">
        <v>3638</v>
      </c>
      <c r="B2828" s="2" t="s">
        <v>588</v>
      </c>
      <c r="C2828" s="2">
        <v>33</v>
      </c>
      <c r="D2828" s="2" t="s">
        <v>55</v>
      </c>
      <c r="E2828" s="2" t="s">
        <v>45</v>
      </c>
      <c r="F2828" s="2" t="s">
        <v>94</v>
      </c>
      <c r="G2828" s="3">
        <v>45204</v>
      </c>
      <c r="H2828" s="3">
        <v>45208</v>
      </c>
      <c r="I2828" s="2">
        <v>4</v>
      </c>
      <c r="J2828" s="2" t="s">
        <v>58</v>
      </c>
      <c r="K2828" s="2" t="s">
        <v>88</v>
      </c>
      <c r="L2828" s="2" t="s">
        <v>60</v>
      </c>
      <c r="M2828" s="2" t="s">
        <v>134</v>
      </c>
      <c r="N2828" s="2" t="s">
        <v>118</v>
      </c>
      <c r="O2828" s="2" t="s">
        <v>38</v>
      </c>
      <c r="P2828" s="2">
        <v>254</v>
      </c>
      <c r="Q2828" s="2" t="s">
        <v>50</v>
      </c>
      <c r="R2828" s="2" t="s">
        <v>111</v>
      </c>
      <c r="S2828" s="2">
        <v>142867</v>
      </c>
      <c r="T2828" s="2">
        <v>118833</v>
      </c>
      <c r="U2828" s="2">
        <v>24034</v>
      </c>
      <c r="V2828" s="2">
        <v>128989</v>
      </c>
      <c r="W2828" s="2">
        <v>5402</v>
      </c>
      <c r="X2828" s="2">
        <v>4224</v>
      </c>
      <c r="Y2828" s="2" t="s">
        <v>41</v>
      </c>
      <c r="Z2828" s="2">
        <v>99</v>
      </c>
      <c r="AA2828" s="2">
        <v>4.8</v>
      </c>
      <c r="AB2828" s="2" t="s">
        <v>42</v>
      </c>
    </row>
    <row r="2829" spans="1:28" x14ac:dyDescent="0.25">
      <c r="A2829" s="4" t="s">
        <v>3639</v>
      </c>
      <c r="B2829" s="4" t="s">
        <v>357</v>
      </c>
      <c r="C2829" s="4">
        <v>72</v>
      </c>
      <c r="D2829" s="4" t="s">
        <v>55</v>
      </c>
      <c r="E2829" s="4" t="s">
        <v>56</v>
      </c>
      <c r="F2829" s="4" t="s">
        <v>57</v>
      </c>
      <c r="G2829" s="5">
        <v>45461</v>
      </c>
      <c r="H2829" s="5">
        <v>45474</v>
      </c>
      <c r="I2829" s="4">
        <v>13</v>
      </c>
      <c r="J2829" s="4" t="s">
        <v>33</v>
      </c>
      <c r="K2829" s="4" t="s">
        <v>197</v>
      </c>
      <c r="L2829" s="4" t="s">
        <v>198</v>
      </c>
      <c r="M2829" s="4" t="s">
        <v>101</v>
      </c>
      <c r="N2829" s="4" t="s">
        <v>118</v>
      </c>
      <c r="O2829" s="4" t="s">
        <v>434</v>
      </c>
      <c r="P2829" s="4">
        <v>338</v>
      </c>
      <c r="Q2829" s="4" t="s">
        <v>103</v>
      </c>
      <c r="R2829" s="4" t="s">
        <v>90</v>
      </c>
      <c r="S2829" s="4">
        <v>85583</v>
      </c>
      <c r="T2829" s="4">
        <v>69124</v>
      </c>
      <c r="U2829" s="4">
        <v>16459</v>
      </c>
      <c r="V2829" s="4">
        <v>70995</v>
      </c>
      <c r="W2829" s="4">
        <v>5721</v>
      </c>
      <c r="X2829" s="4">
        <v>6538</v>
      </c>
      <c r="Y2829" s="4" t="s">
        <v>41</v>
      </c>
      <c r="Z2829" s="4">
        <v>66</v>
      </c>
      <c r="AA2829" s="4">
        <v>3.8</v>
      </c>
      <c r="AB2829" s="4" t="s">
        <v>137</v>
      </c>
    </row>
    <row r="2830" spans="1:28" x14ac:dyDescent="0.25">
      <c r="A2830" s="2" t="s">
        <v>3640</v>
      </c>
      <c r="B2830" s="2" t="s">
        <v>1931</v>
      </c>
      <c r="C2830" s="2">
        <v>21</v>
      </c>
      <c r="D2830" s="2" t="s">
        <v>30</v>
      </c>
      <c r="E2830" s="2" t="s">
        <v>79</v>
      </c>
      <c r="F2830" s="2" t="s">
        <v>72</v>
      </c>
      <c r="G2830" s="3">
        <v>45365</v>
      </c>
      <c r="H2830" s="3">
        <v>45378</v>
      </c>
      <c r="I2830" s="2">
        <v>13</v>
      </c>
      <c r="J2830" s="2" t="s">
        <v>123</v>
      </c>
      <c r="K2830" s="2" t="s">
        <v>251</v>
      </c>
      <c r="L2830" s="2" t="s">
        <v>125</v>
      </c>
      <c r="M2830" s="2" t="s">
        <v>130</v>
      </c>
      <c r="N2830" s="2" t="s">
        <v>109</v>
      </c>
      <c r="O2830" s="2" t="s">
        <v>96</v>
      </c>
      <c r="P2830" s="2">
        <v>110</v>
      </c>
      <c r="Q2830" s="2" t="s">
        <v>103</v>
      </c>
      <c r="R2830" s="2" t="s">
        <v>40</v>
      </c>
      <c r="S2830" s="2">
        <v>83302</v>
      </c>
      <c r="T2830" s="2">
        <v>44710</v>
      </c>
      <c r="U2830" s="2">
        <v>38592</v>
      </c>
      <c r="V2830" s="2">
        <v>59864</v>
      </c>
      <c r="W2830" s="2">
        <v>19017</v>
      </c>
      <c r="X2830" s="2">
        <v>966</v>
      </c>
      <c r="Y2830" s="2" t="s">
        <v>41</v>
      </c>
      <c r="Z2830" s="2">
        <v>47</v>
      </c>
      <c r="AA2830" s="2">
        <v>3.2</v>
      </c>
      <c r="AB2830" s="2" t="s">
        <v>137</v>
      </c>
    </row>
    <row r="2831" spans="1:28" x14ac:dyDescent="0.25">
      <c r="A2831" s="4" t="s">
        <v>3641</v>
      </c>
      <c r="B2831" s="4" t="s">
        <v>265</v>
      </c>
      <c r="C2831" s="4">
        <v>54</v>
      </c>
      <c r="D2831" s="4" t="s">
        <v>30</v>
      </c>
      <c r="E2831" s="4" t="s">
        <v>154</v>
      </c>
      <c r="F2831" s="4" t="s">
        <v>150</v>
      </c>
      <c r="G2831" s="5">
        <v>45030</v>
      </c>
      <c r="H2831" s="5">
        <v>45039</v>
      </c>
      <c r="I2831" s="4">
        <v>9</v>
      </c>
      <c r="J2831" s="4" t="s">
        <v>123</v>
      </c>
      <c r="K2831" s="4" t="s">
        <v>124</v>
      </c>
      <c r="L2831" s="4" t="s">
        <v>125</v>
      </c>
      <c r="M2831" s="4" t="s">
        <v>101</v>
      </c>
      <c r="N2831" s="4" t="s">
        <v>62</v>
      </c>
      <c r="O2831" s="4" t="s">
        <v>455</v>
      </c>
      <c r="P2831" s="4">
        <v>204</v>
      </c>
      <c r="Q2831" s="4" t="s">
        <v>50</v>
      </c>
      <c r="R2831" s="4" t="s">
        <v>136</v>
      </c>
      <c r="S2831" s="4">
        <v>109613</v>
      </c>
      <c r="T2831" s="4">
        <v>0</v>
      </c>
      <c r="U2831" s="4">
        <v>109613</v>
      </c>
      <c r="V2831" s="4">
        <v>81177</v>
      </c>
      <c r="W2831" s="4">
        <v>13914</v>
      </c>
      <c r="X2831" s="4">
        <v>13998</v>
      </c>
      <c r="Y2831" s="4" t="s">
        <v>41</v>
      </c>
      <c r="Z2831" s="4">
        <v>80</v>
      </c>
      <c r="AA2831" s="4">
        <v>4.0999999999999996</v>
      </c>
      <c r="AB2831" s="4" t="s">
        <v>137</v>
      </c>
    </row>
    <row r="2832" spans="1:28" x14ac:dyDescent="0.25">
      <c r="A2832" s="2" t="s">
        <v>3642</v>
      </c>
      <c r="B2832" s="2" t="s">
        <v>2592</v>
      </c>
      <c r="C2832" s="2">
        <v>78</v>
      </c>
      <c r="D2832" s="2" t="s">
        <v>30</v>
      </c>
      <c r="E2832" s="2" t="s">
        <v>31</v>
      </c>
      <c r="F2832" s="2" t="s">
        <v>129</v>
      </c>
      <c r="G2832" s="3">
        <v>44706</v>
      </c>
      <c r="H2832" s="3">
        <v>44726</v>
      </c>
      <c r="I2832" s="2">
        <v>20</v>
      </c>
      <c r="J2832" s="2" t="s">
        <v>202</v>
      </c>
      <c r="K2832" s="2" t="s">
        <v>203</v>
      </c>
      <c r="L2832" s="2" t="s">
        <v>204</v>
      </c>
      <c r="M2832" s="2" t="s">
        <v>61</v>
      </c>
      <c r="N2832" s="2" t="s">
        <v>62</v>
      </c>
      <c r="O2832" s="2" t="s">
        <v>471</v>
      </c>
      <c r="P2832" s="2">
        <v>65</v>
      </c>
      <c r="Q2832" s="2" t="s">
        <v>69</v>
      </c>
      <c r="R2832" s="2" t="s">
        <v>111</v>
      </c>
      <c r="S2832" s="2">
        <v>108440</v>
      </c>
      <c r="T2832" s="2">
        <v>90405</v>
      </c>
      <c r="U2832" s="2">
        <v>18035</v>
      </c>
      <c r="V2832" s="2">
        <v>90285</v>
      </c>
      <c r="W2832" s="2">
        <v>7888</v>
      </c>
      <c r="X2832" s="2">
        <v>5409</v>
      </c>
      <c r="Y2832" s="2" t="s">
        <v>41</v>
      </c>
      <c r="Z2832" s="2">
        <v>95</v>
      </c>
      <c r="AA2832" s="2">
        <v>3.1</v>
      </c>
      <c r="AB2832" s="2" t="s">
        <v>104</v>
      </c>
    </row>
    <row r="2833" spans="1:28" x14ac:dyDescent="0.25">
      <c r="A2833" s="4" t="s">
        <v>3643</v>
      </c>
      <c r="B2833" s="4" t="s">
        <v>2222</v>
      </c>
      <c r="C2833" s="4">
        <v>58</v>
      </c>
      <c r="D2833" s="4" t="s">
        <v>55</v>
      </c>
      <c r="E2833" s="4" t="s">
        <v>79</v>
      </c>
      <c r="F2833" s="4" t="s">
        <v>57</v>
      </c>
      <c r="G2833" s="5">
        <v>45195</v>
      </c>
      <c r="H2833" s="5">
        <v>45217</v>
      </c>
      <c r="I2833" s="4">
        <v>22</v>
      </c>
      <c r="J2833" s="4" t="s">
        <v>58</v>
      </c>
      <c r="K2833" s="4" t="s">
        <v>59</v>
      </c>
      <c r="L2833" s="4" t="s">
        <v>60</v>
      </c>
      <c r="M2833" s="4" t="s">
        <v>108</v>
      </c>
      <c r="N2833" s="4" t="s">
        <v>109</v>
      </c>
      <c r="O2833" s="4" t="s">
        <v>230</v>
      </c>
      <c r="P2833" s="4">
        <v>372</v>
      </c>
      <c r="Q2833" s="4" t="s">
        <v>103</v>
      </c>
      <c r="R2833" s="4" t="s">
        <v>136</v>
      </c>
      <c r="S2833" s="4">
        <v>49250</v>
      </c>
      <c r="T2833" s="4">
        <v>0</v>
      </c>
      <c r="U2833" s="4">
        <v>49250</v>
      </c>
      <c r="V2833" s="4">
        <v>29960</v>
      </c>
      <c r="W2833" s="4">
        <v>16955</v>
      </c>
      <c r="X2833" s="4">
        <v>1400</v>
      </c>
      <c r="Y2833" s="4" t="s">
        <v>91</v>
      </c>
      <c r="Z2833" s="4">
        <v>54</v>
      </c>
      <c r="AA2833" s="4">
        <v>3.3</v>
      </c>
      <c r="AB2833" s="4" t="s">
        <v>104</v>
      </c>
    </row>
    <row r="2834" spans="1:28" x14ac:dyDescent="0.25">
      <c r="A2834" s="2" t="s">
        <v>3644</v>
      </c>
      <c r="B2834" s="2" t="s">
        <v>506</v>
      </c>
      <c r="C2834" s="2">
        <v>39</v>
      </c>
      <c r="D2834" s="2" t="s">
        <v>55</v>
      </c>
      <c r="E2834" s="2" t="s">
        <v>56</v>
      </c>
      <c r="F2834" s="2" t="s">
        <v>129</v>
      </c>
      <c r="G2834" s="3">
        <v>44642</v>
      </c>
      <c r="H2834" s="3">
        <v>44656</v>
      </c>
      <c r="I2834" s="2">
        <v>14</v>
      </c>
      <c r="J2834" s="2" t="s">
        <v>115</v>
      </c>
      <c r="K2834" s="2" t="s">
        <v>116</v>
      </c>
      <c r="L2834" s="2" t="s">
        <v>117</v>
      </c>
      <c r="M2834" s="2" t="s">
        <v>95</v>
      </c>
      <c r="N2834" s="2" t="s">
        <v>62</v>
      </c>
      <c r="O2834" s="2" t="s">
        <v>673</v>
      </c>
      <c r="P2834" s="2">
        <v>215</v>
      </c>
      <c r="Q2834" s="2" t="s">
        <v>69</v>
      </c>
      <c r="R2834" s="2" t="s">
        <v>40</v>
      </c>
      <c r="S2834" s="2">
        <v>61514</v>
      </c>
      <c r="T2834" s="2">
        <v>33847</v>
      </c>
      <c r="U2834" s="2">
        <v>27667</v>
      </c>
      <c r="V2834" s="2">
        <v>30374</v>
      </c>
      <c r="W2834" s="2">
        <v>21556</v>
      </c>
      <c r="X2834" s="2">
        <v>8657</v>
      </c>
      <c r="Y2834" s="2" t="s">
        <v>41</v>
      </c>
      <c r="Z2834" s="2">
        <v>40</v>
      </c>
      <c r="AA2834" s="2">
        <v>3.3</v>
      </c>
      <c r="AB2834" s="2" t="s">
        <v>64</v>
      </c>
    </row>
    <row r="2835" spans="1:28" x14ac:dyDescent="0.25">
      <c r="A2835" s="4" t="s">
        <v>3645</v>
      </c>
      <c r="B2835" s="4" t="s">
        <v>3646</v>
      </c>
      <c r="C2835" s="4">
        <v>12</v>
      </c>
      <c r="D2835" s="4" t="s">
        <v>30</v>
      </c>
      <c r="E2835" s="4" t="s">
        <v>45</v>
      </c>
      <c r="F2835" s="4" t="s">
        <v>32</v>
      </c>
      <c r="G2835" s="5">
        <v>44598</v>
      </c>
      <c r="H2835" s="5">
        <v>44623</v>
      </c>
      <c r="I2835" s="4">
        <v>25</v>
      </c>
      <c r="J2835" s="4" t="s">
        <v>33</v>
      </c>
      <c r="K2835" s="4" t="s">
        <v>99</v>
      </c>
      <c r="L2835" s="4" t="s">
        <v>100</v>
      </c>
      <c r="M2835" s="4" t="s">
        <v>83</v>
      </c>
      <c r="N2835" s="4" t="s">
        <v>109</v>
      </c>
      <c r="O2835" s="4" t="s">
        <v>571</v>
      </c>
      <c r="P2835" s="4">
        <v>428</v>
      </c>
      <c r="Q2835" s="4" t="s">
        <v>103</v>
      </c>
      <c r="R2835" s="4" t="s">
        <v>111</v>
      </c>
      <c r="S2835" s="4">
        <v>138197</v>
      </c>
      <c r="T2835" s="4">
        <v>119813</v>
      </c>
      <c r="U2835" s="4">
        <v>18384</v>
      </c>
      <c r="V2835" s="4">
        <v>121652</v>
      </c>
      <c r="W2835" s="4">
        <v>8395</v>
      </c>
      <c r="X2835" s="4">
        <v>5069</v>
      </c>
      <c r="Y2835" s="4" t="s">
        <v>41</v>
      </c>
      <c r="Z2835" s="4">
        <v>90</v>
      </c>
      <c r="AA2835" s="4">
        <v>3.3</v>
      </c>
      <c r="AB2835" s="4" t="s">
        <v>104</v>
      </c>
    </row>
    <row r="2836" spans="1:28" x14ac:dyDescent="0.25">
      <c r="A2836" s="2" t="s">
        <v>3647</v>
      </c>
      <c r="B2836" s="2" t="s">
        <v>1789</v>
      </c>
      <c r="C2836" s="2">
        <v>9</v>
      </c>
      <c r="D2836" s="2" t="s">
        <v>55</v>
      </c>
      <c r="E2836" s="2" t="s">
        <v>45</v>
      </c>
      <c r="F2836" s="2" t="s">
        <v>94</v>
      </c>
      <c r="G2836" s="3">
        <v>45222</v>
      </c>
      <c r="H2836" s="3">
        <v>45247</v>
      </c>
      <c r="I2836" s="2">
        <v>25</v>
      </c>
      <c r="J2836" s="2" t="s">
        <v>140</v>
      </c>
      <c r="K2836" s="2" t="s">
        <v>167</v>
      </c>
      <c r="L2836" s="2" t="s">
        <v>142</v>
      </c>
      <c r="M2836" s="2" t="s">
        <v>36</v>
      </c>
      <c r="N2836" s="2" t="s">
        <v>118</v>
      </c>
      <c r="O2836" s="2" t="s">
        <v>390</v>
      </c>
      <c r="P2836" s="2">
        <v>35</v>
      </c>
      <c r="Q2836" s="2" t="s">
        <v>103</v>
      </c>
      <c r="R2836" s="2" t="s">
        <v>111</v>
      </c>
      <c r="S2836" s="2">
        <v>60753</v>
      </c>
      <c r="T2836" s="2">
        <v>37639</v>
      </c>
      <c r="U2836" s="2">
        <v>23114</v>
      </c>
      <c r="V2836" s="2">
        <v>49178</v>
      </c>
      <c r="W2836" s="2">
        <v>4620</v>
      </c>
      <c r="X2836" s="2">
        <v>2842</v>
      </c>
      <c r="Y2836" s="2" t="s">
        <v>41</v>
      </c>
      <c r="Z2836" s="2">
        <v>94</v>
      </c>
      <c r="AA2836" s="2">
        <v>3</v>
      </c>
      <c r="AB2836" s="2" t="s">
        <v>137</v>
      </c>
    </row>
    <row r="2837" spans="1:28" x14ac:dyDescent="0.25">
      <c r="A2837" s="4" t="s">
        <v>3648</v>
      </c>
      <c r="B2837" s="4" t="s">
        <v>1503</v>
      </c>
      <c r="C2837" s="4">
        <v>20</v>
      </c>
      <c r="D2837" s="4" t="s">
        <v>30</v>
      </c>
      <c r="E2837" s="4" t="s">
        <v>87</v>
      </c>
      <c r="F2837" s="4" t="s">
        <v>57</v>
      </c>
      <c r="G2837" s="5">
        <v>45443</v>
      </c>
      <c r="H2837" s="5">
        <v>45460</v>
      </c>
      <c r="I2837" s="4">
        <v>17</v>
      </c>
      <c r="J2837" s="4" t="s">
        <v>73</v>
      </c>
      <c r="K2837" s="4" t="s">
        <v>74</v>
      </c>
      <c r="L2837" s="4" t="s">
        <v>73</v>
      </c>
      <c r="M2837" s="4" t="s">
        <v>143</v>
      </c>
      <c r="N2837" s="4" t="s">
        <v>62</v>
      </c>
      <c r="O2837" s="4" t="s">
        <v>230</v>
      </c>
      <c r="P2837" s="4">
        <v>131</v>
      </c>
      <c r="Q2837" s="4" t="s">
        <v>50</v>
      </c>
      <c r="R2837" s="4" t="s">
        <v>136</v>
      </c>
      <c r="S2837" s="4">
        <v>136660</v>
      </c>
      <c r="T2837" s="4">
        <v>0</v>
      </c>
      <c r="U2837" s="4">
        <v>136660</v>
      </c>
      <c r="V2837" s="4">
        <v>126268</v>
      </c>
      <c r="W2837" s="4">
        <v>3563</v>
      </c>
      <c r="X2837" s="4">
        <v>4537</v>
      </c>
      <c r="Y2837" s="4" t="s">
        <v>91</v>
      </c>
      <c r="Z2837" s="4">
        <v>60</v>
      </c>
      <c r="AA2837" s="4">
        <v>3.7</v>
      </c>
      <c r="AB2837" s="4" t="s">
        <v>42</v>
      </c>
    </row>
    <row r="2838" spans="1:28" x14ac:dyDescent="0.25">
      <c r="A2838" s="2" t="s">
        <v>3649</v>
      </c>
      <c r="B2838" s="2" t="s">
        <v>2234</v>
      </c>
      <c r="C2838" s="2">
        <v>31</v>
      </c>
      <c r="D2838" s="2" t="s">
        <v>30</v>
      </c>
      <c r="E2838" s="2" t="s">
        <v>56</v>
      </c>
      <c r="F2838" s="2" t="s">
        <v>32</v>
      </c>
      <c r="G2838" s="3">
        <v>44599</v>
      </c>
      <c r="H2838" s="3">
        <v>44626</v>
      </c>
      <c r="I2838" s="2">
        <v>27</v>
      </c>
      <c r="J2838" s="2" t="s">
        <v>33</v>
      </c>
      <c r="K2838" s="2" t="s">
        <v>197</v>
      </c>
      <c r="L2838" s="2" t="s">
        <v>198</v>
      </c>
      <c r="M2838" s="2" t="s">
        <v>61</v>
      </c>
      <c r="N2838" s="2" t="s">
        <v>37</v>
      </c>
      <c r="O2838" s="2" t="s">
        <v>406</v>
      </c>
      <c r="P2838" s="2">
        <v>329</v>
      </c>
      <c r="Q2838" s="2" t="s">
        <v>103</v>
      </c>
      <c r="R2838" s="2" t="s">
        <v>51</v>
      </c>
      <c r="S2838" s="2">
        <v>66531</v>
      </c>
      <c r="T2838" s="2">
        <v>45627</v>
      </c>
      <c r="U2838" s="2">
        <v>20904</v>
      </c>
      <c r="V2838" s="2">
        <v>35166</v>
      </c>
      <c r="W2838" s="2">
        <v>22895</v>
      </c>
      <c r="X2838" s="2">
        <v>5957</v>
      </c>
      <c r="Y2838" s="2" t="s">
        <v>41</v>
      </c>
      <c r="Z2838" s="2">
        <v>78</v>
      </c>
      <c r="AA2838" s="2">
        <v>4.5999999999999996</v>
      </c>
      <c r="AB2838" s="2" t="s">
        <v>64</v>
      </c>
    </row>
    <row r="2839" spans="1:28" x14ac:dyDescent="0.25">
      <c r="A2839" s="4" t="s">
        <v>3650</v>
      </c>
      <c r="B2839" s="4" t="s">
        <v>1321</v>
      </c>
      <c r="C2839" s="4">
        <v>76</v>
      </c>
      <c r="D2839" s="4" t="s">
        <v>55</v>
      </c>
      <c r="E2839" s="4" t="s">
        <v>87</v>
      </c>
      <c r="F2839" s="4" t="s">
        <v>114</v>
      </c>
      <c r="G2839" s="5">
        <v>44900</v>
      </c>
      <c r="H2839" s="5">
        <v>44930</v>
      </c>
      <c r="I2839" s="4">
        <v>30</v>
      </c>
      <c r="J2839" s="4" t="s">
        <v>58</v>
      </c>
      <c r="K2839" s="4" t="s">
        <v>59</v>
      </c>
      <c r="L2839" s="4" t="s">
        <v>60</v>
      </c>
      <c r="M2839" s="4" t="s">
        <v>134</v>
      </c>
      <c r="N2839" s="4" t="s">
        <v>37</v>
      </c>
      <c r="O2839" s="4" t="s">
        <v>376</v>
      </c>
      <c r="P2839" s="4">
        <v>15</v>
      </c>
      <c r="Q2839" s="4" t="s">
        <v>69</v>
      </c>
      <c r="R2839" s="4" t="s">
        <v>90</v>
      </c>
      <c r="S2839" s="4">
        <v>155512</v>
      </c>
      <c r="T2839" s="4">
        <v>120025</v>
      </c>
      <c r="U2839" s="4">
        <v>35487</v>
      </c>
      <c r="V2839" s="4">
        <v>118969</v>
      </c>
      <c r="W2839" s="4">
        <v>23492</v>
      </c>
      <c r="X2839" s="4">
        <v>12018</v>
      </c>
      <c r="Y2839" s="4" t="s">
        <v>41</v>
      </c>
      <c r="Z2839" s="4">
        <v>94</v>
      </c>
      <c r="AA2839" s="4">
        <v>2.2000000000000002</v>
      </c>
      <c r="AB2839" s="4" t="s">
        <v>137</v>
      </c>
    </row>
    <row r="2840" spans="1:28" x14ac:dyDescent="0.25">
      <c r="A2840" s="2" t="s">
        <v>3651</v>
      </c>
      <c r="B2840" s="2" t="s">
        <v>612</v>
      </c>
      <c r="C2840" s="2">
        <v>83</v>
      </c>
      <c r="D2840" s="2" t="s">
        <v>55</v>
      </c>
      <c r="E2840" s="2" t="s">
        <v>154</v>
      </c>
      <c r="F2840" s="2" t="s">
        <v>72</v>
      </c>
      <c r="G2840" s="3">
        <v>45444</v>
      </c>
      <c r="H2840" s="3">
        <v>45455</v>
      </c>
      <c r="I2840" s="2">
        <v>11</v>
      </c>
      <c r="J2840" s="2" t="s">
        <v>115</v>
      </c>
      <c r="K2840" s="2" t="s">
        <v>160</v>
      </c>
      <c r="L2840" s="2" t="s">
        <v>117</v>
      </c>
      <c r="M2840" s="2" t="s">
        <v>108</v>
      </c>
      <c r="N2840" s="2" t="s">
        <v>62</v>
      </c>
      <c r="O2840" s="2" t="s">
        <v>399</v>
      </c>
      <c r="P2840" s="2">
        <v>9</v>
      </c>
      <c r="Q2840" s="2" t="s">
        <v>69</v>
      </c>
      <c r="R2840" s="2" t="s">
        <v>51</v>
      </c>
      <c r="S2840" s="2">
        <v>55029</v>
      </c>
      <c r="T2840" s="2">
        <v>36454</v>
      </c>
      <c r="U2840" s="2">
        <v>18575</v>
      </c>
      <c r="V2840" s="2">
        <v>23801</v>
      </c>
      <c r="W2840" s="2">
        <v>19397</v>
      </c>
      <c r="X2840" s="2">
        <v>8357</v>
      </c>
      <c r="Y2840" s="2" t="s">
        <v>41</v>
      </c>
      <c r="Z2840" s="2">
        <v>92</v>
      </c>
      <c r="AA2840" s="2">
        <v>3.4</v>
      </c>
      <c r="AB2840" s="2" t="s">
        <v>64</v>
      </c>
    </row>
    <row r="2841" spans="1:28" x14ac:dyDescent="0.25">
      <c r="A2841" s="4" t="s">
        <v>3652</v>
      </c>
      <c r="B2841" s="4" t="s">
        <v>1062</v>
      </c>
      <c r="C2841" s="4">
        <v>27</v>
      </c>
      <c r="D2841" s="4" t="s">
        <v>30</v>
      </c>
      <c r="E2841" s="4" t="s">
        <v>56</v>
      </c>
      <c r="F2841" s="4" t="s">
        <v>46</v>
      </c>
      <c r="G2841" s="5">
        <v>44902</v>
      </c>
      <c r="H2841" s="5">
        <v>44927</v>
      </c>
      <c r="I2841" s="4">
        <v>25</v>
      </c>
      <c r="J2841" s="4" t="s">
        <v>115</v>
      </c>
      <c r="K2841" s="4" t="s">
        <v>116</v>
      </c>
      <c r="L2841" s="4" t="s">
        <v>117</v>
      </c>
      <c r="M2841" s="4" t="s">
        <v>75</v>
      </c>
      <c r="N2841" s="4" t="s">
        <v>62</v>
      </c>
      <c r="O2841" s="4" t="s">
        <v>181</v>
      </c>
      <c r="P2841" s="4">
        <v>33</v>
      </c>
      <c r="Q2841" s="4" t="s">
        <v>50</v>
      </c>
      <c r="R2841" s="4" t="s">
        <v>40</v>
      </c>
      <c r="S2841" s="4">
        <v>32887</v>
      </c>
      <c r="T2841" s="4">
        <v>20953</v>
      </c>
      <c r="U2841" s="4">
        <v>11934</v>
      </c>
      <c r="V2841" s="4">
        <v>22501</v>
      </c>
      <c r="W2841" s="4">
        <v>6097</v>
      </c>
      <c r="X2841" s="4">
        <v>1822</v>
      </c>
      <c r="Y2841" s="4" t="s">
        <v>41</v>
      </c>
      <c r="Z2841" s="4">
        <v>69</v>
      </c>
      <c r="AA2841" s="4">
        <v>2.6</v>
      </c>
      <c r="AB2841" s="4" t="s">
        <v>104</v>
      </c>
    </row>
    <row r="2842" spans="1:28" x14ac:dyDescent="0.25">
      <c r="A2842" s="2" t="s">
        <v>3653</v>
      </c>
      <c r="B2842" s="2" t="s">
        <v>1257</v>
      </c>
      <c r="C2842" s="2">
        <v>9</v>
      </c>
      <c r="D2842" s="2" t="s">
        <v>55</v>
      </c>
      <c r="E2842" s="2" t="s">
        <v>154</v>
      </c>
      <c r="F2842" s="2" t="s">
        <v>94</v>
      </c>
      <c r="G2842" s="3">
        <v>45471</v>
      </c>
      <c r="H2842" s="3">
        <v>45491</v>
      </c>
      <c r="I2842" s="2">
        <v>20</v>
      </c>
      <c r="J2842" s="2" t="s">
        <v>58</v>
      </c>
      <c r="K2842" s="2" t="s">
        <v>88</v>
      </c>
      <c r="L2842" s="2" t="s">
        <v>60</v>
      </c>
      <c r="M2842" s="2" t="s">
        <v>61</v>
      </c>
      <c r="N2842" s="2" t="s">
        <v>37</v>
      </c>
      <c r="O2842" s="2" t="s">
        <v>343</v>
      </c>
      <c r="P2842" s="2">
        <v>224</v>
      </c>
      <c r="Q2842" s="2" t="s">
        <v>50</v>
      </c>
      <c r="R2842" s="2" t="s">
        <v>90</v>
      </c>
      <c r="S2842" s="2">
        <v>42890</v>
      </c>
      <c r="T2842" s="2">
        <v>30494</v>
      </c>
      <c r="U2842" s="2">
        <v>12396</v>
      </c>
      <c r="V2842" s="2">
        <v>10671</v>
      </c>
      <c r="W2842" s="2">
        <v>19025</v>
      </c>
      <c r="X2842" s="2">
        <v>10171</v>
      </c>
      <c r="Y2842" s="2" t="s">
        <v>91</v>
      </c>
      <c r="Z2842" s="2">
        <v>48</v>
      </c>
      <c r="AA2842" s="2">
        <v>4.9000000000000004</v>
      </c>
      <c r="AB2842" s="2" t="s">
        <v>52</v>
      </c>
    </row>
    <row r="2843" spans="1:28" x14ac:dyDescent="0.25">
      <c r="A2843" s="4" t="s">
        <v>3654</v>
      </c>
      <c r="B2843" s="4" t="s">
        <v>1915</v>
      </c>
      <c r="C2843" s="4">
        <v>5</v>
      </c>
      <c r="D2843" s="4" t="s">
        <v>55</v>
      </c>
      <c r="E2843" s="4" t="s">
        <v>87</v>
      </c>
      <c r="F2843" s="4" t="s">
        <v>114</v>
      </c>
      <c r="G2843" s="5">
        <v>45098</v>
      </c>
      <c r="H2843" s="5">
        <v>45117</v>
      </c>
      <c r="I2843" s="4">
        <v>19</v>
      </c>
      <c r="J2843" s="4" t="s">
        <v>58</v>
      </c>
      <c r="K2843" s="4" t="s">
        <v>59</v>
      </c>
      <c r="L2843" s="4" t="s">
        <v>60</v>
      </c>
      <c r="M2843" s="4" t="s">
        <v>61</v>
      </c>
      <c r="N2843" s="4" t="s">
        <v>109</v>
      </c>
      <c r="O2843" s="4" t="s">
        <v>321</v>
      </c>
      <c r="P2843" s="4">
        <v>263</v>
      </c>
      <c r="Q2843" s="4" t="s">
        <v>50</v>
      </c>
      <c r="R2843" s="4" t="s">
        <v>136</v>
      </c>
      <c r="S2843" s="4">
        <v>119548</v>
      </c>
      <c r="T2843" s="4">
        <v>0</v>
      </c>
      <c r="U2843" s="4">
        <v>119548</v>
      </c>
      <c r="V2843" s="4">
        <v>99638</v>
      </c>
      <c r="W2843" s="4">
        <v>6104</v>
      </c>
      <c r="X2843" s="4">
        <v>12199</v>
      </c>
      <c r="Y2843" s="4" t="s">
        <v>41</v>
      </c>
      <c r="Z2843" s="4">
        <v>60</v>
      </c>
      <c r="AA2843" s="4">
        <v>2.9</v>
      </c>
      <c r="AB2843" s="4" t="s">
        <v>42</v>
      </c>
    </row>
    <row r="2844" spans="1:28" x14ac:dyDescent="0.25">
      <c r="A2844" s="2" t="s">
        <v>3655</v>
      </c>
      <c r="B2844" s="2" t="s">
        <v>769</v>
      </c>
      <c r="C2844" s="2">
        <v>21</v>
      </c>
      <c r="D2844" s="2" t="s">
        <v>55</v>
      </c>
      <c r="E2844" s="2" t="s">
        <v>45</v>
      </c>
      <c r="F2844" s="2" t="s">
        <v>157</v>
      </c>
      <c r="G2844" s="3">
        <v>45092</v>
      </c>
      <c r="H2844" s="3">
        <v>45095</v>
      </c>
      <c r="I2844" s="2">
        <v>3</v>
      </c>
      <c r="J2844" s="2" t="s">
        <v>73</v>
      </c>
      <c r="K2844" s="2" t="s">
        <v>74</v>
      </c>
      <c r="L2844" s="2" t="s">
        <v>73</v>
      </c>
      <c r="M2844" s="2" t="s">
        <v>61</v>
      </c>
      <c r="N2844" s="2" t="s">
        <v>109</v>
      </c>
      <c r="O2844" s="2" t="s">
        <v>222</v>
      </c>
      <c r="P2844" s="2">
        <v>271</v>
      </c>
      <c r="Q2844" s="2" t="s">
        <v>103</v>
      </c>
      <c r="R2844" s="2" t="s">
        <v>90</v>
      </c>
      <c r="S2844" s="2">
        <v>89158</v>
      </c>
      <c r="T2844" s="2">
        <v>78309</v>
      </c>
      <c r="U2844" s="2">
        <v>10849</v>
      </c>
      <c r="V2844" s="2">
        <v>66654</v>
      </c>
      <c r="W2844" s="2">
        <v>7916</v>
      </c>
      <c r="X2844" s="2">
        <v>12534</v>
      </c>
      <c r="Y2844" s="2" t="s">
        <v>41</v>
      </c>
      <c r="Z2844" s="2">
        <v>62</v>
      </c>
      <c r="AA2844" s="2">
        <v>3.3</v>
      </c>
      <c r="AB2844" s="2" t="s">
        <v>64</v>
      </c>
    </row>
    <row r="2845" spans="1:28" x14ac:dyDescent="0.25">
      <c r="A2845" s="4" t="s">
        <v>3656</v>
      </c>
      <c r="B2845" s="4" t="s">
        <v>2132</v>
      </c>
      <c r="C2845" s="4">
        <v>20</v>
      </c>
      <c r="D2845" s="4" t="s">
        <v>55</v>
      </c>
      <c r="E2845" s="4" t="s">
        <v>87</v>
      </c>
      <c r="F2845" s="4" t="s">
        <v>129</v>
      </c>
      <c r="G2845" s="5">
        <v>44985</v>
      </c>
      <c r="H2845" s="5">
        <v>45008</v>
      </c>
      <c r="I2845" s="4">
        <v>23</v>
      </c>
      <c r="J2845" s="4" t="s">
        <v>33</v>
      </c>
      <c r="K2845" s="4" t="s">
        <v>81</v>
      </c>
      <c r="L2845" s="4" t="s">
        <v>82</v>
      </c>
      <c r="M2845" s="4" t="s">
        <v>101</v>
      </c>
      <c r="N2845" s="4" t="s">
        <v>62</v>
      </c>
      <c r="O2845" s="4" t="s">
        <v>217</v>
      </c>
      <c r="P2845" s="4">
        <v>381</v>
      </c>
      <c r="Q2845" s="4" t="s">
        <v>69</v>
      </c>
      <c r="R2845" s="4" t="s">
        <v>40</v>
      </c>
      <c r="S2845" s="4">
        <v>139695</v>
      </c>
      <c r="T2845" s="4">
        <v>86892</v>
      </c>
      <c r="U2845" s="4">
        <v>52803</v>
      </c>
      <c r="V2845" s="4">
        <v>102106</v>
      </c>
      <c r="W2845" s="4">
        <v>24792</v>
      </c>
      <c r="X2845" s="4">
        <v>10856</v>
      </c>
      <c r="Y2845" s="4" t="s">
        <v>41</v>
      </c>
      <c r="Z2845" s="4">
        <v>92</v>
      </c>
      <c r="AA2845" s="4">
        <v>2.4</v>
      </c>
      <c r="AB2845" s="4" t="s">
        <v>104</v>
      </c>
    </row>
    <row r="2846" spans="1:28" x14ac:dyDescent="0.25">
      <c r="A2846" s="2" t="s">
        <v>3657</v>
      </c>
      <c r="B2846" s="2" t="s">
        <v>477</v>
      </c>
      <c r="C2846" s="2">
        <v>8</v>
      </c>
      <c r="D2846" s="2" t="s">
        <v>55</v>
      </c>
      <c r="E2846" s="2" t="s">
        <v>122</v>
      </c>
      <c r="F2846" s="2" t="s">
        <v>94</v>
      </c>
      <c r="G2846" s="3">
        <v>45549</v>
      </c>
      <c r="H2846" s="3">
        <v>45568</v>
      </c>
      <c r="I2846" s="2">
        <v>19</v>
      </c>
      <c r="J2846" s="2" t="s">
        <v>33</v>
      </c>
      <c r="K2846" s="2" t="s">
        <v>278</v>
      </c>
      <c r="L2846" s="2" t="s">
        <v>279</v>
      </c>
      <c r="M2846" s="2" t="s">
        <v>61</v>
      </c>
      <c r="N2846" s="2" t="s">
        <v>109</v>
      </c>
      <c r="O2846" s="2" t="s">
        <v>321</v>
      </c>
      <c r="P2846" s="2">
        <v>335</v>
      </c>
      <c r="Q2846" s="2" t="s">
        <v>69</v>
      </c>
      <c r="R2846" s="2" t="s">
        <v>40</v>
      </c>
      <c r="S2846" s="2">
        <v>180039</v>
      </c>
      <c r="T2846" s="2">
        <v>106058</v>
      </c>
      <c r="U2846" s="2">
        <v>73981</v>
      </c>
      <c r="V2846" s="2">
        <v>140337</v>
      </c>
      <c r="W2846" s="2">
        <v>27392</v>
      </c>
      <c r="X2846" s="2">
        <v>11135</v>
      </c>
      <c r="Y2846" s="2" t="s">
        <v>41</v>
      </c>
      <c r="Z2846" s="2">
        <v>100</v>
      </c>
      <c r="AA2846" s="2">
        <v>5</v>
      </c>
      <c r="AB2846" s="2" t="s">
        <v>137</v>
      </c>
    </row>
    <row r="2847" spans="1:28" x14ac:dyDescent="0.25">
      <c r="A2847" s="4" t="s">
        <v>3658</v>
      </c>
      <c r="B2847" s="4" t="s">
        <v>354</v>
      </c>
      <c r="C2847" s="4">
        <v>25</v>
      </c>
      <c r="D2847" s="4" t="s">
        <v>55</v>
      </c>
      <c r="E2847" s="4" t="s">
        <v>154</v>
      </c>
      <c r="F2847" s="4" t="s">
        <v>94</v>
      </c>
      <c r="G2847" s="5">
        <v>45395</v>
      </c>
      <c r="H2847" s="5">
        <v>45417</v>
      </c>
      <c r="I2847" s="4">
        <v>22</v>
      </c>
      <c r="J2847" s="4" t="s">
        <v>202</v>
      </c>
      <c r="K2847" s="4" t="s">
        <v>225</v>
      </c>
      <c r="L2847" s="4" t="s">
        <v>226</v>
      </c>
      <c r="M2847" s="4" t="s">
        <v>75</v>
      </c>
      <c r="N2847" s="4" t="s">
        <v>62</v>
      </c>
      <c r="O2847" s="4" t="s">
        <v>543</v>
      </c>
      <c r="P2847" s="4">
        <v>105</v>
      </c>
      <c r="Q2847" s="4" t="s">
        <v>50</v>
      </c>
      <c r="R2847" s="4" t="s">
        <v>51</v>
      </c>
      <c r="S2847" s="4">
        <v>134325</v>
      </c>
      <c r="T2847" s="4">
        <v>89317</v>
      </c>
      <c r="U2847" s="4">
        <v>45008</v>
      </c>
      <c r="V2847" s="4">
        <v>115535</v>
      </c>
      <c r="W2847" s="4">
        <v>6873</v>
      </c>
      <c r="X2847" s="4">
        <v>9385</v>
      </c>
      <c r="Y2847" s="4" t="s">
        <v>41</v>
      </c>
      <c r="Z2847" s="4">
        <v>85</v>
      </c>
      <c r="AA2847" s="4">
        <v>3.7</v>
      </c>
      <c r="AB2847" s="4" t="s">
        <v>52</v>
      </c>
    </row>
    <row r="2848" spans="1:28" x14ac:dyDescent="0.25">
      <c r="A2848" s="2" t="s">
        <v>3659</v>
      </c>
      <c r="B2848" s="2" t="s">
        <v>86</v>
      </c>
      <c r="C2848" s="2">
        <v>62</v>
      </c>
      <c r="D2848" s="2" t="s">
        <v>30</v>
      </c>
      <c r="E2848" s="2" t="s">
        <v>67</v>
      </c>
      <c r="F2848" s="2" t="s">
        <v>94</v>
      </c>
      <c r="G2848" s="3">
        <v>44636</v>
      </c>
      <c r="H2848" s="3">
        <v>44651</v>
      </c>
      <c r="I2848" s="2">
        <v>15</v>
      </c>
      <c r="J2848" s="2" t="s">
        <v>33</v>
      </c>
      <c r="K2848" s="2" t="s">
        <v>81</v>
      </c>
      <c r="L2848" s="2" t="s">
        <v>82</v>
      </c>
      <c r="M2848" s="2" t="s">
        <v>83</v>
      </c>
      <c r="N2848" s="2" t="s">
        <v>62</v>
      </c>
      <c r="O2848" s="2" t="s">
        <v>181</v>
      </c>
      <c r="P2848" s="2">
        <v>146</v>
      </c>
      <c r="Q2848" s="2" t="s">
        <v>103</v>
      </c>
      <c r="R2848" s="2" t="s">
        <v>136</v>
      </c>
      <c r="S2848" s="2">
        <v>89948</v>
      </c>
      <c r="T2848" s="2">
        <v>0</v>
      </c>
      <c r="U2848" s="2">
        <v>89948</v>
      </c>
      <c r="V2848" s="2">
        <v>76664</v>
      </c>
      <c r="W2848" s="2">
        <v>6193</v>
      </c>
      <c r="X2848" s="2">
        <v>3770</v>
      </c>
      <c r="Y2848" s="2" t="s">
        <v>41</v>
      </c>
      <c r="Z2848" s="2">
        <v>73</v>
      </c>
      <c r="AA2848" s="2">
        <v>4.2</v>
      </c>
      <c r="AB2848" s="2" t="s">
        <v>137</v>
      </c>
    </row>
    <row r="2849" spans="1:28" x14ac:dyDescent="0.25">
      <c r="A2849" s="4" t="s">
        <v>3660</v>
      </c>
      <c r="B2849" s="4" t="s">
        <v>93</v>
      </c>
      <c r="C2849" s="4">
        <v>39</v>
      </c>
      <c r="D2849" s="4" t="s">
        <v>55</v>
      </c>
      <c r="E2849" s="4" t="s">
        <v>154</v>
      </c>
      <c r="F2849" s="4" t="s">
        <v>150</v>
      </c>
      <c r="G2849" s="5">
        <v>44621</v>
      </c>
      <c r="H2849" s="5">
        <v>44650</v>
      </c>
      <c r="I2849" s="4">
        <v>29</v>
      </c>
      <c r="J2849" s="4" t="s">
        <v>140</v>
      </c>
      <c r="K2849" s="4" t="s">
        <v>141</v>
      </c>
      <c r="L2849" s="4" t="s">
        <v>142</v>
      </c>
      <c r="M2849" s="4" t="s">
        <v>130</v>
      </c>
      <c r="N2849" s="4" t="s">
        <v>37</v>
      </c>
      <c r="O2849" s="4" t="s">
        <v>461</v>
      </c>
      <c r="P2849" s="4">
        <v>75</v>
      </c>
      <c r="Q2849" s="4" t="s">
        <v>39</v>
      </c>
      <c r="R2849" s="4" t="s">
        <v>136</v>
      </c>
      <c r="S2849" s="4">
        <v>156985</v>
      </c>
      <c r="T2849" s="4">
        <v>0</v>
      </c>
      <c r="U2849" s="4">
        <v>156985</v>
      </c>
      <c r="V2849" s="4">
        <v>149822</v>
      </c>
      <c r="W2849" s="4">
        <v>2211</v>
      </c>
      <c r="X2849" s="4">
        <v>1985</v>
      </c>
      <c r="Y2849" s="4" t="s">
        <v>41</v>
      </c>
      <c r="Z2849" s="4">
        <v>74</v>
      </c>
      <c r="AA2849" s="4">
        <v>3.7</v>
      </c>
      <c r="AB2849" s="4" t="s">
        <v>64</v>
      </c>
    </row>
    <row r="2850" spans="1:28" x14ac:dyDescent="0.25">
      <c r="A2850" s="2" t="s">
        <v>3661</v>
      </c>
      <c r="B2850" s="2" t="s">
        <v>601</v>
      </c>
      <c r="C2850" s="2">
        <v>29</v>
      </c>
      <c r="D2850" s="2" t="s">
        <v>55</v>
      </c>
      <c r="E2850" s="2" t="s">
        <v>45</v>
      </c>
      <c r="F2850" s="2" t="s">
        <v>72</v>
      </c>
      <c r="G2850" s="3">
        <v>45364</v>
      </c>
      <c r="H2850" s="3">
        <v>45376</v>
      </c>
      <c r="I2850" s="2">
        <v>12</v>
      </c>
      <c r="J2850" s="2" t="s">
        <v>202</v>
      </c>
      <c r="K2850" s="2" t="s">
        <v>225</v>
      </c>
      <c r="L2850" s="2" t="s">
        <v>226</v>
      </c>
      <c r="M2850" s="2" t="s">
        <v>108</v>
      </c>
      <c r="N2850" s="2" t="s">
        <v>62</v>
      </c>
      <c r="O2850" s="2" t="s">
        <v>246</v>
      </c>
      <c r="P2850" s="2">
        <v>400</v>
      </c>
      <c r="Q2850" s="2" t="s">
        <v>39</v>
      </c>
      <c r="R2850" s="2" t="s">
        <v>136</v>
      </c>
      <c r="S2850" s="2">
        <v>183017</v>
      </c>
      <c r="T2850" s="2">
        <v>0</v>
      </c>
      <c r="U2850" s="2">
        <v>183017</v>
      </c>
      <c r="V2850" s="2">
        <v>146236</v>
      </c>
      <c r="W2850" s="2">
        <v>28862</v>
      </c>
      <c r="X2850" s="2">
        <v>4631</v>
      </c>
      <c r="Y2850" s="2" t="s">
        <v>41</v>
      </c>
      <c r="Z2850" s="2">
        <v>60</v>
      </c>
      <c r="AA2850" s="2">
        <v>2.7</v>
      </c>
      <c r="AB2850" s="2" t="s">
        <v>137</v>
      </c>
    </row>
    <row r="2851" spans="1:28" x14ac:dyDescent="0.25">
      <c r="A2851" s="4" t="s">
        <v>3662</v>
      </c>
      <c r="B2851" s="4" t="s">
        <v>342</v>
      </c>
      <c r="C2851" s="4">
        <v>27</v>
      </c>
      <c r="D2851" s="4" t="s">
        <v>30</v>
      </c>
      <c r="E2851" s="4" t="s">
        <v>31</v>
      </c>
      <c r="F2851" s="4" t="s">
        <v>32</v>
      </c>
      <c r="G2851" s="5">
        <v>45095</v>
      </c>
      <c r="H2851" s="5">
        <v>45107</v>
      </c>
      <c r="I2851" s="4">
        <v>12</v>
      </c>
      <c r="J2851" s="4" t="s">
        <v>33</v>
      </c>
      <c r="K2851" s="4" t="s">
        <v>107</v>
      </c>
      <c r="L2851" s="4" t="s">
        <v>48</v>
      </c>
      <c r="M2851" s="4" t="s">
        <v>75</v>
      </c>
      <c r="N2851" s="4" t="s">
        <v>62</v>
      </c>
      <c r="O2851" s="4" t="s">
        <v>178</v>
      </c>
      <c r="P2851" s="4">
        <v>184</v>
      </c>
      <c r="Q2851" s="4" t="s">
        <v>103</v>
      </c>
      <c r="R2851" s="4" t="s">
        <v>111</v>
      </c>
      <c r="S2851" s="4">
        <v>60111</v>
      </c>
      <c r="T2851" s="4">
        <v>47967</v>
      </c>
      <c r="U2851" s="4">
        <v>12144</v>
      </c>
      <c r="V2851" s="4">
        <v>27774</v>
      </c>
      <c r="W2851" s="4">
        <v>24059</v>
      </c>
      <c r="X2851" s="4">
        <v>5273</v>
      </c>
      <c r="Y2851" s="4" t="s">
        <v>41</v>
      </c>
      <c r="Z2851" s="4">
        <v>73</v>
      </c>
      <c r="AA2851" s="4">
        <v>4</v>
      </c>
      <c r="AB2851" s="4" t="s">
        <v>42</v>
      </c>
    </row>
    <row r="2852" spans="1:28" x14ac:dyDescent="0.25">
      <c r="A2852" s="2" t="s">
        <v>3663</v>
      </c>
      <c r="B2852" s="2" t="s">
        <v>2154</v>
      </c>
      <c r="C2852" s="2">
        <v>82</v>
      </c>
      <c r="D2852" s="2" t="s">
        <v>30</v>
      </c>
      <c r="E2852" s="2" t="s">
        <v>87</v>
      </c>
      <c r="F2852" s="2" t="s">
        <v>157</v>
      </c>
      <c r="G2852" s="3">
        <v>44662</v>
      </c>
      <c r="H2852" s="3">
        <v>44678</v>
      </c>
      <c r="I2852" s="2">
        <v>16</v>
      </c>
      <c r="J2852" s="2" t="s">
        <v>33</v>
      </c>
      <c r="K2852" s="2" t="s">
        <v>197</v>
      </c>
      <c r="L2852" s="2" t="s">
        <v>198</v>
      </c>
      <c r="M2852" s="2" t="s">
        <v>36</v>
      </c>
      <c r="N2852" s="2" t="s">
        <v>62</v>
      </c>
      <c r="O2852" s="2" t="s">
        <v>246</v>
      </c>
      <c r="P2852" s="2">
        <v>481</v>
      </c>
      <c r="Q2852" s="2" t="s">
        <v>39</v>
      </c>
      <c r="R2852" s="2" t="s">
        <v>40</v>
      </c>
      <c r="S2852" s="2">
        <v>103463</v>
      </c>
      <c r="T2852" s="2">
        <v>69144</v>
      </c>
      <c r="U2852" s="2">
        <v>34319</v>
      </c>
      <c r="V2852" s="2">
        <v>61116</v>
      </c>
      <c r="W2852" s="2">
        <v>28074</v>
      </c>
      <c r="X2852" s="2">
        <v>10993</v>
      </c>
      <c r="Y2852" s="2" t="s">
        <v>41</v>
      </c>
      <c r="Z2852" s="2">
        <v>66</v>
      </c>
      <c r="AA2852" s="2">
        <v>2</v>
      </c>
      <c r="AB2852" s="2" t="s">
        <v>52</v>
      </c>
    </row>
    <row r="2853" spans="1:28" x14ac:dyDescent="0.25">
      <c r="A2853" s="4" t="s">
        <v>3664</v>
      </c>
      <c r="B2853" s="4" t="s">
        <v>1007</v>
      </c>
      <c r="C2853" s="4">
        <v>50</v>
      </c>
      <c r="D2853" s="4" t="s">
        <v>55</v>
      </c>
      <c r="E2853" s="4" t="s">
        <v>154</v>
      </c>
      <c r="F2853" s="4" t="s">
        <v>72</v>
      </c>
      <c r="G2853" s="5">
        <v>45303</v>
      </c>
      <c r="H2853" s="5">
        <v>45304</v>
      </c>
      <c r="I2853" s="4">
        <v>1</v>
      </c>
      <c r="J2853" s="4" t="s">
        <v>33</v>
      </c>
      <c r="K2853" s="4" t="s">
        <v>233</v>
      </c>
      <c r="L2853" s="4" t="s">
        <v>35</v>
      </c>
      <c r="M2853" s="4" t="s">
        <v>134</v>
      </c>
      <c r="N2853" s="4" t="s">
        <v>109</v>
      </c>
      <c r="O2853" s="4" t="s">
        <v>368</v>
      </c>
      <c r="P2853" s="4">
        <v>411</v>
      </c>
      <c r="Q2853" s="4" t="s">
        <v>50</v>
      </c>
      <c r="R2853" s="4" t="s">
        <v>51</v>
      </c>
      <c r="S2853" s="4">
        <v>177469</v>
      </c>
      <c r="T2853" s="4">
        <v>106007</v>
      </c>
      <c r="U2853" s="4">
        <v>71462</v>
      </c>
      <c r="V2853" s="4">
        <v>139782</v>
      </c>
      <c r="W2853" s="4">
        <v>27600</v>
      </c>
      <c r="X2853" s="4">
        <v>5214</v>
      </c>
      <c r="Y2853" s="4" t="s">
        <v>41</v>
      </c>
      <c r="Z2853" s="4">
        <v>65</v>
      </c>
      <c r="AA2853" s="4">
        <v>4.2</v>
      </c>
      <c r="AB2853" s="4" t="s">
        <v>104</v>
      </c>
    </row>
    <row r="2854" spans="1:28" x14ac:dyDescent="0.25">
      <c r="A2854" s="2" t="s">
        <v>3665</v>
      </c>
      <c r="B2854" s="2" t="s">
        <v>940</v>
      </c>
      <c r="C2854" s="2">
        <v>68</v>
      </c>
      <c r="D2854" s="2" t="s">
        <v>30</v>
      </c>
      <c r="E2854" s="2" t="s">
        <v>45</v>
      </c>
      <c r="F2854" s="2" t="s">
        <v>150</v>
      </c>
      <c r="G2854" s="3">
        <v>45209</v>
      </c>
      <c r="H2854" s="3">
        <v>45224</v>
      </c>
      <c r="I2854" s="2">
        <v>15</v>
      </c>
      <c r="J2854" s="2" t="s">
        <v>115</v>
      </c>
      <c r="K2854" s="2" t="s">
        <v>116</v>
      </c>
      <c r="L2854" s="2" t="s">
        <v>117</v>
      </c>
      <c r="M2854" s="2" t="s">
        <v>143</v>
      </c>
      <c r="N2854" s="2" t="s">
        <v>37</v>
      </c>
      <c r="O2854" s="2" t="s">
        <v>126</v>
      </c>
      <c r="P2854" s="2">
        <v>307</v>
      </c>
      <c r="Q2854" s="2" t="s">
        <v>69</v>
      </c>
      <c r="R2854" s="2" t="s">
        <v>90</v>
      </c>
      <c r="S2854" s="2">
        <v>173690</v>
      </c>
      <c r="T2854" s="2">
        <v>153356</v>
      </c>
      <c r="U2854" s="2">
        <v>20334</v>
      </c>
      <c r="V2854" s="2">
        <v>137961</v>
      </c>
      <c r="W2854" s="2">
        <v>20036</v>
      </c>
      <c r="X2854" s="2">
        <v>11291</v>
      </c>
      <c r="Y2854" s="2" t="s">
        <v>41</v>
      </c>
      <c r="Z2854" s="2">
        <v>81</v>
      </c>
      <c r="AA2854" s="2">
        <v>4.4000000000000004</v>
      </c>
      <c r="AB2854" s="2" t="s">
        <v>64</v>
      </c>
    </row>
    <row r="2855" spans="1:28" x14ac:dyDescent="0.25">
      <c r="A2855" s="4" t="s">
        <v>3666</v>
      </c>
      <c r="B2855" s="4" t="s">
        <v>2220</v>
      </c>
      <c r="C2855" s="4">
        <v>83</v>
      </c>
      <c r="D2855" s="4" t="s">
        <v>55</v>
      </c>
      <c r="E2855" s="4" t="s">
        <v>87</v>
      </c>
      <c r="F2855" s="4" t="s">
        <v>150</v>
      </c>
      <c r="G2855" s="5">
        <v>45125</v>
      </c>
      <c r="H2855" s="5">
        <v>45139</v>
      </c>
      <c r="I2855" s="4">
        <v>14</v>
      </c>
      <c r="J2855" s="4" t="s">
        <v>33</v>
      </c>
      <c r="K2855" s="4" t="s">
        <v>107</v>
      </c>
      <c r="L2855" s="4" t="s">
        <v>48</v>
      </c>
      <c r="M2855" s="4" t="s">
        <v>61</v>
      </c>
      <c r="N2855" s="4" t="s">
        <v>109</v>
      </c>
      <c r="O2855" s="4" t="s">
        <v>246</v>
      </c>
      <c r="P2855" s="4">
        <v>291</v>
      </c>
      <c r="Q2855" s="4" t="s">
        <v>103</v>
      </c>
      <c r="R2855" s="4" t="s">
        <v>90</v>
      </c>
      <c r="S2855" s="4">
        <v>107851</v>
      </c>
      <c r="T2855" s="4">
        <v>68276</v>
      </c>
      <c r="U2855" s="4">
        <v>39575</v>
      </c>
      <c r="V2855" s="4">
        <v>89009</v>
      </c>
      <c r="W2855" s="4">
        <v>12074</v>
      </c>
      <c r="X2855" s="4">
        <v>6025</v>
      </c>
      <c r="Y2855" s="4" t="s">
        <v>41</v>
      </c>
      <c r="Z2855" s="4">
        <v>92</v>
      </c>
      <c r="AA2855" s="4">
        <v>2.6</v>
      </c>
      <c r="AB2855" s="4" t="s">
        <v>64</v>
      </c>
    </row>
    <row r="2856" spans="1:28" x14ac:dyDescent="0.25">
      <c r="A2856" s="2" t="s">
        <v>3667</v>
      </c>
      <c r="B2856" s="2" t="s">
        <v>532</v>
      </c>
      <c r="C2856" s="2">
        <v>34</v>
      </c>
      <c r="D2856" s="2" t="s">
        <v>55</v>
      </c>
      <c r="E2856" s="2" t="s">
        <v>87</v>
      </c>
      <c r="F2856" s="2" t="s">
        <v>129</v>
      </c>
      <c r="G2856" s="3">
        <v>45559</v>
      </c>
      <c r="H2856" s="3">
        <v>45582</v>
      </c>
      <c r="I2856" s="2">
        <v>23</v>
      </c>
      <c r="J2856" s="2" t="s">
        <v>58</v>
      </c>
      <c r="K2856" s="2" t="s">
        <v>59</v>
      </c>
      <c r="L2856" s="2" t="s">
        <v>60</v>
      </c>
      <c r="M2856" s="2" t="s">
        <v>108</v>
      </c>
      <c r="N2856" s="2" t="s">
        <v>109</v>
      </c>
      <c r="O2856" s="2" t="s">
        <v>135</v>
      </c>
      <c r="P2856" s="2">
        <v>260</v>
      </c>
      <c r="Q2856" s="2" t="s">
        <v>50</v>
      </c>
      <c r="R2856" s="2" t="s">
        <v>40</v>
      </c>
      <c r="S2856" s="2">
        <v>88813</v>
      </c>
      <c r="T2856" s="2">
        <v>45949</v>
      </c>
      <c r="U2856" s="2">
        <v>42864</v>
      </c>
      <c r="V2856" s="2">
        <v>72456</v>
      </c>
      <c r="W2856" s="2">
        <v>1663</v>
      </c>
      <c r="X2856" s="2">
        <v>13004</v>
      </c>
      <c r="Y2856" s="2" t="s">
        <v>91</v>
      </c>
      <c r="Z2856" s="2">
        <v>83</v>
      </c>
      <c r="AA2856" s="2">
        <v>2.1</v>
      </c>
      <c r="AB2856" s="2" t="s">
        <v>52</v>
      </c>
    </row>
    <row r="2857" spans="1:28" x14ac:dyDescent="0.25">
      <c r="A2857" s="4" t="s">
        <v>3668</v>
      </c>
      <c r="B2857" s="4" t="s">
        <v>2690</v>
      </c>
      <c r="C2857" s="4">
        <v>45</v>
      </c>
      <c r="D2857" s="4" t="s">
        <v>55</v>
      </c>
      <c r="E2857" s="4" t="s">
        <v>67</v>
      </c>
      <c r="F2857" s="4" t="s">
        <v>32</v>
      </c>
      <c r="G2857" s="5">
        <v>44908</v>
      </c>
      <c r="H2857" s="5">
        <v>44915</v>
      </c>
      <c r="I2857" s="4">
        <v>7</v>
      </c>
      <c r="J2857" s="4" t="s">
        <v>202</v>
      </c>
      <c r="K2857" s="4" t="s">
        <v>203</v>
      </c>
      <c r="L2857" s="4" t="s">
        <v>204</v>
      </c>
      <c r="M2857" s="4" t="s">
        <v>83</v>
      </c>
      <c r="N2857" s="4" t="s">
        <v>118</v>
      </c>
      <c r="O2857" s="4" t="s">
        <v>189</v>
      </c>
      <c r="P2857" s="4">
        <v>264</v>
      </c>
      <c r="Q2857" s="4" t="s">
        <v>50</v>
      </c>
      <c r="R2857" s="4" t="s">
        <v>111</v>
      </c>
      <c r="S2857" s="4">
        <v>53488</v>
      </c>
      <c r="T2857" s="4">
        <v>34250</v>
      </c>
      <c r="U2857" s="4">
        <v>19238</v>
      </c>
      <c r="V2857" s="4">
        <v>41971</v>
      </c>
      <c r="W2857" s="4">
        <v>2048</v>
      </c>
      <c r="X2857" s="4">
        <v>6591</v>
      </c>
      <c r="Y2857" s="4" t="s">
        <v>41</v>
      </c>
      <c r="Z2857" s="4">
        <v>45</v>
      </c>
      <c r="AA2857" s="4">
        <v>2.2999999999999998</v>
      </c>
      <c r="AB2857" s="4" t="s">
        <v>137</v>
      </c>
    </row>
    <row r="2858" spans="1:28" x14ac:dyDescent="0.25">
      <c r="A2858" s="2" t="s">
        <v>3669</v>
      </c>
      <c r="B2858" s="2" t="s">
        <v>1974</v>
      </c>
      <c r="C2858" s="2">
        <v>27</v>
      </c>
      <c r="D2858" s="2" t="s">
        <v>30</v>
      </c>
      <c r="E2858" s="2" t="s">
        <v>154</v>
      </c>
      <c r="F2858" s="2" t="s">
        <v>114</v>
      </c>
      <c r="G2858" s="3">
        <v>45026</v>
      </c>
      <c r="H2858" s="3">
        <v>45050</v>
      </c>
      <c r="I2858" s="2">
        <v>24</v>
      </c>
      <c r="J2858" s="2" t="s">
        <v>58</v>
      </c>
      <c r="K2858" s="2" t="s">
        <v>59</v>
      </c>
      <c r="L2858" s="2" t="s">
        <v>60</v>
      </c>
      <c r="M2858" s="2" t="s">
        <v>36</v>
      </c>
      <c r="N2858" s="2" t="s">
        <v>62</v>
      </c>
      <c r="O2858" s="2" t="s">
        <v>211</v>
      </c>
      <c r="P2858" s="2">
        <v>225</v>
      </c>
      <c r="Q2858" s="2" t="s">
        <v>103</v>
      </c>
      <c r="R2858" s="2" t="s">
        <v>136</v>
      </c>
      <c r="S2858" s="2">
        <v>58685</v>
      </c>
      <c r="T2858" s="2">
        <v>0</v>
      </c>
      <c r="U2858" s="2">
        <v>58685</v>
      </c>
      <c r="V2858" s="2">
        <v>33330</v>
      </c>
      <c r="W2858" s="2">
        <v>19013</v>
      </c>
      <c r="X2858" s="2">
        <v>1721</v>
      </c>
      <c r="Y2858" s="2" t="s">
        <v>41</v>
      </c>
      <c r="Z2858" s="2">
        <v>48</v>
      </c>
      <c r="AA2858" s="2">
        <v>3.4</v>
      </c>
      <c r="AB2858" s="2" t="s">
        <v>52</v>
      </c>
    </row>
    <row r="2859" spans="1:28" x14ac:dyDescent="0.25">
      <c r="A2859" s="4" t="s">
        <v>3670</v>
      </c>
      <c r="B2859" s="4" t="s">
        <v>1785</v>
      </c>
      <c r="C2859" s="4">
        <v>29</v>
      </c>
      <c r="D2859" s="4" t="s">
        <v>55</v>
      </c>
      <c r="E2859" s="4" t="s">
        <v>79</v>
      </c>
      <c r="F2859" s="4" t="s">
        <v>94</v>
      </c>
      <c r="G2859" s="5">
        <v>44909</v>
      </c>
      <c r="H2859" s="5">
        <v>44933</v>
      </c>
      <c r="I2859" s="4">
        <v>24</v>
      </c>
      <c r="J2859" s="4" t="s">
        <v>33</v>
      </c>
      <c r="K2859" s="4" t="s">
        <v>99</v>
      </c>
      <c r="L2859" s="4" t="s">
        <v>100</v>
      </c>
      <c r="M2859" s="4" t="s">
        <v>143</v>
      </c>
      <c r="N2859" s="4" t="s">
        <v>37</v>
      </c>
      <c r="O2859" s="4" t="s">
        <v>164</v>
      </c>
      <c r="P2859" s="4">
        <v>139</v>
      </c>
      <c r="Q2859" s="4" t="s">
        <v>39</v>
      </c>
      <c r="R2859" s="4" t="s">
        <v>51</v>
      </c>
      <c r="S2859" s="4">
        <v>96999</v>
      </c>
      <c r="T2859" s="4">
        <v>51798</v>
      </c>
      <c r="U2859" s="4">
        <v>45201</v>
      </c>
      <c r="V2859" s="4">
        <v>73981</v>
      </c>
      <c r="W2859" s="4">
        <v>15161</v>
      </c>
      <c r="X2859" s="4">
        <v>4317</v>
      </c>
      <c r="Y2859" s="4" t="s">
        <v>91</v>
      </c>
      <c r="Z2859" s="4">
        <v>91</v>
      </c>
      <c r="AA2859" s="4">
        <v>4.0999999999999996</v>
      </c>
      <c r="AB2859" s="4" t="s">
        <v>42</v>
      </c>
    </row>
    <row r="2860" spans="1:28" x14ac:dyDescent="0.25">
      <c r="A2860" s="2" t="s">
        <v>3671</v>
      </c>
      <c r="B2860" s="2" t="s">
        <v>1383</v>
      </c>
      <c r="C2860" s="2">
        <v>30</v>
      </c>
      <c r="D2860" s="2" t="s">
        <v>30</v>
      </c>
      <c r="E2860" s="2" t="s">
        <v>79</v>
      </c>
      <c r="F2860" s="2" t="s">
        <v>150</v>
      </c>
      <c r="G2860" s="3">
        <v>45034</v>
      </c>
      <c r="H2860" s="3">
        <v>45061</v>
      </c>
      <c r="I2860" s="2">
        <v>27</v>
      </c>
      <c r="J2860" s="2" t="s">
        <v>33</v>
      </c>
      <c r="K2860" s="2" t="s">
        <v>107</v>
      </c>
      <c r="L2860" s="2" t="s">
        <v>48</v>
      </c>
      <c r="M2860" s="2" t="s">
        <v>95</v>
      </c>
      <c r="N2860" s="2" t="s">
        <v>37</v>
      </c>
      <c r="O2860" s="2" t="s">
        <v>161</v>
      </c>
      <c r="P2860" s="2">
        <v>428</v>
      </c>
      <c r="Q2860" s="2" t="s">
        <v>103</v>
      </c>
      <c r="R2860" s="2" t="s">
        <v>40</v>
      </c>
      <c r="S2860" s="2">
        <v>147948</v>
      </c>
      <c r="T2860" s="2">
        <v>85609</v>
      </c>
      <c r="U2860" s="2">
        <v>62339</v>
      </c>
      <c r="V2860" s="2">
        <v>122519</v>
      </c>
      <c r="W2860" s="2">
        <v>9654</v>
      </c>
      <c r="X2860" s="2">
        <v>11546</v>
      </c>
      <c r="Y2860" s="2" t="s">
        <v>41</v>
      </c>
      <c r="Z2860" s="2">
        <v>96</v>
      </c>
      <c r="AA2860" s="2">
        <v>4.0999999999999996</v>
      </c>
      <c r="AB2860" s="2" t="s">
        <v>42</v>
      </c>
    </row>
    <row r="2861" spans="1:28" x14ac:dyDescent="0.25">
      <c r="A2861" s="4" t="s">
        <v>3672</v>
      </c>
      <c r="B2861" s="4" t="s">
        <v>320</v>
      </c>
      <c r="C2861" s="4">
        <v>61</v>
      </c>
      <c r="D2861" s="4" t="s">
        <v>55</v>
      </c>
      <c r="E2861" s="4" t="s">
        <v>154</v>
      </c>
      <c r="F2861" s="4" t="s">
        <v>32</v>
      </c>
      <c r="G2861" s="5">
        <v>44951</v>
      </c>
      <c r="H2861" s="5">
        <v>44965</v>
      </c>
      <c r="I2861" s="4">
        <v>14</v>
      </c>
      <c r="J2861" s="4" t="s">
        <v>33</v>
      </c>
      <c r="K2861" s="4" t="s">
        <v>107</v>
      </c>
      <c r="L2861" s="4" t="s">
        <v>48</v>
      </c>
      <c r="M2861" s="4" t="s">
        <v>36</v>
      </c>
      <c r="N2861" s="4" t="s">
        <v>109</v>
      </c>
      <c r="O2861" s="4" t="s">
        <v>49</v>
      </c>
      <c r="P2861" s="4">
        <v>182</v>
      </c>
      <c r="Q2861" s="4" t="s">
        <v>50</v>
      </c>
      <c r="R2861" s="4" t="s">
        <v>40</v>
      </c>
      <c r="S2861" s="4">
        <v>86621</v>
      </c>
      <c r="T2861" s="4">
        <v>46396</v>
      </c>
      <c r="U2861" s="4">
        <v>40225</v>
      </c>
      <c r="V2861" s="4">
        <v>62521</v>
      </c>
      <c r="W2861" s="4">
        <v>15383</v>
      </c>
      <c r="X2861" s="4">
        <v>4517</v>
      </c>
      <c r="Y2861" s="4" t="s">
        <v>41</v>
      </c>
      <c r="Z2861" s="4">
        <v>41</v>
      </c>
      <c r="AA2861" s="4">
        <v>2.8</v>
      </c>
      <c r="AB2861" s="4" t="s">
        <v>104</v>
      </c>
    </row>
    <row r="2862" spans="1:28" x14ac:dyDescent="0.25">
      <c r="A2862" s="2" t="s">
        <v>3673</v>
      </c>
      <c r="B2862" s="2" t="s">
        <v>1133</v>
      </c>
      <c r="C2862" s="2">
        <v>74</v>
      </c>
      <c r="D2862" s="2" t="s">
        <v>30</v>
      </c>
      <c r="E2862" s="2" t="s">
        <v>56</v>
      </c>
      <c r="F2862" s="2" t="s">
        <v>32</v>
      </c>
      <c r="G2862" s="3">
        <v>45370</v>
      </c>
      <c r="H2862" s="3">
        <v>45379</v>
      </c>
      <c r="I2862" s="2">
        <v>9</v>
      </c>
      <c r="J2862" s="2" t="s">
        <v>115</v>
      </c>
      <c r="K2862" s="2" t="s">
        <v>160</v>
      </c>
      <c r="L2862" s="2" t="s">
        <v>117</v>
      </c>
      <c r="M2862" s="2" t="s">
        <v>61</v>
      </c>
      <c r="N2862" s="2" t="s">
        <v>118</v>
      </c>
      <c r="O2862" s="2" t="s">
        <v>464</v>
      </c>
      <c r="P2862" s="2">
        <v>205</v>
      </c>
      <c r="Q2862" s="2" t="s">
        <v>39</v>
      </c>
      <c r="R2862" s="2" t="s">
        <v>40</v>
      </c>
      <c r="S2862" s="2">
        <v>164599</v>
      </c>
      <c r="T2862" s="2">
        <v>103245</v>
      </c>
      <c r="U2862" s="2">
        <v>61354</v>
      </c>
      <c r="V2862" s="2">
        <v>137576</v>
      </c>
      <c r="W2862" s="2">
        <v>15996</v>
      </c>
      <c r="X2862" s="2">
        <v>7901</v>
      </c>
      <c r="Y2862" s="2" t="s">
        <v>41</v>
      </c>
      <c r="Z2862" s="2">
        <v>86</v>
      </c>
      <c r="AA2862" s="2">
        <v>5</v>
      </c>
      <c r="AB2862" s="2" t="s">
        <v>52</v>
      </c>
    </row>
    <row r="2863" spans="1:28" x14ac:dyDescent="0.25">
      <c r="A2863" s="4" t="s">
        <v>3674</v>
      </c>
      <c r="B2863" s="4" t="s">
        <v>268</v>
      </c>
      <c r="C2863" s="4">
        <v>41</v>
      </c>
      <c r="D2863" s="4" t="s">
        <v>55</v>
      </c>
      <c r="E2863" s="4" t="s">
        <v>56</v>
      </c>
      <c r="F2863" s="4" t="s">
        <v>57</v>
      </c>
      <c r="G2863" s="5">
        <v>45557</v>
      </c>
      <c r="H2863" s="5">
        <v>45576</v>
      </c>
      <c r="I2863" s="4">
        <v>19</v>
      </c>
      <c r="J2863" s="4" t="s">
        <v>202</v>
      </c>
      <c r="K2863" s="4" t="s">
        <v>225</v>
      </c>
      <c r="L2863" s="4" t="s">
        <v>226</v>
      </c>
      <c r="M2863" s="4" t="s">
        <v>95</v>
      </c>
      <c r="N2863" s="4" t="s">
        <v>37</v>
      </c>
      <c r="O2863" s="4" t="s">
        <v>368</v>
      </c>
      <c r="P2863" s="4">
        <v>36</v>
      </c>
      <c r="Q2863" s="4" t="s">
        <v>103</v>
      </c>
      <c r="R2863" s="4" t="s">
        <v>111</v>
      </c>
      <c r="S2863" s="4">
        <v>140778</v>
      </c>
      <c r="T2863" s="4">
        <v>119211</v>
      </c>
      <c r="U2863" s="4">
        <v>21567</v>
      </c>
      <c r="V2863" s="4">
        <v>107341</v>
      </c>
      <c r="W2863" s="4">
        <v>23516</v>
      </c>
      <c r="X2863" s="4">
        <v>7745</v>
      </c>
      <c r="Y2863" s="4" t="s">
        <v>41</v>
      </c>
      <c r="Z2863" s="4">
        <v>51</v>
      </c>
      <c r="AA2863" s="4">
        <v>3.5</v>
      </c>
      <c r="AB2863" s="4" t="s">
        <v>42</v>
      </c>
    </row>
    <row r="2864" spans="1:28" x14ac:dyDescent="0.25">
      <c r="A2864" s="2" t="s">
        <v>3675</v>
      </c>
      <c r="B2864" s="2" t="s">
        <v>1440</v>
      </c>
      <c r="C2864" s="2">
        <v>54</v>
      </c>
      <c r="D2864" s="2" t="s">
        <v>55</v>
      </c>
      <c r="E2864" s="2" t="s">
        <v>87</v>
      </c>
      <c r="F2864" s="2" t="s">
        <v>72</v>
      </c>
      <c r="G2864" s="3">
        <v>45625</v>
      </c>
      <c r="H2864" s="3">
        <v>45645</v>
      </c>
      <c r="I2864" s="2">
        <v>20</v>
      </c>
      <c r="J2864" s="2" t="s">
        <v>33</v>
      </c>
      <c r="K2864" s="2" t="s">
        <v>197</v>
      </c>
      <c r="L2864" s="2" t="s">
        <v>198</v>
      </c>
      <c r="M2864" s="2" t="s">
        <v>83</v>
      </c>
      <c r="N2864" s="2" t="s">
        <v>109</v>
      </c>
      <c r="O2864" s="2" t="s">
        <v>631</v>
      </c>
      <c r="P2864" s="2">
        <v>338</v>
      </c>
      <c r="Q2864" s="2" t="s">
        <v>39</v>
      </c>
      <c r="R2864" s="2" t="s">
        <v>40</v>
      </c>
      <c r="S2864" s="2">
        <v>160225</v>
      </c>
      <c r="T2864" s="2">
        <v>69287</v>
      </c>
      <c r="U2864" s="2">
        <v>90938</v>
      </c>
      <c r="V2864" s="2">
        <v>141401</v>
      </c>
      <c r="W2864" s="2">
        <v>3304</v>
      </c>
      <c r="X2864" s="2">
        <v>14913</v>
      </c>
      <c r="Y2864" s="2" t="s">
        <v>41</v>
      </c>
      <c r="Z2864" s="2">
        <v>65</v>
      </c>
      <c r="AA2864" s="2">
        <v>4.5999999999999996</v>
      </c>
      <c r="AB2864" s="2" t="s">
        <v>52</v>
      </c>
    </row>
    <row r="2865" spans="1:28" x14ac:dyDescent="0.25">
      <c r="A2865" s="4" t="s">
        <v>3676</v>
      </c>
      <c r="B2865" s="4" t="s">
        <v>599</v>
      </c>
      <c r="C2865" s="4">
        <v>29</v>
      </c>
      <c r="D2865" s="4" t="s">
        <v>55</v>
      </c>
      <c r="E2865" s="4" t="s">
        <v>45</v>
      </c>
      <c r="F2865" s="4" t="s">
        <v>129</v>
      </c>
      <c r="G2865" s="5">
        <v>45337</v>
      </c>
      <c r="H2865" s="5">
        <v>45346</v>
      </c>
      <c r="I2865" s="4">
        <v>9</v>
      </c>
      <c r="J2865" s="4" t="s">
        <v>115</v>
      </c>
      <c r="K2865" s="4" t="s">
        <v>116</v>
      </c>
      <c r="L2865" s="4" t="s">
        <v>117</v>
      </c>
      <c r="M2865" s="4" t="s">
        <v>134</v>
      </c>
      <c r="N2865" s="4" t="s">
        <v>118</v>
      </c>
      <c r="O2865" s="4" t="s">
        <v>68</v>
      </c>
      <c r="P2865" s="4">
        <v>354</v>
      </c>
      <c r="Q2865" s="4" t="s">
        <v>39</v>
      </c>
      <c r="R2865" s="4" t="s">
        <v>40</v>
      </c>
      <c r="S2865" s="4">
        <v>80744</v>
      </c>
      <c r="T2865" s="4">
        <v>32842</v>
      </c>
      <c r="U2865" s="4">
        <v>47902</v>
      </c>
      <c r="V2865" s="4">
        <v>42892</v>
      </c>
      <c r="W2865" s="4">
        <v>22115</v>
      </c>
      <c r="X2865" s="4">
        <v>12543</v>
      </c>
      <c r="Y2865" s="4" t="s">
        <v>41</v>
      </c>
      <c r="Z2865" s="4">
        <v>64</v>
      </c>
      <c r="AA2865" s="4">
        <v>3.4</v>
      </c>
      <c r="AB2865" s="4" t="s">
        <v>42</v>
      </c>
    </row>
    <row r="2866" spans="1:28" x14ac:dyDescent="0.25">
      <c r="A2866" s="2" t="s">
        <v>3677</v>
      </c>
      <c r="B2866" s="2" t="s">
        <v>805</v>
      </c>
      <c r="C2866" s="2">
        <v>41</v>
      </c>
      <c r="D2866" s="2" t="s">
        <v>55</v>
      </c>
      <c r="E2866" s="2" t="s">
        <v>45</v>
      </c>
      <c r="F2866" s="2" t="s">
        <v>72</v>
      </c>
      <c r="G2866" s="3">
        <v>45240</v>
      </c>
      <c r="H2866" s="3">
        <v>45249</v>
      </c>
      <c r="I2866" s="2">
        <v>9</v>
      </c>
      <c r="J2866" s="2" t="s">
        <v>33</v>
      </c>
      <c r="K2866" s="2" t="s">
        <v>174</v>
      </c>
      <c r="L2866" s="2" t="s">
        <v>48</v>
      </c>
      <c r="M2866" s="2" t="s">
        <v>143</v>
      </c>
      <c r="N2866" s="2" t="s">
        <v>62</v>
      </c>
      <c r="O2866" s="2" t="s">
        <v>208</v>
      </c>
      <c r="P2866" s="2">
        <v>273</v>
      </c>
      <c r="Q2866" s="2" t="s">
        <v>39</v>
      </c>
      <c r="R2866" s="2" t="s">
        <v>40</v>
      </c>
      <c r="S2866" s="2">
        <v>120109</v>
      </c>
      <c r="T2866" s="2">
        <v>79233</v>
      </c>
      <c r="U2866" s="2">
        <v>40876</v>
      </c>
      <c r="V2866" s="2">
        <v>84633</v>
      </c>
      <c r="W2866" s="2">
        <v>27149</v>
      </c>
      <c r="X2866" s="2">
        <v>4118</v>
      </c>
      <c r="Y2866" s="2" t="s">
        <v>91</v>
      </c>
      <c r="Z2866" s="2">
        <v>58</v>
      </c>
      <c r="AA2866" s="2">
        <v>4.5999999999999996</v>
      </c>
      <c r="AB2866" s="2" t="s">
        <v>52</v>
      </c>
    </row>
    <row r="2867" spans="1:28" x14ac:dyDescent="0.25">
      <c r="A2867" s="4" t="s">
        <v>3678</v>
      </c>
      <c r="B2867" s="4" t="s">
        <v>863</v>
      </c>
      <c r="C2867" s="4">
        <v>70</v>
      </c>
      <c r="D2867" s="4" t="s">
        <v>55</v>
      </c>
      <c r="E2867" s="4" t="s">
        <v>56</v>
      </c>
      <c r="F2867" s="4" t="s">
        <v>32</v>
      </c>
      <c r="G2867" s="5">
        <v>45506</v>
      </c>
      <c r="H2867" s="5">
        <v>45534</v>
      </c>
      <c r="I2867" s="4">
        <v>28</v>
      </c>
      <c r="J2867" s="4" t="s">
        <v>123</v>
      </c>
      <c r="K2867" s="4" t="s">
        <v>124</v>
      </c>
      <c r="L2867" s="4" t="s">
        <v>125</v>
      </c>
      <c r="M2867" s="4" t="s">
        <v>101</v>
      </c>
      <c r="N2867" s="4" t="s">
        <v>109</v>
      </c>
      <c r="O2867" s="4" t="s">
        <v>553</v>
      </c>
      <c r="P2867" s="4">
        <v>444</v>
      </c>
      <c r="Q2867" s="4" t="s">
        <v>50</v>
      </c>
      <c r="R2867" s="4" t="s">
        <v>90</v>
      </c>
      <c r="S2867" s="4">
        <v>148589</v>
      </c>
      <c r="T2867" s="4">
        <v>103263</v>
      </c>
      <c r="U2867" s="4">
        <v>45326</v>
      </c>
      <c r="V2867" s="4">
        <v>110653</v>
      </c>
      <c r="W2867" s="4">
        <v>20887</v>
      </c>
      <c r="X2867" s="4">
        <v>13115</v>
      </c>
      <c r="Y2867" s="4" t="s">
        <v>41</v>
      </c>
      <c r="Z2867" s="4">
        <v>83</v>
      </c>
      <c r="AA2867" s="4">
        <v>4.7</v>
      </c>
      <c r="AB2867" s="4" t="s">
        <v>64</v>
      </c>
    </row>
    <row r="2868" spans="1:28" x14ac:dyDescent="0.25">
      <c r="A2868" s="2" t="s">
        <v>3679</v>
      </c>
      <c r="B2868" s="2" t="s">
        <v>1002</v>
      </c>
      <c r="C2868" s="2">
        <v>45</v>
      </c>
      <c r="D2868" s="2" t="s">
        <v>55</v>
      </c>
      <c r="E2868" s="2" t="s">
        <v>154</v>
      </c>
      <c r="F2868" s="2" t="s">
        <v>129</v>
      </c>
      <c r="G2868" s="3">
        <v>44586</v>
      </c>
      <c r="H2868" s="3">
        <v>44602</v>
      </c>
      <c r="I2868" s="2">
        <v>16</v>
      </c>
      <c r="J2868" s="2" t="s">
        <v>140</v>
      </c>
      <c r="K2868" s="2" t="s">
        <v>141</v>
      </c>
      <c r="L2868" s="2" t="s">
        <v>142</v>
      </c>
      <c r="M2868" s="2" t="s">
        <v>95</v>
      </c>
      <c r="N2868" s="2" t="s">
        <v>62</v>
      </c>
      <c r="O2868" s="2" t="s">
        <v>68</v>
      </c>
      <c r="P2868" s="2">
        <v>3</v>
      </c>
      <c r="Q2868" s="2" t="s">
        <v>39</v>
      </c>
      <c r="R2868" s="2" t="s">
        <v>40</v>
      </c>
      <c r="S2868" s="2">
        <v>63590</v>
      </c>
      <c r="T2868" s="2">
        <v>29841</v>
      </c>
      <c r="U2868" s="2">
        <v>33749</v>
      </c>
      <c r="V2868" s="2">
        <v>44357</v>
      </c>
      <c r="W2868" s="2">
        <v>9817</v>
      </c>
      <c r="X2868" s="2">
        <v>8626</v>
      </c>
      <c r="Y2868" s="2" t="s">
        <v>41</v>
      </c>
      <c r="Z2868" s="2">
        <v>84</v>
      </c>
      <c r="AA2868" s="2">
        <v>2.2999999999999998</v>
      </c>
      <c r="AB2868" s="2" t="s">
        <v>64</v>
      </c>
    </row>
    <row r="2869" spans="1:28" x14ac:dyDescent="0.25">
      <c r="A2869" s="4" t="s">
        <v>3680</v>
      </c>
      <c r="B2869" s="4" t="s">
        <v>597</v>
      </c>
      <c r="C2869" s="4">
        <v>7</v>
      </c>
      <c r="D2869" s="4" t="s">
        <v>55</v>
      </c>
      <c r="E2869" s="4" t="s">
        <v>67</v>
      </c>
      <c r="F2869" s="4" t="s">
        <v>94</v>
      </c>
      <c r="G2869" s="5">
        <v>45194</v>
      </c>
      <c r="H2869" s="5">
        <v>45195</v>
      </c>
      <c r="I2869" s="4">
        <v>1</v>
      </c>
      <c r="J2869" s="4" t="s">
        <v>33</v>
      </c>
      <c r="K2869" s="4" t="s">
        <v>233</v>
      </c>
      <c r="L2869" s="4" t="s">
        <v>35</v>
      </c>
      <c r="M2869" s="4" t="s">
        <v>134</v>
      </c>
      <c r="N2869" s="4" t="s">
        <v>109</v>
      </c>
      <c r="O2869" s="4" t="s">
        <v>382</v>
      </c>
      <c r="P2869" s="4">
        <v>287</v>
      </c>
      <c r="Q2869" s="4" t="s">
        <v>50</v>
      </c>
      <c r="R2869" s="4" t="s">
        <v>136</v>
      </c>
      <c r="S2869" s="4">
        <v>113026</v>
      </c>
      <c r="T2869" s="4">
        <v>0</v>
      </c>
      <c r="U2869" s="4">
        <v>113026</v>
      </c>
      <c r="V2869" s="4">
        <v>101002</v>
      </c>
      <c r="W2869" s="4">
        <v>2288</v>
      </c>
      <c r="X2869" s="4">
        <v>7689</v>
      </c>
      <c r="Y2869" s="4" t="s">
        <v>41</v>
      </c>
      <c r="Z2869" s="4">
        <v>95</v>
      </c>
      <c r="AA2869" s="4">
        <v>4.3</v>
      </c>
      <c r="AB2869" s="4" t="s">
        <v>104</v>
      </c>
    </row>
    <row r="2870" spans="1:28" x14ac:dyDescent="0.25">
      <c r="A2870" s="2" t="s">
        <v>3681</v>
      </c>
      <c r="B2870" s="2" t="s">
        <v>929</v>
      </c>
      <c r="C2870" s="2">
        <v>22</v>
      </c>
      <c r="D2870" s="2" t="s">
        <v>55</v>
      </c>
      <c r="E2870" s="2" t="s">
        <v>79</v>
      </c>
      <c r="F2870" s="2" t="s">
        <v>46</v>
      </c>
      <c r="G2870" s="3">
        <v>44810</v>
      </c>
      <c r="H2870" s="3">
        <v>44818</v>
      </c>
      <c r="I2870" s="2">
        <v>8</v>
      </c>
      <c r="J2870" s="2" t="s">
        <v>33</v>
      </c>
      <c r="K2870" s="2" t="s">
        <v>197</v>
      </c>
      <c r="L2870" s="2" t="s">
        <v>198</v>
      </c>
      <c r="M2870" s="2" t="s">
        <v>36</v>
      </c>
      <c r="N2870" s="2" t="s">
        <v>62</v>
      </c>
      <c r="O2870" s="2" t="s">
        <v>673</v>
      </c>
      <c r="P2870" s="2">
        <v>163</v>
      </c>
      <c r="Q2870" s="2" t="s">
        <v>103</v>
      </c>
      <c r="R2870" s="2" t="s">
        <v>90</v>
      </c>
      <c r="S2870" s="2">
        <v>95239</v>
      </c>
      <c r="T2870" s="2">
        <v>68788</v>
      </c>
      <c r="U2870" s="2">
        <v>26451</v>
      </c>
      <c r="V2870" s="2">
        <v>78243</v>
      </c>
      <c r="W2870" s="2">
        <v>4971</v>
      </c>
      <c r="X2870" s="2">
        <v>9982</v>
      </c>
      <c r="Y2870" s="2" t="s">
        <v>91</v>
      </c>
      <c r="Z2870" s="2">
        <v>88</v>
      </c>
      <c r="AA2870" s="2">
        <v>4.5999999999999996</v>
      </c>
      <c r="AB2870" s="2" t="s">
        <v>52</v>
      </c>
    </row>
    <row r="2871" spans="1:28" x14ac:dyDescent="0.25">
      <c r="A2871" s="4" t="s">
        <v>3682</v>
      </c>
      <c r="B2871" s="4" t="s">
        <v>815</v>
      </c>
      <c r="C2871" s="4">
        <v>18</v>
      </c>
      <c r="D2871" s="4" t="s">
        <v>55</v>
      </c>
      <c r="E2871" s="4" t="s">
        <v>154</v>
      </c>
      <c r="F2871" s="4" t="s">
        <v>129</v>
      </c>
      <c r="G2871" s="5">
        <v>44910</v>
      </c>
      <c r="H2871" s="5">
        <v>44920</v>
      </c>
      <c r="I2871" s="4">
        <v>10</v>
      </c>
      <c r="J2871" s="4" t="s">
        <v>33</v>
      </c>
      <c r="K2871" s="4" t="s">
        <v>34</v>
      </c>
      <c r="L2871" s="4" t="s">
        <v>35</v>
      </c>
      <c r="M2871" s="4" t="s">
        <v>143</v>
      </c>
      <c r="N2871" s="4" t="s">
        <v>118</v>
      </c>
      <c r="O2871" s="4" t="s">
        <v>396</v>
      </c>
      <c r="P2871" s="4">
        <v>14</v>
      </c>
      <c r="Q2871" s="4" t="s">
        <v>39</v>
      </c>
      <c r="R2871" s="4" t="s">
        <v>40</v>
      </c>
      <c r="S2871" s="4">
        <v>75954</v>
      </c>
      <c r="T2871" s="4">
        <v>46816</v>
      </c>
      <c r="U2871" s="4">
        <v>29138</v>
      </c>
      <c r="V2871" s="4">
        <v>51895</v>
      </c>
      <c r="W2871" s="4">
        <v>7379</v>
      </c>
      <c r="X2871" s="4">
        <v>14886</v>
      </c>
      <c r="Y2871" s="4" t="s">
        <v>41</v>
      </c>
      <c r="Z2871" s="4">
        <v>47</v>
      </c>
      <c r="AA2871" s="4">
        <v>2.7</v>
      </c>
      <c r="AB2871" s="4" t="s">
        <v>42</v>
      </c>
    </row>
    <row r="2872" spans="1:28" x14ac:dyDescent="0.25">
      <c r="A2872" s="2" t="s">
        <v>3683</v>
      </c>
      <c r="B2872" s="2" t="s">
        <v>424</v>
      </c>
      <c r="C2872" s="2">
        <v>74</v>
      </c>
      <c r="D2872" s="2" t="s">
        <v>30</v>
      </c>
      <c r="E2872" s="2" t="s">
        <v>56</v>
      </c>
      <c r="F2872" s="2" t="s">
        <v>46</v>
      </c>
      <c r="G2872" s="3">
        <v>44944</v>
      </c>
      <c r="H2872" s="3">
        <v>44960</v>
      </c>
      <c r="I2872" s="2">
        <v>16</v>
      </c>
      <c r="J2872" s="2" t="s">
        <v>73</v>
      </c>
      <c r="K2872" s="2" t="s">
        <v>74</v>
      </c>
      <c r="L2872" s="2" t="s">
        <v>73</v>
      </c>
      <c r="M2872" s="2" t="s">
        <v>130</v>
      </c>
      <c r="N2872" s="2" t="s">
        <v>109</v>
      </c>
      <c r="O2872" s="2" t="s">
        <v>509</v>
      </c>
      <c r="P2872" s="2">
        <v>366</v>
      </c>
      <c r="Q2872" s="2" t="s">
        <v>50</v>
      </c>
      <c r="R2872" s="2" t="s">
        <v>51</v>
      </c>
      <c r="S2872" s="2">
        <v>56754</v>
      </c>
      <c r="T2872" s="2">
        <v>23594</v>
      </c>
      <c r="U2872" s="2">
        <v>33160</v>
      </c>
      <c r="V2872" s="2">
        <v>27234</v>
      </c>
      <c r="W2872" s="2">
        <v>13863</v>
      </c>
      <c r="X2872" s="2">
        <v>14395</v>
      </c>
      <c r="Y2872" s="2" t="s">
        <v>41</v>
      </c>
      <c r="Z2872" s="2">
        <v>78</v>
      </c>
      <c r="AA2872" s="2">
        <v>4.5</v>
      </c>
      <c r="AB2872" s="2" t="s">
        <v>42</v>
      </c>
    </row>
    <row r="2873" spans="1:28" x14ac:dyDescent="0.25">
      <c r="A2873" s="4" t="s">
        <v>3684</v>
      </c>
      <c r="B2873" s="4" t="s">
        <v>709</v>
      </c>
      <c r="C2873" s="4">
        <v>23</v>
      </c>
      <c r="D2873" s="4" t="s">
        <v>55</v>
      </c>
      <c r="E2873" s="4" t="s">
        <v>122</v>
      </c>
      <c r="F2873" s="4" t="s">
        <v>80</v>
      </c>
      <c r="G2873" s="5">
        <v>45543</v>
      </c>
      <c r="H2873" s="5">
        <v>45560</v>
      </c>
      <c r="I2873" s="4">
        <v>17</v>
      </c>
      <c r="J2873" s="4" t="s">
        <v>58</v>
      </c>
      <c r="K2873" s="4" t="s">
        <v>59</v>
      </c>
      <c r="L2873" s="4" t="s">
        <v>60</v>
      </c>
      <c r="M2873" s="4" t="s">
        <v>75</v>
      </c>
      <c r="N2873" s="4" t="s">
        <v>62</v>
      </c>
      <c r="O2873" s="4" t="s">
        <v>543</v>
      </c>
      <c r="P2873" s="4">
        <v>326</v>
      </c>
      <c r="Q2873" s="4" t="s">
        <v>50</v>
      </c>
      <c r="R2873" s="4" t="s">
        <v>90</v>
      </c>
      <c r="S2873" s="4">
        <v>121972</v>
      </c>
      <c r="T2873" s="4">
        <v>96047</v>
      </c>
      <c r="U2873" s="4">
        <v>25925</v>
      </c>
      <c r="V2873" s="4">
        <v>84866</v>
      </c>
      <c r="W2873" s="4">
        <v>23533</v>
      </c>
      <c r="X2873" s="4">
        <v>12073</v>
      </c>
      <c r="Y2873" s="4" t="s">
        <v>41</v>
      </c>
      <c r="Z2873" s="4">
        <v>100</v>
      </c>
      <c r="AA2873" s="4">
        <v>3.8</v>
      </c>
      <c r="AB2873" s="4" t="s">
        <v>42</v>
      </c>
    </row>
    <row r="2874" spans="1:28" x14ac:dyDescent="0.25">
      <c r="A2874" s="2" t="s">
        <v>3685</v>
      </c>
      <c r="B2874" s="2" t="s">
        <v>418</v>
      </c>
      <c r="C2874" s="2">
        <v>67</v>
      </c>
      <c r="D2874" s="2" t="s">
        <v>30</v>
      </c>
      <c r="E2874" s="2" t="s">
        <v>31</v>
      </c>
      <c r="F2874" s="2" t="s">
        <v>57</v>
      </c>
      <c r="G2874" s="3">
        <v>44779</v>
      </c>
      <c r="H2874" s="3">
        <v>44799</v>
      </c>
      <c r="I2874" s="2">
        <v>20</v>
      </c>
      <c r="J2874" s="2" t="s">
        <v>33</v>
      </c>
      <c r="K2874" s="2" t="s">
        <v>34</v>
      </c>
      <c r="L2874" s="2" t="s">
        <v>35</v>
      </c>
      <c r="M2874" s="2" t="s">
        <v>95</v>
      </c>
      <c r="N2874" s="2" t="s">
        <v>118</v>
      </c>
      <c r="O2874" s="2" t="s">
        <v>365</v>
      </c>
      <c r="P2874" s="2">
        <v>417</v>
      </c>
      <c r="Q2874" s="2" t="s">
        <v>103</v>
      </c>
      <c r="R2874" s="2" t="s">
        <v>111</v>
      </c>
      <c r="S2874" s="2">
        <v>36492</v>
      </c>
      <c r="T2874" s="2">
        <v>23096</v>
      </c>
      <c r="U2874" s="2">
        <v>13396</v>
      </c>
      <c r="V2874" s="2">
        <v>18591</v>
      </c>
      <c r="W2874" s="2">
        <v>3567</v>
      </c>
      <c r="X2874" s="2">
        <v>11439</v>
      </c>
      <c r="Y2874" s="2" t="s">
        <v>41</v>
      </c>
      <c r="Z2874" s="2">
        <v>100</v>
      </c>
      <c r="AA2874" s="2">
        <v>4.8</v>
      </c>
      <c r="AB2874" s="2" t="s">
        <v>52</v>
      </c>
    </row>
    <row r="2875" spans="1:28" x14ac:dyDescent="0.25">
      <c r="A2875" s="4" t="s">
        <v>3686</v>
      </c>
      <c r="B2875" s="4" t="s">
        <v>1254</v>
      </c>
      <c r="C2875" s="4">
        <v>71</v>
      </c>
      <c r="D2875" s="4" t="s">
        <v>55</v>
      </c>
      <c r="E2875" s="4" t="s">
        <v>122</v>
      </c>
      <c r="F2875" s="4" t="s">
        <v>114</v>
      </c>
      <c r="G2875" s="5">
        <v>45099</v>
      </c>
      <c r="H2875" s="5">
        <v>45121</v>
      </c>
      <c r="I2875" s="4">
        <v>22</v>
      </c>
      <c r="J2875" s="4" t="s">
        <v>58</v>
      </c>
      <c r="K2875" s="4" t="s">
        <v>88</v>
      </c>
      <c r="L2875" s="4" t="s">
        <v>60</v>
      </c>
      <c r="M2875" s="4" t="s">
        <v>143</v>
      </c>
      <c r="N2875" s="4" t="s">
        <v>62</v>
      </c>
      <c r="O2875" s="4" t="s">
        <v>321</v>
      </c>
      <c r="P2875" s="4">
        <v>281</v>
      </c>
      <c r="Q2875" s="4" t="s">
        <v>39</v>
      </c>
      <c r="R2875" s="4" t="s">
        <v>40</v>
      </c>
      <c r="S2875" s="4">
        <v>153060</v>
      </c>
      <c r="T2875" s="4">
        <v>67886</v>
      </c>
      <c r="U2875" s="4">
        <v>85174</v>
      </c>
      <c r="V2875" s="4">
        <v>134704</v>
      </c>
      <c r="W2875" s="4">
        <v>7241</v>
      </c>
      <c r="X2875" s="4">
        <v>7600</v>
      </c>
      <c r="Y2875" s="4" t="s">
        <v>41</v>
      </c>
      <c r="Z2875" s="4">
        <v>76</v>
      </c>
      <c r="AA2875" s="4">
        <v>4.9000000000000004</v>
      </c>
      <c r="AB2875" s="4" t="s">
        <v>42</v>
      </c>
    </row>
    <row r="2876" spans="1:28" x14ac:dyDescent="0.25">
      <c r="A2876" s="2" t="s">
        <v>3687</v>
      </c>
      <c r="B2876" s="2" t="s">
        <v>716</v>
      </c>
      <c r="C2876" s="2">
        <v>52</v>
      </c>
      <c r="D2876" s="2" t="s">
        <v>55</v>
      </c>
      <c r="E2876" s="2" t="s">
        <v>122</v>
      </c>
      <c r="F2876" s="2" t="s">
        <v>80</v>
      </c>
      <c r="G2876" s="3">
        <v>45337</v>
      </c>
      <c r="H2876" s="3">
        <v>45349</v>
      </c>
      <c r="I2876" s="2">
        <v>12</v>
      </c>
      <c r="J2876" s="2" t="s">
        <v>33</v>
      </c>
      <c r="K2876" s="2" t="s">
        <v>81</v>
      </c>
      <c r="L2876" s="2" t="s">
        <v>82</v>
      </c>
      <c r="M2876" s="2" t="s">
        <v>101</v>
      </c>
      <c r="N2876" s="2" t="s">
        <v>62</v>
      </c>
      <c r="O2876" s="2" t="s">
        <v>448</v>
      </c>
      <c r="P2876" s="2">
        <v>485</v>
      </c>
      <c r="Q2876" s="2" t="s">
        <v>69</v>
      </c>
      <c r="R2876" s="2" t="s">
        <v>40</v>
      </c>
      <c r="S2876" s="2">
        <v>171179</v>
      </c>
      <c r="T2876" s="2">
        <v>109755</v>
      </c>
      <c r="U2876" s="2">
        <v>61424</v>
      </c>
      <c r="V2876" s="2">
        <v>126613</v>
      </c>
      <c r="W2876" s="2">
        <v>27789</v>
      </c>
      <c r="X2876" s="2">
        <v>13732</v>
      </c>
      <c r="Y2876" s="2" t="s">
        <v>41</v>
      </c>
      <c r="Z2876" s="2">
        <v>46</v>
      </c>
      <c r="AA2876" s="2">
        <v>2.7</v>
      </c>
      <c r="AB2876" s="2" t="s">
        <v>52</v>
      </c>
    </row>
    <row r="2877" spans="1:28" x14ac:dyDescent="0.25">
      <c r="A2877" s="4" t="s">
        <v>3688</v>
      </c>
      <c r="B2877" s="4" t="s">
        <v>1222</v>
      </c>
      <c r="C2877" s="4">
        <v>21</v>
      </c>
      <c r="D2877" s="4" t="s">
        <v>30</v>
      </c>
      <c r="E2877" s="4" t="s">
        <v>31</v>
      </c>
      <c r="F2877" s="4" t="s">
        <v>32</v>
      </c>
      <c r="G2877" s="5">
        <v>44900</v>
      </c>
      <c r="H2877" s="5">
        <v>44910</v>
      </c>
      <c r="I2877" s="4">
        <v>10</v>
      </c>
      <c r="J2877" s="4" t="s">
        <v>33</v>
      </c>
      <c r="K2877" s="4" t="s">
        <v>278</v>
      </c>
      <c r="L2877" s="4" t="s">
        <v>279</v>
      </c>
      <c r="M2877" s="4" t="s">
        <v>130</v>
      </c>
      <c r="N2877" s="4" t="s">
        <v>37</v>
      </c>
      <c r="O2877" s="4" t="s">
        <v>151</v>
      </c>
      <c r="P2877" s="4">
        <v>203</v>
      </c>
      <c r="Q2877" s="4" t="s">
        <v>103</v>
      </c>
      <c r="R2877" s="4" t="s">
        <v>51</v>
      </c>
      <c r="S2877" s="4">
        <v>168674</v>
      </c>
      <c r="T2877" s="4">
        <v>109341</v>
      </c>
      <c r="U2877" s="4">
        <v>59333</v>
      </c>
      <c r="V2877" s="4">
        <v>138580</v>
      </c>
      <c r="W2877" s="4">
        <v>16486</v>
      </c>
      <c r="X2877" s="4">
        <v>9529</v>
      </c>
      <c r="Y2877" s="4" t="s">
        <v>41</v>
      </c>
      <c r="Z2877" s="4">
        <v>100</v>
      </c>
      <c r="AA2877" s="4">
        <v>4.8</v>
      </c>
      <c r="AB2877" s="4" t="s">
        <v>104</v>
      </c>
    </row>
    <row r="2878" spans="1:28" x14ac:dyDescent="0.25">
      <c r="A2878" s="2" t="s">
        <v>3689</v>
      </c>
      <c r="B2878" s="2" t="s">
        <v>1838</v>
      </c>
      <c r="C2878" s="2">
        <v>23</v>
      </c>
      <c r="D2878" s="2" t="s">
        <v>30</v>
      </c>
      <c r="E2878" s="2" t="s">
        <v>79</v>
      </c>
      <c r="F2878" s="2" t="s">
        <v>57</v>
      </c>
      <c r="G2878" s="3">
        <v>45111</v>
      </c>
      <c r="H2878" s="3">
        <v>45112</v>
      </c>
      <c r="I2878" s="2">
        <v>1</v>
      </c>
      <c r="J2878" s="2" t="s">
        <v>140</v>
      </c>
      <c r="K2878" s="2" t="s">
        <v>141</v>
      </c>
      <c r="L2878" s="2" t="s">
        <v>142</v>
      </c>
      <c r="M2878" s="2" t="s">
        <v>36</v>
      </c>
      <c r="N2878" s="2" t="s">
        <v>37</v>
      </c>
      <c r="O2878" s="2" t="s">
        <v>285</v>
      </c>
      <c r="P2878" s="2">
        <v>337</v>
      </c>
      <c r="Q2878" s="2" t="s">
        <v>50</v>
      </c>
      <c r="R2878" s="2" t="s">
        <v>136</v>
      </c>
      <c r="S2878" s="2">
        <v>34973</v>
      </c>
      <c r="T2878" s="2">
        <v>0</v>
      </c>
      <c r="U2878" s="2">
        <v>34973</v>
      </c>
      <c r="V2878" s="2">
        <v>20921</v>
      </c>
      <c r="W2878" s="2">
        <v>4285</v>
      </c>
      <c r="X2878" s="2">
        <v>5730</v>
      </c>
      <c r="Y2878" s="2" t="s">
        <v>41</v>
      </c>
      <c r="Z2878" s="2">
        <v>48</v>
      </c>
      <c r="AA2878" s="2">
        <v>2.5</v>
      </c>
      <c r="AB2878" s="2" t="s">
        <v>42</v>
      </c>
    </row>
    <row r="2879" spans="1:28" x14ac:dyDescent="0.25">
      <c r="A2879" s="4" t="s">
        <v>3690</v>
      </c>
      <c r="B2879" s="4" t="s">
        <v>93</v>
      </c>
      <c r="C2879" s="4">
        <v>19</v>
      </c>
      <c r="D2879" s="4" t="s">
        <v>55</v>
      </c>
      <c r="E2879" s="4" t="s">
        <v>67</v>
      </c>
      <c r="F2879" s="4" t="s">
        <v>57</v>
      </c>
      <c r="G2879" s="5">
        <v>45156</v>
      </c>
      <c r="H2879" s="5">
        <v>45167</v>
      </c>
      <c r="I2879" s="4">
        <v>11</v>
      </c>
      <c r="J2879" s="4" t="s">
        <v>33</v>
      </c>
      <c r="K2879" s="4" t="s">
        <v>233</v>
      </c>
      <c r="L2879" s="4" t="s">
        <v>35</v>
      </c>
      <c r="M2879" s="4" t="s">
        <v>143</v>
      </c>
      <c r="N2879" s="4" t="s">
        <v>37</v>
      </c>
      <c r="O2879" s="4" t="s">
        <v>205</v>
      </c>
      <c r="P2879" s="4">
        <v>145</v>
      </c>
      <c r="Q2879" s="4" t="s">
        <v>103</v>
      </c>
      <c r="R2879" s="4" t="s">
        <v>90</v>
      </c>
      <c r="S2879" s="4">
        <v>133992</v>
      </c>
      <c r="T2879" s="4">
        <v>92499</v>
      </c>
      <c r="U2879" s="4">
        <v>41493</v>
      </c>
      <c r="V2879" s="4">
        <v>94522</v>
      </c>
      <c r="W2879" s="4">
        <v>22749</v>
      </c>
      <c r="X2879" s="4">
        <v>12662</v>
      </c>
      <c r="Y2879" s="4" t="s">
        <v>41</v>
      </c>
      <c r="Z2879" s="4">
        <v>83</v>
      </c>
      <c r="AA2879" s="4">
        <v>2.2999999999999998</v>
      </c>
      <c r="AB2879" s="4" t="s">
        <v>137</v>
      </c>
    </row>
    <row r="2880" spans="1:28" x14ac:dyDescent="0.25">
      <c r="A2880" s="2" t="s">
        <v>3691</v>
      </c>
      <c r="B2880" s="2" t="s">
        <v>1568</v>
      </c>
      <c r="C2880" s="2">
        <v>20</v>
      </c>
      <c r="D2880" s="2" t="s">
        <v>55</v>
      </c>
      <c r="E2880" s="2" t="s">
        <v>67</v>
      </c>
      <c r="F2880" s="2" t="s">
        <v>72</v>
      </c>
      <c r="G2880" s="3">
        <v>45613</v>
      </c>
      <c r="H2880" s="3">
        <v>45617</v>
      </c>
      <c r="I2880" s="2">
        <v>4</v>
      </c>
      <c r="J2880" s="2" t="s">
        <v>33</v>
      </c>
      <c r="K2880" s="2" t="s">
        <v>47</v>
      </c>
      <c r="L2880" s="2" t="s">
        <v>48</v>
      </c>
      <c r="M2880" s="2" t="s">
        <v>61</v>
      </c>
      <c r="N2880" s="2" t="s">
        <v>118</v>
      </c>
      <c r="O2880" s="2" t="s">
        <v>248</v>
      </c>
      <c r="P2880" s="2">
        <v>99</v>
      </c>
      <c r="Q2880" s="2" t="s">
        <v>50</v>
      </c>
      <c r="R2880" s="2" t="s">
        <v>40</v>
      </c>
      <c r="S2880" s="2">
        <v>44086</v>
      </c>
      <c r="T2880" s="2">
        <v>23156</v>
      </c>
      <c r="U2880" s="2">
        <v>20930</v>
      </c>
      <c r="V2880" s="2">
        <v>10483</v>
      </c>
      <c r="W2880" s="2">
        <v>21036</v>
      </c>
      <c r="X2880" s="2">
        <v>10934</v>
      </c>
      <c r="Y2880" s="2" t="s">
        <v>41</v>
      </c>
      <c r="Z2880" s="2">
        <v>72</v>
      </c>
      <c r="AA2880" s="2">
        <v>4</v>
      </c>
      <c r="AB2880" s="2" t="s">
        <v>64</v>
      </c>
    </row>
    <row r="2881" spans="1:28" x14ac:dyDescent="0.25">
      <c r="A2881" s="4" t="s">
        <v>3692</v>
      </c>
      <c r="B2881" s="4" t="s">
        <v>1018</v>
      </c>
      <c r="C2881" s="4">
        <v>27</v>
      </c>
      <c r="D2881" s="4" t="s">
        <v>55</v>
      </c>
      <c r="E2881" s="4" t="s">
        <v>45</v>
      </c>
      <c r="F2881" s="4" t="s">
        <v>129</v>
      </c>
      <c r="G2881" s="5">
        <v>44650</v>
      </c>
      <c r="H2881" s="5">
        <v>44671</v>
      </c>
      <c r="I2881" s="4">
        <v>21</v>
      </c>
      <c r="J2881" s="4" t="s">
        <v>58</v>
      </c>
      <c r="K2881" s="4" t="s">
        <v>88</v>
      </c>
      <c r="L2881" s="4" t="s">
        <v>60</v>
      </c>
      <c r="M2881" s="4" t="s">
        <v>134</v>
      </c>
      <c r="N2881" s="4" t="s">
        <v>118</v>
      </c>
      <c r="O2881" s="4" t="s">
        <v>259</v>
      </c>
      <c r="P2881" s="4">
        <v>5</v>
      </c>
      <c r="Q2881" s="4" t="s">
        <v>39</v>
      </c>
      <c r="R2881" s="4" t="s">
        <v>136</v>
      </c>
      <c r="S2881" s="4">
        <v>85643</v>
      </c>
      <c r="T2881" s="4">
        <v>0</v>
      </c>
      <c r="U2881" s="4">
        <v>85643</v>
      </c>
      <c r="V2881" s="4">
        <v>71965</v>
      </c>
      <c r="W2881" s="4">
        <v>2697</v>
      </c>
      <c r="X2881" s="4">
        <v>6081</v>
      </c>
      <c r="Y2881" s="4" t="s">
        <v>41</v>
      </c>
      <c r="Z2881" s="4">
        <v>67</v>
      </c>
      <c r="AA2881" s="4">
        <v>3.1</v>
      </c>
      <c r="AB2881" s="4" t="s">
        <v>42</v>
      </c>
    </row>
    <row r="2882" spans="1:28" x14ac:dyDescent="0.25">
      <c r="A2882" s="2" t="s">
        <v>3693</v>
      </c>
      <c r="B2882" s="2" t="s">
        <v>1291</v>
      </c>
      <c r="C2882" s="2">
        <v>15</v>
      </c>
      <c r="D2882" s="2" t="s">
        <v>30</v>
      </c>
      <c r="E2882" s="2" t="s">
        <v>79</v>
      </c>
      <c r="F2882" s="2" t="s">
        <v>32</v>
      </c>
      <c r="G2882" s="3">
        <v>45269</v>
      </c>
      <c r="H2882" s="3">
        <v>45271</v>
      </c>
      <c r="I2882" s="2">
        <v>2</v>
      </c>
      <c r="J2882" s="2" t="s">
        <v>140</v>
      </c>
      <c r="K2882" s="2" t="s">
        <v>167</v>
      </c>
      <c r="L2882" s="2" t="s">
        <v>142</v>
      </c>
      <c r="M2882" s="2" t="s">
        <v>134</v>
      </c>
      <c r="N2882" s="2" t="s">
        <v>109</v>
      </c>
      <c r="O2882" s="2" t="s">
        <v>321</v>
      </c>
      <c r="P2882" s="2">
        <v>191</v>
      </c>
      <c r="Q2882" s="2" t="s">
        <v>50</v>
      </c>
      <c r="R2882" s="2" t="s">
        <v>136</v>
      </c>
      <c r="S2882" s="2">
        <v>122193</v>
      </c>
      <c r="T2882" s="2">
        <v>0</v>
      </c>
      <c r="U2882" s="2">
        <v>122193</v>
      </c>
      <c r="V2882" s="2">
        <v>100751</v>
      </c>
      <c r="W2882" s="2">
        <v>9859</v>
      </c>
      <c r="X2882" s="2">
        <v>10372</v>
      </c>
      <c r="Y2882" s="2" t="s">
        <v>41</v>
      </c>
      <c r="Z2882" s="2">
        <v>73</v>
      </c>
      <c r="AA2882" s="2">
        <v>2.6</v>
      </c>
      <c r="AB2882" s="2" t="s">
        <v>104</v>
      </c>
    </row>
    <row r="2883" spans="1:28" x14ac:dyDescent="0.25">
      <c r="A2883" s="4" t="s">
        <v>3694</v>
      </c>
      <c r="B2883" s="4" t="s">
        <v>802</v>
      </c>
      <c r="C2883" s="4">
        <v>78</v>
      </c>
      <c r="D2883" s="4" t="s">
        <v>30</v>
      </c>
      <c r="E2883" s="4" t="s">
        <v>79</v>
      </c>
      <c r="F2883" s="4" t="s">
        <v>46</v>
      </c>
      <c r="G2883" s="5">
        <v>44831</v>
      </c>
      <c r="H2883" s="5">
        <v>44837</v>
      </c>
      <c r="I2883" s="4">
        <v>6</v>
      </c>
      <c r="J2883" s="4" t="s">
        <v>202</v>
      </c>
      <c r="K2883" s="4" t="s">
        <v>225</v>
      </c>
      <c r="L2883" s="4" t="s">
        <v>226</v>
      </c>
      <c r="M2883" s="4" t="s">
        <v>143</v>
      </c>
      <c r="N2883" s="4" t="s">
        <v>118</v>
      </c>
      <c r="O2883" s="4" t="s">
        <v>96</v>
      </c>
      <c r="P2883" s="4">
        <v>448</v>
      </c>
      <c r="Q2883" s="4" t="s">
        <v>50</v>
      </c>
      <c r="R2883" s="4" t="s">
        <v>40</v>
      </c>
      <c r="S2883" s="4">
        <v>158438</v>
      </c>
      <c r="T2883" s="4">
        <v>98616</v>
      </c>
      <c r="U2883" s="4">
        <v>59822</v>
      </c>
      <c r="V2883" s="4">
        <v>119899</v>
      </c>
      <c r="W2883" s="4">
        <v>20649</v>
      </c>
      <c r="X2883" s="4">
        <v>14029</v>
      </c>
      <c r="Y2883" s="4" t="s">
        <v>91</v>
      </c>
      <c r="Z2883" s="4">
        <v>57</v>
      </c>
      <c r="AA2883" s="4">
        <v>3.8</v>
      </c>
      <c r="AB2883" s="4" t="s">
        <v>52</v>
      </c>
    </row>
    <row r="2884" spans="1:28" x14ac:dyDescent="0.25">
      <c r="A2884" s="2" t="s">
        <v>3695</v>
      </c>
      <c r="B2884" s="2" t="s">
        <v>1795</v>
      </c>
      <c r="C2884" s="2">
        <v>7</v>
      </c>
      <c r="D2884" s="2" t="s">
        <v>30</v>
      </c>
      <c r="E2884" s="2" t="s">
        <v>87</v>
      </c>
      <c r="F2884" s="2" t="s">
        <v>94</v>
      </c>
      <c r="G2884" s="3">
        <v>45339</v>
      </c>
      <c r="H2884" s="3">
        <v>45362</v>
      </c>
      <c r="I2884" s="2">
        <v>23</v>
      </c>
      <c r="J2884" s="2" t="s">
        <v>58</v>
      </c>
      <c r="K2884" s="2" t="s">
        <v>59</v>
      </c>
      <c r="L2884" s="2" t="s">
        <v>60</v>
      </c>
      <c r="M2884" s="2" t="s">
        <v>108</v>
      </c>
      <c r="N2884" s="2" t="s">
        <v>109</v>
      </c>
      <c r="O2884" s="2" t="s">
        <v>553</v>
      </c>
      <c r="P2884" s="2">
        <v>426</v>
      </c>
      <c r="Q2884" s="2" t="s">
        <v>39</v>
      </c>
      <c r="R2884" s="2" t="s">
        <v>51</v>
      </c>
      <c r="S2884" s="2">
        <v>38651</v>
      </c>
      <c r="T2884" s="2">
        <v>23807</v>
      </c>
      <c r="U2884" s="2">
        <v>14844</v>
      </c>
      <c r="V2884" s="2">
        <v>21644</v>
      </c>
      <c r="W2884" s="2">
        <v>1438</v>
      </c>
      <c r="X2884" s="2">
        <v>12314</v>
      </c>
      <c r="Y2884" s="2" t="s">
        <v>41</v>
      </c>
      <c r="Z2884" s="2">
        <v>50</v>
      </c>
      <c r="AA2884" s="2">
        <v>3</v>
      </c>
      <c r="AB2884" s="2" t="s">
        <v>64</v>
      </c>
    </row>
    <row r="2885" spans="1:28" x14ac:dyDescent="0.25">
      <c r="A2885" s="4" t="s">
        <v>3696</v>
      </c>
      <c r="B2885" s="4" t="s">
        <v>1457</v>
      </c>
      <c r="C2885" s="4">
        <v>69</v>
      </c>
      <c r="D2885" s="4" t="s">
        <v>30</v>
      </c>
      <c r="E2885" s="4" t="s">
        <v>67</v>
      </c>
      <c r="F2885" s="4" t="s">
        <v>129</v>
      </c>
      <c r="G2885" s="5">
        <v>45063</v>
      </c>
      <c r="H2885" s="5">
        <v>45067</v>
      </c>
      <c r="I2885" s="4">
        <v>4</v>
      </c>
      <c r="J2885" s="4" t="s">
        <v>202</v>
      </c>
      <c r="K2885" s="4" t="s">
        <v>203</v>
      </c>
      <c r="L2885" s="4" t="s">
        <v>204</v>
      </c>
      <c r="M2885" s="4" t="s">
        <v>108</v>
      </c>
      <c r="N2885" s="4" t="s">
        <v>118</v>
      </c>
      <c r="O2885" s="4" t="s">
        <v>68</v>
      </c>
      <c r="P2885" s="4">
        <v>115</v>
      </c>
      <c r="Q2885" s="4" t="s">
        <v>103</v>
      </c>
      <c r="R2885" s="4" t="s">
        <v>40</v>
      </c>
      <c r="S2885" s="4">
        <v>22263</v>
      </c>
      <c r="T2885" s="4">
        <v>14385</v>
      </c>
      <c r="U2885" s="4">
        <v>7878</v>
      </c>
      <c r="V2885" s="4">
        <v>5120</v>
      </c>
      <c r="W2885" s="4">
        <v>2584</v>
      </c>
      <c r="X2885" s="4">
        <v>11640</v>
      </c>
      <c r="Y2885" s="4" t="s">
        <v>41</v>
      </c>
      <c r="Z2885" s="4">
        <v>52</v>
      </c>
      <c r="AA2885" s="4">
        <v>3</v>
      </c>
      <c r="AB2885" s="4" t="s">
        <v>104</v>
      </c>
    </row>
    <row r="2886" spans="1:28" x14ac:dyDescent="0.25">
      <c r="A2886" s="2" t="s">
        <v>3697</v>
      </c>
      <c r="B2886" s="2" t="s">
        <v>879</v>
      </c>
      <c r="C2886" s="2">
        <v>55</v>
      </c>
      <c r="D2886" s="2" t="s">
        <v>30</v>
      </c>
      <c r="E2886" s="2" t="s">
        <v>122</v>
      </c>
      <c r="F2886" s="2" t="s">
        <v>150</v>
      </c>
      <c r="G2886" s="3">
        <v>45309</v>
      </c>
      <c r="H2886" s="3">
        <v>45336</v>
      </c>
      <c r="I2886" s="2">
        <v>27</v>
      </c>
      <c r="J2886" s="2" t="s">
        <v>33</v>
      </c>
      <c r="K2886" s="2" t="s">
        <v>47</v>
      </c>
      <c r="L2886" s="2" t="s">
        <v>48</v>
      </c>
      <c r="M2886" s="2" t="s">
        <v>101</v>
      </c>
      <c r="N2886" s="2" t="s">
        <v>118</v>
      </c>
      <c r="O2886" s="2" t="s">
        <v>161</v>
      </c>
      <c r="P2886" s="2">
        <v>478</v>
      </c>
      <c r="Q2886" s="2" t="s">
        <v>103</v>
      </c>
      <c r="R2886" s="2" t="s">
        <v>111</v>
      </c>
      <c r="S2886" s="2">
        <v>84702</v>
      </c>
      <c r="T2886" s="2">
        <v>68358</v>
      </c>
      <c r="U2886" s="2">
        <v>16344</v>
      </c>
      <c r="V2886" s="2">
        <v>60221</v>
      </c>
      <c r="W2886" s="2">
        <v>12147</v>
      </c>
      <c r="X2886" s="2">
        <v>10642</v>
      </c>
      <c r="Y2886" s="2" t="s">
        <v>41</v>
      </c>
      <c r="Z2886" s="2">
        <v>83</v>
      </c>
      <c r="AA2886" s="2">
        <v>4.5</v>
      </c>
      <c r="AB2886" s="2" t="s">
        <v>137</v>
      </c>
    </row>
    <row r="2887" spans="1:28" x14ac:dyDescent="0.25">
      <c r="A2887" s="4" t="s">
        <v>3698</v>
      </c>
      <c r="B2887" s="4" t="s">
        <v>838</v>
      </c>
      <c r="C2887" s="4">
        <v>52</v>
      </c>
      <c r="D2887" s="4" t="s">
        <v>30</v>
      </c>
      <c r="E2887" s="4" t="s">
        <v>87</v>
      </c>
      <c r="F2887" s="4" t="s">
        <v>46</v>
      </c>
      <c r="G2887" s="5">
        <v>44769</v>
      </c>
      <c r="H2887" s="5">
        <v>44791</v>
      </c>
      <c r="I2887" s="4">
        <v>22</v>
      </c>
      <c r="J2887" s="4" t="s">
        <v>115</v>
      </c>
      <c r="K2887" s="4" t="s">
        <v>116</v>
      </c>
      <c r="L2887" s="4" t="s">
        <v>117</v>
      </c>
      <c r="M2887" s="4" t="s">
        <v>108</v>
      </c>
      <c r="N2887" s="4" t="s">
        <v>118</v>
      </c>
      <c r="O2887" s="4" t="s">
        <v>171</v>
      </c>
      <c r="P2887" s="4">
        <v>385</v>
      </c>
      <c r="Q2887" s="4" t="s">
        <v>50</v>
      </c>
      <c r="R2887" s="4" t="s">
        <v>111</v>
      </c>
      <c r="S2887" s="4">
        <v>126014</v>
      </c>
      <c r="T2887" s="4">
        <v>83647</v>
      </c>
      <c r="U2887" s="4">
        <v>42367</v>
      </c>
      <c r="V2887" s="4">
        <v>110380</v>
      </c>
      <c r="W2887" s="4">
        <v>11156</v>
      </c>
      <c r="X2887" s="4">
        <v>723</v>
      </c>
      <c r="Y2887" s="4" t="s">
        <v>41</v>
      </c>
      <c r="Z2887" s="4">
        <v>61</v>
      </c>
      <c r="AA2887" s="4">
        <v>3.5</v>
      </c>
      <c r="AB2887" s="4" t="s">
        <v>104</v>
      </c>
    </row>
    <row r="2888" spans="1:28" x14ac:dyDescent="0.25">
      <c r="A2888" s="2" t="s">
        <v>3699</v>
      </c>
      <c r="B2888" s="2" t="s">
        <v>1437</v>
      </c>
      <c r="C2888" s="2">
        <v>15</v>
      </c>
      <c r="D2888" s="2" t="s">
        <v>55</v>
      </c>
      <c r="E2888" s="2" t="s">
        <v>67</v>
      </c>
      <c r="F2888" s="2" t="s">
        <v>72</v>
      </c>
      <c r="G2888" s="3">
        <v>45399</v>
      </c>
      <c r="H2888" s="3">
        <v>45414</v>
      </c>
      <c r="I2888" s="2">
        <v>15</v>
      </c>
      <c r="J2888" s="2" t="s">
        <v>33</v>
      </c>
      <c r="K2888" s="2" t="s">
        <v>278</v>
      </c>
      <c r="L2888" s="2" t="s">
        <v>279</v>
      </c>
      <c r="M2888" s="2" t="s">
        <v>101</v>
      </c>
      <c r="N2888" s="2" t="s">
        <v>109</v>
      </c>
      <c r="O2888" s="2" t="s">
        <v>147</v>
      </c>
      <c r="P2888" s="2">
        <v>144</v>
      </c>
      <c r="Q2888" s="2" t="s">
        <v>103</v>
      </c>
      <c r="R2888" s="2" t="s">
        <v>40</v>
      </c>
      <c r="S2888" s="2">
        <v>82885</v>
      </c>
      <c r="T2888" s="2">
        <v>43674</v>
      </c>
      <c r="U2888" s="2">
        <v>39211</v>
      </c>
      <c r="V2888" s="2">
        <v>64401</v>
      </c>
      <c r="W2888" s="2">
        <v>11197</v>
      </c>
      <c r="X2888" s="2">
        <v>5142</v>
      </c>
      <c r="Y2888" s="2" t="s">
        <v>41</v>
      </c>
      <c r="Z2888" s="2">
        <v>72</v>
      </c>
      <c r="AA2888" s="2">
        <v>4.7</v>
      </c>
      <c r="AB2888" s="2" t="s">
        <v>104</v>
      </c>
    </row>
    <row r="2889" spans="1:28" x14ac:dyDescent="0.25">
      <c r="A2889" s="4" t="s">
        <v>3700</v>
      </c>
      <c r="B2889" s="4" t="s">
        <v>156</v>
      </c>
      <c r="C2889" s="4">
        <v>28</v>
      </c>
      <c r="D2889" s="4" t="s">
        <v>55</v>
      </c>
      <c r="E2889" s="4" t="s">
        <v>87</v>
      </c>
      <c r="F2889" s="4" t="s">
        <v>72</v>
      </c>
      <c r="G2889" s="5">
        <v>45144</v>
      </c>
      <c r="H2889" s="5">
        <v>45159</v>
      </c>
      <c r="I2889" s="4">
        <v>15</v>
      </c>
      <c r="J2889" s="4" t="s">
        <v>33</v>
      </c>
      <c r="K2889" s="4" t="s">
        <v>107</v>
      </c>
      <c r="L2889" s="4" t="s">
        <v>48</v>
      </c>
      <c r="M2889" s="4" t="s">
        <v>36</v>
      </c>
      <c r="N2889" s="4" t="s">
        <v>37</v>
      </c>
      <c r="O2889" s="4" t="s">
        <v>595</v>
      </c>
      <c r="P2889" s="4">
        <v>359</v>
      </c>
      <c r="Q2889" s="4" t="s">
        <v>39</v>
      </c>
      <c r="R2889" s="4" t="s">
        <v>111</v>
      </c>
      <c r="S2889" s="4">
        <v>30139</v>
      </c>
      <c r="T2889" s="4">
        <v>26661</v>
      </c>
      <c r="U2889" s="4">
        <v>3478</v>
      </c>
      <c r="V2889" s="4">
        <v>19627</v>
      </c>
      <c r="W2889" s="4">
        <v>4793</v>
      </c>
      <c r="X2889" s="4">
        <v>1371</v>
      </c>
      <c r="Y2889" s="4" t="s">
        <v>41</v>
      </c>
      <c r="Z2889" s="4">
        <v>70</v>
      </c>
      <c r="AA2889" s="4">
        <v>3.1</v>
      </c>
      <c r="AB2889" s="4" t="s">
        <v>104</v>
      </c>
    </row>
    <row r="2890" spans="1:28" x14ac:dyDescent="0.25">
      <c r="A2890" s="2" t="s">
        <v>3701</v>
      </c>
      <c r="B2890" s="2" t="s">
        <v>826</v>
      </c>
      <c r="C2890" s="2">
        <v>41</v>
      </c>
      <c r="D2890" s="2" t="s">
        <v>30</v>
      </c>
      <c r="E2890" s="2" t="s">
        <v>122</v>
      </c>
      <c r="F2890" s="2" t="s">
        <v>32</v>
      </c>
      <c r="G2890" s="3">
        <v>45234</v>
      </c>
      <c r="H2890" s="3">
        <v>45264</v>
      </c>
      <c r="I2890" s="2">
        <v>30</v>
      </c>
      <c r="J2890" s="2" t="s">
        <v>33</v>
      </c>
      <c r="K2890" s="2" t="s">
        <v>99</v>
      </c>
      <c r="L2890" s="2" t="s">
        <v>100</v>
      </c>
      <c r="M2890" s="2" t="s">
        <v>108</v>
      </c>
      <c r="N2890" s="2" t="s">
        <v>118</v>
      </c>
      <c r="O2890" s="2" t="s">
        <v>211</v>
      </c>
      <c r="P2890" s="2">
        <v>370</v>
      </c>
      <c r="Q2890" s="2" t="s">
        <v>69</v>
      </c>
      <c r="R2890" s="2" t="s">
        <v>111</v>
      </c>
      <c r="S2890" s="2">
        <v>68765</v>
      </c>
      <c r="T2890" s="2">
        <v>49141</v>
      </c>
      <c r="U2890" s="2">
        <v>19624</v>
      </c>
      <c r="V2890" s="2">
        <v>33599</v>
      </c>
      <c r="W2890" s="2">
        <v>17752</v>
      </c>
      <c r="X2890" s="2">
        <v>14361</v>
      </c>
      <c r="Y2890" s="2" t="s">
        <v>41</v>
      </c>
      <c r="Z2890" s="2">
        <v>94</v>
      </c>
      <c r="AA2890" s="2">
        <v>3.5</v>
      </c>
      <c r="AB2890" s="2" t="s">
        <v>104</v>
      </c>
    </row>
    <row r="2891" spans="1:28" x14ac:dyDescent="0.25">
      <c r="A2891" s="4" t="s">
        <v>3702</v>
      </c>
      <c r="B2891" s="4" t="s">
        <v>297</v>
      </c>
      <c r="C2891" s="4">
        <v>62</v>
      </c>
      <c r="D2891" s="4" t="s">
        <v>30</v>
      </c>
      <c r="E2891" s="4" t="s">
        <v>79</v>
      </c>
      <c r="F2891" s="4" t="s">
        <v>114</v>
      </c>
      <c r="G2891" s="5">
        <v>44614</v>
      </c>
      <c r="H2891" s="5">
        <v>44621</v>
      </c>
      <c r="I2891" s="4">
        <v>7</v>
      </c>
      <c r="J2891" s="4" t="s">
        <v>115</v>
      </c>
      <c r="K2891" s="4" t="s">
        <v>116</v>
      </c>
      <c r="L2891" s="4" t="s">
        <v>117</v>
      </c>
      <c r="M2891" s="4" t="s">
        <v>143</v>
      </c>
      <c r="N2891" s="4" t="s">
        <v>118</v>
      </c>
      <c r="O2891" s="4" t="s">
        <v>340</v>
      </c>
      <c r="P2891" s="4">
        <v>400</v>
      </c>
      <c r="Q2891" s="4" t="s">
        <v>103</v>
      </c>
      <c r="R2891" s="4" t="s">
        <v>111</v>
      </c>
      <c r="S2891" s="4">
        <v>67508</v>
      </c>
      <c r="T2891" s="4">
        <v>59049</v>
      </c>
      <c r="U2891" s="4">
        <v>8459</v>
      </c>
      <c r="V2891" s="4">
        <v>51816</v>
      </c>
      <c r="W2891" s="4">
        <v>5706</v>
      </c>
      <c r="X2891" s="4">
        <v>8680</v>
      </c>
      <c r="Y2891" s="4" t="s">
        <v>41</v>
      </c>
      <c r="Z2891" s="4">
        <v>49</v>
      </c>
      <c r="AA2891" s="4">
        <v>2.2999999999999998</v>
      </c>
      <c r="AB2891" s="4" t="s">
        <v>64</v>
      </c>
    </row>
    <row r="2892" spans="1:28" x14ac:dyDescent="0.25">
      <c r="A2892" s="2" t="s">
        <v>3703</v>
      </c>
      <c r="B2892" s="2" t="s">
        <v>858</v>
      </c>
      <c r="C2892" s="2">
        <v>48</v>
      </c>
      <c r="D2892" s="2" t="s">
        <v>30</v>
      </c>
      <c r="E2892" s="2" t="s">
        <v>67</v>
      </c>
      <c r="F2892" s="2" t="s">
        <v>150</v>
      </c>
      <c r="G2892" s="3">
        <v>45036</v>
      </c>
      <c r="H2892" s="3">
        <v>45056</v>
      </c>
      <c r="I2892" s="2">
        <v>20</v>
      </c>
      <c r="J2892" s="2" t="s">
        <v>33</v>
      </c>
      <c r="K2892" s="2" t="s">
        <v>197</v>
      </c>
      <c r="L2892" s="2" t="s">
        <v>198</v>
      </c>
      <c r="M2892" s="2" t="s">
        <v>130</v>
      </c>
      <c r="N2892" s="2" t="s">
        <v>37</v>
      </c>
      <c r="O2892" s="2" t="s">
        <v>331</v>
      </c>
      <c r="P2892" s="2">
        <v>349</v>
      </c>
      <c r="Q2892" s="2" t="s">
        <v>103</v>
      </c>
      <c r="R2892" s="2" t="s">
        <v>40</v>
      </c>
      <c r="S2892" s="2">
        <v>81511</v>
      </c>
      <c r="T2892" s="2">
        <v>42682</v>
      </c>
      <c r="U2892" s="2">
        <v>38829</v>
      </c>
      <c r="V2892" s="2">
        <v>56188</v>
      </c>
      <c r="W2892" s="2">
        <v>14550</v>
      </c>
      <c r="X2892" s="2">
        <v>6618</v>
      </c>
      <c r="Y2892" s="2" t="s">
        <v>41</v>
      </c>
      <c r="Z2892" s="2">
        <v>69</v>
      </c>
      <c r="AA2892" s="2">
        <v>4.0999999999999996</v>
      </c>
      <c r="AB2892" s="2" t="s">
        <v>137</v>
      </c>
    </row>
    <row r="2893" spans="1:28" x14ac:dyDescent="0.25">
      <c r="A2893" s="4" t="s">
        <v>3704</v>
      </c>
      <c r="B2893" s="4" t="s">
        <v>1736</v>
      </c>
      <c r="C2893" s="4">
        <v>85</v>
      </c>
      <c r="D2893" s="4" t="s">
        <v>55</v>
      </c>
      <c r="E2893" s="4" t="s">
        <v>67</v>
      </c>
      <c r="F2893" s="4" t="s">
        <v>46</v>
      </c>
      <c r="G2893" s="5">
        <v>44619</v>
      </c>
      <c r="H2893" s="5">
        <v>44648</v>
      </c>
      <c r="I2893" s="4">
        <v>29</v>
      </c>
      <c r="J2893" s="4" t="s">
        <v>123</v>
      </c>
      <c r="K2893" s="4" t="s">
        <v>124</v>
      </c>
      <c r="L2893" s="4" t="s">
        <v>125</v>
      </c>
      <c r="M2893" s="4" t="s">
        <v>108</v>
      </c>
      <c r="N2893" s="4" t="s">
        <v>62</v>
      </c>
      <c r="O2893" s="4" t="s">
        <v>647</v>
      </c>
      <c r="P2893" s="4">
        <v>131</v>
      </c>
      <c r="Q2893" s="4" t="s">
        <v>50</v>
      </c>
      <c r="R2893" s="4" t="s">
        <v>136</v>
      </c>
      <c r="S2893" s="4">
        <v>136823</v>
      </c>
      <c r="T2893" s="4">
        <v>0</v>
      </c>
      <c r="U2893" s="4">
        <v>136823</v>
      </c>
      <c r="V2893" s="4">
        <v>122593</v>
      </c>
      <c r="W2893" s="4">
        <v>6711</v>
      </c>
      <c r="X2893" s="4">
        <v>4869</v>
      </c>
      <c r="Y2893" s="4" t="s">
        <v>41</v>
      </c>
      <c r="Z2893" s="4">
        <v>45</v>
      </c>
      <c r="AA2893" s="4">
        <v>3.4</v>
      </c>
      <c r="AB2893" s="4" t="s">
        <v>52</v>
      </c>
    </row>
    <row r="2894" spans="1:28" x14ac:dyDescent="0.25">
      <c r="A2894" s="2" t="s">
        <v>3705</v>
      </c>
      <c r="B2894" s="2" t="s">
        <v>1416</v>
      </c>
      <c r="C2894" s="2">
        <v>59</v>
      </c>
      <c r="D2894" s="2" t="s">
        <v>55</v>
      </c>
      <c r="E2894" s="2" t="s">
        <v>79</v>
      </c>
      <c r="F2894" s="2" t="s">
        <v>94</v>
      </c>
      <c r="G2894" s="3">
        <v>44711</v>
      </c>
      <c r="H2894" s="3">
        <v>44712</v>
      </c>
      <c r="I2894" s="2">
        <v>1</v>
      </c>
      <c r="J2894" s="2" t="s">
        <v>33</v>
      </c>
      <c r="K2894" s="2" t="s">
        <v>278</v>
      </c>
      <c r="L2894" s="2" t="s">
        <v>279</v>
      </c>
      <c r="M2894" s="2" t="s">
        <v>95</v>
      </c>
      <c r="N2894" s="2" t="s">
        <v>37</v>
      </c>
      <c r="O2894" s="2" t="s">
        <v>205</v>
      </c>
      <c r="P2894" s="2">
        <v>494</v>
      </c>
      <c r="Q2894" s="2" t="s">
        <v>39</v>
      </c>
      <c r="R2894" s="2" t="s">
        <v>40</v>
      </c>
      <c r="S2894" s="2">
        <v>176657</v>
      </c>
      <c r="T2894" s="2">
        <v>96690</v>
      </c>
      <c r="U2894" s="2">
        <v>79967</v>
      </c>
      <c r="V2894" s="2">
        <v>141151</v>
      </c>
      <c r="W2894" s="2">
        <v>21899</v>
      </c>
      <c r="X2894" s="2">
        <v>12969</v>
      </c>
      <c r="Y2894" s="2" t="s">
        <v>91</v>
      </c>
      <c r="Z2894" s="2">
        <v>80</v>
      </c>
      <c r="AA2894" s="2">
        <v>2.7</v>
      </c>
      <c r="AB2894" s="2" t="s">
        <v>104</v>
      </c>
    </row>
    <row r="2895" spans="1:28" x14ac:dyDescent="0.25">
      <c r="A2895" s="4" t="s">
        <v>3706</v>
      </c>
      <c r="B2895" s="4" t="s">
        <v>437</v>
      </c>
      <c r="C2895" s="4">
        <v>58</v>
      </c>
      <c r="D2895" s="4" t="s">
        <v>30</v>
      </c>
      <c r="E2895" s="4" t="s">
        <v>122</v>
      </c>
      <c r="F2895" s="4" t="s">
        <v>80</v>
      </c>
      <c r="G2895" s="5">
        <v>44957</v>
      </c>
      <c r="H2895" s="5">
        <v>44984</v>
      </c>
      <c r="I2895" s="4">
        <v>27</v>
      </c>
      <c r="J2895" s="4" t="s">
        <v>73</v>
      </c>
      <c r="K2895" s="4" t="s">
        <v>74</v>
      </c>
      <c r="L2895" s="4" t="s">
        <v>73</v>
      </c>
      <c r="M2895" s="4" t="s">
        <v>75</v>
      </c>
      <c r="N2895" s="4" t="s">
        <v>118</v>
      </c>
      <c r="O2895" s="4" t="s">
        <v>337</v>
      </c>
      <c r="P2895" s="4">
        <v>275</v>
      </c>
      <c r="Q2895" s="4" t="s">
        <v>39</v>
      </c>
      <c r="R2895" s="4" t="s">
        <v>51</v>
      </c>
      <c r="S2895" s="4">
        <v>119740</v>
      </c>
      <c r="T2895" s="4">
        <v>72672</v>
      </c>
      <c r="U2895" s="4">
        <v>47068</v>
      </c>
      <c r="V2895" s="4">
        <v>106049</v>
      </c>
      <c r="W2895" s="4">
        <v>2884</v>
      </c>
      <c r="X2895" s="4">
        <v>7009</v>
      </c>
      <c r="Y2895" s="4" t="s">
        <v>41</v>
      </c>
      <c r="Z2895" s="4">
        <v>79</v>
      </c>
      <c r="AA2895" s="4">
        <v>3.6</v>
      </c>
      <c r="AB2895" s="4" t="s">
        <v>42</v>
      </c>
    </row>
    <row r="2896" spans="1:28" x14ac:dyDescent="0.25">
      <c r="A2896" s="2" t="s">
        <v>3707</v>
      </c>
      <c r="B2896" s="2" t="s">
        <v>156</v>
      </c>
      <c r="C2896" s="2">
        <v>78</v>
      </c>
      <c r="D2896" s="2" t="s">
        <v>55</v>
      </c>
      <c r="E2896" s="2" t="s">
        <v>56</v>
      </c>
      <c r="F2896" s="2" t="s">
        <v>57</v>
      </c>
      <c r="G2896" s="3">
        <v>44959</v>
      </c>
      <c r="H2896" s="3">
        <v>44960</v>
      </c>
      <c r="I2896" s="2">
        <v>1</v>
      </c>
      <c r="J2896" s="2" t="s">
        <v>33</v>
      </c>
      <c r="K2896" s="2" t="s">
        <v>99</v>
      </c>
      <c r="L2896" s="2" t="s">
        <v>100</v>
      </c>
      <c r="M2896" s="2" t="s">
        <v>83</v>
      </c>
      <c r="N2896" s="2" t="s">
        <v>118</v>
      </c>
      <c r="O2896" s="2" t="s">
        <v>144</v>
      </c>
      <c r="P2896" s="2">
        <v>110</v>
      </c>
      <c r="Q2896" s="2" t="s">
        <v>69</v>
      </c>
      <c r="R2896" s="2" t="s">
        <v>136</v>
      </c>
      <c r="S2896" s="2">
        <v>54907</v>
      </c>
      <c r="T2896" s="2">
        <v>0</v>
      </c>
      <c r="U2896" s="2">
        <v>54907</v>
      </c>
      <c r="V2896" s="2">
        <v>19415</v>
      </c>
      <c r="W2896" s="2">
        <v>27440</v>
      </c>
      <c r="X2896" s="2">
        <v>5358</v>
      </c>
      <c r="Y2896" s="2" t="s">
        <v>91</v>
      </c>
      <c r="Z2896" s="2">
        <v>64</v>
      </c>
      <c r="AA2896" s="2">
        <v>2.2000000000000002</v>
      </c>
      <c r="AB2896" s="2" t="s">
        <v>137</v>
      </c>
    </row>
    <row r="2897" spans="1:28" x14ac:dyDescent="0.25">
      <c r="A2897" s="4" t="s">
        <v>3708</v>
      </c>
      <c r="B2897" s="4" t="s">
        <v>29</v>
      </c>
      <c r="C2897" s="4">
        <v>30</v>
      </c>
      <c r="D2897" s="4" t="s">
        <v>55</v>
      </c>
      <c r="E2897" s="4" t="s">
        <v>67</v>
      </c>
      <c r="F2897" s="4" t="s">
        <v>32</v>
      </c>
      <c r="G2897" s="5">
        <v>45233</v>
      </c>
      <c r="H2897" s="5">
        <v>45243</v>
      </c>
      <c r="I2897" s="4">
        <v>10</v>
      </c>
      <c r="J2897" s="4" t="s">
        <v>202</v>
      </c>
      <c r="K2897" s="4" t="s">
        <v>225</v>
      </c>
      <c r="L2897" s="4" t="s">
        <v>226</v>
      </c>
      <c r="M2897" s="4" t="s">
        <v>61</v>
      </c>
      <c r="N2897" s="4" t="s">
        <v>37</v>
      </c>
      <c r="O2897" s="4" t="s">
        <v>76</v>
      </c>
      <c r="P2897" s="4">
        <v>149</v>
      </c>
      <c r="Q2897" s="4" t="s">
        <v>69</v>
      </c>
      <c r="R2897" s="4" t="s">
        <v>51</v>
      </c>
      <c r="S2897" s="4">
        <v>36664</v>
      </c>
      <c r="T2897" s="4">
        <v>24507</v>
      </c>
      <c r="U2897" s="4">
        <v>12157</v>
      </c>
      <c r="V2897" s="4">
        <v>6596</v>
      </c>
      <c r="W2897" s="4">
        <v>11304</v>
      </c>
      <c r="X2897" s="4">
        <v>14345</v>
      </c>
      <c r="Y2897" s="4" t="s">
        <v>41</v>
      </c>
      <c r="Z2897" s="4">
        <v>83</v>
      </c>
      <c r="AA2897" s="4">
        <v>3.7</v>
      </c>
      <c r="AB2897" s="4" t="s">
        <v>137</v>
      </c>
    </row>
    <row r="2898" spans="1:28" x14ac:dyDescent="0.25">
      <c r="A2898" s="2" t="s">
        <v>3709</v>
      </c>
      <c r="B2898" s="2" t="s">
        <v>313</v>
      </c>
      <c r="C2898" s="2">
        <v>37</v>
      </c>
      <c r="D2898" s="2" t="s">
        <v>55</v>
      </c>
      <c r="E2898" s="2" t="s">
        <v>154</v>
      </c>
      <c r="F2898" s="2" t="s">
        <v>46</v>
      </c>
      <c r="G2898" s="3">
        <v>45061</v>
      </c>
      <c r="H2898" s="3">
        <v>45078</v>
      </c>
      <c r="I2898" s="2">
        <v>17</v>
      </c>
      <c r="J2898" s="2" t="s">
        <v>33</v>
      </c>
      <c r="K2898" s="2" t="s">
        <v>107</v>
      </c>
      <c r="L2898" s="2" t="s">
        <v>48</v>
      </c>
      <c r="M2898" s="2" t="s">
        <v>61</v>
      </c>
      <c r="N2898" s="2" t="s">
        <v>109</v>
      </c>
      <c r="O2898" s="2" t="s">
        <v>234</v>
      </c>
      <c r="P2898" s="2">
        <v>353</v>
      </c>
      <c r="Q2898" s="2" t="s">
        <v>39</v>
      </c>
      <c r="R2898" s="2" t="s">
        <v>136</v>
      </c>
      <c r="S2898" s="2">
        <v>121819</v>
      </c>
      <c r="T2898" s="2">
        <v>0</v>
      </c>
      <c r="U2898" s="2">
        <v>121819</v>
      </c>
      <c r="V2898" s="2">
        <v>78735</v>
      </c>
      <c r="W2898" s="2">
        <v>25783</v>
      </c>
      <c r="X2898" s="2">
        <v>14646</v>
      </c>
      <c r="Y2898" s="2" t="s">
        <v>41</v>
      </c>
      <c r="Z2898" s="2">
        <v>61</v>
      </c>
      <c r="AA2898" s="2">
        <v>4.4000000000000004</v>
      </c>
      <c r="AB2898" s="2" t="s">
        <v>42</v>
      </c>
    </row>
    <row r="2899" spans="1:28" x14ac:dyDescent="0.25">
      <c r="A2899" s="4" t="s">
        <v>3710</v>
      </c>
      <c r="B2899" s="4" t="s">
        <v>559</v>
      </c>
      <c r="C2899" s="4">
        <v>7</v>
      </c>
      <c r="D2899" s="4" t="s">
        <v>30</v>
      </c>
      <c r="E2899" s="4" t="s">
        <v>87</v>
      </c>
      <c r="F2899" s="4" t="s">
        <v>32</v>
      </c>
      <c r="G2899" s="5">
        <v>44689</v>
      </c>
      <c r="H2899" s="5">
        <v>44693</v>
      </c>
      <c r="I2899" s="4">
        <v>4</v>
      </c>
      <c r="J2899" s="4" t="s">
        <v>33</v>
      </c>
      <c r="K2899" s="4" t="s">
        <v>278</v>
      </c>
      <c r="L2899" s="4" t="s">
        <v>279</v>
      </c>
      <c r="M2899" s="4" t="s">
        <v>95</v>
      </c>
      <c r="N2899" s="4" t="s">
        <v>109</v>
      </c>
      <c r="O2899" s="4" t="s">
        <v>376</v>
      </c>
      <c r="P2899" s="4">
        <v>393</v>
      </c>
      <c r="Q2899" s="4" t="s">
        <v>50</v>
      </c>
      <c r="R2899" s="4" t="s">
        <v>136</v>
      </c>
      <c r="S2899" s="4">
        <v>154559</v>
      </c>
      <c r="T2899" s="4">
        <v>0</v>
      </c>
      <c r="U2899" s="4">
        <v>154559</v>
      </c>
      <c r="V2899" s="4">
        <v>121709</v>
      </c>
      <c r="W2899" s="4">
        <v>21974</v>
      </c>
      <c r="X2899" s="4">
        <v>8980</v>
      </c>
      <c r="Y2899" s="4" t="s">
        <v>41</v>
      </c>
      <c r="Z2899" s="4">
        <v>63</v>
      </c>
      <c r="AA2899" s="4">
        <v>4.2</v>
      </c>
      <c r="AB2899" s="4" t="s">
        <v>137</v>
      </c>
    </row>
    <row r="2900" spans="1:28" x14ac:dyDescent="0.25">
      <c r="A2900" s="2" t="s">
        <v>3711</v>
      </c>
      <c r="B2900" s="2" t="s">
        <v>1307</v>
      </c>
      <c r="C2900" s="2">
        <v>60</v>
      </c>
      <c r="D2900" s="2" t="s">
        <v>55</v>
      </c>
      <c r="E2900" s="2" t="s">
        <v>122</v>
      </c>
      <c r="F2900" s="2" t="s">
        <v>80</v>
      </c>
      <c r="G2900" s="3">
        <v>44788</v>
      </c>
      <c r="H2900" s="3">
        <v>44793</v>
      </c>
      <c r="I2900" s="2">
        <v>5</v>
      </c>
      <c r="J2900" s="2" t="s">
        <v>202</v>
      </c>
      <c r="K2900" s="2" t="s">
        <v>225</v>
      </c>
      <c r="L2900" s="2" t="s">
        <v>226</v>
      </c>
      <c r="M2900" s="2" t="s">
        <v>108</v>
      </c>
      <c r="N2900" s="2" t="s">
        <v>109</v>
      </c>
      <c r="O2900" s="2" t="s">
        <v>234</v>
      </c>
      <c r="P2900" s="2">
        <v>300</v>
      </c>
      <c r="Q2900" s="2" t="s">
        <v>103</v>
      </c>
      <c r="R2900" s="2" t="s">
        <v>40</v>
      </c>
      <c r="S2900" s="2">
        <v>51075</v>
      </c>
      <c r="T2900" s="2">
        <v>31986</v>
      </c>
      <c r="U2900" s="2">
        <v>19089</v>
      </c>
      <c r="V2900" s="2">
        <v>28399</v>
      </c>
      <c r="W2900" s="2">
        <v>16094</v>
      </c>
      <c r="X2900" s="2">
        <v>4470</v>
      </c>
      <c r="Y2900" s="2" t="s">
        <v>41</v>
      </c>
      <c r="Z2900" s="2">
        <v>95</v>
      </c>
      <c r="AA2900" s="2">
        <v>3.7</v>
      </c>
      <c r="AB2900" s="2" t="s">
        <v>52</v>
      </c>
    </row>
    <row r="2901" spans="1:28" x14ac:dyDescent="0.25">
      <c r="A2901" s="4" t="s">
        <v>3712</v>
      </c>
      <c r="B2901" s="4" t="s">
        <v>1383</v>
      </c>
      <c r="C2901" s="4">
        <v>85</v>
      </c>
      <c r="D2901" s="4" t="s">
        <v>55</v>
      </c>
      <c r="E2901" s="4" t="s">
        <v>67</v>
      </c>
      <c r="F2901" s="4" t="s">
        <v>72</v>
      </c>
      <c r="G2901" s="5">
        <v>45244</v>
      </c>
      <c r="H2901" s="5">
        <v>45259</v>
      </c>
      <c r="I2901" s="4">
        <v>15</v>
      </c>
      <c r="J2901" s="4" t="s">
        <v>33</v>
      </c>
      <c r="K2901" s="4" t="s">
        <v>197</v>
      </c>
      <c r="L2901" s="4" t="s">
        <v>198</v>
      </c>
      <c r="M2901" s="4" t="s">
        <v>36</v>
      </c>
      <c r="N2901" s="4" t="s">
        <v>118</v>
      </c>
      <c r="O2901" s="4" t="s">
        <v>1038</v>
      </c>
      <c r="P2901" s="4">
        <v>139</v>
      </c>
      <c r="Q2901" s="4" t="s">
        <v>39</v>
      </c>
      <c r="R2901" s="4" t="s">
        <v>90</v>
      </c>
      <c r="S2901" s="4">
        <v>135770</v>
      </c>
      <c r="T2901" s="4">
        <v>89655</v>
      </c>
      <c r="U2901" s="4">
        <v>46115</v>
      </c>
      <c r="V2901" s="4">
        <v>117304</v>
      </c>
      <c r="W2901" s="4">
        <v>6031</v>
      </c>
      <c r="X2901" s="4">
        <v>10484</v>
      </c>
      <c r="Y2901" s="4" t="s">
        <v>41</v>
      </c>
      <c r="Z2901" s="4">
        <v>51</v>
      </c>
      <c r="AA2901" s="4">
        <v>2.4</v>
      </c>
      <c r="AB2901" s="4" t="s">
        <v>64</v>
      </c>
    </row>
    <row r="2902" spans="1:28" x14ac:dyDescent="0.25">
      <c r="A2902" s="2" t="s">
        <v>3713</v>
      </c>
      <c r="B2902" s="2" t="s">
        <v>315</v>
      </c>
      <c r="C2902" s="2">
        <v>35</v>
      </c>
      <c r="D2902" s="2" t="s">
        <v>30</v>
      </c>
      <c r="E2902" s="2" t="s">
        <v>87</v>
      </c>
      <c r="F2902" s="2" t="s">
        <v>157</v>
      </c>
      <c r="G2902" s="3">
        <v>44916</v>
      </c>
      <c r="H2902" s="3">
        <v>44917</v>
      </c>
      <c r="I2902" s="2">
        <v>1</v>
      </c>
      <c r="J2902" s="2" t="s">
        <v>33</v>
      </c>
      <c r="K2902" s="2" t="s">
        <v>47</v>
      </c>
      <c r="L2902" s="2" t="s">
        <v>48</v>
      </c>
      <c r="M2902" s="2" t="s">
        <v>134</v>
      </c>
      <c r="N2902" s="2" t="s">
        <v>109</v>
      </c>
      <c r="O2902" s="2" t="s">
        <v>199</v>
      </c>
      <c r="P2902" s="2">
        <v>328</v>
      </c>
      <c r="Q2902" s="2" t="s">
        <v>103</v>
      </c>
      <c r="R2902" s="2" t="s">
        <v>90</v>
      </c>
      <c r="S2902" s="2">
        <v>130518</v>
      </c>
      <c r="T2902" s="2">
        <v>102248</v>
      </c>
      <c r="U2902" s="2">
        <v>28270</v>
      </c>
      <c r="V2902" s="2">
        <v>104586</v>
      </c>
      <c r="W2902" s="2">
        <v>17522</v>
      </c>
      <c r="X2902" s="2">
        <v>3563</v>
      </c>
      <c r="Y2902" s="2" t="s">
        <v>41</v>
      </c>
      <c r="Z2902" s="2">
        <v>90</v>
      </c>
      <c r="AA2902" s="2">
        <v>4</v>
      </c>
      <c r="AB2902" s="2" t="s">
        <v>42</v>
      </c>
    </row>
    <row r="2903" spans="1:28" x14ac:dyDescent="0.25">
      <c r="A2903" s="4" t="s">
        <v>3714</v>
      </c>
      <c r="B2903" s="4" t="s">
        <v>1485</v>
      </c>
      <c r="C2903" s="4">
        <v>23</v>
      </c>
      <c r="D2903" s="4" t="s">
        <v>30</v>
      </c>
      <c r="E2903" s="4" t="s">
        <v>45</v>
      </c>
      <c r="F2903" s="4" t="s">
        <v>114</v>
      </c>
      <c r="G2903" s="5">
        <v>45196</v>
      </c>
      <c r="H2903" s="5">
        <v>45222</v>
      </c>
      <c r="I2903" s="4">
        <v>26</v>
      </c>
      <c r="J2903" s="4" t="s">
        <v>33</v>
      </c>
      <c r="K2903" s="4" t="s">
        <v>47</v>
      </c>
      <c r="L2903" s="4" t="s">
        <v>48</v>
      </c>
      <c r="M2903" s="4" t="s">
        <v>36</v>
      </c>
      <c r="N2903" s="4" t="s">
        <v>62</v>
      </c>
      <c r="O2903" s="4" t="s">
        <v>352</v>
      </c>
      <c r="P2903" s="4">
        <v>328</v>
      </c>
      <c r="Q2903" s="4" t="s">
        <v>69</v>
      </c>
      <c r="R2903" s="4" t="s">
        <v>111</v>
      </c>
      <c r="S2903" s="4">
        <v>30981</v>
      </c>
      <c r="T2903" s="4">
        <v>18967</v>
      </c>
      <c r="U2903" s="4">
        <v>12014</v>
      </c>
      <c r="V2903" s="4">
        <v>12787</v>
      </c>
      <c r="W2903" s="4">
        <v>1491</v>
      </c>
      <c r="X2903" s="4">
        <v>13044</v>
      </c>
      <c r="Y2903" s="4" t="s">
        <v>41</v>
      </c>
      <c r="Z2903" s="4">
        <v>69</v>
      </c>
      <c r="AA2903" s="4">
        <v>2.9</v>
      </c>
      <c r="AB2903" s="4" t="s">
        <v>64</v>
      </c>
    </row>
    <row r="2904" spans="1:28" x14ac:dyDescent="0.25">
      <c r="A2904" s="2" t="s">
        <v>3715</v>
      </c>
      <c r="B2904" s="2" t="s">
        <v>1410</v>
      </c>
      <c r="C2904" s="2">
        <v>80</v>
      </c>
      <c r="D2904" s="2" t="s">
        <v>55</v>
      </c>
      <c r="E2904" s="2" t="s">
        <v>79</v>
      </c>
      <c r="F2904" s="2" t="s">
        <v>80</v>
      </c>
      <c r="G2904" s="3">
        <v>45571</v>
      </c>
      <c r="H2904" s="3">
        <v>45601</v>
      </c>
      <c r="I2904" s="2">
        <v>30</v>
      </c>
      <c r="J2904" s="2" t="s">
        <v>202</v>
      </c>
      <c r="K2904" s="2" t="s">
        <v>203</v>
      </c>
      <c r="L2904" s="2" t="s">
        <v>204</v>
      </c>
      <c r="M2904" s="2" t="s">
        <v>36</v>
      </c>
      <c r="N2904" s="2" t="s">
        <v>118</v>
      </c>
      <c r="O2904" s="2" t="s">
        <v>164</v>
      </c>
      <c r="P2904" s="2">
        <v>126</v>
      </c>
      <c r="Q2904" s="2" t="s">
        <v>103</v>
      </c>
      <c r="R2904" s="2" t="s">
        <v>90</v>
      </c>
      <c r="S2904" s="2">
        <v>137617</v>
      </c>
      <c r="T2904" s="2">
        <v>113548</v>
      </c>
      <c r="U2904" s="2">
        <v>24069</v>
      </c>
      <c r="V2904" s="2">
        <v>111902</v>
      </c>
      <c r="W2904" s="2">
        <v>23246</v>
      </c>
      <c r="X2904" s="2">
        <v>1828</v>
      </c>
      <c r="Y2904" s="2" t="s">
        <v>41</v>
      </c>
      <c r="Z2904" s="2">
        <v>94</v>
      </c>
      <c r="AA2904" s="2">
        <v>2.7</v>
      </c>
      <c r="AB2904" s="2" t="s">
        <v>64</v>
      </c>
    </row>
    <row r="2905" spans="1:28" x14ac:dyDescent="0.25">
      <c r="A2905" s="4" t="s">
        <v>3716</v>
      </c>
      <c r="B2905" s="4" t="s">
        <v>792</v>
      </c>
      <c r="C2905" s="4">
        <v>28</v>
      </c>
      <c r="D2905" s="4" t="s">
        <v>55</v>
      </c>
      <c r="E2905" s="4" t="s">
        <v>122</v>
      </c>
      <c r="F2905" s="4" t="s">
        <v>32</v>
      </c>
      <c r="G2905" s="5">
        <v>45379</v>
      </c>
      <c r="H2905" s="5">
        <v>45395</v>
      </c>
      <c r="I2905" s="4">
        <v>16</v>
      </c>
      <c r="J2905" s="4" t="s">
        <v>123</v>
      </c>
      <c r="K2905" s="4" t="s">
        <v>124</v>
      </c>
      <c r="L2905" s="4" t="s">
        <v>125</v>
      </c>
      <c r="M2905" s="4" t="s">
        <v>75</v>
      </c>
      <c r="N2905" s="4" t="s">
        <v>118</v>
      </c>
      <c r="O2905" s="4" t="s">
        <v>256</v>
      </c>
      <c r="P2905" s="4">
        <v>21</v>
      </c>
      <c r="Q2905" s="4" t="s">
        <v>69</v>
      </c>
      <c r="R2905" s="4" t="s">
        <v>111</v>
      </c>
      <c r="S2905" s="4">
        <v>30399</v>
      </c>
      <c r="T2905" s="4">
        <v>20130</v>
      </c>
      <c r="U2905" s="4">
        <v>10269</v>
      </c>
      <c r="V2905" s="4">
        <v>16073</v>
      </c>
      <c r="W2905" s="4">
        <v>7479</v>
      </c>
      <c r="X2905" s="4">
        <v>6113</v>
      </c>
      <c r="Y2905" s="4" t="s">
        <v>41</v>
      </c>
      <c r="Z2905" s="4">
        <v>48</v>
      </c>
      <c r="AA2905" s="4">
        <v>2.1</v>
      </c>
      <c r="AB2905" s="4" t="s">
        <v>64</v>
      </c>
    </row>
    <row r="2906" spans="1:28" x14ac:dyDescent="0.25">
      <c r="A2906" s="2" t="s">
        <v>3717</v>
      </c>
      <c r="B2906" s="2" t="s">
        <v>3181</v>
      </c>
      <c r="C2906" s="2">
        <v>48</v>
      </c>
      <c r="D2906" s="2" t="s">
        <v>55</v>
      </c>
      <c r="E2906" s="2" t="s">
        <v>79</v>
      </c>
      <c r="F2906" s="2" t="s">
        <v>129</v>
      </c>
      <c r="G2906" s="3">
        <v>45159</v>
      </c>
      <c r="H2906" s="3">
        <v>45188</v>
      </c>
      <c r="I2906" s="2">
        <v>29</v>
      </c>
      <c r="J2906" s="2" t="s">
        <v>33</v>
      </c>
      <c r="K2906" s="2" t="s">
        <v>99</v>
      </c>
      <c r="L2906" s="2" t="s">
        <v>100</v>
      </c>
      <c r="M2906" s="2" t="s">
        <v>36</v>
      </c>
      <c r="N2906" s="2" t="s">
        <v>62</v>
      </c>
      <c r="O2906" s="2" t="s">
        <v>285</v>
      </c>
      <c r="P2906" s="2">
        <v>369</v>
      </c>
      <c r="Q2906" s="2" t="s">
        <v>39</v>
      </c>
      <c r="R2906" s="2" t="s">
        <v>51</v>
      </c>
      <c r="S2906" s="2">
        <v>65191</v>
      </c>
      <c r="T2906" s="2">
        <v>43230</v>
      </c>
      <c r="U2906" s="2">
        <v>21961</v>
      </c>
      <c r="V2906" s="2">
        <v>46942</v>
      </c>
      <c r="W2906" s="2">
        <v>3390</v>
      </c>
      <c r="X2906" s="2">
        <v>13825</v>
      </c>
      <c r="Y2906" s="2" t="s">
        <v>41</v>
      </c>
      <c r="Z2906" s="2">
        <v>80</v>
      </c>
      <c r="AA2906" s="2">
        <v>3.1</v>
      </c>
      <c r="AB2906" s="2" t="s">
        <v>42</v>
      </c>
    </row>
    <row r="2907" spans="1:28" x14ac:dyDescent="0.25">
      <c r="A2907" s="4" t="s">
        <v>3718</v>
      </c>
      <c r="B2907" s="4" t="s">
        <v>313</v>
      </c>
      <c r="C2907" s="4">
        <v>62</v>
      </c>
      <c r="D2907" s="4" t="s">
        <v>55</v>
      </c>
      <c r="E2907" s="4" t="s">
        <v>31</v>
      </c>
      <c r="F2907" s="4" t="s">
        <v>46</v>
      </c>
      <c r="G2907" s="5">
        <v>45353</v>
      </c>
      <c r="H2907" s="5">
        <v>45366</v>
      </c>
      <c r="I2907" s="4">
        <v>13</v>
      </c>
      <c r="J2907" s="4" t="s">
        <v>33</v>
      </c>
      <c r="K2907" s="4" t="s">
        <v>174</v>
      </c>
      <c r="L2907" s="4" t="s">
        <v>48</v>
      </c>
      <c r="M2907" s="4" t="s">
        <v>108</v>
      </c>
      <c r="N2907" s="4" t="s">
        <v>109</v>
      </c>
      <c r="O2907" s="4" t="s">
        <v>382</v>
      </c>
      <c r="P2907" s="4">
        <v>28</v>
      </c>
      <c r="Q2907" s="4" t="s">
        <v>69</v>
      </c>
      <c r="R2907" s="4" t="s">
        <v>111</v>
      </c>
      <c r="S2907" s="4">
        <v>79393</v>
      </c>
      <c r="T2907" s="4">
        <v>69086</v>
      </c>
      <c r="U2907" s="4">
        <v>10307</v>
      </c>
      <c r="V2907" s="4">
        <v>59727</v>
      </c>
      <c r="W2907" s="4">
        <v>16461</v>
      </c>
      <c r="X2907" s="4">
        <v>739</v>
      </c>
      <c r="Y2907" s="4" t="s">
        <v>41</v>
      </c>
      <c r="Z2907" s="4">
        <v>90</v>
      </c>
      <c r="AA2907" s="4">
        <v>3.5</v>
      </c>
      <c r="AB2907" s="4" t="s">
        <v>137</v>
      </c>
    </row>
    <row r="2908" spans="1:28" x14ac:dyDescent="0.25">
      <c r="A2908" s="2" t="s">
        <v>3719</v>
      </c>
      <c r="B2908" s="2" t="s">
        <v>1182</v>
      </c>
      <c r="C2908" s="2">
        <v>34</v>
      </c>
      <c r="D2908" s="2" t="s">
        <v>30</v>
      </c>
      <c r="E2908" s="2" t="s">
        <v>122</v>
      </c>
      <c r="F2908" s="2" t="s">
        <v>94</v>
      </c>
      <c r="G2908" s="3">
        <v>45623</v>
      </c>
      <c r="H2908" s="3">
        <v>45651</v>
      </c>
      <c r="I2908" s="2">
        <v>28</v>
      </c>
      <c r="J2908" s="2" t="s">
        <v>123</v>
      </c>
      <c r="K2908" s="2" t="s">
        <v>124</v>
      </c>
      <c r="L2908" s="2" t="s">
        <v>125</v>
      </c>
      <c r="M2908" s="2" t="s">
        <v>83</v>
      </c>
      <c r="N2908" s="2" t="s">
        <v>62</v>
      </c>
      <c r="O2908" s="2" t="s">
        <v>471</v>
      </c>
      <c r="P2908" s="2">
        <v>461</v>
      </c>
      <c r="Q2908" s="2" t="s">
        <v>50</v>
      </c>
      <c r="R2908" s="2" t="s">
        <v>136</v>
      </c>
      <c r="S2908" s="2">
        <v>90031</v>
      </c>
      <c r="T2908" s="2">
        <v>0</v>
      </c>
      <c r="U2908" s="2">
        <v>90031</v>
      </c>
      <c r="V2908" s="2">
        <v>71510</v>
      </c>
      <c r="W2908" s="2">
        <v>6366</v>
      </c>
      <c r="X2908" s="2">
        <v>9642</v>
      </c>
      <c r="Y2908" s="2" t="s">
        <v>41</v>
      </c>
      <c r="Z2908" s="2">
        <v>72</v>
      </c>
      <c r="AA2908" s="2">
        <v>3.6</v>
      </c>
      <c r="AB2908" s="2" t="s">
        <v>137</v>
      </c>
    </row>
    <row r="2909" spans="1:28" x14ac:dyDescent="0.25">
      <c r="A2909" s="4" t="s">
        <v>3720</v>
      </c>
      <c r="B2909" s="4" t="s">
        <v>334</v>
      </c>
      <c r="C2909" s="4">
        <v>27</v>
      </c>
      <c r="D2909" s="4" t="s">
        <v>55</v>
      </c>
      <c r="E2909" s="4" t="s">
        <v>122</v>
      </c>
      <c r="F2909" s="4" t="s">
        <v>72</v>
      </c>
      <c r="G2909" s="5">
        <v>45107</v>
      </c>
      <c r="H2909" s="5">
        <v>45115</v>
      </c>
      <c r="I2909" s="4">
        <v>8</v>
      </c>
      <c r="J2909" s="4" t="s">
        <v>33</v>
      </c>
      <c r="K2909" s="4" t="s">
        <v>99</v>
      </c>
      <c r="L2909" s="4" t="s">
        <v>100</v>
      </c>
      <c r="M2909" s="4" t="s">
        <v>95</v>
      </c>
      <c r="N2909" s="4" t="s">
        <v>118</v>
      </c>
      <c r="O2909" s="4" t="s">
        <v>234</v>
      </c>
      <c r="P2909" s="4">
        <v>333</v>
      </c>
      <c r="Q2909" s="4" t="s">
        <v>50</v>
      </c>
      <c r="R2909" s="4" t="s">
        <v>51</v>
      </c>
      <c r="S2909" s="4">
        <v>149672</v>
      </c>
      <c r="T2909" s="4">
        <v>83264</v>
      </c>
      <c r="U2909" s="4">
        <v>66408</v>
      </c>
      <c r="V2909" s="4">
        <v>138968</v>
      </c>
      <c r="W2909" s="4">
        <v>8614</v>
      </c>
      <c r="X2909" s="4">
        <v>608</v>
      </c>
      <c r="Y2909" s="4" t="s">
        <v>41</v>
      </c>
      <c r="Z2909" s="4">
        <v>92</v>
      </c>
      <c r="AA2909" s="4">
        <v>2.1</v>
      </c>
      <c r="AB2909" s="4" t="s">
        <v>42</v>
      </c>
    </row>
    <row r="2910" spans="1:28" x14ac:dyDescent="0.25">
      <c r="A2910" s="2" t="s">
        <v>3721</v>
      </c>
      <c r="B2910" s="2" t="s">
        <v>996</v>
      </c>
      <c r="C2910" s="2">
        <v>52</v>
      </c>
      <c r="D2910" s="2" t="s">
        <v>55</v>
      </c>
      <c r="E2910" s="2" t="s">
        <v>31</v>
      </c>
      <c r="F2910" s="2" t="s">
        <v>72</v>
      </c>
      <c r="G2910" s="3">
        <v>45300</v>
      </c>
      <c r="H2910" s="3">
        <v>45325</v>
      </c>
      <c r="I2910" s="2">
        <v>25</v>
      </c>
      <c r="J2910" s="2" t="s">
        <v>115</v>
      </c>
      <c r="K2910" s="2" t="s">
        <v>116</v>
      </c>
      <c r="L2910" s="2" t="s">
        <v>117</v>
      </c>
      <c r="M2910" s="2" t="s">
        <v>108</v>
      </c>
      <c r="N2910" s="2" t="s">
        <v>62</v>
      </c>
      <c r="O2910" s="2" t="s">
        <v>428</v>
      </c>
      <c r="P2910" s="2">
        <v>93</v>
      </c>
      <c r="Q2910" s="2" t="s">
        <v>103</v>
      </c>
      <c r="R2910" s="2" t="s">
        <v>90</v>
      </c>
      <c r="S2910" s="2">
        <v>163032</v>
      </c>
      <c r="T2910" s="2">
        <v>134512</v>
      </c>
      <c r="U2910" s="2">
        <v>28520</v>
      </c>
      <c r="V2910" s="2">
        <v>139944</v>
      </c>
      <c r="W2910" s="2">
        <v>8853</v>
      </c>
      <c r="X2910" s="2">
        <v>10367</v>
      </c>
      <c r="Y2910" s="2" t="s">
        <v>41</v>
      </c>
      <c r="Z2910" s="2">
        <v>87</v>
      </c>
      <c r="AA2910" s="2">
        <v>4.5</v>
      </c>
      <c r="AB2910" s="2" t="s">
        <v>42</v>
      </c>
    </row>
    <row r="2911" spans="1:28" x14ac:dyDescent="0.25">
      <c r="A2911" s="4" t="s">
        <v>3722</v>
      </c>
      <c r="B2911" s="4" t="s">
        <v>582</v>
      </c>
      <c r="C2911" s="4">
        <v>43</v>
      </c>
      <c r="D2911" s="4" t="s">
        <v>55</v>
      </c>
      <c r="E2911" s="4" t="s">
        <v>31</v>
      </c>
      <c r="F2911" s="4" t="s">
        <v>94</v>
      </c>
      <c r="G2911" s="5">
        <v>44578</v>
      </c>
      <c r="H2911" s="5">
        <v>44608</v>
      </c>
      <c r="I2911" s="4">
        <v>30</v>
      </c>
      <c r="J2911" s="4" t="s">
        <v>58</v>
      </c>
      <c r="K2911" s="4" t="s">
        <v>88</v>
      </c>
      <c r="L2911" s="4" t="s">
        <v>60</v>
      </c>
      <c r="M2911" s="4" t="s">
        <v>108</v>
      </c>
      <c r="N2911" s="4" t="s">
        <v>109</v>
      </c>
      <c r="O2911" s="4" t="s">
        <v>110</v>
      </c>
      <c r="P2911" s="4">
        <v>405</v>
      </c>
      <c r="Q2911" s="4" t="s">
        <v>69</v>
      </c>
      <c r="R2911" s="4" t="s">
        <v>111</v>
      </c>
      <c r="S2911" s="4">
        <v>156120</v>
      </c>
      <c r="T2911" s="4">
        <v>130237</v>
      </c>
      <c r="U2911" s="4">
        <v>25883</v>
      </c>
      <c r="V2911" s="4">
        <v>134868</v>
      </c>
      <c r="W2911" s="4">
        <v>17475</v>
      </c>
      <c r="X2911" s="4">
        <v>1167</v>
      </c>
      <c r="Y2911" s="4" t="s">
        <v>41</v>
      </c>
      <c r="Z2911" s="4">
        <v>68</v>
      </c>
      <c r="AA2911" s="4">
        <v>4</v>
      </c>
      <c r="AB2911" s="4" t="s">
        <v>42</v>
      </c>
    </row>
    <row r="2912" spans="1:28" x14ac:dyDescent="0.25">
      <c r="A2912" s="2" t="s">
        <v>3723</v>
      </c>
      <c r="B2912" s="2" t="s">
        <v>970</v>
      </c>
      <c r="C2912" s="2">
        <v>85</v>
      </c>
      <c r="D2912" s="2" t="s">
        <v>30</v>
      </c>
      <c r="E2912" s="2" t="s">
        <v>79</v>
      </c>
      <c r="F2912" s="2" t="s">
        <v>80</v>
      </c>
      <c r="G2912" s="3">
        <v>44830</v>
      </c>
      <c r="H2912" s="3">
        <v>44849</v>
      </c>
      <c r="I2912" s="2">
        <v>19</v>
      </c>
      <c r="J2912" s="2" t="s">
        <v>123</v>
      </c>
      <c r="K2912" s="2" t="s">
        <v>124</v>
      </c>
      <c r="L2912" s="2" t="s">
        <v>125</v>
      </c>
      <c r="M2912" s="2" t="s">
        <v>75</v>
      </c>
      <c r="N2912" s="2" t="s">
        <v>109</v>
      </c>
      <c r="O2912" s="2" t="s">
        <v>211</v>
      </c>
      <c r="P2912" s="2">
        <v>56</v>
      </c>
      <c r="Q2912" s="2" t="s">
        <v>50</v>
      </c>
      <c r="R2912" s="2" t="s">
        <v>51</v>
      </c>
      <c r="S2912" s="2">
        <v>36504</v>
      </c>
      <c r="T2912" s="2">
        <v>18176</v>
      </c>
      <c r="U2912" s="2">
        <v>18328</v>
      </c>
      <c r="V2912" s="2">
        <v>6744</v>
      </c>
      <c r="W2912" s="2">
        <v>19298</v>
      </c>
      <c r="X2912" s="2">
        <v>7842</v>
      </c>
      <c r="Y2912" s="2" t="s">
        <v>41</v>
      </c>
      <c r="Z2912" s="2">
        <v>81</v>
      </c>
      <c r="AA2912" s="2">
        <v>3.5</v>
      </c>
      <c r="AB2912" s="2" t="s">
        <v>64</v>
      </c>
    </row>
    <row r="2913" spans="1:28" x14ac:dyDescent="0.25">
      <c r="A2913" s="4" t="s">
        <v>3724</v>
      </c>
      <c r="B2913" s="4" t="s">
        <v>1018</v>
      </c>
      <c r="C2913" s="4">
        <v>49</v>
      </c>
      <c r="D2913" s="4" t="s">
        <v>30</v>
      </c>
      <c r="E2913" s="4" t="s">
        <v>67</v>
      </c>
      <c r="F2913" s="4" t="s">
        <v>94</v>
      </c>
      <c r="G2913" s="5">
        <v>45380</v>
      </c>
      <c r="H2913" s="5">
        <v>45406</v>
      </c>
      <c r="I2913" s="4">
        <v>26</v>
      </c>
      <c r="J2913" s="4" t="s">
        <v>33</v>
      </c>
      <c r="K2913" s="4" t="s">
        <v>233</v>
      </c>
      <c r="L2913" s="4" t="s">
        <v>35</v>
      </c>
      <c r="M2913" s="4" t="s">
        <v>108</v>
      </c>
      <c r="N2913" s="4" t="s">
        <v>62</v>
      </c>
      <c r="O2913" s="4" t="s">
        <v>492</v>
      </c>
      <c r="P2913" s="4">
        <v>433</v>
      </c>
      <c r="Q2913" s="4" t="s">
        <v>69</v>
      </c>
      <c r="R2913" s="4" t="s">
        <v>111</v>
      </c>
      <c r="S2913" s="4">
        <v>124188</v>
      </c>
      <c r="T2913" s="4">
        <v>84203</v>
      </c>
      <c r="U2913" s="4">
        <v>39985</v>
      </c>
      <c r="V2913" s="4">
        <v>89489</v>
      </c>
      <c r="W2913" s="4">
        <v>25026</v>
      </c>
      <c r="X2913" s="4">
        <v>8661</v>
      </c>
      <c r="Y2913" s="4" t="s">
        <v>41</v>
      </c>
      <c r="Z2913" s="4">
        <v>97</v>
      </c>
      <c r="AA2913" s="4">
        <v>3.7</v>
      </c>
      <c r="AB2913" s="4" t="s">
        <v>137</v>
      </c>
    </row>
    <row r="2914" spans="1:28" x14ac:dyDescent="0.25">
      <c r="A2914" s="2" t="s">
        <v>3725</v>
      </c>
      <c r="B2914" s="2" t="s">
        <v>1131</v>
      </c>
      <c r="C2914" s="2">
        <v>20</v>
      </c>
      <c r="D2914" s="2" t="s">
        <v>55</v>
      </c>
      <c r="E2914" s="2" t="s">
        <v>45</v>
      </c>
      <c r="F2914" s="2" t="s">
        <v>114</v>
      </c>
      <c r="G2914" s="3">
        <v>45404</v>
      </c>
      <c r="H2914" s="3">
        <v>45411</v>
      </c>
      <c r="I2914" s="2">
        <v>7</v>
      </c>
      <c r="J2914" s="2" t="s">
        <v>140</v>
      </c>
      <c r="K2914" s="2" t="s">
        <v>141</v>
      </c>
      <c r="L2914" s="2" t="s">
        <v>142</v>
      </c>
      <c r="M2914" s="2" t="s">
        <v>143</v>
      </c>
      <c r="N2914" s="2" t="s">
        <v>118</v>
      </c>
      <c r="O2914" s="2" t="s">
        <v>164</v>
      </c>
      <c r="P2914" s="2">
        <v>478</v>
      </c>
      <c r="Q2914" s="2" t="s">
        <v>69</v>
      </c>
      <c r="R2914" s="2" t="s">
        <v>40</v>
      </c>
      <c r="S2914" s="2">
        <v>136921</v>
      </c>
      <c r="T2914" s="2">
        <v>77066</v>
      </c>
      <c r="U2914" s="2">
        <v>59855</v>
      </c>
      <c r="V2914" s="2">
        <v>94160</v>
      </c>
      <c r="W2914" s="2">
        <v>25691</v>
      </c>
      <c r="X2914" s="2">
        <v>12533</v>
      </c>
      <c r="Y2914" s="2" t="s">
        <v>41</v>
      </c>
      <c r="Z2914" s="2">
        <v>94</v>
      </c>
      <c r="AA2914" s="2">
        <v>2.7</v>
      </c>
      <c r="AB2914" s="2" t="s">
        <v>137</v>
      </c>
    </row>
    <row r="2915" spans="1:28" x14ac:dyDescent="0.25">
      <c r="A2915" s="4" t="s">
        <v>3726</v>
      </c>
      <c r="B2915" s="4" t="s">
        <v>479</v>
      </c>
      <c r="C2915" s="4">
        <v>58</v>
      </c>
      <c r="D2915" s="4" t="s">
        <v>30</v>
      </c>
      <c r="E2915" s="4" t="s">
        <v>87</v>
      </c>
      <c r="F2915" s="4" t="s">
        <v>32</v>
      </c>
      <c r="G2915" s="5">
        <v>45435</v>
      </c>
      <c r="H2915" s="5">
        <v>45462</v>
      </c>
      <c r="I2915" s="4">
        <v>27</v>
      </c>
      <c r="J2915" s="4" t="s">
        <v>123</v>
      </c>
      <c r="K2915" s="4" t="s">
        <v>251</v>
      </c>
      <c r="L2915" s="4" t="s">
        <v>125</v>
      </c>
      <c r="M2915" s="4" t="s">
        <v>143</v>
      </c>
      <c r="N2915" s="4" t="s">
        <v>62</v>
      </c>
      <c r="O2915" s="4" t="s">
        <v>241</v>
      </c>
      <c r="P2915" s="4">
        <v>142</v>
      </c>
      <c r="Q2915" s="4" t="s">
        <v>50</v>
      </c>
      <c r="R2915" s="4" t="s">
        <v>51</v>
      </c>
      <c r="S2915" s="4">
        <v>130392</v>
      </c>
      <c r="T2915" s="4">
        <v>71031</v>
      </c>
      <c r="U2915" s="4">
        <v>59361</v>
      </c>
      <c r="V2915" s="4">
        <v>117590</v>
      </c>
      <c r="W2915" s="4">
        <v>3688</v>
      </c>
      <c r="X2915" s="4">
        <v>6364</v>
      </c>
      <c r="Y2915" s="4" t="s">
        <v>41</v>
      </c>
      <c r="Z2915" s="4">
        <v>72</v>
      </c>
      <c r="AA2915" s="4">
        <v>4.5999999999999996</v>
      </c>
      <c r="AB2915" s="4" t="s">
        <v>52</v>
      </c>
    </row>
    <row r="2916" spans="1:28" x14ac:dyDescent="0.25">
      <c r="A2916" s="2" t="s">
        <v>3727</v>
      </c>
      <c r="B2916" s="2" t="s">
        <v>1680</v>
      </c>
      <c r="C2916" s="2">
        <v>17</v>
      </c>
      <c r="D2916" s="2" t="s">
        <v>30</v>
      </c>
      <c r="E2916" s="2" t="s">
        <v>56</v>
      </c>
      <c r="F2916" s="2" t="s">
        <v>72</v>
      </c>
      <c r="G2916" s="3">
        <v>45403</v>
      </c>
      <c r="H2916" s="3">
        <v>45420</v>
      </c>
      <c r="I2916" s="2">
        <v>17</v>
      </c>
      <c r="J2916" s="2" t="s">
        <v>115</v>
      </c>
      <c r="K2916" s="2" t="s">
        <v>160</v>
      </c>
      <c r="L2916" s="2" t="s">
        <v>117</v>
      </c>
      <c r="M2916" s="2" t="s">
        <v>83</v>
      </c>
      <c r="N2916" s="2" t="s">
        <v>37</v>
      </c>
      <c r="O2916" s="2" t="s">
        <v>340</v>
      </c>
      <c r="P2916" s="2">
        <v>302</v>
      </c>
      <c r="Q2916" s="2" t="s">
        <v>69</v>
      </c>
      <c r="R2916" s="2" t="s">
        <v>51</v>
      </c>
      <c r="S2916" s="2">
        <v>60728</v>
      </c>
      <c r="T2916" s="2">
        <v>24795</v>
      </c>
      <c r="U2916" s="2">
        <v>35933</v>
      </c>
      <c r="V2916" s="2">
        <v>42695</v>
      </c>
      <c r="W2916" s="2">
        <v>8191</v>
      </c>
      <c r="X2916" s="2">
        <v>8445</v>
      </c>
      <c r="Y2916" s="2" t="s">
        <v>41</v>
      </c>
      <c r="Z2916" s="2">
        <v>40</v>
      </c>
      <c r="AA2916" s="2">
        <v>4.9000000000000004</v>
      </c>
      <c r="AB2916" s="2" t="s">
        <v>64</v>
      </c>
    </row>
    <row r="2917" spans="1:28" x14ac:dyDescent="0.25">
      <c r="A2917" s="4" t="s">
        <v>3728</v>
      </c>
      <c r="B2917" s="4" t="s">
        <v>1709</v>
      </c>
      <c r="C2917" s="4">
        <v>70</v>
      </c>
      <c r="D2917" s="4" t="s">
        <v>55</v>
      </c>
      <c r="E2917" s="4" t="s">
        <v>79</v>
      </c>
      <c r="F2917" s="4" t="s">
        <v>150</v>
      </c>
      <c r="G2917" s="5">
        <v>45064</v>
      </c>
      <c r="H2917" s="5">
        <v>45069</v>
      </c>
      <c r="I2917" s="4">
        <v>5</v>
      </c>
      <c r="J2917" s="4" t="s">
        <v>33</v>
      </c>
      <c r="K2917" s="4" t="s">
        <v>174</v>
      </c>
      <c r="L2917" s="4" t="s">
        <v>48</v>
      </c>
      <c r="M2917" s="4" t="s">
        <v>143</v>
      </c>
      <c r="N2917" s="4" t="s">
        <v>118</v>
      </c>
      <c r="O2917" s="4" t="s">
        <v>102</v>
      </c>
      <c r="P2917" s="4">
        <v>473</v>
      </c>
      <c r="Q2917" s="4" t="s">
        <v>50</v>
      </c>
      <c r="R2917" s="4" t="s">
        <v>51</v>
      </c>
      <c r="S2917" s="4">
        <v>44095</v>
      </c>
      <c r="T2917" s="4">
        <v>22188</v>
      </c>
      <c r="U2917" s="4">
        <v>21907</v>
      </c>
      <c r="V2917" s="4">
        <v>30657</v>
      </c>
      <c r="W2917" s="4">
        <v>4362</v>
      </c>
      <c r="X2917" s="4">
        <v>7479</v>
      </c>
      <c r="Y2917" s="4" t="s">
        <v>41</v>
      </c>
      <c r="Z2917" s="4">
        <v>87</v>
      </c>
      <c r="AA2917" s="4">
        <v>3.8</v>
      </c>
      <c r="AB2917" s="4" t="s">
        <v>137</v>
      </c>
    </row>
    <row r="2918" spans="1:28" x14ac:dyDescent="0.25">
      <c r="A2918" s="2" t="s">
        <v>3729</v>
      </c>
      <c r="B2918" s="2" t="s">
        <v>612</v>
      </c>
      <c r="C2918" s="2">
        <v>52</v>
      </c>
      <c r="D2918" s="2" t="s">
        <v>55</v>
      </c>
      <c r="E2918" s="2" t="s">
        <v>56</v>
      </c>
      <c r="F2918" s="2" t="s">
        <v>46</v>
      </c>
      <c r="G2918" s="3">
        <v>45466</v>
      </c>
      <c r="H2918" s="3">
        <v>45481</v>
      </c>
      <c r="I2918" s="2">
        <v>15</v>
      </c>
      <c r="J2918" s="2" t="s">
        <v>33</v>
      </c>
      <c r="K2918" s="2" t="s">
        <v>107</v>
      </c>
      <c r="L2918" s="2" t="s">
        <v>48</v>
      </c>
      <c r="M2918" s="2" t="s">
        <v>108</v>
      </c>
      <c r="N2918" s="2" t="s">
        <v>109</v>
      </c>
      <c r="O2918" s="2" t="s">
        <v>49</v>
      </c>
      <c r="P2918" s="2">
        <v>316</v>
      </c>
      <c r="Q2918" s="2" t="s">
        <v>39</v>
      </c>
      <c r="R2918" s="2" t="s">
        <v>51</v>
      </c>
      <c r="S2918" s="2">
        <v>55985</v>
      </c>
      <c r="T2918" s="2">
        <v>24784</v>
      </c>
      <c r="U2918" s="2">
        <v>31201</v>
      </c>
      <c r="V2918" s="2">
        <v>18225</v>
      </c>
      <c r="W2918" s="2">
        <v>20461</v>
      </c>
      <c r="X2918" s="2">
        <v>13510</v>
      </c>
      <c r="Y2918" s="2" t="s">
        <v>41</v>
      </c>
      <c r="Z2918" s="2">
        <v>69</v>
      </c>
      <c r="AA2918" s="2">
        <v>3.5</v>
      </c>
      <c r="AB2918" s="2" t="s">
        <v>137</v>
      </c>
    </row>
    <row r="2919" spans="1:28" x14ac:dyDescent="0.25">
      <c r="A2919" s="4" t="s">
        <v>3730</v>
      </c>
      <c r="B2919" s="4" t="s">
        <v>1785</v>
      </c>
      <c r="C2919" s="4">
        <v>16</v>
      </c>
      <c r="D2919" s="4" t="s">
        <v>55</v>
      </c>
      <c r="E2919" s="4" t="s">
        <v>154</v>
      </c>
      <c r="F2919" s="4" t="s">
        <v>94</v>
      </c>
      <c r="G2919" s="5">
        <v>45034</v>
      </c>
      <c r="H2919" s="5">
        <v>45056</v>
      </c>
      <c r="I2919" s="4">
        <v>22</v>
      </c>
      <c r="J2919" s="4" t="s">
        <v>140</v>
      </c>
      <c r="K2919" s="4" t="s">
        <v>167</v>
      </c>
      <c r="L2919" s="4" t="s">
        <v>142</v>
      </c>
      <c r="M2919" s="4" t="s">
        <v>130</v>
      </c>
      <c r="N2919" s="4" t="s">
        <v>109</v>
      </c>
      <c r="O2919" s="4" t="s">
        <v>368</v>
      </c>
      <c r="P2919" s="4">
        <v>343</v>
      </c>
      <c r="Q2919" s="4" t="s">
        <v>39</v>
      </c>
      <c r="R2919" s="4" t="s">
        <v>136</v>
      </c>
      <c r="S2919" s="4">
        <v>186677</v>
      </c>
      <c r="T2919" s="4">
        <v>0</v>
      </c>
      <c r="U2919" s="4">
        <v>186677</v>
      </c>
      <c r="V2919" s="4">
        <v>147129</v>
      </c>
      <c r="W2919" s="4">
        <v>25461</v>
      </c>
      <c r="X2919" s="4">
        <v>9782</v>
      </c>
      <c r="Y2919" s="4" t="s">
        <v>41</v>
      </c>
      <c r="Z2919" s="4">
        <v>80</v>
      </c>
      <c r="AA2919" s="4">
        <v>2.6</v>
      </c>
      <c r="AB2919" s="4" t="s">
        <v>52</v>
      </c>
    </row>
    <row r="2920" spans="1:28" x14ac:dyDescent="0.25">
      <c r="A2920" s="2" t="s">
        <v>3731</v>
      </c>
      <c r="B2920" s="2" t="s">
        <v>2154</v>
      </c>
      <c r="C2920" s="2">
        <v>45</v>
      </c>
      <c r="D2920" s="2" t="s">
        <v>30</v>
      </c>
      <c r="E2920" s="2" t="s">
        <v>154</v>
      </c>
      <c r="F2920" s="2" t="s">
        <v>57</v>
      </c>
      <c r="G2920" s="3">
        <v>45175</v>
      </c>
      <c r="H2920" s="3">
        <v>45195</v>
      </c>
      <c r="I2920" s="2">
        <v>20</v>
      </c>
      <c r="J2920" s="2" t="s">
        <v>58</v>
      </c>
      <c r="K2920" s="2" t="s">
        <v>88</v>
      </c>
      <c r="L2920" s="2" t="s">
        <v>60</v>
      </c>
      <c r="M2920" s="2" t="s">
        <v>101</v>
      </c>
      <c r="N2920" s="2" t="s">
        <v>109</v>
      </c>
      <c r="O2920" s="2" t="s">
        <v>96</v>
      </c>
      <c r="P2920" s="2">
        <v>199</v>
      </c>
      <c r="Q2920" s="2" t="s">
        <v>103</v>
      </c>
      <c r="R2920" s="2" t="s">
        <v>136</v>
      </c>
      <c r="S2920" s="2">
        <v>142457</v>
      </c>
      <c r="T2920" s="2">
        <v>0</v>
      </c>
      <c r="U2920" s="2">
        <v>142457</v>
      </c>
      <c r="V2920" s="2">
        <v>118634</v>
      </c>
      <c r="W2920" s="2">
        <v>15786</v>
      </c>
      <c r="X2920" s="2">
        <v>5674</v>
      </c>
      <c r="Y2920" s="2" t="s">
        <v>41</v>
      </c>
      <c r="Z2920" s="2">
        <v>66</v>
      </c>
      <c r="AA2920" s="2">
        <v>3.2</v>
      </c>
      <c r="AB2920" s="2" t="s">
        <v>42</v>
      </c>
    </row>
    <row r="2921" spans="1:28" x14ac:dyDescent="0.25">
      <c r="A2921" s="4" t="s">
        <v>3732</v>
      </c>
      <c r="B2921" s="4" t="s">
        <v>3733</v>
      </c>
      <c r="C2921" s="4">
        <v>48</v>
      </c>
      <c r="D2921" s="4" t="s">
        <v>55</v>
      </c>
      <c r="E2921" s="4" t="s">
        <v>154</v>
      </c>
      <c r="F2921" s="4" t="s">
        <v>46</v>
      </c>
      <c r="G2921" s="5">
        <v>44740</v>
      </c>
      <c r="H2921" s="5">
        <v>44768</v>
      </c>
      <c r="I2921" s="4">
        <v>28</v>
      </c>
      <c r="J2921" s="4" t="s">
        <v>115</v>
      </c>
      <c r="K2921" s="4" t="s">
        <v>160</v>
      </c>
      <c r="L2921" s="4" t="s">
        <v>117</v>
      </c>
      <c r="M2921" s="4" t="s">
        <v>83</v>
      </c>
      <c r="N2921" s="4" t="s">
        <v>109</v>
      </c>
      <c r="O2921" s="4" t="s">
        <v>678</v>
      </c>
      <c r="P2921" s="4">
        <v>494</v>
      </c>
      <c r="Q2921" s="4" t="s">
        <v>103</v>
      </c>
      <c r="R2921" s="4" t="s">
        <v>136</v>
      </c>
      <c r="S2921" s="4">
        <v>41701</v>
      </c>
      <c r="T2921" s="4">
        <v>0</v>
      </c>
      <c r="U2921" s="4">
        <v>41701</v>
      </c>
      <c r="V2921" s="4">
        <v>18613</v>
      </c>
      <c r="W2921" s="4">
        <v>18054</v>
      </c>
      <c r="X2921" s="4">
        <v>2083</v>
      </c>
      <c r="Y2921" s="4" t="s">
        <v>41</v>
      </c>
      <c r="Z2921" s="4">
        <v>75</v>
      </c>
      <c r="AA2921" s="4">
        <v>3.7</v>
      </c>
      <c r="AB2921" s="4" t="s">
        <v>104</v>
      </c>
    </row>
    <row r="2922" spans="1:28" x14ac:dyDescent="0.25">
      <c r="A2922" s="2" t="s">
        <v>3734</v>
      </c>
      <c r="B2922" s="2" t="s">
        <v>1888</v>
      </c>
      <c r="C2922" s="2">
        <v>8</v>
      </c>
      <c r="D2922" s="2" t="s">
        <v>30</v>
      </c>
      <c r="E2922" s="2" t="s">
        <v>154</v>
      </c>
      <c r="F2922" s="2" t="s">
        <v>150</v>
      </c>
      <c r="G2922" s="3">
        <v>45040</v>
      </c>
      <c r="H2922" s="3">
        <v>45052</v>
      </c>
      <c r="I2922" s="2">
        <v>12</v>
      </c>
      <c r="J2922" s="2" t="s">
        <v>33</v>
      </c>
      <c r="K2922" s="2" t="s">
        <v>233</v>
      </c>
      <c r="L2922" s="2" t="s">
        <v>35</v>
      </c>
      <c r="M2922" s="2" t="s">
        <v>36</v>
      </c>
      <c r="N2922" s="2" t="s">
        <v>109</v>
      </c>
      <c r="O2922" s="2" t="s">
        <v>49</v>
      </c>
      <c r="P2922" s="2">
        <v>244</v>
      </c>
      <c r="Q2922" s="2" t="s">
        <v>103</v>
      </c>
      <c r="R2922" s="2" t="s">
        <v>136</v>
      </c>
      <c r="S2922" s="2">
        <v>112717</v>
      </c>
      <c r="T2922" s="2">
        <v>0</v>
      </c>
      <c r="U2922" s="2">
        <v>112717</v>
      </c>
      <c r="V2922" s="2">
        <v>77370</v>
      </c>
      <c r="W2922" s="2">
        <v>24315</v>
      </c>
      <c r="X2922" s="2">
        <v>9196</v>
      </c>
      <c r="Y2922" s="2" t="s">
        <v>41</v>
      </c>
      <c r="Z2922" s="2">
        <v>67</v>
      </c>
      <c r="AA2922" s="2">
        <v>2.2000000000000002</v>
      </c>
      <c r="AB2922" s="2" t="s">
        <v>64</v>
      </c>
    </row>
    <row r="2923" spans="1:28" x14ac:dyDescent="0.25">
      <c r="A2923" s="4" t="s">
        <v>3735</v>
      </c>
      <c r="B2923" s="4" t="s">
        <v>1321</v>
      </c>
      <c r="C2923" s="4">
        <v>23</v>
      </c>
      <c r="D2923" s="4" t="s">
        <v>30</v>
      </c>
      <c r="E2923" s="4" t="s">
        <v>122</v>
      </c>
      <c r="F2923" s="4" t="s">
        <v>57</v>
      </c>
      <c r="G2923" s="5">
        <v>44808</v>
      </c>
      <c r="H2923" s="5">
        <v>44827</v>
      </c>
      <c r="I2923" s="4">
        <v>19</v>
      </c>
      <c r="J2923" s="4" t="s">
        <v>33</v>
      </c>
      <c r="K2923" s="4" t="s">
        <v>197</v>
      </c>
      <c r="L2923" s="4" t="s">
        <v>198</v>
      </c>
      <c r="M2923" s="4" t="s">
        <v>143</v>
      </c>
      <c r="N2923" s="4" t="s">
        <v>118</v>
      </c>
      <c r="O2923" s="4" t="s">
        <v>390</v>
      </c>
      <c r="P2923" s="4">
        <v>78</v>
      </c>
      <c r="Q2923" s="4" t="s">
        <v>69</v>
      </c>
      <c r="R2923" s="4" t="s">
        <v>40</v>
      </c>
      <c r="S2923" s="4">
        <v>66141</v>
      </c>
      <c r="T2923" s="4">
        <v>31465</v>
      </c>
      <c r="U2923" s="4">
        <v>34676</v>
      </c>
      <c r="V2923" s="4">
        <v>44682</v>
      </c>
      <c r="W2923" s="4">
        <v>12558</v>
      </c>
      <c r="X2923" s="4">
        <v>7143</v>
      </c>
      <c r="Y2923" s="4" t="s">
        <v>41</v>
      </c>
      <c r="Z2923" s="4">
        <v>66</v>
      </c>
      <c r="AA2923" s="4">
        <v>4.4000000000000004</v>
      </c>
      <c r="AB2923" s="4" t="s">
        <v>42</v>
      </c>
    </row>
    <row r="2924" spans="1:28" x14ac:dyDescent="0.25">
      <c r="A2924" s="2" t="s">
        <v>3736</v>
      </c>
      <c r="B2924" s="2" t="s">
        <v>146</v>
      </c>
      <c r="C2924" s="2">
        <v>59</v>
      </c>
      <c r="D2924" s="2" t="s">
        <v>30</v>
      </c>
      <c r="E2924" s="2" t="s">
        <v>45</v>
      </c>
      <c r="F2924" s="2" t="s">
        <v>46</v>
      </c>
      <c r="G2924" s="3">
        <v>45313</v>
      </c>
      <c r="H2924" s="3">
        <v>45343</v>
      </c>
      <c r="I2924" s="2">
        <v>30</v>
      </c>
      <c r="J2924" s="2" t="s">
        <v>33</v>
      </c>
      <c r="K2924" s="2" t="s">
        <v>81</v>
      </c>
      <c r="L2924" s="2" t="s">
        <v>82</v>
      </c>
      <c r="M2924" s="2" t="s">
        <v>83</v>
      </c>
      <c r="N2924" s="2" t="s">
        <v>62</v>
      </c>
      <c r="O2924" s="2" t="s">
        <v>102</v>
      </c>
      <c r="P2924" s="2">
        <v>498</v>
      </c>
      <c r="Q2924" s="2" t="s">
        <v>69</v>
      </c>
      <c r="R2924" s="2" t="s">
        <v>111</v>
      </c>
      <c r="S2924" s="2">
        <v>35456</v>
      </c>
      <c r="T2924" s="2">
        <v>27294</v>
      </c>
      <c r="U2924" s="2">
        <v>8162</v>
      </c>
      <c r="V2924" s="2">
        <v>17320</v>
      </c>
      <c r="W2924" s="2">
        <v>3199</v>
      </c>
      <c r="X2924" s="2">
        <v>14019</v>
      </c>
      <c r="Y2924" s="2" t="s">
        <v>41</v>
      </c>
      <c r="Z2924" s="2">
        <v>100</v>
      </c>
      <c r="AA2924" s="2">
        <v>4.8</v>
      </c>
      <c r="AB2924" s="2" t="s">
        <v>52</v>
      </c>
    </row>
    <row r="2925" spans="1:28" x14ac:dyDescent="0.25">
      <c r="A2925" s="4" t="s">
        <v>3737</v>
      </c>
      <c r="B2925" s="4" t="s">
        <v>213</v>
      </c>
      <c r="C2925" s="4">
        <v>34</v>
      </c>
      <c r="D2925" s="4" t="s">
        <v>55</v>
      </c>
      <c r="E2925" s="4" t="s">
        <v>45</v>
      </c>
      <c r="F2925" s="4" t="s">
        <v>150</v>
      </c>
      <c r="G2925" s="5">
        <v>45084</v>
      </c>
      <c r="H2925" s="5">
        <v>45107</v>
      </c>
      <c r="I2925" s="4">
        <v>23</v>
      </c>
      <c r="J2925" s="4" t="s">
        <v>115</v>
      </c>
      <c r="K2925" s="4" t="s">
        <v>160</v>
      </c>
      <c r="L2925" s="4" t="s">
        <v>117</v>
      </c>
      <c r="M2925" s="4" t="s">
        <v>36</v>
      </c>
      <c r="N2925" s="4" t="s">
        <v>62</v>
      </c>
      <c r="O2925" s="4" t="s">
        <v>227</v>
      </c>
      <c r="P2925" s="4">
        <v>432</v>
      </c>
      <c r="Q2925" s="4" t="s">
        <v>50</v>
      </c>
      <c r="R2925" s="4" t="s">
        <v>111</v>
      </c>
      <c r="S2925" s="4">
        <v>62465</v>
      </c>
      <c r="T2925" s="4">
        <v>53256</v>
      </c>
      <c r="U2925" s="4">
        <v>9209</v>
      </c>
      <c r="V2925" s="4">
        <v>33022</v>
      </c>
      <c r="W2925" s="4">
        <v>23548</v>
      </c>
      <c r="X2925" s="4">
        <v>1525</v>
      </c>
      <c r="Y2925" s="4" t="s">
        <v>41</v>
      </c>
      <c r="Z2925" s="4">
        <v>72</v>
      </c>
      <c r="AA2925" s="4">
        <v>3.7</v>
      </c>
      <c r="AB2925" s="4" t="s">
        <v>52</v>
      </c>
    </row>
    <row r="2926" spans="1:28" x14ac:dyDescent="0.25">
      <c r="A2926" s="2" t="s">
        <v>3738</v>
      </c>
      <c r="B2926" s="2" t="s">
        <v>221</v>
      </c>
      <c r="C2926" s="2">
        <v>16</v>
      </c>
      <c r="D2926" s="2" t="s">
        <v>30</v>
      </c>
      <c r="E2926" s="2" t="s">
        <v>56</v>
      </c>
      <c r="F2926" s="2" t="s">
        <v>94</v>
      </c>
      <c r="G2926" s="3">
        <v>45441</v>
      </c>
      <c r="H2926" s="3">
        <v>45446</v>
      </c>
      <c r="I2926" s="2">
        <v>5</v>
      </c>
      <c r="J2926" s="2" t="s">
        <v>73</v>
      </c>
      <c r="K2926" s="2" t="s">
        <v>74</v>
      </c>
      <c r="L2926" s="2" t="s">
        <v>73</v>
      </c>
      <c r="M2926" s="2" t="s">
        <v>61</v>
      </c>
      <c r="N2926" s="2" t="s">
        <v>37</v>
      </c>
      <c r="O2926" s="2" t="s">
        <v>492</v>
      </c>
      <c r="P2926" s="2">
        <v>30</v>
      </c>
      <c r="Q2926" s="2" t="s">
        <v>103</v>
      </c>
      <c r="R2926" s="2" t="s">
        <v>90</v>
      </c>
      <c r="S2926" s="2">
        <v>122175</v>
      </c>
      <c r="T2926" s="2">
        <v>104754</v>
      </c>
      <c r="U2926" s="2">
        <v>17421</v>
      </c>
      <c r="V2926" s="2">
        <v>100434</v>
      </c>
      <c r="W2926" s="2">
        <v>16624</v>
      </c>
      <c r="X2926" s="2">
        <v>1794</v>
      </c>
      <c r="Y2926" s="2" t="s">
        <v>41</v>
      </c>
      <c r="Z2926" s="2">
        <v>96</v>
      </c>
      <c r="AA2926" s="2">
        <v>2.5</v>
      </c>
      <c r="AB2926" s="2" t="s">
        <v>104</v>
      </c>
    </row>
    <row r="2927" spans="1:28" x14ac:dyDescent="0.25">
      <c r="A2927" s="4" t="s">
        <v>3739</v>
      </c>
      <c r="B2927" s="4" t="s">
        <v>1487</v>
      </c>
      <c r="C2927" s="4">
        <v>7</v>
      </c>
      <c r="D2927" s="4" t="s">
        <v>30</v>
      </c>
      <c r="E2927" s="4" t="s">
        <v>87</v>
      </c>
      <c r="F2927" s="4" t="s">
        <v>157</v>
      </c>
      <c r="G2927" s="5">
        <v>45158</v>
      </c>
      <c r="H2927" s="5">
        <v>45160</v>
      </c>
      <c r="I2927" s="4">
        <v>2</v>
      </c>
      <c r="J2927" s="4" t="s">
        <v>33</v>
      </c>
      <c r="K2927" s="4" t="s">
        <v>81</v>
      </c>
      <c r="L2927" s="4" t="s">
        <v>82</v>
      </c>
      <c r="M2927" s="4" t="s">
        <v>108</v>
      </c>
      <c r="N2927" s="4" t="s">
        <v>118</v>
      </c>
      <c r="O2927" s="4" t="s">
        <v>464</v>
      </c>
      <c r="P2927" s="4">
        <v>415</v>
      </c>
      <c r="Q2927" s="4" t="s">
        <v>69</v>
      </c>
      <c r="R2927" s="4" t="s">
        <v>40</v>
      </c>
      <c r="S2927" s="4">
        <v>135872</v>
      </c>
      <c r="T2927" s="4">
        <v>94872</v>
      </c>
      <c r="U2927" s="4">
        <v>41000</v>
      </c>
      <c r="V2927" s="4">
        <v>121444</v>
      </c>
      <c r="W2927" s="4">
        <v>1135</v>
      </c>
      <c r="X2927" s="4">
        <v>9378</v>
      </c>
      <c r="Y2927" s="4" t="s">
        <v>41</v>
      </c>
      <c r="Z2927" s="4">
        <v>99</v>
      </c>
      <c r="AA2927" s="4">
        <v>4.9000000000000004</v>
      </c>
      <c r="AB2927" s="4" t="s">
        <v>137</v>
      </c>
    </row>
    <row r="2928" spans="1:28" x14ac:dyDescent="0.25">
      <c r="A2928" s="2" t="s">
        <v>3740</v>
      </c>
      <c r="B2928" s="2" t="s">
        <v>1402</v>
      </c>
      <c r="C2928" s="2">
        <v>80</v>
      </c>
      <c r="D2928" s="2" t="s">
        <v>55</v>
      </c>
      <c r="E2928" s="2" t="s">
        <v>122</v>
      </c>
      <c r="F2928" s="2" t="s">
        <v>129</v>
      </c>
      <c r="G2928" s="3">
        <v>45503</v>
      </c>
      <c r="H2928" s="3">
        <v>45524</v>
      </c>
      <c r="I2928" s="2">
        <v>21</v>
      </c>
      <c r="J2928" s="2" t="s">
        <v>58</v>
      </c>
      <c r="K2928" s="2" t="s">
        <v>59</v>
      </c>
      <c r="L2928" s="2" t="s">
        <v>60</v>
      </c>
      <c r="M2928" s="2" t="s">
        <v>61</v>
      </c>
      <c r="N2928" s="2" t="s">
        <v>37</v>
      </c>
      <c r="O2928" s="2" t="s">
        <v>358</v>
      </c>
      <c r="P2928" s="2">
        <v>229</v>
      </c>
      <c r="Q2928" s="2" t="s">
        <v>103</v>
      </c>
      <c r="R2928" s="2" t="s">
        <v>40</v>
      </c>
      <c r="S2928" s="2">
        <v>86863</v>
      </c>
      <c r="T2928" s="2">
        <v>47037</v>
      </c>
      <c r="U2928" s="2">
        <v>39826</v>
      </c>
      <c r="V2928" s="2">
        <v>67128</v>
      </c>
      <c r="W2928" s="2">
        <v>4626</v>
      </c>
      <c r="X2928" s="2">
        <v>12356</v>
      </c>
      <c r="Y2928" s="2" t="s">
        <v>41</v>
      </c>
      <c r="Z2928" s="2">
        <v>49</v>
      </c>
      <c r="AA2928" s="2">
        <v>3.2</v>
      </c>
      <c r="AB2928" s="2" t="s">
        <v>104</v>
      </c>
    </row>
    <row r="2929" spans="1:28" x14ac:dyDescent="0.25">
      <c r="A2929" s="4" t="s">
        <v>3741</v>
      </c>
      <c r="B2929" s="4" t="s">
        <v>317</v>
      </c>
      <c r="C2929" s="4">
        <v>57</v>
      </c>
      <c r="D2929" s="4" t="s">
        <v>55</v>
      </c>
      <c r="E2929" s="4" t="s">
        <v>154</v>
      </c>
      <c r="F2929" s="4" t="s">
        <v>114</v>
      </c>
      <c r="G2929" s="5">
        <v>45356</v>
      </c>
      <c r="H2929" s="5">
        <v>45375</v>
      </c>
      <c r="I2929" s="4">
        <v>19</v>
      </c>
      <c r="J2929" s="4" t="s">
        <v>123</v>
      </c>
      <c r="K2929" s="4" t="s">
        <v>124</v>
      </c>
      <c r="L2929" s="4" t="s">
        <v>125</v>
      </c>
      <c r="M2929" s="4" t="s">
        <v>108</v>
      </c>
      <c r="N2929" s="4" t="s">
        <v>109</v>
      </c>
      <c r="O2929" s="4" t="s">
        <v>396</v>
      </c>
      <c r="P2929" s="4">
        <v>119</v>
      </c>
      <c r="Q2929" s="4" t="s">
        <v>50</v>
      </c>
      <c r="R2929" s="4" t="s">
        <v>40</v>
      </c>
      <c r="S2929" s="4">
        <v>57800</v>
      </c>
      <c r="T2929" s="4">
        <v>37325</v>
      </c>
      <c r="U2929" s="4">
        <v>20475</v>
      </c>
      <c r="V2929" s="4">
        <v>31667</v>
      </c>
      <c r="W2929" s="4">
        <v>9240</v>
      </c>
      <c r="X2929" s="4">
        <v>12220</v>
      </c>
      <c r="Y2929" s="4" t="s">
        <v>41</v>
      </c>
      <c r="Z2929" s="4">
        <v>41</v>
      </c>
      <c r="AA2929" s="4">
        <v>2.4</v>
      </c>
      <c r="AB2929" s="4" t="s">
        <v>42</v>
      </c>
    </row>
    <row r="2930" spans="1:28" x14ac:dyDescent="0.25">
      <c r="A2930" s="2" t="s">
        <v>3742</v>
      </c>
      <c r="B2930" s="2" t="s">
        <v>1946</v>
      </c>
      <c r="C2930" s="2">
        <v>21</v>
      </c>
      <c r="D2930" s="2" t="s">
        <v>55</v>
      </c>
      <c r="E2930" s="2" t="s">
        <v>56</v>
      </c>
      <c r="F2930" s="2" t="s">
        <v>94</v>
      </c>
      <c r="G2930" s="3">
        <v>44598</v>
      </c>
      <c r="H2930" s="3">
        <v>44605</v>
      </c>
      <c r="I2930" s="2">
        <v>7</v>
      </c>
      <c r="J2930" s="2" t="s">
        <v>33</v>
      </c>
      <c r="K2930" s="2" t="s">
        <v>34</v>
      </c>
      <c r="L2930" s="2" t="s">
        <v>35</v>
      </c>
      <c r="M2930" s="2" t="s">
        <v>108</v>
      </c>
      <c r="N2930" s="2" t="s">
        <v>118</v>
      </c>
      <c r="O2930" s="2" t="s">
        <v>627</v>
      </c>
      <c r="P2930" s="2">
        <v>303</v>
      </c>
      <c r="Q2930" s="2" t="s">
        <v>69</v>
      </c>
      <c r="R2930" s="2" t="s">
        <v>40</v>
      </c>
      <c r="S2930" s="2">
        <v>121625</v>
      </c>
      <c r="T2930" s="2">
        <v>57758</v>
      </c>
      <c r="U2930" s="2">
        <v>63867</v>
      </c>
      <c r="V2930" s="2">
        <v>96526</v>
      </c>
      <c r="W2930" s="2">
        <v>17533</v>
      </c>
      <c r="X2930" s="2">
        <v>3558</v>
      </c>
      <c r="Y2930" s="2" t="s">
        <v>41</v>
      </c>
      <c r="Z2930" s="2">
        <v>86</v>
      </c>
      <c r="AA2930" s="2">
        <v>2.8</v>
      </c>
      <c r="AB2930" s="2" t="s">
        <v>42</v>
      </c>
    </row>
    <row r="2931" spans="1:28" x14ac:dyDescent="0.25">
      <c r="A2931" s="4" t="s">
        <v>3743</v>
      </c>
      <c r="B2931" s="4" t="s">
        <v>221</v>
      </c>
      <c r="C2931" s="4">
        <v>72</v>
      </c>
      <c r="D2931" s="4" t="s">
        <v>55</v>
      </c>
      <c r="E2931" s="4" t="s">
        <v>79</v>
      </c>
      <c r="F2931" s="4" t="s">
        <v>80</v>
      </c>
      <c r="G2931" s="5">
        <v>44817</v>
      </c>
      <c r="H2931" s="5">
        <v>44837</v>
      </c>
      <c r="I2931" s="4">
        <v>20</v>
      </c>
      <c r="J2931" s="4" t="s">
        <v>202</v>
      </c>
      <c r="K2931" s="4" t="s">
        <v>225</v>
      </c>
      <c r="L2931" s="4" t="s">
        <v>226</v>
      </c>
      <c r="M2931" s="4" t="s">
        <v>75</v>
      </c>
      <c r="N2931" s="4" t="s">
        <v>62</v>
      </c>
      <c r="O2931" s="4" t="s">
        <v>595</v>
      </c>
      <c r="P2931" s="4">
        <v>291</v>
      </c>
      <c r="Q2931" s="4" t="s">
        <v>69</v>
      </c>
      <c r="R2931" s="4" t="s">
        <v>111</v>
      </c>
      <c r="S2931" s="4">
        <v>65971</v>
      </c>
      <c r="T2931" s="4">
        <v>50540</v>
      </c>
      <c r="U2931" s="4">
        <v>15431</v>
      </c>
      <c r="V2931" s="4">
        <v>43949</v>
      </c>
      <c r="W2931" s="4">
        <v>7477</v>
      </c>
      <c r="X2931" s="4">
        <v>12980</v>
      </c>
      <c r="Y2931" s="4" t="s">
        <v>41</v>
      </c>
      <c r="Z2931" s="4">
        <v>88</v>
      </c>
      <c r="AA2931" s="4">
        <v>2.7</v>
      </c>
      <c r="AB2931" s="4" t="s">
        <v>64</v>
      </c>
    </row>
    <row r="2932" spans="1:28" x14ac:dyDescent="0.25">
      <c r="A2932" s="2" t="s">
        <v>3744</v>
      </c>
      <c r="B2932" s="2" t="s">
        <v>281</v>
      </c>
      <c r="C2932" s="2">
        <v>45</v>
      </c>
      <c r="D2932" s="2" t="s">
        <v>30</v>
      </c>
      <c r="E2932" s="2" t="s">
        <v>56</v>
      </c>
      <c r="F2932" s="2" t="s">
        <v>32</v>
      </c>
      <c r="G2932" s="3">
        <v>45647</v>
      </c>
      <c r="H2932" s="3">
        <v>45657</v>
      </c>
      <c r="I2932" s="2">
        <v>10</v>
      </c>
      <c r="J2932" s="2" t="s">
        <v>33</v>
      </c>
      <c r="K2932" s="2" t="s">
        <v>197</v>
      </c>
      <c r="L2932" s="2" t="s">
        <v>198</v>
      </c>
      <c r="M2932" s="2" t="s">
        <v>95</v>
      </c>
      <c r="N2932" s="2" t="s">
        <v>118</v>
      </c>
      <c r="O2932" s="2" t="s">
        <v>246</v>
      </c>
      <c r="P2932" s="2">
        <v>409</v>
      </c>
      <c r="Q2932" s="2" t="s">
        <v>50</v>
      </c>
      <c r="R2932" s="2" t="s">
        <v>136</v>
      </c>
      <c r="S2932" s="2">
        <v>152399</v>
      </c>
      <c r="T2932" s="2">
        <v>0</v>
      </c>
      <c r="U2932" s="2">
        <v>152399</v>
      </c>
      <c r="V2932" s="2">
        <v>132478</v>
      </c>
      <c r="W2932" s="2">
        <v>11582</v>
      </c>
      <c r="X2932" s="2">
        <v>6265</v>
      </c>
      <c r="Y2932" s="2" t="s">
        <v>41</v>
      </c>
      <c r="Z2932" s="2">
        <v>47</v>
      </c>
      <c r="AA2932" s="2">
        <v>4.8</v>
      </c>
      <c r="AB2932" s="2" t="s">
        <v>137</v>
      </c>
    </row>
    <row r="2933" spans="1:28" x14ac:dyDescent="0.25">
      <c r="A2933" s="4" t="s">
        <v>3745</v>
      </c>
      <c r="B2933" s="4" t="s">
        <v>54</v>
      </c>
      <c r="C2933" s="4">
        <v>10</v>
      </c>
      <c r="D2933" s="4" t="s">
        <v>30</v>
      </c>
      <c r="E2933" s="4" t="s">
        <v>122</v>
      </c>
      <c r="F2933" s="4" t="s">
        <v>129</v>
      </c>
      <c r="G2933" s="5">
        <v>45175</v>
      </c>
      <c r="H2933" s="5">
        <v>45194</v>
      </c>
      <c r="I2933" s="4">
        <v>19</v>
      </c>
      <c r="J2933" s="4" t="s">
        <v>33</v>
      </c>
      <c r="K2933" s="4" t="s">
        <v>233</v>
      </c>
      <c r="L2933" s="4" t="s">
        <v>35</v>
      </c>
      <c r="M2933" s="4" t="s">
        <v>134</v>
      </c>
      <c r="N2933" s="4" t="s">
        <v>62</v>
      </c>
      <c r="O2933" s="4" t="s">
        <v>631</v>
      </c>
      <c r="P2933" s="4">
        <v>443</v>
      </c>
      <c r="Q2933" s="4" t="s">
        <v>69</v>
      </c>
      <c r="R2933" s="4" t="s">
        <v>111</v>
      </c>
      <c r="S2933" s="4">
        <v>178354</v>
      </c>
      <c r="T2933" s="4">
        <v>133538</v>
      </c>
      <c r="U2933" s="4">
        <v>44816</v>
      </c>
      <c r="V2933" s="4">
        <v>149440</v>
      </c>
      <c r="W2933" s="4">
        <v>16044</v>
      </c>
      <c r="X2933" s="4">
        <v>8924</v>
      </c>
      <c r="Y2933" s="4" t="s">
        <v>41</v>
      </c>
      <c r="Z2933" s="4">
        <v>53</v>
      </c>
      <c r="AA2933" s="4">
        <v>4.0999999999999996</v>
      </c>
      <c r="AB2933" s="4" t="s">
        <v>104</v>
      </c>
    </row>
    <row r="2934" spans="1:28" x14ac:dyDescent="0.25">
      <c r="A2934" s="2" t="s">
        <v>3746</v>
      </c>
      <c r="B2934" s="2" t="s">
        <v>345</v>
      </c>
      <c r="C2934" s="2">
        <v>45</v>
      </c>
      <c r="D2934" s="2" t="s">
        <v>30</v>
      </c>
      <c r="E2934" s="2" t="s">
        <v>45</v>
      </c>
      <c r="F2934" s="2" t="s">
        <v>150</v>
      </c>
      <c r="G2934" s="3">
        <v>45139</v>
      </c>
      <c r="H2934" s="3">
        <v>45144</v>
      </c>
      <c r="I2934" s="2">
        <v>5</v>
      </c>
      <c r="J2934" s="2" t="s">
        <v>33</v>
      </c>
      <c r="K2934" s="2" t="s">
        <v>174</v>
      </c>
      <c r="L2934" s="2" t="s">
        <v>48</v>
      </c>
      <c r="M2934" s="2" t="s">
        <v>61</v>
      </c>
      <c r="N2934" s="2" t="s">
        <v>37</v>
      </c>
      <c r="O2934" s="2" t="s">
        <v>102</v>
      </c>
      <c r="P2934" s="2">
        <v>107</v>
      </c>
      <c r="Q2934" s="2" t="s">
        <v>39</v>
      </c>
      <c r="R2934" s="2" t="s">
        <v>111</v>
      </c>
      <c r="S2934" s="2">
        <v>112699</v>
      </c>
      <c r="T2934" s="2">
        <v>76265</v>
      </c>
      <c r="U2934" s="2">
        <v>36434</v>
      </c>
      <c r="V2934" s="2">
        <v>95514</v>
      </c>
      <c r="W2934" s="2">
        <v>7590</v>
      </c>
      <c r="X2934" s="2">
        <v>7889</v>
      </c>
      <c r="Y2934" s="2" t="s">
        <v>41</v>
      </c>
      <c r="Z2934" s="2">
        <v>100</v>
      </c>
      <c r="AA2934" s="2">
        <v>3.4</v>
      </c>
      <c r="AB2934" s="2" t="s">
        <v>104</v>
      </c>
    </row>
    <row r="2935" spans="1:28" x14ac:dyDescent="0.25">
      <c r="A2935" s="4" t="s">
        <v>3747</v>
      </c>
      <c r="B2935" s="4" t="s">
        <v>2411</v>
      </c>
      <c r="C2935" s="4">
        <v>53</v>
      </c>
      <c r="D2935" s="4" t="s">
        <v>30</v>
      </c>
      <c r="E2935" s="4" t="s">
        <v>56</v>
      </c>
      <c r="F2935" s="4" t="s">
        <v>46</v>
      </c>
      <c r="G2935" s="5">
        <v>45057</v>
      </c>
      <c r="H2935" s="5">
        <v>45071</v>
      </c>
      <c r="I2935" s="4">
        <v>14</v>
      </c>
      <c r="J2935" s="4" t="s">
        <v>33</v>
      </c>
      <c r="K2935" s="4" t="s">
        <v>233</v>
      </c>
      <c r="L2935" s="4" t="s">
        <v>35</v>
      </c>
      <c r="M2935" s="4" t="s">
        <v>130</v>
      </c>
      <c r="N2935" s="4" t="s">
        <v>62</v>
      </c>
      <c r="O2935" s="4" t="s">
        <v>520</v>
      </c>
      <c r="P2935" s="4">
        <v>398</v>
      </c>
      <c r="Q2935" s="4" t="s">
        <v>39</v>
      </c>
      <c r="R2935" s="4" t="s">
        <v>136</v>
      </c>
      <c r="S2935" s="4">
        <v>159604</v>
      </c>
      <c r="T2935" s="4">
        <v>0</v>
      </c>
      <c r="U2935" s="4">
        <v>159604</v>
      </c>
      <c r="V2935" s="4">
        <v>138941</v>
      </c>
      <c r="W2935" s="4">
        <v>13246</v>
      </c>
      <c r="X2935" s="4">
        <v>4362</v>
      </c>
      <c r="Y2935" s="4" t="s">
        <v>41</v>
      </c>
      <c r="Z2935" s="4">
        <v>43</v>
      </c>
      <c r="AA2935" s="4">
        <v>2.4</v>
      </c>
      <c r="AB2935" s="4" t="s">
        <v>137</v>
      </c>
    </row>
    <row r="2936" spans="1:28" x14ac:dyDescent="0.25">
      <c r="A2936" s="2" t="s">
        <v>3748</v>
      </c>
      <c r="B2936" s="2" t="s">
        <v>1250</v>
      </c>
      <c r="C2936" s="2">
        <v>70</v>
      </c>
      <c r="D2936" s="2" t="s">
        <v>30</v>
      </c>
      <c r="E2936" s="2" t="s">
        <v>31</v>
      </c>
      <c r="F2936" s="2" t="s">
        <v>94</v>
      </c>
      <c r="G2936" s="3">
        <v>45528</v>
      </c>
      <c r="H2936" s="3">
        <v>45529</v>
      </c>
      <c r="I2936" s="2">
        <v>1</v>
      </c>
      <c r="J2936" s="2" t="s">
        <v>33</v>
      </c>
      <c r="K2936" s="2" t="s">
        <v>81</v>
      </c>
      <c r="L2936" s="2" t="s">
        <v>82</v>
      </c>
      <c r="M2936" s="2" t="s">
        <v>130</v>
      </c>
      <c r="N2936" s="2" t="s">
        <v>62</v>
      </c>
      <c r="O2936" s="2" t="s">
        <v>102</v>
      </c>
      <c r="P2936" s="2">
        <v>138</v>
      </c>
      <c r="Q2936" s="2" t="s">
        <v>103</v>
      </c>
      <c r="R2936" s="2" t="s">
        <v>111</v>
      </c>
      <c r="S2936" s="2">
        <v>70713</v>
      </c>
      <c r="T2936" s="2">
        <v>61629</v>
      </c>
      <c r="U2936" s="2">
        <v>9084</v>
      </c>
      <c r="V2936" s="2">
        <v>39144</v>
      </c>
      <c r="W2936" s="2">
        <v>15039</v>
      </c>
      <c r="X2936" s="2">
        <v>14207</v>
      </c>
      <c r="Y2936" s="2" t="s">
        <v>41</v>
      </c>
      <c r="Z2936" s="2">
        <v>48</v>
      </c>
      <c r="AA2936" s="2">
        <v>2.8</v>
      </c>
      <c r="AB2936" s="2" t="s">
        <v>104</v>
      </c>
    </row>
    <row r="2937" spans="1:28" x14ac:dyDescent="0.25">
      <c r="A2937" s="4" t="s">
        <v>3749</v>
      </c>
      <c r="B2937" s="4" t="s">
        <v>1321</v>
      </c>
      <c r="C2937" s="4">
        <v>78</v>
      </c>
      <c r="D2937" s="4" t="s">
        <v>55</v>
      </c>
      <c r="E2937" s="4" t="s">
        <v>56</v>
      </c>
      <c r="F2937" s="4" t="s">
        <v>94</v>
      </c>
      <c r="G2937" s="5">
        <v>44609</v>
      </c>
      <c r="H2937" s="5">
        <v>44619</v>
      </c>
      <c r="I2937" s="4">
        <v>10</v>
      </c>
      <c r="J2937" s="4" t="s">
        <v>58</v>
      </c>
      <c r="K2937" s="4" t="s">
        <v>59</v>
      </c>
      <c r="L2937" s="4" t="s">
        <v>60</v>
      </c>
      <c r="M2937" s="4" t="s">
        <v>101</v>
      </c>
      <c r="N2937" s="4" t="s">
        <v>118</v>
      </c>
      <c r="O2937" s="4" t="s">
        <v>300</v>
      </c>
      <c r="P2937" s="4">
        <v>20</v>
      </c>
      <c r="Q2937" s="4" t="s">
        <v>50</v>
      </c>
      <c r="R2937" s="4" t="s">
        <v>90</v>
      </c>
      <c r="S2937" s="4">
        <v>118172</v>
      </c>
      <c r="T2937" s="4">
        <v>85408</v>
      </c>
      <c r="U2937" s="4">
        <v>32764</v>
      </c>
      <c r="V2937" s="4">
        <v>92410</v>
      </c>
      <c r="W2937" s="4">
        <v>20182</v>
      </c>
      <c r="X2937" s="4">
        <v>4976</v>
      </c>
      <c r="Y2937" s="4" t="s">
        <v>91</v>
      </c>
      <c r="Z2937" s="4">
        <v>99</v>
      </c>
      <c r="AA2937" s="4">
        <v>3</v>
      </c>
      <c r="AB2937" s="4" t="s">
        <v>64</v>
      </c>
    </row>
    <row r="2938" spans="1:28" x14ac:dyDescent="0.25">
      <c r="A2938" s="2" t="s">
        <v>3750</v>
      </c>
      <c r="B2938" s="2" t="s">
        <v>420</v>
      </c>
      <c r="C2938" s="2">
        <v>54</v>
      </c>
      <c r="D2938" s="2" t="s">
        <v>55</v>
      </c>
      <c r="E2938" s="2" t="s">
        <v>122</v>
      </c>
      <c r="F2938" s="2" t="s">
        <v>80</v>
      </c>
      <c r="G2938" s="3">
        <v>44643</v>
      </c>
      <c r="H2938" s="3">
        <v>44645</v>
      </c>
      <c r="I2938" s="2">
        <v>2</v>
      </c>
      <c r="J2938" s="2" t="s">
        <v>33</v>
      </c>
      <c r="K2938" s="2" t="s">
        <v>233</v>
      </c>
      <c r="L2938" s="2" t="s">
        <v>35</v>
      </c>
      <c r="M2938" s="2" t="s">
        <v>83</v>
      </c>
      <c r="N2938" s="2" t="s">
        <v>62</v>
      </c>
      <c r="O2938" s="2" t="s">
        <v>950</v>
      </c>
      <c r="P2938" s="2">
        <v>126</v>
      </c>
      <c r="Q2938" s="2" t="s">
        <v>103</v>
      </c>
      <c r="R2938" s="2" t="s">
        <v>40</v>
      </c>
      <c r="S2938" s="2">
        <v>57359</v>
      </c>
      <c r="T2938" s="2">
        <v>23048</v>
      </c>
      <c r="U2938" s="2">
        <v>34311</v>
      </c>
      <c r="V2938" s="2">
        <v>30187</v>
      </c>
      <c r="W2938" s="2">
        <v>16113</v>
      </c>
      <c r="X2938" s="2">
        <v>8412</v>
      </c>
      <c r="Y2938" s="2" t="s">
        <v>41</v>
      </c>
      <c r="Z2938" s="2">
        <v>73</v>
      </c>
      <c r="AA2938" s="2">
        <v>2.9</v>
      </c>
      <c r="AB2938" s="2" t="s">
        <v>42</v>
      </c>
    </row>
    <row r="2939" spans="1:28" x14ac:dyDescent="0.25">
      <c r="A2939" s="4" t="s">
        <v>3751</v>
      </c>
      <c r="B2939" s="4" t="s">
        <v>1336</v>
      </c>
      <c r="C2939" s="4">
        <v>32</v>
      </c>
      <c r="D2939" s="4" t="s">
        <v>55</v>
      </c>
      <c r="E2939" s="4" t="s">
        <v>56</v>
      </c>
      <c r="F2939" s="4" t="s">
        <v>80</v>
      </c>
      <c r="G2939" s="5">
        <v>45156</v>
      </c>
      <c r="H2939" s="5">
        <v>45167</v>
      </c>
      <c r="I2939" s="4">
        <v>11</v>
      </c>
      <c r="J2939" s="4" t="s">
        <v>202</v>
      </c>
      <c r="K2939" s="4" t="s">
        <v>203</v>
      </c>
      <c r="L2939" s="4" t="s">
        <v>204</v>
      </c>
      <c r="M2939" s="4" t="s">
        <v>134</v>
      </c>
      <c r="N2939" s="4" t="s">
        <v>109</v>
      </c>
      <c r="O2939" s="4" t="s">
        <v>89</v>
      </c>
      <c r="P2939" s="4">
        <v>271</v>
      </c>
      <c r="Q2939" s="4" t="s">
        <v>39</v>
      </c>
      <c r="R2939" s="4" t="s">
        <v>51</v>
      </c>
      <c r="S2939" s="4">
        <v>164930</v>
      </c>
      <c r="T2939" s="4">
        <v>113808</v>
      </c>
      <c r="U2939" s="4">
        <v>51122</v>
      </c>
      <c r="V2939" s="4">
        <v>145130</v>
      </c>
      <c r="W2939" s="4">
        <v>8697</v>
      </c>
      <c r="X2939" s="4">
        <v>6820</v>
      </c>
      <c r="Y2939" s="4" t="s">
        <v>91</v>
      </c>
      <c r="Z2939" s="4">
        <v>69</v>
      </c>
      <c r="AA2939" s="4">
        <v>2.8</v>
      </c>
      <c r="AB2939" s="4" t="s">
        <v>104</v>
      </c>
    </row>
    <row r="2940" spans="1:28" x14ac:dyDescent="0.25">
      <c r="A2940" s="2" t="s">
        <v>3752</v>
      </c>
      <c r="B2940" s="2" t="s">
        <v>1121</v>
      </c>
      <c r="C2940" s="2">
        <v>75</v>
      </c>
      <c r="D2940" s="2" t="s">
        <v>30</v>
      </c>
      <c r="E2940" s="2" t="s">
        <v>154</v>
      </c>
      <c r="F2940" s="2" t="s">
        <v>94</v>
      </c>
      <c r="G2940" s="3">
        <v>45567</v>
      </c>
      <c r="H2940" s="3">
        <v>45591</v>
      </c>
      <c r="I2940" s="2">
        <v>24</v>
      </c>
      <c r="J2940" s="2" t="s">
        <v>58</v>
      </c>
      <c r="K2940" s="2" t="s">
        <v>88</v>
      </c>
      <c r="L2940" s="2" t="s">
        <v>60</v>
      </c>
      <c r="M2940" s="2" t="s">
        <v>36</v>
      </c>
      <c r="N2940" s="2" t="s">
        <v>37</v>
      </c>
      <c r="O2940" s="2" t="s">
        <v>647</v>
      </c>
      <c r="P2940" s="2">
        <v>27</v>
      </c>
      <c r="Q2940" s="2" t="s">
        <v>103</v>
      </c>
      <c r="R2940" s="2" t="s">
        <v>136</v>
      </c>
      <c r="S2940" s="2">
        <v>137425</v>
      </c>
      <c r="T2940" s="2">
        <v>0</v>
      </c>
      <c r="U2940" s="2">
        <v>137425</v>
      </c>
      <c r="V2940" s="2">
        <v>95972</v>
      </c>
      <c r="W2940" s="2">
        <v>28199</v>
      </c>
      <c r="X2940" s="2">
        <v>8255</v>
      </c>
      <c r="Y2940" s="2" t="s">
        <v>41</v>
      </c>
      <c r="Z2940" s="2">
        <v>81</v>
      </c>
      <c r="AA2940" s="2">
        <v>2.2999999999999998</v>
      </c>
      <c r="AB2940" s="2" t="s">
        <v>52</v>
      </c>
    </row>
    <row r="2941" spans="1:28" x14ac:dyDescent="0.25">
      <c r="A2941" s="4" t="s">
        <v>3753</v>
      </c>
      <c r="B2941" s="4" t="s">
        <v>1121</v>
      </c>
      <c r="C2941" s="4">
        <v>37</v>
      </c>
      <c r="D2941" s="4" t="s">
        <v>55</v>
      </c>
      <c r="E2941" s="4" t="s">
        <v>31</v>
      </c>
      <c r="F2941" s="4" t="s">
        <v>57</v>
      </c>
      <c r="G2941" s="5">
        <v>44637</v>
      </c>
      <c r="H2941" s="5">
        <v>44661</v>
      </c>
      <c r="I2941" s="4">
        <v>24</v>
      </c>
      <c r="J2941" s="4" t="s">
        <v>33</v>
      </c>
      <c r="K2941" s="4" t="s">
        <v>233</v>
      </c>
      <c r="L2941" s="4" t="s">
        <v>35</v>
      </c>
      <c r="M2941" s="4" t="s">
        <v>143</v>
      </c>
      <c r="N2941" s="4" t="s">
        <v>109</v>
      </c>
      <c r="O2941" s="4" t="s">
        <v>184</v>
      </c>
      <c r="P2941" s="4">
        <v>150</v>
      </c>
      <c r="Q2941" s="4" t="s">
        <v>103</v>
      </c>
      <c r="R2941" s="4" t="s">
        <v>40</v>
      </c>
      <c r="S2941" s="4">
        <v>40576</v>
      </c>
      <c r="T2941" s="4">
        <v>22172</v>
      </c>
      <c r="U2941" s="4">
        <v>18404</v>
      </c>
      <c r="V2941" s="4">
        <v>10640</v>
      </c>
      <c r="W2941" s="4">
        <v>14764</v>
      </c>
      <c r="X2941" s="4">
        <v>11165</v>
      </c>
      <c r="Y2941" s="4" t="s">
        <v>41</v>
      </c>
      <c r="Z2941" s="4">
        <v>72</v>
      </c>
      <c r="AA2941" s="4">
        <v>2.7</v>
      </c>
      <c r="AB2941" s="4" t="s">
        <v>104</v>
      </c>
    </row>
    <row r="2942" spans="1:28" x14ac:dyDescent="0.25">
      <c r="A2942" s="2" t="s">
        <v>3754</v>
      </c>
      <c r="B2942" s="2" t="s">
        <v>886</v>
      </c>
      <c r="C2942" s="2">
        <v>15</v>
      </c>
      <c r="D2942" s="2" t="s">
        <v>55</v>
      </c>
      <c r="E2942" s="2" t="s">
        <v>154</v>
      </c>
      <c r="F2942" s="2" t="s">
        <v>94</v>
      </c>
      <c r="G2942" s="3">
        <v>44925</v>
      </c>
      <c r="H2942" s="3">
        <v>44945</v>
      </c>
      <c r="I2942" s="2">
        <v>20</v>
      </c>
      <c r="J2942" s="2" t="s">
        <v>115</v>
      </c>
      <c r="K2942" s="2" t="s">
        <v>116</v>
      </c>
      <c r="L2942" s="2" t="s">
        <v>117</v>
      </c>
      <c r="M2942" s="2" t="s">
        <v>75</v>
      </c>
      <c r="N2942" s="2" t="s">
        <v>62</v>
      </c>
      <c r="O2942" s="2" t="s">
        <v>571</v>
      </c>
      <c r="P2942" s="2">
        <v>160</v>
      </c>
      <c r="Q2942" s="2" t="s">
        <v>39</v>
      </c>
      <c r="R2942" s="2" t="s">
        <v>51</v>
      </c>
      <c r="S2942" s="2">
        <v>32922</v>
      </c>
      <c r="T2942" s="2">
        <v>14229</v>
      </c>
      <c r="U2942" s="2">
        <v>18693</v>
      </c>
      <c r="V2942" s="2">
        <v>19297</v>
      </c>
      <c r="W2942" s="2">
        <v>8566</v>
      </c>
      <c r="X2942" s="2">
        <v>1721</v>
      </c>
      <c r="Y2942" s="2" t="s">
        <v>41</v>
      </c>
      <c r="Z2942" s="2">
        <v>50</v>
      </c>
      <c r="AA2942" s="2">
        <v>4.2</v>
      </c>
      <c r="AB2942" s="2" t="s">
        <v>52</v>
      </c>
    </row>
    <row r="2943" spans="1:28" x14ac:dyDescent="0.25">
      <c r="A2943" s="4" t="s">
        <v>3755</v>
      </c>
      <c r="B2943" s="4" t="s">
        <v>2845</v>
      </c>
      <c r="C2943" s="4">
        <v>15</v>
      </c>
      <c r="D2943" s="4" t="s">
        <v>30</v>
      </c>
      <c r="E2943" s="4" t="s">
        <v>87</v>
      </c>
      <c r="F2943" s="4" t="s">
        <v>129</v>
      </c>
      <c r="G2943" s="5">
        <v>44939</v>
      </c>
      <c r="H2943" s="5">
        <v>44951</v>
      </c>
      <c r="I2943" s="4">
        <v>12</v>
      </c>
      <c r="J2943" s="4" t="s">
        <v>33</v>
      </c>
      <c r="K2943" s="4" t="s">
        <v>107</v>
      </c>
      <c r="L2943" s="4" t="s">
        <v>48</v>
      </c>
      <c r="M2943" s="4" t="s">
        <v>61</v>
      </c>
      <c r="N2943" s="4" t="s">
        <v>37</v>
      </c>
      <c r="O2943" s="4" t="s">
        <v>126</v>
      </c>
      <c r="P2943" s="4">
        <v>272</v>
      </c>
      <c r="Q2943" s="4" t="s">
        <v>69</v>
      </c>
      <c r="R2943" s="4" t="s">
        <v>40</v>
      </c>
      <c r="S2943" s="4">
        <v>73037</v>
      </c>
      <c r="T2943" s="4">
        <v>32469</v>
      </c>
      <c r="U2943" s="4">
        <v>40568</v>
      </c>
      <c r="V2943" s="4">
        <v>63335</v>
      </c>
      <c r="W2943" s="4">
        <v>1568</v>
      </c>
      <c r="X2943" s="4">
        <v>5831</v>
      </c>
      <c r="Y2943" s="4" t="s">
        <v>41</v>
      </c>
      <c r="Z2943" s="4">
        <v>67</v>
      </c>
      <c r="AA2943" s="4">
        <v>2.1</v>
      </c>
      <c r="AB2943" s="4" t="s">
        <v>104</v>
      </c>
    </row>
    <row r="2944" spans="1:28" x14ac:dyDescent="0.25">
      <c r="A2944" s="2" t="s">
        <v>3756</v>
      </c>
      <c r="B2944" s="2" t="s">
        <v>229</v>
      </c>
      <c r="C2944" s="2">
        <v>74</v>
      </c>
      <c r="D2944" s="2" t="s">
        <v>55</v>
      </c>
      <c r="E2944" s="2" t="s">
        <v>154</v>
      </c>
      <c r="F2944" s="2" t="s">
        <v>32</v>
      </c>
      <c r="G2944" s="3">
        <v>44595</v>
      </c>
      <c r="H2944" s="3">
        <v>44611</v>
      </c>
      <c r="I2944" s="2">
        <v>16</v>
      </c>
      <c r="J2944" s="2" t="s">
        <v>115</v>
      </c>
      <c r="K2944" s="2" t="s">
        <v>160</v>
      </c>
      <c r="L2944" s="2" t="s">
        <v>117</v>
      </c>
      <c r="M2944" s="2" t="s">
        <v>75</v>
      </c>
      <c r="N2944" s="2" t="s">
        <v>62</v>
      </c>
      <c r="O2944" s="2" t="s">
        <v>241</v>
      </c>
      <c r="P2944" s="2">
        <v>86</v>
      </c>
      <c r="Q2944" s="2" t="s">
        <v>69</v>
      </c>
      <c r="R2944" s="2" t="s">
        <v>40</v>
      </c>
      <c r="S2944" s="2">
        <v>103339</v>
      </c>
      <c r="T2944" s="2">
        <v>52191</v>
      </c>
      <c r="U2944" s="2">
        <v>51148</v>
      </c>
      <c r="V2944" s="2">
        <v>74183</v>
      </c>
      <c r="W2944" s="2">
        <v>21497</v>
      </c>
      <c r="X2944" s="2">
        <v>3757</v>
      </c>
      <c r="Y2944" s="2" t="s">
        <v>91</v>
      </c>
      <c r="Z2944" s="2">
        <v>92</v>
      </c>
      <c r="AA2944" s="2">
        <v>2.2999999999999998</v>
      </c>
      <c r="AB2944" s="2" t="s">
        <v>104</v>
      </c>
    </row>
    <row r="2945" spans="1:28" x14ac:dyDescent="0.25">
      <c r="A2945" s="4" t="s">
        <v>3757</v>
      </c>
      <c r="B2945" s="4" t="s">
        <v>2065</v>
      </c>
      <c r="C2945" s="4">
        <v>39</v>
      </c>
      <c r="D2945" s="4" t="s">
        <v>30</v>
      </c>
      <c r="E2945" s="4" t="s">
        <v>154</v>
      </c>
      <c r="F2945" s="4" t="s">
        <v>57</v>
      </c>
      <c r="G2945" s="5">
        <v>45274</v>
      </c>
      <c r="H2945" s="5">
        <v>45297</v>
      </c>
      <c r="I2945" s="4">
        <v>23</v>
      </c>
      <c r="J2945" s="4" t="s">
        <v>33</v>
      </c>
      <c r="K2945" s="4" t="s">
        <v>197</v>
      </c>
      <c r="L2945" s="4" t="s">
        <v>198</v>
      </c>
      <c r="M2945" s="4" t="s">
        <v>101</v>
      </c>
      <c r="N2945" s="4" t="s">
        <v>62</v>
      </c>
      <c r="O2945" s="4" t="s">
        <v>337</v>
      </c>
      <c r="P2945" s="4">
        <v>322</v>
      </c>
      <c r="Q2945" s="4" t="s">
        <v>103</v>
      </c>
      <c r="R2945" s="4" t="s">
        <v>90</v>
      </c>
      <c r="S2945" s="4">
        <v>112466</v>
      </c>
      <c r="T2945" s="4">
        <v>94589</v>
      </c>
      <c r="U2945" s="4">
        <v>17877</v>
      </c>
      <c r="V2945" s="4">
        <v>89294</v>
      </c>
      <c r="W2945" s="4">
        <v>17529</v>
      </c>
      <c r="X2945" s="4">
        <v>960</v>
      </c>
      <c r="Y2945" s="4" t="s">
        <v>41</v>
      </c>
      <c r="Z2945" s="4">
        <v>45</v>
      </c>
      <c r="AA2945" s="4">
        <v>4.9000000000000004</v>
      </c>
      <c r="AB2945" s="4" t="s">
        <v>104</v>
      </c>
    </row>
    <row r="2946" spans="1:28" x14ac:dyDescent="0.25">
      <c r="A2946" s="2" t="s">
        <v>3758</v>
      </c>
      <c r="B2946" s="2" t="s">
        <v>1795</v>
      </c>
      <c r="C2946" s="2">
        <v>7</v>
      </c>
      <c r="D2946" s="2" t="s">
        <v>30</v>
      </c>
      <c r="E2946" s="2" t="s">
        <v>56</v>
      </c>
      <c r="F2946" s="2" t="s">
        <v>129</v>
      </c>
      <c r="G2946" s="3">
        <v>44892</v>
      </c>
      <c r="H2946" s="3">
        <v>44916</v>
      </c>
      <c r="I2946" s="2">
        <v>24</v>
      </c>
      <c r="J2946" s="2" t="s">
        <v>33</v>
      </c>
      <c r="K2946" s="2" t="s">
        <v>47</v>
      </c>
      <c r="L2946" s="2" t="s">
        <v>48</v>
      </c>
      <c r="M2946" s="2" t="s">
        <v>36</v>
      </c>
      <c r="N2946" s="2" t="s">
        <v>62</v>
      </c>
      <c r="O2946" s="2" t="s">
        <v>340</v>
      </c>
      <c r="P2946" s="2">
        <v>234</v>
      </c>
      <c r="Q2946" s="2" t="s">
        <v>50</v>
      </c>
      <c r="R2946" s="2" t="s">
        <v>90</v>
      </c>
      <c r="S2946" s="2">
        <v>159913</v>
      </c>
      <c r="T2946" s="2">
        <v>134427</v>
      </c>
      <c r="U2946" s="2">
        <v>25486</v>
      </c>
      <c r="V2946" s="2">
        <v>141654</v>
      </c>
      <c r="W2946" s="2">
        <v>6954</v>
      </c>
      <c r="X2946" s="2">
        <v>6976</v>
      </c>
      <c r="Y2946" s="2" t="s">
        <v>41</v>
      </c>
      <c r="Z2946" s="2">
        <v>43</v>
      </c>
      <c r="AA2946" s="2">
        <v>3.8</v>
      </c>
      <c r="AB2946" s="2" t="s">
        <v>64</v>
      </c>
    </row>
    <row r="2947" spans="1:28" x14ac:dyDescent="0.25">
      <c r="A2947" s="4" t="s">
        <v>3759</v>
      </c>
      <c r="B2947" s="4" t="s">
        <v>320</v>
      </c>
      <c r="C2947" s="4">
        <v>61</v>
      </c>
      <c r="D2947" s="4" t="s">
        <v>55</v>
      </c>
      <c r="E2947" s="4" t="s">
        <v>79</v>
      </c>
      <c r="F2947" s="4" t="s">
        <v>72</v>
      </c>
      <c r="G2947" s="5">
        <v>45054</v>
      </c>
      <c r="H2947" s="5">
        <v>45070</v>
      </c>
      <c r="I2947" s="4">
        <v>16</v>
      </c>
      <c r="J2947" s="4" t="s">
        <v>33</v>
      </c>
      <c r="K2947" s="4" t="s">
        <v>34</v>
      </c>
      <c r="L2947" s="4" t="s">
        <v>35</v>
      </c>
      <c r="M2947" s="4" t="s">
        <v>36</v>
      </c>
      <c r="N2947" s="4" t="s">
        <v>62</v>
      </c>
      <c r="O2947" s="4" t="s">
        <v>399</v>
      </c>
      <c r="P2947" s="4">
        <v>57</v>
      </c>
      <c r="Q2947" s="4" t="s">
        <v>50</v>
      </c>
      <c r="R2947" s="4" t="s">
        <v>90</v>
      </c>
      <c r="S2947" s="4">
        <v>102504</v>
      </c>
      <c r="T2947" s="4">
        <v>76930</v>
      </c>
      <c r="U2947" s="4">
        <v>25574</v>
      </c>
      <c r="V2947" s="4">
        <v>72061</v>
      </c>
      <c r="W2947" s="4">
        <v>13498</v>
      </c>
      <c r="X2947" s="4">
        <v>12038</v>
      </c>
      <c r="Y2947" s="4" t="s">
        <v>41</v>
      </c>
      <c r="Z2947" s="4">
        <v>90</v>
      </c>
      <c r="AA2947" s="4">
        <v>3.5</v>
      </c>
      <c r="AB2947" s="4" t="s">
        <v>137</v>
      </c>
    </row>
    <row r="2948" spans="1:28" x14ac:dyDescent="0.25">
      <c r="A2948" s="2" t="s">
        <v>3760</v>
      </c>
      <c r="B2948" s="2" t="s">
        <v>98</v>
      </c>
      <c r="C2948" s="2">
        <v>77</v>
      </c>
      <c r="D2948" s="2" t="s">
        <v>30</v>
      </c>
      <c r="E2948" s="2" t="s">
        <v>31</v>
      </c>
      <c r="F2948" s="2" t="s">
        <v>46</v>
      </c>
      <c r="G2948" s="3">
        <v>45052</v>
      </c>
      <c r="H2948" s="3">
        <v>45063</v>
      </c>
      <c r="I2948" s="2">
        <v>11</v>
      </c>
      <c r="J2948" s="2" t="s">
        <v>33</v>
      </c>
      <c r="K2948" s="2" t="s">
        <v>233</v>
      </c>
      <c r="L2948" s="2" t="s">
        <v>35</v>
      </c>
      <c r="M2948" s="2" t="s">
        <v>143</v>
      </c>
      <c r="N2948" s="2" t="s">
        <v>37</v>
      </c>
      <c r="O2948" s="2" t="s">
        <v>248</v>
      </c>
      <c r="P2948" s="2">
        <v>492</v>
      </c>
      <c r="Q2948" s="2" t="s">
        <v>103</v>
      </c>
      <c r="R2948" s="2" t="s">
        <v>40</v>
      </c>
      <c r="S2948" s="2">
        <v>122578</v>
      </c>
      <c r="T2948" s="2">
        <v>62048</v>
      </c>
      <c r="U2948" s="2">
        <v>60530</v>
      </c>
      <c r="V2948" s="2">
        <v>83951</v>
      </c>
      <c r="W2948" s="2">
        <v>29420</v>
      </c>
      <c r="X2948" s="2">
        <v>8249</v>
      </c>
      <c r="Y2948" s="2" t="s">
        <v>41</v>
      </c>
      <c r="Z2948" s="2">
        <v>83</v>
      </c>
      <c r="AA2948" s="2">
        <v>2.6</v>
      </c>
      <c r="AB2948" s="2" t="s">
        <v>52</v>
      </c>
    </row>
    <row r="2949" spans="1:28" x14ac:dyDescent="0.25">
      <c r="A2949" s="4" t="s">
        <v>3761</v>
      </c>
      <c r="B2949" s="4" t="s">
        <v>392</v>
      </c>
      <c r="C2949" s="4">
        <v>6</v>
      </c>
      <c r="D2949" s="4" t="s">
        <v>55</v>
      </c>
      <c r="E2949" s="4" t="s">
        <v>87</v>
      </c>
      <c r="F2949" s="4" t="s">
        <v>94</v>
      </c>
      <c r="G2949" s="5">
        <v>44957</v>
      </c>
      <c r="H2949" s="5">
        <v>44969</v>
      </c>
      <c r="I2949" s="4">
        <v>12</v>
      </c>
      <c r="J2949" s="4" t="s">
        <v>33</v>
      </c>
      <c r="K2949" s="4" t="s">
        <v>81</v>
      </c>
      <c r="L2949" s="4" t="s">
        <v>82</v>
      </c>
      <c r="M2949" s="4" t="s">
        <v>108</v>
      </c>
      <c r="N2949" s="4" t="s">
        <v>118</v>
      </c>
      <c r="O2949" s="4" t="s">
        <v>300</v>
      </c>
      <c r="P2949" s="4">
        <v>271</v>
      </c>
      <c r="Q2949" s="4" t="s">
        <v>50</v>
      </c>
      <c r="R2949" s="4" t="s">
        <v>51</v>
      </c>
      <c r="S2949" s="4">
        <v>160373</v>
      </c>
      <c r="T2949" s="4">
        <v>82004</v>
      </c>
      <c r="U2949" s="4">
        <v>78369</v>
      </c>
      <c r="V2949" s="4">
        <v>149868</v>
      </c>
      <c r="W2949" s="4">
        <v>3394</v>
      </c>
      <c r="X2949" s="4">
        <v>2144</v>
      </c>
      <c r="Y2949" s="4" t="s">
        <v>41</v>
      </c>
      <c r="Z2949" s="4">
        <v>45</v>
      </c>
      <c r="AA2949" s="4">
        <v>3.4</v>
      </c>
      <c r="AB2949" s="4" t="s">
        <v>104</v>
      </c>
    </row>
    <row r="2950" spans="1:28" x14ac:dyDescent="0.25">
      <c r="A2950" s="2" t="s">
        <v>3762</v>
      </c>
      <c r="B2950" s="2" t="s">
        <v>925</v>
      </c>
      <c r="C2950" s="2">
        <v>51</v>
      </c>
      <c r="D2950" s="2" t="s">
        <v>30</v>
      </c>
      <c r="E2950" s="2" t="s">
        <v>67</v>
      </c>
      <c r="F2950" s="2" t="s">
        <v>114</v>
      </c>
      <c r="G2950" s="3">
        <v>44831</v>
      </c>
      <c r="H2950" s="3">
        <v>44861</v>
      </c>
      <c r="I2950" s="2">
        <v>30</v>
      </c>
      <c r="J2950" s="2" t="s">
        <v>33</v>
      </c>
      <c r="K2950" s="2" t="s">
        <v>107</v>
      </c>
      <c r="L2950" s="2" t="s">
        <v>48</v>
      </c>
      <c r="M2950" s="2" t="s">
        <v>130</v>
      </c>
      <c r="N2950" s="2" t="s">
        <v>37</v>
      </c>
      <c r="O2950" s="2" t="s">
        <v>76</v>
      </c>
      <c r="P2950" s="2">
        <v>146</v>
      </c>
      <c r="Q2950" s="2" t="s">
        <v>39</v>
      </c>
      <c r="R2950" s="2" t="s">
        <v>90</v>
      </c>
      <c r="S2950" s="2">
        <v>82630</v>
      </c>
      <c r="T2950" s="2">
        <v>72409</v>
      </c>
      <c r="U2950" s="2">
        <v>10221</v>
      </c>
      <c r="V2950" s="2">
        <v>70506</v>
      </c>
      <c r="W2950" s="2">
        <v>1686</v>
      </c>
      <c r="X2950" s="2">
        <v>8245</v>
      </c>
      <c r="Y2950" s="2" t="s">
        <v>41</v>
      </c>
      <c r="Z2950" s="2">
        <v>54</v>
      </c>
      <c r="AA2950" s="2">
        <v>3.7</v>
      </c>
      <c r="AB2950" s="2" t="s">
        <v>42</v>
      </c>
    </row>
    <row r="2951" spans="1:28" x14ac:dyDescent="0.25">
      <c r="A2951" s="4" t="s">
        <v>3763</v>
      </c>
      <c r="B2951" s="4" t="s">
        <v>484</v>
      </c>
      <c r="C2951" s="4">
        <v>13</v>
      </c>
      <c r="D2951" s="4" t="s">
        <v>30</v>
      </c>
      <c r="E2951" s="4" t="s">
        <v>87</v>
      </c>
      <c r="F2951" s="4" t="s">
        <v>94</v>
      </c>
      <c r="G2951" s="5">
        <v>44605</v>
      </c>
      <c r="H2951" s="5">
        <v>44606</v>
      </c>
      <c r="I2951" s="4">
        <v>1</v>
      </c>
      <c r="J2951" s="4" t="s">
        <v>33</v>
      </c>
      <c r="K2951" s="4" t="s">
        <v>107</v>
      </c>
      <c r="L2951" s="4" t="s">
        <v>48</v>
      </c>
      <c r="M2951" s="4" t="s">
        <v>108</v>
      </c>
      <c r="N2951" s="4" t="s">
        <v>62</v>
      </c>
      <c r="O2951" s="4" t="s">
        <v>431</v>
      </c>
      <c r="P2951" s="4">
        <v>1</v>
      </c>
      <c r="Q2951" s="4" t="s">
        <v>69</v>
      </c>
      <c r="R2951" s="4" t="s">
        <v>51</v>
      </c>
      <c r="S2951" s="4">
        <v>106390</v>
      </c>
      <c r="T2951" s="4">
        <v>53001</v>
      </c>
      <c r="U2951" s="4">
        <v>53389</v>
      </c>
      <c r="V2951" s="4">
        <v>88261</v>
      </c>
      <c r="W2951" s="4">
        <v>9040</v>
      </c>
      <c r="X2951" s="4">
        <v>4769</v>
      </c>
      <c r="Y2951" s="4" t="s">
        <v>91</v>
      </c>
      <c r="Z2951" s="4">
        <v>68</v>
      </c>
      <c r="AA2951" s="4">
        <v>2.9</v>
      </c>
      <c r="AB2951" s="4" t="s">
        <v>42</v>
      </c>
    </row>
    <row r="2952" spans="1:28" x14ac:dyDescent="0.25">
      <c r="A2952" s="2" t="s">
        <v>3764</v>
      </c>
      <c r="B2952" s="2" t="s">
        <v>1338</v>
      </c>
      <c r="C2952" s="2">
        <v>43</v>
      </c>
      <c r="D2952" s="2" t="s">
        <v>30</v>
      </c>
      <c r="E2952" s="2" t="s">
        <v>31</v>
      </c>
      <c r="F2952" s="2" t="s">
        <v>72</v>
      </c>
      <c r="G2952" s="3">
        <v>45098</v>
      </c>
      <c r="H2952" s="3">
        <v>45107</v>
      </c>
      <c r="I2952" s="2">
        <v>9</v>
      </c>
      <c r="J2952" s="2" t="s">
        <v>33</v>
      </c>
      <c r="K2952" s="2" t="s">
        <v>81</v>
      </c>
      <c r="L2952" s="2" t="s">
        <v>82</v>
      </c>
      <c r="M2952" s="2" t="s">
        <v>143</v>
      </c>
      <c r="N2952" s="2" t="s">
        <v>37</v>
      </c>
      <c r="O2952" s="2" t="s">
        <v>175</v>
      </c>
      <c r="P2952" s="2">
        <v>213</v>
      </c>
      <c r="Q2952" s="2" t="s">
        <v>39</v>
      </c>
      <c r="R2952" s="2" t="s">
        <v>51</v>
      </c>
      <c r="S2952" s="2">
        <v>114131</v>
      </c>
      <c r="T2952" s="2">
        <v>49334</v>
      </c>
      <c r="U2952" s="2">
        <v>64797</v>
      </c>
      <c r="V2952" s="2">
        <v>95129</v>
      </c>
      <c r="W2952" s="2">
        <v>4138</v>
      </c>
      <c r="X2952" s="2">
        <v>10086</v>
      </c>
      <c r="Y2952" s="2" t="s">
        <v>41</v>
      </c>
      <c r="Z2952" s="2">
        <v>74</v>
      </c>
      <c r="AA2952" s="2">
        <v>4.5999999999999996</v>
      </c>
      <c r="AB2952" s="2" t="s">
        <v>64</v>
      </c>
    </row>
    <row r="2953" spans="1:28" x14ac:dyDescent="0.25">
      <c r="A2953" s="4" t="s">
        <v>3765</v>
      </c>
      <c r="B2953" s="4" t="s">
        <v>1139</v>
      </c>
      <c r="C2953" s="4">
        <v>83</v>
      </c>
      <c r="D2953" s="4" t="s">
        <v>30</v>
      </c>
      <c r="E2953" s="4" t="s">
        <v>56</v>
      </c>
      <c r="F2953" s="4" t="s">
        <v>80</v>
      </c>
      <c r="G2953" s="5">
        <v>45252</v>
      </c>
      <c r="H2953" s="5">
        <v>45281</v>
      </c>
      <c r="I2953" s="4">
        <v>29</v>
      </c>
      <c r="J2953" s="4" t="s">
        <v>123</v>
      </c>
      <c r="K2953" s="4" t="s">
        <v>124</v>
      </c>
      <c r="L2953" s="4" t="s">
        <v>125</v>
      </c>
      <c r="M2953" s="4" t="s">
        <v>101</v>
      </c>
      <c r="N2953" s="4" t="s">
        <v>109</v>
      </c>
      <c r="O2953" s="4" t="s">
        <v>189</v>
      </c>
      <c r="P2953" s="4">
        <v>242</v>
      </c>
      <c r="Q2953" s="4" t="s">
        <v>103</v>
      </c>
      <c r="R2953" s="4" t="s">
        <v>90</v>
      </c>
      <c r="S2953" s="4">
        <v>81081</v>
      </c>
      <c r="T2953" s="4">
        <v>51504</v>
      </c>
      <c r="U2953" s="4">
        <v>29577</v>
      </c>
      <c r="V2953" s="4">
        <v>54863</v>
      </c>
      <c r="W2953" s="4">
        <v>13108</v>
      </c>
      <c r="X2953" s="4">
        <v>9239</v>
      </c>
      <c r="Y2953" s="4" t="s">
        <v>41</v>
      </c>
      <c r="Z2953" s="4">
        <v>41</v>
      </c>
      <c r="AA2953" s="4">
        <v>2.2000000000000002</v>
      </c>
      <c r="AB2953" s="4" t="s">
        <v>64</v>
      </c>
    </row>
    <row r="2954" spans="1:28" x14ac:dyDescent="0.25">
      <c r="A2954" s="2" t="s">
        <v>3766</v>
      </c>
      <c r="B2954" s="2" t="s">
        <v>1457</v>
      </c>
      <c r="C2954" s="2">
        <v>36</v>
      </c>
      <c r="D2954" s="2" t="s">
        <v>30</v>
      </c>
      <c r="E2954" s="2" t="s">
        <v>87</v>
      </c>
      <c r="F2954" s="2" t="s">
        <v>157</v>
      </c>
      <c r="G2954" s="3">
        <v>45527</v>
      </c>
      <c r="H2954" s="3">
        <v>45549</v>
      </c>
      <c r="I2954" s="2">
        <v>22</v>
      </c>
      <c r="J2954" s="2" t="s">
        <v>33</v>
      </c>
      <c r="K2954" s="2" t="s">
        <v>233</v>
      </c>
      <c r="L2954" s="2" t="s">
        <v>35</v>
      </c>
      <c r="M2954" s="2" t="s">
        <v>75</v>
      </c>
      <c r="N2954" s="2" t="s">
        <v>109</v>
      </c>
      <c r="O2954" s="2" t="s">
        <v>382</v>
      </c>
      <c r="P2954" s="2">
        <v>30</v>
      </c>
      <c r="Q2954" s="2" t="s">
        <v>69</v>
      </c>
      <c r="R2954" s="2" t="s">
        <v>111</v>
      </c>
      <c r="S2954" s="2">
        <v>151370</v>
      </c>
      <c r="T2954" s="2">
        <v>115990</v>
      </c>
      <c r="U2954" s="2">
        <v>35380</v>
      </c>
      <c r="V2954" s="2">
        <v>128720</v>
      </c>
      <c r="W2954" s="2">
        <v>5612</v>
      </c>
      <c r="X2954" s="2">
        <v>13921</v>
      </c>
      <c r="Y2954" s="2" t="s">
        <v>91</v>
      </c>
      <c r="Z2954" s="2">
        <v>90</v>
      </c>
      <c r="AA2954" s="2">
        <v>2.2000000000000002</v>
      </c>
      <c r="AB2954" s="2" t="s">
        <v>104</v>
      </c>
    </row>
    <row r="2955" spans="1:28" x14ac:dyDescent="0.25">
      <c r="A2955" s="4" t="s">
        <v>3767</v>
      </c>
      <c r="B2955" s="4" t="s">
        <v>978</v>
      </c>
      <c r="C2955" s="4">
        <v>28</v>
      </c>
      <c r="D2955" s="4" t="s">
        <v>30</v>
      </c>
      <c r="E2955" s="4" t="s">
        <v>122</v>
      </c>
      <c r="F2955" s="4" t="s">
        <v>72</v>
      </c>
      <c r="G2955" s="5">
        <v>45118</v>
      </c>
      <c r="H2955" s="5">
        <v>45132</v>
      </c>
      <c r="I2955" s="4">
        <v>14</v>
      </c>
      <c r="J2955" s="4" t="s">
        <v>115</v>
      </c>
      <c r="K2955" s="4" t="s">
        <v>116</v>
      </c>
      <c r="L2955" s="4" t="s">
        <v>117</v>
      </c>
      <c r="M2955" s="4" t="s">
        <v>130</v>
      </c>
      <c r="N2955" s="4" t="s">
        <v>118</v>
      </c>
      <c r="O2955" s="4" t="s">
        <v>184</v>
      </c>
      <c r="P2955" s="4">
        <v>265</v>
      </c>
      <c r="Q2955" s="4" t="s">
        <v>69</v>
      </c>
      <c r="R2955" s="4" t="s">
        <v>40</v>
      </c>
      <c r="S2955" s="4">
        <v>133872</v>
      </c>
      <c r="T2955" s="4">
        <v>88154</v>
      </c>
      <c r="U2955" s="4">
        <v>45718</v>
      </c>
      <c r="V2955" s="4">
        <v>100256</v>
      </c>
      <c r="W2955" s="4">
        <v>25279</v>
      </c>
      <c r="X2955" s="4">
        <v>6556</v>
      </c>
      <c r="Y2955" s="4" t="s">
        <v>41</v>
      </c>
      <c r="Z2955" s="4">
        <v>88</v>
      </c>
      <c r="AA2955" s="4">
        <v>3.8</v>
      </c>
      <c r="AB2955" s="4" t="s">
        <v>64</v>
      </c>
    </row>
    <row r="2956" spans="1:28" x14ac:dyDescent="0.25">
      <c r="A2956" s="2" t="s">
        <v>3768</v>
      </c>
      <c r="B2956" s="2" t="s">
        <v>597</v>
      </c>
      <c r="C2956" s="2">
        <v>38</v>
      </c>
      <c r="D2956" s="2" t="s">
        <v>55</v>
      </c>
      <c r="E2956" s="2" t="s">
        <v>87</v>
      </c>
      <c r="F2956" s="2" t="s">
        <v>57</v>
      </c>
      <c r="G2956" s="3">
        <v>45100</v>
      </c>
      <c r="H2956" s="3">
        <v>45129</v>
      </c>
      <c r="I2956" s="2">
        <v>29</v>
      </c>
      <c r="J2956" s="2" t="s">
        <v>33</v>
      </c>
      <c r="K2956" s="2" t="s">
        <v>34</v>
      </c>
      <c r="L2956" s="2" t="s">
        <v>35</v>
      </c>
      <c r="M2956" s="2" t="s">
        <v>130</v>
      </c>
      <c r="N2956" s="2" t="s">
        <v>109</v>
      </c>
      <c r="O2956" s="2" t="s">
        <v>438</v>
      </c>
      <c r="P2956" s="2">
        <v>211</v>
      </c>
      <c r="Q2956" s="2" t="s">
        <v>69</v>
      </c>
      <c r="R2956" s="2" t="s">
        <v>111</v>
      </c>
      <c r="S2956" s="2">
        <v>136071</v>
      </c>
      <c r="T2956" s="2">
        <v>104914</v>
      </c>
      <c r="U2956" s="2">
        <v>31157</v>
      </c>
      <c r="V2956" s="2">
        <v>122385</v>
      </c>
      <c r="W2956" s="2">
        <v>5478</v>
      </c>
      <c r="X2956" s="2">
        <v>3626</v>
      </c>
      <c r="Y2956" s="2" t="s">
        <v>41</v>
      </c>
      <c r="Z2956" s="2">
        <v>54</v>
      </c>
      <c r="AA2956" s="2">
        <v>2.1</v>
      </c>
      <c r="AB2956" s="2" t="s">
        <v>104</v>
      </c>
    </row>
    <row r="2957" spans="1:28" x14ac:dyDescent="0.25">
      <c r="A2957" s="4" t="s">
        <v>3769</v>
      </c>
      <c r="B2957" s="4" t="s">
        <v>709</v>
      </c>
      <c r="C2957" s="4">
        <v>29</v>
      </c>
      <c r="D2957" s="4" t="s">
        <v>55</v>
      </c>
      <c r="E2957" s="4" t="s">
        <v>56</v>
      </c>
      <c r="F2957" s="4" t="s">
        <v>72</v>
      </c>
      <c r="G2957" s="5">
        <v>44890</v>
      </c>
      <c r="H2957" s="5">
        <v>44901</v>
      </c>
      <c r="I2957" s="4">
        <v>11</v>
      </c>
      <c r="J2957" s="4" t="s">
        <v>33</v>
      </c>
      <c r="K2957" s="4" t="s">
        <v>34</v>
      </c>
      <c r="L2957" s="4" t="s">
        <v>35</v>
      </c>
      <c r="M2957" s="4" t="s">
        <v>108</v>
      </c>
      <c r="N2957" s="4" t="s">
        <v>118</v>
      </c>
      <c r="O2957" s="4" t="s">
        <v>373</v>
      </c>
      <c r="P2957" s="4">
        <v>133</v>
      </c>
      <c r="Q2957" s="4" t="s">
        <v>50</v>
      </c>
      <c r="R2957" s="4" t="s">
        <v>136</v>
      </c>
      <c r="S2957" s="4">
        <v>28603</v>
      </c>
      <c r="T2957" s="4">
        <v>0</v>
      </c>
      <c r="U2957" s="4">
        <v>28603</v>
      </c>
      <c r="V2957" s="4">
        <v>16996</v>
      </c>
      <c r="W2957" s="4">
        <v>6589</v>
      </c>
      <c r="X2957" s="4">
        <v>3844</v>
      </c>
      <c r="Y2957" s="4" t="s">
        <v>41</v>
      </c>
      <c r="Z2957" s="4">
        <v>68</v>
      </c>
      <c r="AA2957" s="4">
        <v>4.9000000000000004</v>
      </c>
      <c r="AB2957" s="4" t="s">
        <v>52</v>
      </c>
    </row>
    <row r="2958" spans="1:28" x14ac:dyDescent="0.25">
      <c r="A2958" s="2" t="s">
        <v>3770</v>
      </c>
      <c r="B2958" s="2" t="s">
        <v>769</v>
      </c>
      <c r="C2958" s="2">
        <v>67</v>
      </c>
      <c r="D2958" s="2" t="s">
        <v>55</v>
      </c>
      <c r="E2958" s="2" t="s">
        <v>45</v>
      </c>
      <c r="F2958" s="2" t="s">
        <v>114</v>
      </c>
      <c r="G2958" s="3">
        <v>45295</v>
      </c>
      <c r="H2958" s="3">
        <v>45297</v>
      </c>
      <c r="I2958" s="2">
        <v>2</v>
      </c>
      <c r="J2958" s="2" t="s">
        <v>115</v>
      </c>
      <c r="K2958" s="2" t="s">
        <v>160</v>
      </c>
      <c r="L2958" s="2" t="s">
        <v>117</v>
      </c>
      <c r="M2958" s="2" t="s">
        <v>36</v>
      </c>
      <c r="N2958" s="2" t="s">
        <v>118</v>
      </c>
      <c r="O2958" s="2" t="s">
        <v>38</v>
      </c>
      <c r="P2958" s="2">
        <v>248</v>
      </c>
      <c r="Q2958" s="2" t="s">
        <v>50</v>
      </c>
      <c r="R2958" s="2" t="s">
        <v>51</v>
      </c>
      <c r="S2958" s="2">
        <v>158830</v>
      </c>
      <c r="T2958" s="2">
        <v>84316</v>
      </c>
      <c r="U2958" s="2">
        <v>74514</v>
      </c>
      <c r="V2958" s="2">
        <v>139983</v>
      </c>
      <c r="W2958" s="2">
        <v>8261</v>
      </c>
      <c r="X2958" s="2">
        <v>8866</v>
      </c>
      <c r="Y2958" s="2" t="s">
        <v>91</v>
      </c>
      <c r="Z2958" s="2">
        <v>43</v>
      </c>
      <c r="AA2958" s="2">
        <v>2.2000000000000002</v>
      </c>
      <c r="AB2958" s="2" t="s">
        <v>104</v>
      </c>
    </row>
    <row r="2959" spans="1:28" x14ac:dyDescent="0.25">
      <c r="A2959" s="4" t="s">
        <v>3771</v>
      </c>
      <c r="B2959" s="4" t="s">
        <v>499</v>
      </c>
      <c r="C2959" s="4">
        <v>45</v>
      </c>
      <c r="D2959" s="4" t="s">
        <v>55</v>
      </c>
      <c r="E2959" s="4" t="s">
        <v>67</v>
      </c>
      <c r="F2959" s="4" t="s">
        <v>129</v>
      </c>
      <c r="G2959" s="5">
        <v>44660</v>
      </c>
      <c r="H2959" s="5">
        <v>44676</v>
      </c>
      <c r="I2959" s="4">
        <v>16</v>
      </c>
      <c r="J2959" s="4" t="s">
        <v>33</v>
      </c>
      <c r="K2959" s="4" t="s">
        <v>81</v>
      </c>
      <c r="L2959" s="4" t="s">
        <v>82</v>
      </c>
      <c r="M2959" s="4" t="s">
        <v>101</v>
      </c>
      <c r="N2959" s="4" t="s">
        <v>118</v>
      </c>
      <c r="O2959" s="4" t="s">
        <v>343</v>
      </c>
      <c r="P2959" s="4">
        <v>348</v>
      </c>
      <c r="Q2959" s="4" t="s">
        <v>103</v>
      </c>
      <c r="R2959" s="4" t="s">
        <v>90</v>
      </c>
      <c r="S2959" s="4">
        <v>167226</v>
      </c>
      <c r="T2959" s="4">
        <v>107394</v>
      </c>
      <c r="U2959" s="4">
        <v>59832</v>
      </c>
      <c r="V2959" s="4">
        <v>137529</v>
      </c>
      <c r="W2959" s="4">
        <v>15197</v>
      </c>
      <c r="X2959" s="4">
        <v>10326</v>
      </c>
      <c r="Y2959" s="4" t="s">
        <v>91</v>
      </c>
      <c r="Z2959" s="4">
        <v>41</v>
      </c>
      <c r="AA2959" s="4">
        <v>3.3</v>
      </c>
      <c r="AB2959" s="4" t="s">
        <v>42</v>
      </c>
    </row>
    <row r="2960" spans="1:28" x14ac:dyDescent="0.25">
      <c r="A2960" s="2" t="s">
        <v>3772</v>
      </c>
      <c r="B2960" s="2" t="s">
        <v>852</v>
      </c>
      <c r="C2960" s="2">
        <v>59</v>
      </c>
      <c r="D2960" s="2" t="s">
        <v>30</v>
      </c>
      <c r="E2960" s="2" t="s">
        <v>87</v>
      </c>
      <c r="F2960" s="2" t="s">
        <v>72</v>
      </c>
      <c r="G2960" s="3">
        <v>45096</v>
      </c>
      <c r="H2960" s="3">
        <v>45115</v>
      </c>
      <c r="I2960" s="2">
        <v>19</v>
      </c>
      <c r="J2960" s="2" t="s">
        <v>140</v>
      </c>
      <c r="K2960" s="2" t="s">
        <v>141</v>
      </c>
      <c r="L2960" s="2" t="s">
        <v>142</v>
      </c>
      <c r="M2960" s="2" t="s">
        <v>36</v>
      </c>
      <c r="N2960" s="2" t="s">
        <v>118</v>
      </c>
      <c r="O2960" s="2" t="s">
        <v>580</v>
      </c>
      <c r="P2960" s="2">
        <v>5</v>
      </c>
      <c r="Q2960" s="2" t="s">
        <v>69</v>
      </c>
      <c r="R2960" s="2" t="s">
        <v>111</v>
      </c>
      <c r="S2960" s="2">
        <v>151002</v>
      </c>
      <c r="T2960" s="2">
        <v>105549</v>
      </c>
      <c r="U2960" s="2">
        <v>45453</v>
      </c>
      <c r="V2960" s="2">
        <v>139365</v>
      </c>
      <c r="W2960" s="2">
        <v>7486</v>
      </c>
      <c r="X2960" s="2">
        <v>1783</v>
      </c>
      <c r="Y2960" s="2" t="s">
        <v>41</v>
      </c>
      <c r="Z2960" s="2">
        <v>98</v>
      </c>
      <c r="AA2960" s="2">
        <v>3.9</v>
      </c>
      <c r="AB2960" s="2" t="s">
        <v>42</v>
      </c>
    </row>
    <row r="2961" spans="1:28" x14ac:dyDescent="0.25">
      <c r="A2961" s="4" t="s">
        <v>3773</v>
      </c>
      <c r="B2961" s="4" t="s">
        <v>2271</v>
      </c>
      <c r="C2961" s="4">
        <v>57</v>
      </c>
      <c r="D2961" s="4" t="s">
        <v>30</v>
      </c>
      <c r="E2961" s="4" t="s">
        <v>56</v>
      </c>
      <c r="F2961" s="4" t="s">
        <v>150</v>
      </c>
      <c r="G2961" s="5">
        <v>45400</v>
      </c>
      <c r="H2961" s="5">
        <v>45412</v>
      </c>
      <c r="I2961" s="4">
        <v>12</v>
      </c>
      <c r="J2961" s="4" t="s">
        <v>202</v>
      </c>
      <c r="K2961" s="4" t="s">
        <v>225</v>
      </c>
      <c r="L2961" s="4" t="s">
        <v>226</v>
      </c>
      <c r="M2961" s="4" t="s">
        <v>36</v>
      </c>
      <c r="N2961" s="4" t="s">
        <v>109</v>
      </c>
      <c r="O2961" s="4" t="s">
        <v>352</v>
      </c>
      <c r="P2961" s="4">
        <v>12</v>
      </c>
      <c r="Q2961" s="4" t="s">
        <v>103</v>
      </c>
      <c r="R2961" s="4" t="s">
        <v>90</v>
      </c>
      <c r="S2961" s="4">
        <v>132752</v>
      </c>
      <c r="T2961" s="4">
        <v>93244</v>
      </c>
      <c r="U2961" s="4">
        <v>39508</v>
      </c>
      <c r="V2961" s="4">
        <v>123140</v>
      </c>
      <c r="W2961" s="4">
        <v>3535</v>
      </c>
      <c r="X2961" s="4">
        <v>2666</v>
      </c>
      <c r="Y2961" s="4" t="s">
        <v>91</v>
      </c>
      <c r="Z2961" s="4">
        <v>68</v>
      </c>
      <c r="AA2961" s="4">
        <v>3</v>
      </c>
      <c r="AB2961" s="4" t="s">
        <v>52</v>
      </c>
    </row>
    <row r="2962" spans="1:28" x14ac:dyDescent="0.25">
      <c r="A2962" s="2" t="s">
        <v>3774</v>
      </c>
      <c r="B2962" s="2" t="s">
        <v>342</v>
      </c>
      <c r="C2962" s="2">
        <v>83</v>
      </c>
      <c r="D2962" s="2" t="s">
        <v>55</v>
      </c>
      <c r="E2962" s="2" t="s">
        <v>87</v>
      </c>
      <c r="F2962" s="2" t="s">
        <v>94</v>
      </c>
      <c r="G2962" s="3">
        <v>44888</v>
      </c>
      <c r="H2962" s="3">
        <v>44915</v>
      </c>
      <c r="I2962" s="2">
        <v>27</v>
      </c>
      <c r="J2962" s="2" t="s">
        <v>33</v>
      </c>
      <c r="K2962" s="2" t="s">
        <v>81</v>
      </c>
      <c r="L2962" s="2" t="s">
        <v>82</v>
      </c>
      <c r="M2962" s="2" t="s">
        <v>130</v>
      </c>
      <c r="N2962" s="2" t="s">
        <v>109</v>
      </c>
      <c r="O2962" s="2" t="s">
        <v>471</v>
      </c>
      <c r="P2962" s="2">
        <v>158</v>
      </c>
      <c r="Q2962" s="2" t="s">
        <v>39</v>
      </c>
      <c r="R2962" s="2" t="s">
        <v>136</v>
      </c>
      <c r="S2962" s="2">
        <v>41854</v>
      </c>
      <c r="T2962" s="2">
        <v>0</v>
      </c>
      <c r="U2962" s="2">
        <v>41854</v>
      </c>
      <c r="V2962" s="2">
        <v>21102</v>
      </c>
      <c r="W2962" s="2">
        <v>6999</v>
      </c>
      <c r="X2962" s="2">
        <v>8978</v>
      </c>
      <c r="Y2962" s="2" t="s">
        <v>41</v>
      </c>
      <c r="Z2962" s="2">
        <v>94</v>
      </c>
      <c r="AA2962" s="2">
        <v>2.9</v>
      </c>
      <c r="AB2962" s="2" t="s">
        <v>42</v>
      </c>
    </row>
    <row r="2963" spans="1:28" x14ac:dyDescent="0.25">
      <c r="A2963" s="4" t="s">
        <v>3775</v>
      </c>
      <c r="B2963" s="4" t="s">
        <v>98</v>
      </c>
      <c r="C2963" s="4">
        <v>70</v>
      </c>
      <c r="D2963" s="4" t="s">
        <v>30</v>
      </c>
      <c r="E2963" s="4" t="s">
        <v>87</v>
      </c>
      <c r="F2963" s="4" t="s">
        <v>157</v>
      </c>
      <c r="G2963" s="5">
        <v>45562</v>
      </c>
      <c r="H2963" s="5">
        <v>45573</v>
      </c>
      <c r="I2963" s="4">
        <v>11</v>
      </c>
      <c r="J2963" s="4" t="s">
        <v>33</v>
      </c>
      <c r="K2963" s="4" t="s">
        <v>81</v>
      </c>
      <c r="L2963" s="4" t="s">
        <v>82</v>
      </c>
      <c r="M2963" s="4" t="s">
        <v>61</v>
      </c>
      <c r="N2963" s="4" t="s">
        <v>118</v>
      </c>
      <c r="O2963" s="4" t="s">
        <v>234</v>
      </c>
      <c r="P2963" s="4">
        <v>1</v>
      </c>
      <c r="Q2963" s="4" t="s">
        <v>39</v>
      </c>
      <c r="R2963" s="4" t="s">
        <v>51</v>
      </c>
      <c r="S2963" s="4">
        <v>53830</v>
      </c>
      <c r="T2963" s="4">
        <v>24792</v>
      </c>
      <c r="U2963" s="4">
        <v>29038</v>
      </c>
      <c r="V2963" s="4">
        <v>22964</v>
      </c>
      <c r="W2963" s="4">
        <v>18660</v>
      </c>
      <c r="X2963" s="4">
        <v>7448</v>
      </c>
      <c r="Y2963" s="4" t="s">
        <v>91</v>
      </c>
      <c r="Z2963" s="4">
        <v>69</v>
      </c>
      <c r="AA2963" s="4">
        <v>4.9000000000000004</v>
      </c>
      <c r="AB2963" s="4" t="s">
        <v>64</v>
      </c>
    </row>
    <row r="2964" spans="1:28" x14ac:dyDescent="0.25">
      <c r="A2964" s="2" t="s">
        <v>3776</v>
      </c>
      <c r="B2964" s="2" t="s">
        <v>479</v>
      </c>
      <c r="C2964" s="2">
        <v>47</v>
      </c>
      <c r="D2964" s="2" t="s">
        <v>30</v>
      </c>
      <c r="E2964" s="2" t="s">
        <v>31</v>
      </c>
      <c r="F2964" s="2" t="s">
        <v>150</v>
      </c>
      <c r="G2964" s="3">
        <v>44568</v>
      </c>
      <c r="H2964" s="3">
        <v>44572</v>
      </c>
      <c r="I2964" s="2">
        <v>4</v>
      </c>
      <c r="J2964" s="2" t="s">
        <v>33</v>
      </c>
      <c r="K2964" s="2" t="s">
        <v>34</v>
      </c>
      <c r="L2964" s="2" t="s">
        <v>35</v>
      </c>
      <c r="M2964" s="2" t="s">
        <v>108</v>
      </c>
      <c r="N2964" s="2" t="s">
        <v>109</v>
      </c>
      <c r="O2964" s="2" t="s">
        <v>295</v>
      </c>
      <c r="P2964" s="2">
        <v>236</v>
      </c>
      <c r="Q2964" s="2" t="s">
        <v>39</v>
      </c>
      <c r="R2964" s="2" t="s">
        <v>40</v>
      </c>
      <c r="S2964" s="2">
        <v>105103</v>
      </c>
      <c r="T2964" s="2">
        <v>44882</v>
      </c>
      <c r="U2964" s="2">
        <v>60221</v>
      </c>
      <c r="V2964" s="2">
        <v>73728</v>
      </c>
      <c r="W2964" s="2">
        <v>19746</v>
      </c>
      <c r="X2964" s="2">
        <v>7791</v>
      </c>
      <c r="Y2964" s="2" t="s">
        <v>41</v>
      </c>
      <c r="Z2964" s="2">
        <v>83</v>
      </c>
      <c r="AA2964" s="2">
        <v>2.7</v>
      </c>
      <c r="AB2964" s="2" t="s">
        <v>42</v>
      </c>
    </row>
    <row r="2965" spans="1:28" x14ac:dyDescent="0.25">
      <c r="A2965" s="4" t="s">
        <v>3777</v>
      </c>
      <c r="B2965" s="4" t="s">
        <v>511</v>
      </c>
      <c r="C2965" s="4">
        <v>53</v>
      </c>
      <c r="D2965" s="4" t="s">
        <v>55</v>
      </c>
      <c r="E2965" s="4" t="s">
        <v>56</v>
      </c>
      <c r="F2965" s="4" t="s">
        <v>32</v>
      </c>
      <c r="G2965" s="5">
        <v>44770</v>
      </c>
      <c r="H2965" s="5">
        <v>44771</v>
      </c>
      <c r="I2965" s="4">
        <v>1</v>
      </c>
      <c r="J2965" s="4" t="s">
        <v>33</v>
      </c>
      <c r="K2965" s="4" t="s">
        <v>233</v>
      </c>
      <c r="L2965" s="4" t="s">
        <v>35</v>
      </c>
      <c r="M2965" s="4" t="s">
        <v>108</v>
      </c>
      <c r="N2965" s="4" t="s">
        <v>109</v>
      </c>
      <c r="O2965" s="4" t="s">
        <v>399</v>
      </c>
      <c r="P2965" s="4">
        <v>102</v>
      </c>
      <c r="Q2965" s="4" t="s">
        <v>69</v>
      </c>
      <c r="R2965" s="4" t="s">
        <v>90</v>
      </c>
      <c r="S2965" s="4">
        <v>122980</v>
      </c>
      <c r="T2965" s="4">
        <v>93895</v>
      </c>
      <c r="U2965" s="4">
        <v>29085</v>
      </c>
      <c r="V2965" s="4">
        <v>87321</v>
      </c>
      <c r="W2965" s="4">
        <v>25721</v>
      </c>
      <c r="X2965" s="4">
        <v>8568</v>
      </c>
      <c r="Y2965" s="4" t="s">
        <v>91</v>
      </c>
      <c r="Z2965" s="4">
        <v>64</v>
      </c>
      <c r="AA2965" s="4">
        <v>3</v>
      </c>
      <c r="AB2965" s="4" t="s">
        <v>64</v>
      </c>
    </row>
    <row r="2966" spans="1:28" x14ac:dyDescent="0.25">
      <c r="A2966" s="2" t="s">
        <v>3778</v>
      </c>
      <c r="B2966" s="2" t="s">
        <v>677</v>
      </c>
      <c r="C2966" s="2">
        <v>19</v>
      </c>
      <c r="D2966" s="2" t="s">
        <v>55</v>
      </c>
      <c r="E2966" s="2" t="s">
        <v>67</v>
      </c>
      <c r="F2966" s="2" t="s">
        <v>94</v>
      </c>
      <c r="G2966" s="3">
        <v>45094</v>
      </c>
      <c r="H2966" s="3">
        <v>45108</v>
      </c>
      <c r="I2966" s="2">
        <v>14</v>
      </c>
      <c r="J2966" s="2" t="s">
        <v>33</v>
      </c>
      <c r="K2966" s="2" t="s">
        <v>81</v>
      </c>
      <c r="L2966" s="2" t="s">
        <v>82</v>
      </c>
      <c r="M2966" s="2" t="s">
        <v>95</v>
      </c>
      <c r="N2966" s="2" t="s">
        <v>37</v>
      </c>
      <c r="O2966" s="2" t="s">
        <v>434</v>
      </c>
      <c r="P2966" s="2">
        <v>129</v>
      </c>
      <c r="Q2966" s="2" t="s">
        <v>69</v>
      </c>
      <c r="R2966" s="2" t="s">
        <v>136</v>
      </c>
      <c r="S2966" s="2">
        <v>88368</v>
      </c>
      <c r="T2966" s="2">
        <v>0</v>
      </c>
      <c r="U2966" s="2">
        <v>88368</v>
      </c>
      <c r="V2966" s="2">
        <v>53134</v>
      </c>
      <c r="W2966" s="2">
        <v>21851</v>
      </c>
      <c r="X2966" s="2">
        <v>12196</v>
      </c>
      <c r="Y2966" s="2" t="s">
        <v>41</v>
      </c>
      <c r="Z2966" s="2">
        <v>53</v>
      </c>
      <c r="AA2966" s="2">
        <v>4.5</v>
      </c>
      <c r="AB2966" s="2" t="s">
        <v>52</v>
      </c>
    </row>
    <row r="2967" spans="1:28" x14ac:dyDescent="0.25">
      <c r="A2967" s="4" t="s">
        <v>3779</v>
      </c>
      <c r="B2967" s="4" t="s">
        <v>1222</v>
      </c>
      <c r="C2967" s="4">
        <v>29</v>
      </c>
      <c r="D2967" s="4" t="s">
        <v>30</v>
      </c>
      <c r="E2967" s="4" t="s">
        <v>79</v>
      </c>
      <c r="F2967" s="4" t="s">
        <v>80</v>
      </c>
      <c r="G2967" s="5">
        <v>45411</v>
      </c>
      <c r="H2967" s="5">
        <v>45427</v>
      </c>
      <c r="I2967" s="4">
        <v>16</v>
      </c>
      <c r="J2967" s="4" t="s">
        <v>202</v>
      </c>
      <c r="K2967" s="4" t="s">
        <v>203</v>
      </c>
      <c r="L2967" s="4" t="s">
        <v>204</v>
      </c>
      <c r="M2967" s="4" t="s">
        <v>36</v>
      </c>
      <c r="N2967" s="4" t="s">
        <v>109</v>
      </c>
      <c r="O2967" s="4" t="s">
        <v>211</v>
      </c>
      <c r="P2967" s="4">
        <v>283</v>
      </c>
      <c r="Q2967" s="4" t="s">
        <v>103</v>
      </c>
      <c r="R2967" s="4" t="s">
        <v>111</v>
      </c>
      <c r="S2967" s="4">
        <v>96457</v>
      </c>
      <c r="T2967" s="4">
        <v>71596</v>
      </c>
      <c r="U2967" s="4">
        <v>24861</v>
      </c>
      <c r="V2967" s="4">
        <v>83859</v>
      </c>
      <c r="W2967" s="4">
        <v>3450</v>
      </c>
      <c r="X2967" s="4">
        <v>5767</v>
      </c>
      <c r="Y2967" s="4" t="s">
        <v>41</v>
      </c>
      <c r="Z2967" s="4">
        <v>87</v>
      </c>
      <c r="AA2967" s="4">
        <v>4.5</v>
      </c>
      <c r="AB2967" s="4" t="s">
        <v>64</v>
      </c>
    </row>
    <row r="2968" spans="1:28" x14ac:dyDescent="0.25">
      <c r="A2968" s="2" t="s">
        <v>3780</v>
      </c>
      <c r="B2968" s="2" t="s">
        <v>774</v>
      </c>
      <c r="C2968" s="2">
        <v>13</v>
      </c>
      <c r="D2968" s="2" t="s">
        <v>55</v>
      </c>
      <c r="E2968" s="2" t="s">
        <v>31</v>
      </c>
      <c r="F2968" s="2" t="s">
        <v>72</v>
      </c>
      <c r="G2968" s="3">
        <v>45337</v>
      </c>
      <c r="H2968" s="3">
        <v>45354</v>
      </c>
      <c r="I2968" s="2">
        <v>17</v>
      </c>
      <c r="J2968" s="2" t="s">
        <v>73</v>
      </c>
      <c r="K2968" s="2" t="s">
        <v>74</v>
      </c>
      <c r="L2968" s="2" t="s">
        <v>73</v>
      </c>
      <c r="M2968" s="2" t="s">
        <v>130</v>
      </c>
      <c r="N2968" s="2" t="s">
        <v>109</v>
      </c>
      <c r="O2968" s="2" t="s">
        <v>217</v>
      </c>
      <c r="P2968" s="2">
        <v>296</v>
      </c>
      <c r="Q2968" s="2" t="s">
        <v>103</v>
      </c>
      <c r="R2968" s="2" t="s">
        <v>111</v>
      </c>
      <c r="S2968" s="2">
        <v>162439</v>
      </c>
      <c r="T2968" s="2">
        <v>135196</v>
      </c>
      <c r="U2968" s="2">
        <v>27243</v>
      </c>
      <c r="V2968" s="2">
        <v>132333</v>
      </c>
      <c r="W2968" s="2">
        <v>24753</v>
      </c>
      <c r="X2968" s="2">
        <v>3390</v>
      </c>
      <c r="Y2968" s="2" t="s">
        <v>41</v>
      </c>
      <c r="Z2968" s="2">
        <v>45</v>
      </c>
      <c r="AA2968" s="2">
        <v>4.3</v>
      </c>
      <c r="AB2968" s="2" t="s">
        <v>104</v>
      </c>
    </row>
    <row r="2969" spans="1:28" x14ac:dyDescent="0.25">
      <c r="A2969" s="4" t="s">
        <v>3781</v>
      </c>
      <c r="B2969" s="4" t="s">
        <v>629</v>
      </c>
      <c r="C2969" s="4">
        <v>8</v>
      </c>
      <c r="D2969" s="4" t="s">
        <v>55</v>
      </c>
      <c r="E2969" s="4" t="s">
        <v>31</v>
      </c>
      <c r="F2969" s="4" t="s">
        <v>114</v>
      </c>
      <c r="G2969" s="5">
        <v>45407</v>
      </c>
      <c r="H2969" s="5">
        <v>45424</v>
      </c>
      <c r="I2969" s="4">
        <v>17</v>
      </c>
      <c r="J2969" s="4" t="s">
        <v>33</v>
      </c>
      <c r="K2969" s="4" t="s">
        <v>278</v>
      </c>
      <c r="L2969" s="4" t="s">
        <v>279</v>
      </c>
      <c r="M2969" s="4" t="s">
        <v>101</v>
      </c>
      <c r="N2969" s="4" t="s">
        <v>118</v>
      </c>
      <c r="O2969" s="4" t="s">
        <v>147</v>
      </c>
      <c r="P2969" s="4">
        <v>254</v>
      </c>
      <c r="Q2969" s="4" t="s">
        <v>39</v>
      </c>
      <c r="R2969" s="4" t="s">
        <v>111</v>
      </c>
      <c r="S2969" s="4">
        <v>154454</v>
      </c>
      <c r="T2969" s="4">
        <v>115393</v>
      </c>
      <c r="U2969" s="4">
        <v>39061</v>
      </c>
      <c r="V2969" s="4">
        <v>129683</v>
      </c>
      <c r="W2969" s="4">
        <v>16771</v>
      </c>
      <c r="X2969" s="4">
        <v>5073</v>
      </c>
      <c r="Y2969" s="4" t="s">
        <v>41</v>
      </c>
      <c r="Z2969" s="4">
        <v>58</v>
      </c>
      <c r="AA2969" s="4">
        <v>3</v>
      </c>
      <c r="AB2969" s="4" t="s">
        <v>104</v>
      </c>
    </row>
    <row r="2970" spans="1:28" x14ac:dyDescent="0.25">
      <c r="A2970" s="2" t="s">
        <v>3782</v>
      </c>
      <c r="B2970" s="2" t="s">
        <v>760</v>
      </c>
      <c r="C2970" s="2">
        <v>47</v>
      </c>
      <c r="D2970" s="2" t="s">
        <v>30</v>
      </c>
      <c r="E2970" s="2" t="s">
        <v>79</v>
      </c>
      <c r="F2970" s="2" t="s">
        <v>72</v>
      </c>
      <c r="G2970" s="3">
        <v>45453</v>
      </c>
      <c r="H2970" s="3">
        <v>45471</v>
      </c>
      <c r="I2970" s="2">
        <v>18</v>
      </c>
      <c r="J2970" s="2" t="s">
        <v>140</v>
      </c>
      <c r="K2970" s="2" t="s">
        <v>167</v>
      </c>
      <c r="L2970" s="2" t="s">
        <v>142</v>
      </c>
      <c r="M2970" s="2" t="s">
        <v>143</v>
      </c>
      <c r="N2970" s="2" t="s">
        <v>37</v>
      </c>
      <c r="O2970" s="2" t="s">
        <v>368</v>
      </c>
      <c r="P2970" s="2">
        <v>134</v>
      </c>
      <c r="Q2970" s="2" t="s">
        <v>69</v>
      </c>
      <c r="R2970" s="2" t="s">
        <v>40</v>
      </c>
      <c r="S2970" s="2">
        <v>164431</v>
      </c>
      <c r="T2970" s="2">
        <v>71217</v>
      </c>
      <c r="U2970" s="2">
        <v>93214</v>
      </c>
      <c r="V2970" s="2">
        <v>147463</v>
      </c>
      <c r="W2970" s="2">
        <v>4039</v>
      </c>
      <c r="X2970" s="2">
        <v>8334</v>
      </c>
      <c r="Y2970" s="2" t="s">
        <v>91</v>
      </c>
      <c r="Z2970" s="2">
        <v>77</v>
      </c>
      <c r="AA2970" s="2">
        <v>3.8</v>
      </c>
      <c r="AB2970" s="2" t="s">
        <v>52</v>
      </c>
    </row>
    <row r="2971" spans="1:28" x14ac:dyDescent="0.25">
      <c r="A2971" s="4" t="s">
        <v>3783</v>
      </c>
      <c r="B2971" s="4" t="s">
        <v>938</v>
      </c>
      <c r="C2971" s="4">
        <v>28</v>
      </c>
      <c r="D2971" s="4" t="s">
        <v>55</v>
      </c>
      <c r="E2971" s="4" t="s">
        <v>67</v>
      </c>
      <c r="F2971" s="4" t="s">
        <v>32</v>
      </c>
      <c r="G2971" s="5">
        <v>44917</v>
      </c>
      <c r="H2971" s="5">
        <v>44926</v>
      </c>
      <c r="I2971" s="4">
        <v>9</v>
      </c>
      <c r="J2971" s="4" t="s">
        <v>33</v>
      </c>
      <c r="K2971" s="4" t="s">
        <v>174</v>
      </c>
      <c r="L2971" s="4" t="s">
        <v>48</v>
      </c>
      <c r="M2971" s="4" t="s">
        <v>130</v>
      </c>
      <c r="N2971" s="4" t="s">
        <v>118</v>
      </c>
      <c r="O2971" s="4" t="s">
        <v>530</v>
      </c>
      <c r="P2971" s="4">
        <v>349</v>
      </c>
      <c r="Q2971" s="4" t="s">
        <v>50</v>
      </c>
      <c r="R2971" s="4" t="s">
        <v>136</v>
      </c>
      <c r="S2971" s="4">
        <v>96699</v>
      </c>
      <c r="T2971" s="4">
        <v>0</v>
      </c>
      <c r="U2971" s="4">
        <v>96699</v>
      </c>
      <c r="V2971" s="4">
        <v>76075</v>
      </c>
      <c r="W2971" s="4">
        <v>16381</v>
      </c>
      <c r="X2971" s="4">
        <v>2390</v>
      </c>
      <c r="Y2971" s="4" t="s">
        <v>91</v>
      </c>
      <c r="Z2971" s="4">
        <v>68</v>
      </c>
      <c r="AA2971" s="4">
        <v>2.7</v>
      </c>
      <c r="AB2971" s="4" t="s">
        <v>104</v>
      </c>
    </row>
    <row r="2972" spans="1:28" x14ac:dyDescent="0.25">
      <c r="A2972" s="2" t="s">
        <v>3784</v>
      </c>
      <c r="B2972" s="2" t="s">
        <v>1383</v>
      </c>
      <c r="C2972" s="2">
        <v>10</v>
      </c>
      <c r="D2972" s="2" t="s">
        <v>55</v>
      </c>
      <c r="E2972" s="2" t="s">
        <v>67</v>
      </c>
      <c r="F2972" s="2" t="s">
        <v>94</v>
      </c>
      <c r="G2972" s="3">
        <v>44933</v>
      </c>
      <c r="H2972" s="3">
        <v>44942</v>
      </c>
      <c r="I2972" s="2">
        <v>9</v>
      </c>
      <c r="J2972" s="2" t="s">
        <v>140</v>
      </c>
      <c r="K2972" s="2" t="s">
        <v>141</v>
      </c>
      <c r="L2972" s="2" t="s">
        <v>142</v>
      </c>
      <c r="M2972" s="2" t="s">
        <v>101</v>
      </c>
      <c r="N2972" s="2" t="s">
        <v>37</v>
      </c>
      <c r="O2972" s="2" t="s">
        <v>352</v>
      </c>
      <c r="P2972" s="2">
        <v>356</v>
      </c>
      <c r="Q2972" s="2" t="s">
        <v>103</v>
      </c>
      <c r="R2972" s="2" t="s">
        <v>136</v>
      </c>
      <c r="S2972" s="2">
        <v>77696</v>
      </c>
      <c r="T2972" s="2">
        <v>0</v>
      </c>
      <c r="U2972" s="2">
        <v>77696</v>
      </c>
      <c r="V2972" s="2">
        <v>56913</v>
      </c>
      <c r="W2972" s="2">
        <v>5166</v>
      </c>
      <c r="X2972" s="2">
        <v>10723</v>
      </c>
      <c r="Y2972" s="2" t="s">
        <v>41</v>
      </c>
      <c r="Z2972" s="2">
        <v>46</v>
      </c>
      <c r="AA2972" s="2">
        <v>3.7</v>
      </c>
      <c r="AB2972" s="2" t="s">
        <v>52</v>
      </c>
    </row>
    <row r="2973" spans="1:28" x14ac:dyDescent="0.25">
      <c r="A2973" s="4" t="s">
        <v>3785</v>
      </c>
      <c r="B2973" s="4" t="s">
        <v>615</v>
      </c>
      <c r="C2973" s="4">
        <v>11</v>
      </c>
      <c r="D2973" s="4" t="s">
        <v>30</v>
      </c>
      <c r="E2973" s="4" t="s">
        <v>79</v>
      </c>
      <c r="F2973" s="4" t="s">
        <v>157</v>
      </c>
      <c r="G2973" s="5">
        <v>45196</v>
      </c>
      <c r="H2973" s="5">
        <v>45213</v>
      </c>
      <c r="I2973" s="4">
        <v>17</v>
      </c>
      <c r="J2973" s="4" t="s">
        <v>123</v>
      </c>
      <c r="K2973" s="4" t="s">
        <v>124</v>
      </c>
      <c r="L2973" s="4" t="s">
        <v>125</v>
      </c>
      <c r="M2973" s="4" t="s">
        <v>108</v>
      </c>
      <c r="N2973" s="4" t="s">
        <v>118</v>
      </c>
      <c r="O2973" s="4" t="s">
        <v>580</v>
      </c>
      <c r="P2973" s="4">
        <v>445</v>
      </c>
      <c r="Q2973" s="4" t="s">
        <v>69</v>
      </c>
      <c r="R2973" s="4" t="s">
        <v>40</v>
      </c>
      <c r="S2973" s="4">
        <v>98602</v>
      </c>
      <c r="T2973" s="4">
        <v>60212</v>
      </c>
      <c r="U2973" s="4">
        <v>38390</v>
      </c>
      <c r="V2973" s="4">
        <v>75675</v>
      </c>
      <c r="W2973" s="4">
        <v>14151</v>
      </c>
      <c r="X2973" s="4">
        <v>7902</v>
      </c>
      <c r="Y2973" s="4" t="s">
        <v>41</v>
      </c>
      <c r="Z2973" s="4">
        <v>88</v>
      </c>
      <c r="AA2973" s="4">
        <v>3.3</v>
      </c>
      <c r="AB2973" s="4" t="s">
        <v>64</v>
      </c>
    </row>
    <row r="2974" spans="1:28" x14ac:dyDescent="0.25">
      <c r="A2974" s="2" t="s">
        <v>3786</v>
      </c>
      <c r="B2974" s="2" t="s">
        <v>2667</v>
      </c>
      <c r="C2974" s="2">
        <v>67</v>
      </c>
      <c r="D2974" s="2" t="s">
        <v>55</v>
      </c>
      <c r="E2974" s="2" t="s">
        <v>56</v>
      </c>
      <c r="F2974" s="2" t="s">
        <v>57</v>
      </c>
      <c r="G2974" s="3">
        <v>45373</v>
      </c>
      <c r="H2974" s="3">
        <v>45381</v>
      </c>
      <c r="I2974" s="2">
        <v>8</v>
      </c>
      <c r="J2974" s="2" t="s">
        <v>33</v>
      </c>
      <c r="K2974" s="2" t="s">
        <v>174</v>
      </c>
      <c r="L2974" s="2" t="s">
        <v>48</v>
      </c>
      <c r="M2974" s="2" t="s">
        <v>83</v>
      </c>
      <c r="N2974" s="2" t="s">
        <v>109</v>
      </c>
      <c r="O2974" s="2" t="s">
        <v>135</v>
      </c>
      <c r="P2974" s="2">
        <v>191</v>
      </c>
      <c r="Q2974" s="2" t="s">
        <v>69</v>
      </c>
      <c r="R2974" s="2" t="s">
        <v>51</v>
      </c>
      <c r="S2974" s="2">
        <v>51938</v>
      </c>
      <c r="T2974" s="2">
        <v>27002</v>
      </c>
      <c r="U2974" s="2">
        <v>24936</v>
      </c>
      <c r="V2974" s="2">
        <v>38479</v>
      </c>
      <c r="W2974" s="2">
        <v>5485</v>
      </c>
      <c r="X2974" s="2">
        <v>6943</v>
      </c>
      <c r="Y2974" s="2" t="s">
        <v>41</v>
      </c>
      <c r="Z2974" s="2">
        <v>61</v>
      </c>
      <c r="AA2974" s="2">
        <v>2.8</v>
      </c>
      <c r="AB2974" s="2" t="s">
        <v>52</v>
      </c>
    </row>
    <row r="2975" spans="1:28" x14ac:dyDescent="0.25">
      <c r="A2975" s="4" t="s">
        <v>3787</v>
      </c>
      <c r="B2975" s="4" t="s">
        <v>1754</v>
      </c>
      <c r="C2975" s="4">
        <v>46</v>
      </c>
      <c r="D2975" s="4" t="s">
        <v>55</v>
      </c>
      <c r="E2975" s="4" t="s">
        <v>56</v>
      </c>
      <c r="F2975" s="4" t="s">
        <v>150</v>
      </c>
      <c r="G2975" s="5">
        <v>45273</v>
      </c>
      <c r="H2975" s="5">
        <v>45279</v>
      </c>
      <c r="I2975" s="4">
        <v>6</v>
      </c>
      <c r="J2975" s="4" t="s">
        <v>58</v>
      </c>
      <c r="K2975" s="4" t="s">
        <v>59</v>
      </c>
      <c r="L2975" s="4" t="s">
        <v>60</v>
      </c>
      <c r="M2975" s="4" t="s">
        <v>130</v>
      </c>
      <c r="N2975" s="4" t="s">
        <v>62</v>
      </c>
      <c r="O2975" s="4" t="s">
        <v>343</v>
      </c>
      <c r="P2975" s="4">
        <v>186</v>
      </c>
      <c r="Q2975" s="4" t="s">
        <v>69</v>
      </c>
      <c r="R2975" s="4" t="s">
        <v>136</v>
      </c>
      <c r="S2975" s="4">
        <v>91959</v>
      </c>
      <c r="T2975" s="4">
        <v>0</v>
      </c>
      <c r="U2975" s="4">
        <v>91959</v>
      </c>
      <c r="V2975" s="4">
        <v>67430</v>
      </c>
      <c r="W2975" s="4">
        <v>11668</v>
      </c>
      <c r="X2975" s="4">
        <v>7871</v>
      </c>
      <c r="Y2975" s="4" t="s">
        <v>91</v>
      </c>
      <c r="Z2975" s="4">
        <v>45</v>
      </c>
      <c r="AA2975" s="4">
        <v>2.5</v>
      </c>
      <c r="AB2975" s="4" t="s">
        <v>137</v>
      </c>
    </row>
    <row r="2976" spans="1:28" x14ac:dyDescent="0.25">
      <c r="A2976" s="2" t="s">
        <v>3788</v>
      </c>
      <c r="B2976" s="2" t="s">
        <v>747</v>
      </c>
      <c r="C2976" s="2">
        <v>14</v>
      </c>
      <c r="D2976" s="2" t="s">
        <v>30</v>
      </c>
      <c r="E2976" s="2" t="s">
        <v>31</v>
      </c>
      <c r="F2976" s="2" t="s">
        <v>32</v>
      </c>
      <c r="G2976" s="3">
        <v>45628</v>
      </c>
      <c r="H2976" s="3">
        <v>45644</v>
      </c>
      <c r="I2976" s="2">
        <v>16</v>
      </c>
      <c r="J2976" s="2" t="s">
        <v>33</v>
      </c>
      <c r="K2976" s="2" t="s">
        <v>233</v>
      </c>
      <c r="L2976" s="2" t="s">
        <v>35</v>
      </c>
      <c r="M2976" s="2" t="s">
        <v>75</v>
      </c>
      <c r="N2976" s="2" t="s">
        <v>109</v>
      </c>
      <c r="O2976" s="2" t="s">
        <v>147</v>
      </c>
      <c r="P2976" s="2">
        <v>305</v>
      </c>
      <c r="Q2976" s="2" t="s">
        <v>69</v>
      </c>
      <c r="R2976" s="2" t="s">
        <v>40</v>
      </c>
      <c r="S2976" s="2">
        <v>98605</v>
      </c>
      <c r="T2976" s="2">
        <v>61148</v>
      </c>
      <c r="U2976" s="2">
        <v>37457</v>
      </c>
      <c r="V2976" s="2">
        <v>68125</v>
      </c>
      <c r="W2976" s="2">
        <v>17456</v>
      </c>
      <c r="X2976" s="2">
        <v>11511</v>
      </c>
      <c r="Y2976" s="2" t="s">
        <v>91</v>
      </c>
      <c r="Z2976" s="2">
        <v>75</v>
      </c>
      <c r="AA2976" s="2">
        <v>4.9000000000000004</v>
      </c>
      <c r="AB2976" s="2" t="s">
        <v>52</v>
      </c>
    </row>
    <row r="2977" spans="1:28" x14ac:dyDescent="0.25">
      <c r="A2977" s="4" t="s">
        <v>3789</v>
      </c>
      <c r="B2977" s="4" t="s">
        <v>1009</v>
      </c>
      <c r="C2977" s="4">
        <v>12</v>
      </c>
      <c r="D2977" s="4" t="s">
        <v>30</v>
      </c>
      <c r="E2977" s="4" t="s">
        <v>79</v>
      </c>
      <c r="F2977" s="4" t="s">
        <v>32</v>
      </c>
      <c r="G2977" s="5">
        <v>44855</v>
      </c>
      <c r="H2977" s="5">
        <v>44868</v>
      </c>
      <c r="I2977" s="4">
        <v>13</v>
      </c>
      <c r="J2977" s="4" t="s">
        <v>123</v>
      </c>
      <c r="K2977" s="4" t="s">
        <v>124</v>
      </c>
      <c r="L2977" s="4" t="s">
        <v>125</v>
      </c>
      <c r="M2977" s="4" t="s">
        <v>134</v>
      </c>
      <c r="N2977" s="4" t="s">
        <v>109</v>
      </c>
      <c r="O2977" s="4" t="s">
        <v>647</v>
      </c>
      <c r="P2977" s="4">
        <v>339</v>
      </c>
      <c r="Q2977" s="4" t="s">
        <v>103</v>
      </c>
      <c r="R2977" s="4" t="s">
        <v>111</v>
      </c>
      <c r="S2977" s="4">
        <v>53773</v>
      </c>
      <c r="T2977" s="4">
        <v>37417</v>
      </c>
      <c r="U2977" s="4">
        <v>16356</v>
      </c>
      <c r="V2977" s="4">
        <v>15872</v>
      </c>
      <c r="W2977" s="4">
        <v>24815</v>
      </c>
      <c r="X2977" s="4">
        <v>10842</v>
      </c>
      <c r="Y2977" s="4" t="s">
        <v>41</v>
      </c>
      <c r="Z2977" s="4">
        <v>48</v>
      </c>
      <c r="AA2977" s="4">
        <v>3.8</v>
      </c>
      <c r="AB2977" s="4" t="s">
        <v>52</v>
      </c>
    </row>
    <row r="2978" spans="1:28" x14ac:dyDescent="0.25">
      <c r="A2978" s="2" t="s">
        <v>3790</v>
      </c>
      <c r="B2978" s="2" t="s">
        <v>360</v>
      </c>
      <c r="C2978" s="2">
        <v>41</v>
      </c>
      <c r="D2978" s="2" t="s">
        <v>30</v>
      </c>
      <c r="E2978" s="2" t="s">
        <v>154</v>
      </c>
      <c r="F2978" s="2" t="s">
        <v>129</v>
      </c>
      <c r="G2978" s="3">
        <v>44884</v>
      </c>
      <c r="H2978" s="3">
        <v>44913</v>
      </c>
      <c r="I2978" s="2">
        <v>29</v>
      </c>
      <c r="J2978" s="2" t="s">
        <v>33</v>
      </c>
      <c r="K2978" s="2" t="s">
        <v>81</v>
      </c>
      <c r="L2978" s="2" t="s">
        <v>82</v>
      </c>
      <c r="M2978" s="2" t="s">
        <v>83</v>
      </c>
      <c r="N2978" s="2" t="s">
        <v>109</v>
      </c>
      <c r="O2978" s="2" t="s">
        <v>358</v>
      </c>
      <c r="P2978" s="2">
        <v>329</v>
      </c>
      <c r="Q2978" s="2" t="s">
        <v>39</v>
      </c>
      <c r="R2978" s="2" t="s">
        <v>40</v>
      </c>
      <c r="S2978" s="2">
        <v>116503</v>
      </c>
      <c r="T2978" s="2">
        <v>68717</v>
      </c>
      <c r="U2978" s="2">
        <v>47786</v>
      </c>
      <c r="V2978" s="2">
        <v>84872</v>
      </c>
      <c r="W2978" s="2">
        <v>25465</v>
      </c>
      <c r="X2978" s="2">
        <v>4367</v>
      </c>
      <c r="Y2978" s="2" t="s">
        <v>91</v>
      </c>
      <c r="Z2978" s="2">
        <v>96</v>
      </c>
      <c r="AA2978" s="2">
        <v>4.8</v>
      </c>
      <c r="AB2978" s="2" t="s">
        <v>64</v>
      </c>
    </row>
    <row r="2979" spans="1:28" x14ac:dyDescent="0.25">
      <c r="A2979" s="4" t="s">
        <v>3791</v>
      </c>
      <c r="B2979" s="4" t="s">
        <v>646</v>
      </c>
      <c r="C2979" s="4">
        <v>24</v>
      </c>
      <c r="D2979" s="4" t="s">
        <v>30</v>
      </c>
      <c r="E2979" s="4" t="s">
        <v>45</v>
      </c>
      <c r="F2979" s="4" t="s">
        <v>114</v>
      </c>
      <c r="G2979" s="5">
        <v>44767</v>
      </c>
      <c r="H2979" s="5">
        <v>44783</v>
      </c>
      <c r="I2979" s="4">
        <v>16</v>
      </c>
      <c r="J2979" s="4" t="s">
        <v>58</v>
      </c>
      <c r="K2979" s="4" t="s">
        <v>88</v>
      </c>
      <c r="L2979" s="4" t="s">
        <v>60</v>
      </c>
      <c r="M2979" s="4" t="s">
        <v>61</v>
      </c>
      <c r="N2979" s="4" t="s">
        <v>118</v>
      </c>
      <c r="O2979" s="4" t="s">
        <v>438</v>
      </c>
      <c r="P2979" s="4">
        <v>420</v>
      </c>
      <c r="Q2979" s="4" t="s">
        <v>103</v>
      </c>
      <c r="R2979" s="4" t="s">
        <v>40</v>
      </c>
      <c r="S2979" s="4">
        <v>51528</v>
      </c>
      <c r="T2979" s="4">
        <v>33005</v>
      </c>
      <c r="U2979" s="4">
        <v>18523</v>
      </c>
      <c r="V2979" s="4">
        <v>11639</v>
      </c>
      <c r="W2979" s="4">
        <v>21419</v>
      </c>
      <c r="X2979" s="4">
        <v>13815</v>
      </c>
      <c r="Y2979" s="4" t="s">
        <v>41</v>
      </c>
      <c r="Z2979" s="4">
        <v>86</v>
      </c>
      <c r="AA2979" s="4">
        <v>4.4000000000000004</v>
      </c>
      <c r="AB2979" s="4" t="s">
        <v>104</v>
      </c>
    </row>
    <row r="2980" spans="1:28" x14ac:dyDescent="0.25">
      <c r="A2980" s="2" t="s">
        <v>3792</v>
      </c>
      <c r="B2980" s="2" t="s">
        <v>1969</v>
      </c>
      <c r="C2980" s="2">
        <v>23</v>
      </c>
      <c r="D2980" s="2" t="s">
        <v>30</v>
      </c>
      <c r="E2980" s="2" t="s">
        <v>154</v>
      </c>
      <c r="F2980" s="2" t="s">
        <v>46</v>
      </c>
      <c r="G2980" s="3">
        <v>44786</v>
      </c>
      <c r="H2980" s="3">
        <v>44812</v>
      </c>
      <c r="I2980" s="2">
        <v>26</v>
      </c>
      <c r="J2980" s="2" t="s">
        <v>123</v>
      </c>
      <c r="K2980" s="2" t="s">
        <v>124</v>
      </c>
      <c r="L2980" s="2" t="s">
        <v>125</v>
      </c>
      <c r="M2980" s="2" t="s">
        <v>108</v>
      </c>
      <c r="N2980" s="2" t="s">
        <v>109</v>
      </c>
      <c r="O2980" s="2" t="s">
        <v>379</v>
      </c>
      <c r="P2980" s="2">
        <v>253</v>
      </c>
      <c r="Q2980" s="2" t="s">
        <v>50</v>
      </c>
      <c r="R2980" s="2" t="s">
        <v>40</v>
      </c>
      <c r="S2980" s="2">
        <v>75376</v>
      </c>
      <c r="T2980" s="2">
        <v>35303</v>
      </c>
      <c r="U2980" s="2">
        <v>40073</v>
      </c>
      <c r="V2980" s="2">
        <v>41009</v>
      </c>
      <c r="W2980" s="2">
        <v>17801</v>
      </c>
      <c r="X2980" s="2">
        <v>11903</v>
      </c>
      <c r="Y2980" s="2" t="s">
        <v>91</v>
      </c>
      <c r="Z2980" s="2">
        <v>79</v>
      </c>
      <c r="AA2980" s="2">
        <v>2.7</v>
      </c>
      <c r="AB2980" s="2" t="s">
        <v>137</v>
      </c>
    </row>
    <row r="2981" spans="1:28" x14ac:dyDescent="0.25">
      <c r="A2981" s="4" t="s">
        <v>3793</v>
      </c>
      <c r="B2981" s="4" t="s">
        <v>1056</v>
      </c>
      <c r="C2981" s="4">
        <v>84</v>
      </c>
      <c r="D2981" s="4" t="s">
        <v>55</v>
      </c>
      <c r="E2981" s="4" t="s">
        <v>122</v>
      </c>
      <c r="F2981" s="4" t="s">
        <v>72</v>
      </c>
      <c r="G2981" s="5">
        <v>44922</v>
      </c>
      <c r="H2981" s="5">
        <v>44942</v>
      </c>
      <c r="I2981" s="4">
        <v>20</v>
      </c>
      <c r="J2981" s="4" t="s">
        <v>73</v>
      </c>
      <c r="K2981" s="4" t="s">
        <v>74</v>
      </c>
      <c r="L2981" s="4" t="s">
        <v>73</v>
      </c>
      <c r="M2981" s="4" t="s">
        <v>83</v>
      </c>
      <c r="N2981" s="4" t="s">
        <v>37</v>
      </c>
      <c r="O2981" s="4" t="s">
        <v>673</v>
      </c>
      <c r="P2981" s="4">
        <v>426</v>
      </c>
      <c r="Q2981" s="4" t="s">
        <v>69</v>
      </c>
      <c r="R2981" s="4" t="s">
        <v>136</v>
      </c>
      <c r="S2981" s="4">
        <v>116856</v>
      </c>
      <c r="T2981" s="4">
        <v>0</v>
      </c>
      <c r="U2981" s="4">
        <v>116856</v>
      </c>
      <c r="V2981" s="4">
        <v>96627</v>
      </c>
      <c r="W2981" s="4">
        <v>12259</v>
      </c>
      <c r="X2981" s="4">
        <v>4917</v>
      </c>
      <c r="Y2981" s="4" t="s">
        <v>41</v>
      </c>
      <c r="Z2981" s="4">
        <v>86</v>
      </c>
      <c r="AA2981" s="4">
        <v>2.9</v>
      </c>
      <c r="AB2981" s="4" t="s">
        <v>42</v>
      </c>
    </row>
    <row r="2982" spans="1:28" x14ac:dyDescent="0.25">
      <c r="A2982" s="2" t="s">
        <v>3794</v>
      </c>
      <c r="B2982" s="2" t="s">
        <v>440</v>
      </c>
      <c r="C2982" s="2">
        <v>33</v>
      </c>
      <c r="D2982" s="2" t="s">
        <v>30</v>
      </c>
      <c r="E2982" s="2" t="s">
        <v>154</v>
      </c>
      <c r="F2982" s="2" t="s">
        <v>114</v>
      </c>
      <c r="G2982" s="3">
        <v>44947</v>
      </c>
      <c r="H2982" s="3">
        <v>44953</v>
      </c>
      <c r="I2982" s="2">
        <v>6</v>
      </c>
      <c r="J2982" s="2" t="s">
        <v>73</v>
      </c>
      <c r="K2982" s="2" t="s">
        <v>74</v>
      </c>
      <c r="L2982" s="2" t="s">
        <v>73</v>
      </c>
      <c r="M2982" s="2" t="s">
        <v>134</v>
      </c>
      <c r="N2982" s="2" t="s">
        <v>109</v>
      </c>
      <c r="O2982" s="2" t="s">
        <v>102</v>
      </c>
      <c r="P2982" s="2">
        <v>345</v>
      </c>
      <c r="Q2982" s="2" t="s">
        <v>50</v>
      </c>
      <c r="R2982" s="2" t="s">
        <v>136</v>
      </c>
      <c r="S2982" s="2">
        <v>157341</v>
      </c>
      <c r="T2982" s="2">
        <v>0</v>
      </c>
      <c r="U2982" s="2">
        <v>157341</v>
      </c>
      <c r="V2982" s="2">
        <v>122281</v>
      </c>
      <c r="W2982" s="2">
        <v>21903</v>
      </c>
      <c r="X2982" s="2">
        <v>10864</v>
      </c>
      <c r="Y2982" s="2" t="s">
        <v>41</v>
      </c>
      <c r="Z2982" s="2">
        <v>61</v>
      </c>
      <c r="AA2982" s="2">
        <v>2.2999999999999998</v>
      </c>
      <c r="AB2982" s="2" t="s">
        <v>42</v>
      </c>
    </row>
    <row r="2983" spans="1:28" x14ac:dyDescent="0.25">
      <c r="A2983" s="4" t="s">
        <v>3795</v>
      </c>
      <c r="B2983" s="4" t="s">
        <v>792</v>
      </c>
      <c r="C2983" s="4">
        <v>18</v>
      </c>
      <c r="D2983" s="4" t="s">
        <v>30</v>
      </c>
      <c r="E2983" s="4" t="s">
        <v>45</v>
      </c>
      <c r="F2983" s="4" t="s">
        <v>32</v>
      </c>
      <c r="G2983" s="5">
        <v>44795</v>
      </c>
      <c r="H2983" s="5">
        <v>44800</v>
      </c>
      <c r="I2983" s="4">
        <v>5</v>
      </c>
      <c r="J2983" s="4" t="s">
        <v>33</v>
      </c>
      <c r="K2983" s="4" t="s">
        <v>81</v>
      </c>
      <c r="L2983" s="4" t="s">
        <v>82</v>
      </c>
      <c r="M2983" s="4" t="s">
        <v>95</v>
      </c>
      <c r="N2983" s="4" t="s">
        <v>37</v>
      </c>
      <c r="O2983" s="4" t="s">
        <v>1000</v>
      </c>
      <c r="P2983" s="4">
        <v>228</v>
      </c>
      <c r="Q2983" s="4" t="s">
        <v>50</v>
      </c>
      <c r="R2983" s="4" t="s">
        <v>111</v>
      </c>
      <c r="S2983" s="4">
        <v>36467</v>
      </c>
      <c r="T2983" s="4">
        <v>30863</v>
      </c>
      <c r="U2983" s="4">
        <v>5604</v>
      </c>
      <c r="V2983" s="4">
        <v>14154</v>
      </c>
      <c r="W2983" s="4">
        <v>12610</v>
      </c>
      <c r="X2983" s="4">
        <v>8326</v>
      </c>
      <c r="Y2983" s="4" t="s">
        <v>41</v>
      </c>
      <c r="Z2983" s="4">
        <v>63</v>
      </c>
      <c r="AA2983" s="4">
        <v>3.9</v>
      </c>
      <c r="AB2983" s="4" t="s">
        <v>104</v>
      </c>
    </row>
    <row r="2984" spans="1:28" x14ac:dyDescent="0.25">
      <c r="A2984" s="2" t="s">
        <v>3796</v>
      </c>
      <c r="B2984" s="2" t="s">
        <v>590</v>
      </c>
      <c r="C2984" s="2">
        <v>33</v>
      </c>
      <c r="D2984" s="2" t="s">
        <v>55</v>
      </c>
      <c r="E2984" s="2" t="s">
        <v>31</v>
      </c>
      <c r="F2984" s="2" t="s">
        <v>32</v>
      </c>
      <c r="G2984" s="3">
        <v>45311</v>
      </c>
      <c r="H2984" s="3">
        <v>45324</v>
      </c>
      <c r="I2984" s="2">
        <v>13</v>
      </c>
      <c r="J2984" s="2" t="s">
        <v>123</v>
      </c>
      <c r="K2984" s="2" t="s">
        <v>124</v>
      </c>
      <c r="L2984" s="2" t="s">
        <v>125</v>
      </c>
      <c r="M2984" s="2" t="s">
        <v>95</v>
      </c>
      <c r="N2984" s="2" t="s">
        <v>62</v>
      </c>
      <c r="O2984" s="2" t="s">
        <v>199</v>
      </c>
      <c r="P2984" s="2">
        <v>172</v>
      </c>
      <c r="Q2984" s="2" t="s">
        <v>50</v>
      </c>
      <c r="R2984" s="2" t="s">
        <v>90</v>
      </c>
      <c r="S2984" s="2">
        <v>58546</v>
      </c>
      <c r="T2984" s="2">
        <v>47926</v>
      </c>
      <c r="U2984" s="2">
        <v>10620</v>
      </c>
      <c r="V2984" s="2">
        <v>19426</v>
      </c>
      <c r="W2984" s="2">
        <v>24166</v>
      </c>
      <c r="X2984" s="2">
        <v>12466</v>
      </c>
      <c r="Y2984" s="2" t="s">
        <v>91</v>
      </c>
      <c r="Z2984" s="2">
        <v>97</v>
      </c>
      <c r="AA2984" s="2">
        <v>2.7</v>
      </c>
      <c r="AB2984" s="2" t="s">
        <v>64</v>
      </c>
    </row>
    <row r="2985" spans="1:28" x14ac:dyDescent="0.25">
      <c r="A2985" s="4" t="s">
        <v>3797</v>
      </c>
      <c r="B2985" s="4" t="s">
        <v>605</v>
      </c>
      <c r="C2985" s="4">
        <v>8</v>
      </c>
      <c r="D2985" s="4" t="s">
        <v>55</v>
      </c>
      <c r="E2985" s="4" t="s">
        <v>154</v>
      </c>
      <c r="F2985" s="4" t="s">
        <v>57</v>
      </c>
      <c r="G2985" s="5">
        <v>44732</v>
      </c>
      <c r="H2985" s="5">
        <v>44747</v>
      </c>
      <c r="I2985" s="4">
        <v>15</v>
      </c>
      <c r="J2985" s="4" t="s">
        <v>73</v>
      </c>
      <c r="K2985" s="4" t="s">
        <v>74</v>
      </c>
      <c r="L2985" s="4" t="s">
        <v>73</v>
      </c>
      <c r="M2985" s="4" t="s">
        <v>143</v>
      </c>
      <c r="N2985" s="4" t="s">
        <v>109</v>
      </c>
      <c r="O2985" s="4" t="s">
        <v>368</v>
      </c>
      <c r="P2985" s="4">
        <v>493</v>
      </c>
      <c r="Q2985" s="4" t="s">
        <v>103</v>
      </c>
      <c r="R2985" s="4" t="s">
        <v>51</v>
      </c>
      <c r="S2985" s="4">
        <v>148539</v>
      </c>
      <c r="T2985" s="4">
        <v>78185</v>
      </c>
      <c r="U2985" s="4">
        <v>70354</v>
      </c>
      <c r="V2985" s="4">
        <v>108249</v>
      </c>
      <c r="W2985" s="4">
        <v>21626</v>
      </c>
      <c r="X2985" s="4">
        <v>14774</v>
      </c>
      <c r="Y2985" s="4" t="s">
        <v>91</v>
      </c>
      <c r="Z2985" s="4">
        <v>70</v>
      </c>
      <c r="AA2985" s="4">
        <v>2</v>
      </c>
      <c r="AB2985" s="4" t="s">
        <v>42</v>
      </c>
    </row>
    <row r="2986" spans="1:28" x14ac:dyDescent="0.25">
      <c r="A2986" s="2" t="s">
        <v>3798</v>
      </c>
      <c r="B2986" s="2" t="s">
        <v>625</v>
      </c>
      <c r="C2986" s="2">
        <v>74</v>
      </c>
      <c r="D2986" s="2" t="s">
        <v>30</v>
      </c>
      <c r="E2986" s="2" t="s">
        <v>31</v>
      </c>
      <c r="F2986" s="2" t="s">
        <v>72</v>
      </c>
      <c r="G2986" s="3">
        <v>45605</v>
      </c>
      <c r="H2986" s="3">
        <v>45633</v>
      </c>
      <c r="I2986" s="2">
        <v>28</v>
      </c>
      <c r="J2986" s="2" t="s">
        <v>33</v>
      </c>
      <c r="K2986" s="2" t="s">
        <v>107</v>
      </c>
      <c r="L2986" s="2" t="s">
        <v>48</v>
      </c>
      <c r="M2986" s="2" t="s">
        <v>108</v>
      </c>
      <c r="N2986" s="2" t="s">
        <v>62</v>
      </c>
      <c r="O2986" s="2" t="s">
        <v>147</v>
      </c>
      <c r="P2986" s="2">
        <v>320</v>
      </c>
      <c r="Q2986" s="2" t="s">
        <v>50</v>
      </c>
      <c r="R2986" s="2" t="s">
        <v>51</v>
      </c>
      <c r="S2986" s="2">
        <v>32383</v>
      </c>
      <c r="T2986" s="2">
        <v>18960</v>
      </c>
      <c r="U2986" s="2">
        <v>13423</v>
      </c>
      <c r="V2986" s="2">
        <v>26204</v>
      </c>
      <c r="W2986" s="2">
        <v>3831</v>
      </c>
      <c r="X2986" s="2">
        <v>794</v>
      </c>
      <c r="Y2986" s="2" t="s">
        <v>41</v>
      </c>
      <c r="Z2986" s="2">
        <v>77</v>
      </c>
      <c r="AA2986" s="2">
        <v>3.9</v>
      </c>
      <c r="AB2986" s="2" t="s">
        <v>42</v>
      </c>
    </row>
    <row r="2987" spans="1:28" x14ac:dyDescent="0.25">
      <c r="A2987" s="4" t="s">
        <v>3799</v>
      </c>
      <c r="B2987" s="4" t="s">
        <v>1402</v>
      </c>
      <c r="C2987" s="4">
        <v>45</v>
      </c>
      <c r="D2987" s="4" t="s">
        <v>55</v>
      </c>
      <c r="E2987" s="4" t="s">
        <v>31</v>
      </c>
      <c r="F2987" s="4" t="s">
        <v>129</v>
      </c>
      <c r="G2987" s="5">
        <v>45469</v>
      </c>
      <c r="H2987" s="5">
        <v>45481</v>
      </c>
      <c r="I2987" s="4">
        <v>12</v>
      </c>
      <c r="J2987" s="4" t="s">
        <v>115</v>
      </c>
      <c r="K2987" s="4" t="s">
        <v>160</v>
      </c>
      <c r="L2987" s="4" t="s">
        <v>117</v>
      </c>
      <c r="M2987" s="4" t="s">
        <v>101</v>
      </c>
      <c r="N2987" s="4" t="s">
        <v>37</v>
      </c>
      <c r="O2987" s="4" t="s">
        <v>326</v>
      </c>
      <c r="P2987" s="4">
        <v>435</v>
      </c>
      <c r="Q2987" s="4" t="s">
        <v>103</v>
      </c>
      <c r="R2987" s="4" t="s">
        <v>40</v>
      </c>
      <c r="S2987" s="4">
        <v>53798</v>
      </c>
      <c r="T2987" s="4">
        <v>35137</v>
      </c>
      <c r="U2987" s="4">
        <v>18661</v>
      </c>
      <c r="V2987" s="4">
        <v>37905</v>
      </c>
      <c r="W2987" s="4">
        <v>2808</v>
      </c>
      <c r="X2987" s="4">
        <v>11916</v>
      </c>
      <c r="Y2987" s="4" t="s">
        <v>41</v>
      </c>
      <c r="Z2987" s="4">
        <v>88</v>
      </c>
      <c r="AA2987" s="4">
        <v>2</v>
      </c>
      <c r="AB2987" s="4" t="s">
        <v>137</v>
      </c>
    </row>
    <row r="2988" spans="1:28" x14ac:dyDescent="0.25">
      <c r="A2988" s="2" t="s">
        <v>3800</v>
      </c>
      <c r="B2988" s="2" t="s">
        <v>1795</v>
      </c>
      <c r="C2988" s="2">
        <v>30</v>
      </c>
      <c r="D2988" s="2" t="s">
        <v>55</v>
      </c>
      <c r="E2988" s="2" t="s">
        <v>154</v>
      </c>
      <c r="F2988" s="2" t="s">
        <v>32</v>
      </c>
      <c r="G2988" s="3">
        <v>45364</v>
      </c>
      <c r="H2988" s="3">
        <v>45394</v>
      </c>
      <c r="I2988" s="2">
        <v>30</v>
      </c>
      <c r="J2988" s="2" t="s">
        <v>33</v>
      </c>
      <c r="K2988" s="2" t="s">
        <v>233</v>
      </c>
      <c r="L2988" s="2" t="s">
        <v>35</v>
      </c>
      <c r="M2988" s="2" t="s">
        <v>36</v>
      </c>
      <c r="N2988" s="2" t="s">
        <v>37</v>
      </c>
      <c r="O2988" s="2" t="s">
        <v>63</v>
      </c>
      <c r="P2988" s="2">
        <v>453</v>
      </c>
      <c r="Q2988" s="2" t="s">
        <v>69</v>
      </c>
      <c r="R2988" s="2" t="s">
        <v>90</v>
      </c>
      <c r="S2988" s="2">
        <v>114329</v>
      </c>
      <c r="T2988" s="2">
        <v>78662</v>
      </c>
      <c r="U2988" s="2">
        <v>35667</v>
      </c>
      <c r="V2988" s="2">
        <v>93854</v>
      </c>
      <c r="W2988" s="2">
        <v>4052</v>
      </c>
      <c r="X2988" s="2">
        <v>12767</v>
      </c>
      <c r="Y2988" s="2" t="s">
        <v>41</v>
      </c>
      <c r="Z2988" s="2">
        <v>82</v>
      </c>
      <c r="AA2988" s="2">
        <v>4.5</v>
      </c>
      <c r="AB2988" s="2" t="s">
        <v>137</v>
      </c>
    </row>
    <row r="2989" spans="1:28" x14ac:dyDescent="0.25">
      <c r="A2989" s="4" t="s">
        <v>3801</v>
      </c>
      <c r="B2989" s="4" t="s">
        <v>1220</v>
      </c>
      <c r="C2989" s="4">
        <v>82</v>
      </c>
      <c r="D2989" s="4" t="s">
        <v>55</v>
      </c>
      <c r="E2989" s="4" t="s">
        <v>31</v>
      </c>
      <c r="F2989" s="4" t="s">
        <v>72</v>
      </c>
      <c r="G2989" s="5">
        <v>45412</v>
      </c>
      <c r="H2989" s="5">
        <v>45437</v>
      </c>
      <c r="I2989" s="4">
        <v>25</v>
      </c>
      <c r="J2989" s="4" t="s">
        <v>58</v>
      </c>
      <c r="K2989" s="4" t="s">
        <v>88</v>
      </c>
      <c r="L2989" s="4" t="s">
        <v>60</v>
      </c>
      <c r="M2989" s="4" t="s">
        <v>83</v>
      </c>
      <c r="N2989" s="4" t="s">
        <v>109</v>
      </c>
      <c r="O2989" s="4" t="s">
        <v>431</v>
      </c>
      <c r="P2989" s="4">
        <v>10</v>
      </c>
      <c r="Q2989" s="4" t="s">
        <v>69</v>
      </c>
      <c r="R2989" s="4" t="s">
        <v>51</v>
      </c>
      <c r="S2989" s="4">
        <v>19336</v>
      </c>
      <c r="T2989" s="4">
        <v>7752</v>
      </c>
      <c r="U2989" s="4">
        <v>11584</v>
      </c>
      <c r="V2989" s="4">
        <v>8873</v>
      </c>
      <c r="W2989" s="4">
        <v>1116</v>
      </c>
      <c r="X2989" s="4">
        <v>5117</v>
      </c>
      <c r="Y2989" s="4" t="s">
        <v>41</v>
      </c>
      <c r="Z2989" s="4">
        <v>66</v>
      </c>
      <c r="AA2989" s="4">
        <v>2.1</v>
      </c>
      <c r="AB2989" s="4" t="s">
        <v>104</v>
      </c>
    </row>
    <row r="2990" spans="1:28" x14ac:dyDescent="0.25">
      <c r="A2990" s="2" t="s">
        <v>3802</v>
      </c>
      <c r="B2990" s="2" t="s">
        <v>1904</v>
      </c>
      <c r="C2990" s="2">
        <v>69</v>
      </c>
      <c r="D2990" s="2" t="s">
        <v>30</v>
      </c>
      <c r="E2990" s="2" t="s">
        <v>31</v>
      </c>
      <c r="F2990" s="2" t="s">
        <v>72</v>
      </c>
      <c r="G2990" s="3">
        <v>44727</v>
      </c>
      <c r="H2990" s="3">
        <v>44734</v>
      </c>
      <c r="I2990" s="2">
        <v>7</v>
      </c>
      <c r="J2990" s="2" t="s">
        <v>140</v>
      </c>
      <c r="K2990" s="2" t="s">
        <v>167</v>
      </c>
      <c r="L2990" s="2" t="s">
        <v>142</v>
      </c>
      <c r="M2990" s="2" t="s">
        <v>83</v>
      </c>
      <c r="N2990" s="2" t="s">
        <v>109</v>
      </c>
      <c r="O2990" s="2" t="s">
        <v>76</v>
      </c>
      <c r="P2990" s="2">
        <v>496</v>
      </c>
      <c r="Q2990" s="2" t="s">
        <v>50</v>
      </c>
      <c r="R2990" s="2" t="s">
        <v>40</v>
      </c>
      <c r="S2990" s="2">
        <v>172446</v>
      </c>
      <c r="T2990" s="2">
        <v>74195</v>
      </c>
      <c r="U2990" s="2">
        <v>98251</v>
      </c>
      <c r="V2990" s="2">
        <v>140725</v>
      </c>
      <c r="W2990" s="2">
        <v>18333</v>
      </c>
      <c r="X2990" s="2">
        <v>11073</v>
      </c>
      <c r="Y2990" s="2" t="s">
        <v>41</v>
      </c>
      <c r="Z2990" s="2">
        <v>85</v>
      </c>
      <c r="AA2990" s="2">
        <v>2</v>
      </c>
      <c r="AB2990" s="2" t="s">
        <v>52</v>
      </c>
    </row>
    <row r="2991" spans="1:28" x14ac:dyDescent="0.25">
      <c r="A2991" s="4" t="s">
        <v>3803</v>
      </c>
      <c r="B2991" s="4" t="s">
        <v>1073</v>
      </c>
      <c r="C2991" s="4">
        <v>23</v>
      </c>
      <c r="D2991" s="4" t="s">
        <v>55</v>
      </c>
      <c r="E2991" s="4" t="s">
        <v>67</v>
      </c>
      <c r="F2991" s="4" t="s">
        <v>157</v>
      </c>
      <c r="G2991" s="5">
        <v>45445</v>
      </c>
      <c r="H2991" s="5">
        <v>45447</v>
      </c>
      <c r="I2991" s="4">
        <v>2</v>
      </c>
      <c r="J2991" s="4" t="s">
        <v>202</v>
      </c>
      <c r="K2991" s="4" t="s">
        <v>203</v>
      </c>
      <c r="L2991" s="4" t="s">
        <v>204</v>
      </c>
      <c r="M2991" s="4" t="s">
        <v>101</v>
      </c>
      <c r="N2991" s="4" t="s">
        <v>37</v>
      </c>
      <c r="O2991" s="4" t="s">
        <v>340</v>
      </c>
      <c r="P2991" s="4">
        <v>320</v>
      </c>
      <c r="Q2991" s="4" t="s">
        <v>39</v>
      </c>
      <c r="R2991" s="4" t="s">
        <v>51</v>
      </c>
      <c r="S2991" s="4">
        <v>57027</v>
      </c>
      <c r="T2991" s="4">
        <v>23482</v>
      </c>
      <c r="U2991" s="4">
        <v>33545</v>
      </c>
      <c r="V2991" s="4">
        <v>49936</v>
      </c>
      <c r="W2991" s="4">
        <v>3246</v>
      </c>
      <c r="X2991" s="4">
        <v>2571</v>
      </c>
      <c r="Y2991" s="4" t="s">
        <v>41</v>
      </c>
      <c r="Z2991" s="4">
        <v>88</v>
      </c>
      <c r="AA2991" s="4">
        <v>2.2999999999999998</v>
      </c>
      <c r="AB2991" s="4" t="s">
        <v>137</v>
      </c>
    </row>
    <row r="2992" spans="1:28" x14ac:dyDescent="0.25">
      <c r="A2992" s="2" t="s">
        <v>3804</v>
      </c>
      <c r="B2992" s="2" t="s">
        <v>1869</v>
      </c>
      <c r="C2992" s="2">
        <v>67</v>
      </c>
      <c r="D2992" s="2" t="s">
        <v>30</v>
      </c>
      <c r="E2992" s="2" t="s">
        <v>87</v>
      </c>
      <c r="F2992" s="2" t="s">
        <v>57</v>
      </c>
      <c r="G2992" s="3">
        <v>45138</v>
      </c>
      <c r="H2992" s="3">
        <v>45160</v>
      </c>
      <c r="I2992" s="2">
        <v>22</v>
      </c>
      <c r="J2992" s="2" t="s">
        <v>140</v>
      </c>
      <c r="K2992" s="2" t="s">
        <v>141</v>
      </c>
      <c r="L2992" s="2" t="s">
        <v>142</v>
      </c>
      <c r="M2992" s="2" t="s">
        <v>101</v>
      </c>
      <c r="N2992" s="2" t="s">
        <v>37</v>
      </c>
      <c r="O2992" s="2" t="s">
        <v>352</v>
      </c>
      <c r="P2992" s="2">
        <v>433</v>
      </c>
      <c r="Q2992" s="2" t="s">
        <v>103</v>
      </c>
      <c r="R2992" s="2" t="s">
        <v>40</v>
      </c>
      <c r="S2992" s="2">
        <v>38335</v>
      </c>
      <c r="T2992" s="2">
        <v>19176</v>
      </c>
      <c r="U2992" s="2">
        <v>19159</v>
      </c>
      <c r="V2992" s="2">
        <v>31884</v>
      </c>
      <c r="W2992" s="2">
        <v>2086</v>
      </c>
      <c r="X2992" s="2">
        <v>1326</v>
      </c>
      <c r="Y2992" s="2" t="s">
        <v>91</v>
      </c>
      <c r="Z2992" s="2">
        <v>86</v>
      </c>
      <c r="AA2992" s="2">
        <v>4.5999999999999996</v>
      </c>
      <c r="AB2992" s="2" t="s">
        <v>52</v>
      </c>
    </row>
    <row r="2993" spans="1:28" x14ac:dyDescent="0.25">
      <c r="A2993" s="4" t="s">
        <v>3805</v>
      </c>
      <c r="B2993" s="4" t="s">
        <v>1422</v>
      </c>
      <c r="C2993" s="4">
        <v>32</v>
      </c>
      <c r="D2993" s="4" t="s">
        <v>30</v>
      </c>
      <c r="E2993" s="4" t="s">
        <v>45</v>
      </c>
      <c r="F2993" s="4" t="s">
        <v>32</v>
      </c>
      <c r="G2993" s="5">
        <v>44898</v>
      </c>
      <c r="H2993" s="5">
        <v>44914</v>
      </c>
      <c r="I2993" s="4">
        <v>16</v>
      </c>
      <c r="J2993" s="4" t="s">
        <v>202</v>
      </c>
      <c r="K2993" s="4" t="s">
        <v>203</v>
      </c>
      <c r="L2993" s="4" t="s">
        <v>204</v>
      </c>
      <c r="M2993" s="4" t="s">
        <v>83</v>
      </c>
      <c r="N2993" s="4" t="s">
        <v>109</v>
      </c>
      <c r="O2993" s="4" t="s">
        <v>497</v>
      </c>
      <c r="P2993" s="4">
        <v>247</v>
      </c>
      <c r="Q2993" s="4" t="s">
        <v>103</v>
      </c>
      <c r="R2993" s="4" t="s">
        <v>40</v>
      </c>
      <c r="S2993" s="4">
        <v>80338</v>
      </c>
      <c r="T2993" s="4">
        <v>55657</v>
      </c>
      <c r="U2993" s="4">
        <v>24681</v>
      </c>
      <c r="V2993" s="4">
        <v>56392</v>
      </c>
      <c r="W2993" s="4">
        <v>8477</v>
      </c>
      <c r="X2993" s="4">
        <v>13926</v>
      </c>
      <c r="Y2993" s="4" t="s">
        <v>41</v>
      </c>
      <c r="Z2993" s="4">
        <v>63</v>
      </c>
      <c r="AA2993" s="4">
        <v>2.1</v>
      </c>
      <c r="AB2993" s="4" t="s">
        <v>52</v>
      </c>
    </row>
    <row r="2994" spans="1:28" x14ac:dyDescent="0.25">
      <c r="A2994" s="2" t="s">
        <v>3806</v>
      </c>
      <c r="B2994" s="2" t="s">
        <v>1113</v>
      </c>
      <c r="C2994" s="2">
        <v>38</v>
      </c>
      <c r="D2994" s="2" t="s">
        <v>55</v>
      </c>
      <c r="E2994" s="2" t="s">
        <v>56</v>
      </c>
      <c r="F2994" s="2" t="s">
        <v>150</v>
      </c>
      <c r="G2994" s="3">
        <v>45148</v>
      </c>
      <c r="H2994" s="3">
        <v>45172</v>
      </c>
      <c r="I2994" s="2">
        <v>24</v>
      </c>
      <c r="J2994" s="2" t="s">
        <v>33</v>
      </c>
      <c r="K2994" s="2" t="s">
        <v>278</v>
      </c>
      <c r="L2994" s="2" t="s">
        <v>279</v>
      </c>
      <c r="M2994" s="2" t="s">
        <v>108</v>
      </c>
      <c r="N2994" s="2" t="s">
        <v>62</v>
      </c>
      <c r="O2994" s="2" t="s">
        <v>230</v>
      </c>
      <c r="P2994" s="2">
        <v>42</v>
      </c>
      <c r="Q2994" s="2" t="s">
        <v>103</v>
      </c>
      <c r="R2994" s="2" t="s">
        <v>51</v>
      </c>
      <c r="S2994" s="2">
        <v>171773</v>
      </c>
      <c r="T2994" s="2">
        <v>80226</v>
      </c>
      <c r="U2994" s="2">
        <v>91547</v>
      </c>
      <c r="V2994" s="2">
        <v>129366</v>
      </c>
      <c r="W2994" s="2">
        <v>25430</v>
      </c>
      <c r="X2994" s="2">
        <v>13336</v>
      </c>
      <c r="Y2994" s="2" t="s">
        <v>91</v>
      </c>
      <c r="Z2994" s="2">
        <v>71</v>
      </c>
      <c r="AA2994" s="2">
        <v>2.6</v>
      </c>
      <c r="AB2994" s="2" t="s">
        <v>64</v>
      </c>
    </row>
    <row r="2995" spans="1:28" x14ac:dyDescent="0.25">
      <c r="A2995" s="4" t="s">
        <v>3807</v>
      </c>
      <c r="B2995" s="4" t="s">
        <v>1311</v>
      </c>
      <c r="C2995" s="4">
        <v>66</v>
      </c>
      <c r="D2995" s="4" t="s">
        <v>30</v>
      </c>
      <c r="E2995" s="4" t="s">
        <v>79</v>
      </c>
      <c r="F2995" s="4" t="s">
        <v>94</v>
      </c>
      <c r="G2995" s="5">
        <v>45055</v>
      </c>
      <c r="H2995" s="5">
        <v>45068</v>
      </c>
      <c r="I2995" s="4">
        <v>13</v>
      </c>
      <c r="J2995" s="4" t="s">
        <v>115</v>
      </c>
      <c r="K2995" s="4" t="s">
        <v>160</v>
      </c>
      <c r="L2995" s="4" t="s">
        <v>117</v>
      </c>
      <c r="M2995" s="4" t="s">
        <v>36</v>
      </c>
      <c r="N2995" s="4" t="s">
        <v>37</v>
      </c>
      <c r="O2995" s="4" t="s">
        <v>396</v>
      </c>
      <c r="P2995" s="4">
        <v>422</v>
      </c>
      <c r="Q2995" s="4" t="s">
        <v>39</v>
      </c>
      <c r="R2995" s="4" t="s">
        <v>51</v>
      </c>
      <c r="S2995" s="4">
        <v>154539</v>
      </c>
      <c r="T2995" s="4">
        <v>88195</v>
      </c>
      <c r="U2995" s="4">
        <v>66344</v>
      </c>
      <c r="V2995" s="4">
        <v>147929</v>
      </c>
      <c r="W2995" s="4">
        <v>4338</v>
      </c>
      <c r="X2995" s="4">
        <v>596</v>
      </c>
      <c r="Y2995" s="4" t="s">
        <v>41</v>
      </c>
      <c r="Z2995" s="4">
        <v>75</v>
      </c>
      <c r="AA2995" s="4">
        <v>3.6</v>
      </c>
      <c r="AB2995" s="4" t="s">
        <v>64</v>
      </c>
    </row>
    <row r="2996" spans="1:28" x14ac:dyDescent="0.25">
      <c r="A2996" s="2" t="s">
        <v>3808</v>
      </c>
      <c r="B2996" s="2" t="s">
        <v>1440</v>
      </c>
      <c r="C2996" s="2">
        <v>34</v>
      </c>
      <c r="D2996" s="2" t="s">
        <v>30</v>
      </c>
      <c r="E2996" s="2" t="s">
        <v>67</v>
      </c>
      <c r="F2996" s="2" t="s">
        <v>129</v>
      </c>
      <c r="G2996" s="3">
        <v>45000</v>
      </c>
      <c r="H2996" s="3">
        <v>45009</v>
      </c>
      <c r="I2996" s="2">
        <v>9</v>
      </c>
      <c r="J2996" s="2" t="s">
        <v>140</v>
      </c>
      <c r="K2996" s="2" t="s">
        <v>141</v>
      </c>
      <c r="L2996" s="2" t="s">
        <v>142</v>
      </c>
      <c r="M2996" s="2" t="s">
        <v>61</v>
      </c>
      <c r="N2996" s="2" t="s">
        <v>118</v>
      </c>
      <c r="O2996" s="2" t="s">
        <v>560</v>
      </c>
      <c r="P2996" s="2">
        <v>214</v>
      </c>
      <c r="Q2996" s="2" t="s">
        <v>50</v>
      </c>
      <c r="R2996" s="2" t="s">
        <v>90</v>
      </c>
      <c r="S2996" s="2">
        <v>21836</v>
      </c>
      <c r="T2996" s="2">
        <v>19345</v>
      </c>
      <c r="U2996" s="2">
        <v>2491</v>
      </c>
      <c r="V2996" s="2">
        <v>9367</v>
      </c>
      <c r="W2996" s="2">
        <v>4984</v>
      </c>
      <c r="X2996" s="2">
        <v>4735</v>
      </c>
      <c r="Y2996" s="2" t="s">
        <v>91</v>
      </c>
      <c r="Z2996" s="2">
        <v>97</v>
      </c>
      <c r="AA2996" s="2">
        <v>2</v>
      </c>
      <c r="AB2996" s="2" t="s">
        <v>137</v>
      </c>
    </row>
    <row r="2997" spans="1:28" x14ac:dyDescent="0.25">
      <c r="A2997" s="4" t="s">
        <v>3809</v>
      </c>
      <c r="B2997" s="4" t="s">
        <v>601</v>
      </c>
      <c r="C2997" s="4">
        <v>48</v>
      </c>
      <c r="D2997" s="4" t="s">
        <v>30</v>
      </c>
      <c r="E2997" s="4" t="s">
        <v>87</v>
      </c>
      <c r="F2997" s="4" t="s">
        <v>114</v>
      </c>
      <c r="G2997" s="5">
        <v>44587</v>
      </c>
      <c r="H2997" s="5">
        <v>44611</v>
      </c>
      <c r="I2997" s="4">
        <v>24</v>
      </c>
      <c r="J2997" s="4" t="s">
        <v>115</v>
      </c>
      <c r="K2997" s="4" t="s">
        <v>116</v>
      </c>
      <c r="L2997" s="4" t="s">
        <v>117</v>
      </c>
      <c r="M2997" s="4" t="s">
        <v>143</v>
      </c>
      <c r="N2997" s="4" t="s">
        <v>118</v>
      </c>
      <c r="O2997" s="4" t="s">
        <v>178</v>
      </c>
      <c r="P2997" s="4">
        <v>133</v>
      </c>
      <c r="Q2997" s="4" t="s">
        <v>39</v>
      </c>
      <c r="R2997" s="4" t="s">
        <v>136</v>
      </c>
      <c r="S2997" s="4">
        <v>61193</v>
      </c>
      <c r="T2997" s="4">
        <v>0</v>
      </c>
      <c r="U2997" s="4">
        <v>61193</v>
      </c>
      <c r="V2997" s="4">
        <v>50213</v>
      </c>
      <c r="W2997" s="4">
        <v>5086</v>
      </c>
      <c r="X2997" s="4">
        <v>959</v>
      </c>
      <c r="Y2997" s="4" t="s">
        <v>41</v>
      </c>
      <c r="Z2997" s="4">
        <v>79</v>
      </c>
      <c r="AA2997" s="4">
        <v>3.6</v>
      </c>
      <c r="AB2997" s="4" t="s">
        <v>42</v>
      </c>
    </row>
    <row r="2998" spans="1:28" x14ac:dyDescent="0.25">
      <c r="A2998" s="2" t="s">
        <v>3810</v>
      </c>
      <c r="B2998" s="2" t="s">
        <v>760</v>
      </c>
      <c r="C2998" s="2">
        <v>30</v>
      </c>
      <c r="D2998" s="2" t="s">
        <v>55</v>
      </c>
      <c r="E2998" s="2" t="s">
        <v>31</v>
      </c>
      <c r="F2998" s="2" t="s">
        <v>157</v>
      </c>
      <c r="G2998" s="3">
        <v>45453</v>
      </c>
      <c r="H2998" s="3">
        <v>45473</v>
      </c>
      <c r="I2998" s="2">
        <v>20</v>
      </c>
      <c r="J2998" s="2" t="s">
        <v>33</v>
      </c>
      <c r="K2998" s="2" t="s">
        <v>81</v>
      </c>
      <c r="L2998" s="2" t="s">
        <v>82</v>
      </c>
      <c r="M2998" s="2" t="s">
        <v>108</v>
      </c>
      <c r="N2998" s="2" t="s">
        <v>37</v>
      </c>
      <c r="O2998" s="2" t="s">
        <v>214</v>
      </c>
      <c r="P2998" s="2">
        <v>393</v>
      </c>
      <c r="Q2998" s="2" t="s">
        <v>39</v>
      </c>
      <c r="R2998" s="2" t="s">
        <v>111</v>
      </c>
      <c r="S2998" s="2">
        <v>156208</v>
      </c>
      <c r="T2998" s="2">
        <v>98924</v>
      </c>
      <c r="U2998" s="2">
        <v>57284</v>
      </c>
      <c r="V2998" s="2">
        <v>129640</v>
      </c>
      <c r="W2998" s="2">
        <v>10567</v>
      </c>
      <c r="X2998" s="2">
        <v>12671</v>
      </c>
      <c r="Y2998" s="2" t="s">
        <v>41</v>
      </c>
      <c r="Z2998" s="2">
        <v>68</v>
      </c>
      <c r="AA2998" s="2">
        <v>4.5</v>
      </c>
      <c r="AB2998" s="2" t="s">
        <v>137</v>
      </c>
    </row>
    <row r="2999" spans="1:28" x14ac:dyDescent="0.25">
      <c r="A2999" s="4" t="s">
        <v>3811</v>
      </c>
      <c r="B2999" s="4" t="s">
        <v>948</v>
      </c>
      <c r="C2999" s="4">
        <v>19</v>
      </c>
      <c r="D2999" s="4" t="s">
        <v>55</v>
      </c>
      <c r="E2999" s="4" t="s">
        <v>79</v>
      </c>
      <c r="F2999" s="4" t="s">
        <v>150</v>
      </c>
      <c r="G2999" s="5">
        <v>45331</v>
      </c>
      <c r="H2999" s="5">
        <v>45361</v>
      </c>
      <c r="I2999" s="4">
        <v>30</v>
      </c>
      <c r="J2999" s="4" t="s">
        <v>33</v>
      </c>
      <c r="K2999" s="4" t="s">
        <v>99</v>
      </c>
      <c r="L2999" s="4" t="s">
        <v>100</v>
      </c>
      <c r="M2999" s="4" t="s">
        <v>101</v>
      </c>
      <c r="N2999" s="4" t="s">
        <v>37</v>
      </c>
      <c r="O2999" s="4" t="s">
        <v>171</v>
      </c>
      <c r="P2999" s="4">
        <v>155</v>
      </c>
      <c r="Q2999" s="4" t="s">
        <v>103</v>
      </c>
      <c r="R2999" s="4" t="s">
        <v>51</v>
      </c>
      <c r="S2999" s="4">
        <v>68852</v>
      </c>
      <c r="T2999" s="4">
        <v>31320</v>
      </c>
      <c r="U2999" s="4">
        <v>37532</v>
      </c>
      <c r="V2999" s="4">
        <v>46314</v>
      </c>
      <c r="W2999" s="4">
        <v>15188</v>
      </c>
      <c r="X2999" s="4">
        <v>6522</v>
      </c>
      <c r="Y2999" s="4" t="s">
        <v>41</v>
      </c>
      <c r="Z2999" s="4">
        <v>70</v>
      </c>
      <c r="AA2999" s="4">
        <v>4.5</v>
      </c>
      <c r="AB2999" s="4" t="s">
        <v>137</v>
      </c>
    </row>
    <row r="3000" spans="1:28" x14ac:dyDescent="0.25">
      <c r="A3000" s="2" t="s">
        <v>3812</v>
      </c>
      <c r="B3000" s="2" t="s">
        <v>653</v>
      </c>
      <c r="C3000" s="2">
        <v>57</v>
      </c>
      <c r="D3000" s="2" t="s">
        <v>30</v>
      </c>
      <c r="E3000" s="2" t="s">
        <v>154</v>
      </c>
      <c r="F3000" s="2" t="s">
        <v>80</v>
      </c>
      <c r="G3000" s="3">
        <v>45157</v>
      </c>
      <c r="H3000" s="3">
        <v>45183</v>
      </c>
      <c r="I3000" s="2">
        <v>26</v>
      </c>
      <c r="J3000" s="2" t="s">
        <v>33</v>
      </c>
      <c r="K3000" s="2" t="s">
        <v>47</v>
      </c>
      <c r="L3000" s="2" t="s">
        <v>48</v>
      </c>
      <c r="M3000" s="2" t="s">
        <v>108</v>
      </c>
      <c r="N3000" s="2" t="s">
        <v>109</v>
      </c>
      <c r="O3000" s="2" t="s">
        <v>471</v>
      </c>
      <c r="P3000" s="2">
        <v>416</v>
      </c>
      <c r="Q3000" s="2" t="s">
        <v>103</v>
      </c>
      <c r="R3000" s="2" t="s">
        <v>51</v>
      </c>
      <c r="S3000" s="2">
        <v>54940</v>
      </c>
      <c r="T3000" s="2">
        <v>25133</v>
      </c>
      <c r="U3000" s="2">
        <v>29807</v>
      </c>
      <c r="V3000" s="2">
        <v>49926</v>
      </c>
      <c r="W3000" s="2">
        <v>2338</v>
      </c>
      <c r="X3000" s="2">
        <v>1283</v>
      </c>
      <c r="Y3000" s="2" t="s">
        <v>41</v>
      </c>
      <c r="Z3000" s="2">
        <v>72</v>
      </c>
      <c r="AA3000" s="2">
        <v>2.7</v>
      </c>
      <c r="AB3000" s="2" t="s">
        <v>64</v>
      </c>
    </row>
    <row r="3001" spans="1:28" x14ac:dyDescent="0.25">
      <c r="A3001" s="4" t="s">
        <v>3813</v>
      </c>
      <c r="B3001" s="4" t="s">
        <v>2690</v>
      </c>
      <c r="C3001" s="4">
        <v>14</v>
      </c>
      <c r="D3001" s="4" t="s">
        <v>55</v>
      </c>
      <c r="E3001" s="4" t="s">
        <v>87</v>
      </c>
      <c r="F3001" s="4" t="s">
        <v>129</v>
      </c>
      <c r="G3001" s="5">
        <v>45102</v>
      </c>
      <c r="H3001" s="5">
        <v>45108</v>
      </c>
      <c r="I3001" s="4">
        <v>6</v>
      </c>
      <c r="J3001" s="4" t="s">
        <v>33</v>
      </c>
      <c r="K3001" s="4" t="s">
        <v>197</v>
      </c>
      <c r="L3001" s="4" t="s">
        <v>198</v>
      </c>
      <c r="M3001" s="4" t="s">
        <v>108</v>
      </c>
      <c r="N3001" s="4" t="s">
        <v>118</v>
      </c>
      <c r="O3001" s="4" t="s">
        <v>627</v>
      </c>
      <c r="P3001" s="4">
        <v>82</v>
      </c>
      <c r="Q3001" s="4" t="s">
        <v>69</v>
      </c>
      <c r="R3001" s="4" t="s">
        <v>111</v>
      </c>
      <c r="S3001" s="4">
        <v>51412</v>
      </c>
      <c r="T3001" s="4">
        <v>32922</v>
      </c>
      <c r="U3001" s="4">
        <v>18490</v>
      </c>
      <c r="V3001" s="4">
        <v>21195</v>
      </c>
      <c r="W3001" s="4">
        <v>12057</v>
      </c>
      <c r="X3001" s="4">
        <v>13767</v>
      </c>
      <c r="Y3001" s="4" t="s">
        <v>41</v>
      </c>
      <c r="Z3001" s="4">
        <v>69</v>
      </c>
      <c r="AA3001" s="4">
        <v>3.7</v>
      </c>
      <c r="AB3001" s="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N20" sqref="N20"/>
    </sheetView>
  </sheetViews>
  <sheetFormatPr defaultRowHeight="15" x14ac:dyDescent="0.25"/>
  <cols>
    <col min="1" max="1" width="17" customWidth="1"/>
    <col min="2" max="2" width="28.85546875" customWidth="1"/>
    <col min="3" max="3" width="18.28515625" customWidth="1"/>
    <col min="4" max="4" width="14" customWidth="1"/>
    <col min="5" max="5" width="15.5703125" customWidth="1"/>
  </cols>
  <sheetData>
    <row r="1" spans="1:5" x14ac:dyDescent="0.25">
      <c r="A1" s="10" t="s">
        <v>3814</v>
      </c>
      <c r="B1" s="10">
        <v>3000</v>
      </c>
    </row>
    <row r="2" spans="1:5" x14ac:dyDescent="0.25">
      <c r="A2" s="10" t="s">
        <v>3815</v>
      </c>
      <c r="B2" s="10">
        <f>AVERAGE(Patient_Raw_Data!S2:S3001)</f>
        <v>104541.33366666667</v>
      </c>
    </row>
    <row r="3" spans="1:5" x14ac:dyDescent="0.25">
      <c r="A3" s="10" t="s">
        <v>3816</v>
      </c>
      <c r="B3" s="10">
        <v>0</v>
      </c>
    </row>
    <row r="4" spans="1:5" ht="15.75" x14ac:dyDescent="0.25">
      <c r="A4" s="10" t="s">
        <v>3817</v>
      </c>
      <c r="B4" s="10">
        <f>3000*(1+B3)*B2</f>
        <v>313624001</v>
      </c>
      <c r="D4" s="8" t="s">
        <v>3818</v>
      </c>
      <c r="E4" s="9">
        <f>B4</f>
        <v>313624001</v>
      </c>
    </row>
    <row r="5" spans="1:5" x14ac:dyDescent="0.25">
      <c r="D5" s="7">
        <v>0.1</v>
      </c>
      <c r="E5" s="6">
        <f t="dataTable" ref="E5:E9" dt2D="0" dtr="0" r1="B3"/>
        <v>344986401.10000008</v>
      </c>
    </row>
    <row r="6" spans="1:5" x14ac:dyDescent="0.25">
      <c r="D6" s="7">
        <v>0.2</v>
      </c>
      <c r="E6" s="6">
        <v>376348801.20000005</v>
      </c>
    </row>
    <row r="7" spans="1:5" x14ac:dyDescent="0.25">
      <c r="D7" s="7">
        <v>0.3</v>
      </c>
      <c r="E7" s="6">
        <v>407711201.30000001</v>
      </c>
    </row>
    <row r="8" spans="1:5" x14ac:dyDescent="0.25">
      <c r="D8" s="7">
        <v>-0.1</v>
      </c>
      <c r="E8" s="6">
        <v>282261600.90000004</v>
      </c>
    </row>
    <row r="9" spans="1:5" x14ac:dyDescent="0.25">
      <c r="D9" s="7">
        <v>-0.2</v>
      </c>
      <c r="E9" s="6">
        <v>250899200.80000001</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Patient_Raw_Data</vt:lpstr>
      <vt:lpstr>Budget Forecast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SAMSUNG</cp:lastModifiedBy>
  <dcterms:created xsi:type="dcterms:W3CDTF">2026-05-24T08:09:17Z</dcterms:created>
  <dcterms:modified xsi:type="dcterms:W3CDTF">2026-05-30T07:19:25Z</dcterms:modified>
</cp:coreProperties>
</file>